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rewgodwin/Desktop/blueally-aea-dashboard/"/>
    </mc:Choice>
  </mc:AlternateContent>
  <xr:revisionPtr revIDLastSave="0" documentId="13_ncr:1_{D87AE0AF-B04A-9C45-9FB4-18464FE30552}" xr6:coauthVersionLast="47" xr6:coauthVersionMax="47" xr10:uidLastSave="{00000000-0000-0000-0000-000000000000}"/>
  <bookViews>
    <workbookView xWindow="0" yWindow="660" windowWidth="34560" windowHeight="20440" firstSheet="1" activeTab="2" xr2:uid="{00000000-000D-0000-FFFF-FFFF00000000}"/>
  </bookViews>
  <sheets>
    <sheet name="1. Executive Dashboard" sheetId="1" r:id="rId1"/>
    <sheet name="2. Company Master" sheetId="2" r:id="rId2"/>
    <sheet name="3. Use Cases Catalog" sheetId="3" r:id="rId3"/>
    <sheet name="4. Benefits by Driver" sheetId="4" r:id="rId4"/>
    <sheet name="5. KPI Baselines" sheetId="5" r:id="rId5"/>
    <sheet name="6. Friction Points" sheetId="6" r:id="rId6"/>
    <sheet name="7. Strategic Themes" sheetId="7" r:id="rId7"/>
    <sheet name="8. Priority Roadmap" sheetId="8" r:id="rId8"/>
    <sheet name="9. Framework 1" sheetId="9" r:id="rId9"/>
    <sheet name="10. Framework 2" sheetId="10" r:id="rId10"/>
    <sheet name="11. Framework 3" sheetId="11" r:id="rId11"/>
    <sheet name="12. Assumptions" sheetId="12" r:id="rId12"/>
    <sheet name="13. Data Dictionary" sheetId="13" r:id="rId13"/>
    <sheet name="KPI Impact Analysis" sheetId="14" r:id="rId14"/>
    <sheet name="Dynamic Analysis Dashboard" sheetId="15" r:id="rId15"/>
    <sheet name="Executive Analysis Dashboard" sheetId="16" r:id="rId16"/>
  </sheets>
  <definedNames>
    <definedName name="_xlnm._FilterDatabase" localSheetId="2" hidden="1">'3. Use Cases Catalog'!$A$1:$AE$541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8" i="16" l="1"/>
  <c r="F547" i="16"/>
  <c r="F546" i="16"/>
  <c r="F545" i="16"/>
  <c r="F544" i="16"/>
  <c r="F543" i="16"/>
  <c r="F542" i="16"/>
  <c r="F541" i="16"/>
  <c r="F540" i="16"/>
  <c r="F539" i="16"/>
  <c r="F538" i="16"/>
  <c r="F537" i="16"/>
  <c r="T513" i="16"/>
  <c r="S513" i="16"/>
  <c r="P513" i="16"/>
  <c r="O513" i="16"/>
  <c r="K513" i="16"/>
  <c r="J513" i="16"/>
  <c r="G513" i="16"/>
  <c r="F513" i="16"/>
  <c r="T512" i="16"/>
  <c r="S512" i="16"/>
  <c r="P512" i="16"/>
  <c r="O512" i="16"/>
  <c r="K512" i="16"/>
  <c r="J512" i="16"/>
  <c r="G512" i="16"/>
  <c r="F512" i="16"/>
  <c r="T511" i="16"/>
  <c r="S511" i="16"/>
  <c r="P511" i="16"/>
  <c r="O511" i="16"/>
  <c r="K511" i="16"/>
  <c r="J511" i="16"/>
  <c r="G511" i="16"/>
  <c r="F511" i="16"/>
  <c r="T510" i="16"/>
  <c r="S510" i="16"/>
  <c r="P510" i="16"/>
  <c r="O510" i="16"/>
  <c r="K510" i="16"/>
  <c r="J510" i="16"/>
  <c r="G510" i="16"/>
  <c r="F510" i="16"/>
  <c r="T509" i="16"/>
  <c r="S509" i="16"/>
  <c r="P509" i="16"/>
  <c r="O509" i="16"/>
  <c r="K509" i="16"/>
  <c r="J509" i="16"/>
  <c r="G509" i="16"/>
  <c r="F509" i="16"/>
  <c r="T508" i="16"/>
  <c r="S508" i="16"/>
  <c r="P508" i="16"/>
  <c r="O508" i="16"/>
  <c r="K508" i="16"/>
  <c r="J508" i="16"/>
  <c r="G508" i="16"/>
  <c r="F508" i="16"/>
  <c r="T507" i="16"/>
  <c r="S507" i="16"/>
  <c r="P507" i="16"/>
  <c r="O507" i="16"/>
  <c r="K507" i="16"/>
  <c r="J507" i="16"/>
  <c r="G507" i="16"/>
  <c r="F507" i="16"/>
  <c r="T506" i="16"/>
  <c r="S506" i="16"/>
  <c r="P506" i="16"/>
  <c r="O506" i="16"/>
  <c r="K506" i="16"/>
  <c r="J506" i="16"/>
  <c r="G506" i="16"/>
  <c r="F506" i="16"/>
  <c r="T505" i="16"/>
  <c r="S505" i="16"/>
  <c r="P505" i="16"/>
  <c r="O505" i="16"/>
  <c r="K505" i="16"/>
  <c r="J505" i="16"/>
  <c r="G505" i="16"/>
  <c r="F505" i="16"/>
  <c r="T504" i="16"/>
  <c r="S504" i="16"/>
  <c r="P504" i="16"/>
  <c r="O504" i="16"/>
  <c r="K504" i="16"/>
  <c r="J504" i="16"/>
  <c r="G504" i="16"/>
  <c r="F504" i="16"/>
  <c r="T503" i="16"/>
  <c r="S503" i="16"/>
  <c r="P503" i="16"/>
  <c r="O503" i="16"/>
  <c r="K503" i="16"/>
  <c r="J503" i="16"/>
  <c r="G503" i="16"/>
  <c r="F503" i="16"/>
  <c r="T502" i="16"/>
  <c r="S502" i="16"/>
  <c r="P502" i="16"/>
  <c r="O502" i="16"/>
  <c r="K502" i="16"/>
  <c r="J502" i="16"/>
  <c r="G502" i="16"/>
  <c r="F502" i="16"/>
  <c r="T501" i="16"/>
  <c r="S501" i="16"/>
  <c r="P501" i="16"/>
  <c r="O501" i="16"/>
  <c r="K501" i="16"/>
  <c r="J501" i="16"/>
  <c r="G501" i="16"/>
  <c r="F501" i="16"/>
  <c r="T500" i="16"/>
  <c r="S500" i="16"/>
  <c r="P500" i="16"/>
  <c r="O500" i="16"/>
  <c r="K500" i="16"/>
  <c r="J500" i="16"/>
  <c r="G500" i="16"/>
  <c r="F500" i="16"/>
  <c r="T499" i="16"/>
  <c r="S499" i="16"/>
  <c r="P499" i="16"/>
  <c r="O499" i="16"/>
  <c r="K499" i="16"/>
  <c r="J499" i="16"/>
  <c r="G499" i="16"/>
  <c r="F499" i="16"/>
  <c r="T498" i="16"/>
  <c r="S498" i="16"/>
  <c r="P498" i="16"/>
  <c r="O498" i="16"/>
  <c r="K498" i="16"/>
  <c r="J498" i="16"/>
  <c r="G498" i="16"/>
  <c r="F498" i="16"/>
  <c r="T497" i="16"/>
  <c r="S497" i="16"/>
  <c r="P497" i="16"/>
  <c r="O497" i="16"/>
  <c r="K497" i="16"/>
  <c r="J497" i="16"/>
  <c r="G497" i="16"/>
  <c r="F497" i="16"/>
  <c r="T496" i="16"/>
  <c r="S496" i="16"/>
  <c r="P496" i="16"/>
  <c r="O496" i="16"/>
  <c r="K496" i="16"/>
  <c r="J496" i="16"/>
  <c r="G496" i="16"/>
  <c r="F496" i="16"/>
  <c r="T495" i="16"/>
  <c r="S495" i="16"/>
  <c r="P495" i="16"/>
  <c r="O495" i="16"/>
  <c r="K495" i="16"/>
  <c r="J495" i="16"/>
  <c r="G495" i="16"/>
  <c r="F495" i="16"/>
  <c r="T494" i="16"/>
  <c r="S494" i="16"/>
  <c r="P494" i="16"/>
  <c r="O494" i="16"/>
  <c r="K494" i="16"/>
  <c r="J494" i="16"/>
  <c r="G494" i="16"/>
  <c r="F494" i="16"/>
  <c r="T493" i="16"/>
  <c r="S493" i="16"/>
  <c r="P493" i="16"/>
  <c r="O493" i="16"/>
  <c r="K493" i="16"/>
  <c r="J493" i="16"/>
  <c r="G493" i="16"/>
  <c r="F493" i="16"/>
  <c r="T492" i="16"/>
  <c r="S492" i="16"/>
  <c r="P492" i="16"/>
  <c r="O492" i="16"/>
  <c r="K492" i="16"/>
  <c r="J492" i="16"/>
  <c r="G492" i="16"/>
  <c r="F492" i="16"/>
  <c r="T491" i="16"/>
  <c r="S491" i="16"/>
  <c r="P491" i="16"/>
  <c r="O491" i="16"/>
  <c r="K491" i="16"/>
  <c r="J491" i="16"/>
  <c r="G491" i="16"/>
  <c r="F491" i="16"/>
  <c r="T490" i="16"/>
  <c r="S490" i="16"/>
  <c r="P490" i="16"/>
  <c r="O490" i="16"/>
  <c r="K490" i="16"/>
  <c r="J490" i="16"/>
  <c r="G490" i="16"/>
  <c r="F490" i="16"/>
  <c r="T489" i="16"/>
  <c r="S489" i="16"/>
  <c r="P489" i="16"/>
  <c r="O489" i="16"/>
  <c r="K489" i="16"/>
  <c r="J489" i="16"/>
  <c r="G489" i="16"/>
  <c r="F489" i="16"/>
  <c r="T488" i="16"/>
  <c r="S488" i="16"/>
  <c r="P488" i="16"/>
  <c r="O488" i="16"/>
  <c r="K488" i="16"/>
  <c r="J488" i="16"/>
  <c r="G488" i="16"/>
  <c r="F488" i="16"/>
  <c r="T487" i="16"/>
  <c r="S487" i="16"/>
  <c r="P487" i="16"/>
  <c r="O487" i="16"/>
  <c r="K487" i="16"/>
  <c r="J487" i="16"/>
  <c r="G487" i="16"/>
  <c r="F487" i="16"/>
  <c r="T486" i="16"/>
  <c r="S486" i="16"/>
  <c r="P486" i="16"/>
  <c r="O486" i="16"/>
  <c r="K486" i="16"/>
  <c r="J486" i="16"/>
  <c r="G486" i="16"/>
  <c r="F486" i="16"/>
  <c r="T485" i="16"/>
  <c r="S485" i="16"/>
  <c r="P485" i="16"/>
  <c r="O485" i="16"/>
  <c r="K485" i="16"/>
  <c r="J485" i="16"/>
  <c r="G485" i="16"/>
  <c r="F485" i="16"/>
  <c r="T484" i="16"/>
  <c r="S484" i="16"/>
  <c r="P484" i="16"/>
  <c r="O484" i="16"/>
  <c r="K484" i="16"/>
  <c r="J484" i="16"/>
  <c r="G484" i="16"/>
  <c r="F484" i="16"/>
  <c r="T483" i="16"/>
  <c r="S483" i="16"/>
  <c r="P483" i="16"/>
  <c r="O483" i="16"/>
  <c r="K483" i="16"/>
  <c r="J483" i="16"/>
  <c r="G483" i="16"/>
  <c r="F483" i="16"/>
  <c r="T482" i="16"/>
  <c r="S482" i="16"/>
  <c r="P482" i="16"/>
  <c r="O482" i="16"/>
  <c r="K482" i="16"/>
  <c r="J482" i="16"/>
  <c r="G482" i="16"/>
  <c r="F482" i="16"/>
  <c r="T481" i="16"/>
  <c r="S481" i="16"/>
  <c r="P481" i="16"/>
  <c r="O481" i="16"/>
  <c r="K481" i="16"/>
  <c r="J481" i="16"/>
  <c r="G481" i="16"/>
  <c r="F481" i="16"/>
  <c r="T480" i="16"/>
  <c r="S480" i="16"/>
  <c r="P480" i="16"/>
  <c r="O480" i="16"/>
  <c r="K480" i="16"/>
  <c r="J480" i="16"/>
  <c r="G480" i="16"/>
  <c r="F480" i="16"/>
  <c r="T479" i="16"/>
  <c r="S479" i="16"/>
  <c r="P479" i="16"/>
  <c r="O479" i="16"/>
  <c r="K479" i="16"/>
  <c r="J479" i="16"/>
  <c r="G479" i="16"/>
  <c r="F479" i="16"/>
  <c r="T478" i="16"/>
  <c r="S478" i="16"/>
  <c r="P478" i="16"/>
  <c r="O478" i="16"/>
  <c r="K478" i="16"/>
  <c r="J478" i="16"/>
  <c r="G478" i="16"/>
  <c r="F478" i="16"/>
  <c r="T477" i="16"/>
  <c r="S477" i="16"/>
  <c r="P477" i="16"/>
  <c r="O477" i="16"/>
  <c r="K477" i="16"/>
  <c r="J477" i="16"/>
  <c r="G477" i="16"/>
  <c r="F477" i="16"/>
  <c r="T476" i="16"/>
  <c r="S476" i="16"/>
  <c r="P476" i="16"/>
  <c r="O476" i="16"/>
  <c r="K476" i="16"/>
  <c r="J476" i="16"/>
  <c r="G476" i="16"/>
  <c r="F476" i="16"/>
  <c r="T475" i="16"/>
  <c r="S475" i="16"/>
  <c r="P475" i="16"/>
  <c r="O475" i="16"/>
  <c r="K475" i="16"/>
  <c r="J475" i="16"/>
  <c r="G475" i="16"/>
  <c r="F475" i="16"/>
  <c r="T474" i="16"/>
  <c r="S474" i="16"/>
  <c r="P474" i="16"/>
  <c r="O474" i="16"/>
  <c r="K474" i="16"/>
  <c r="J474" i="16"/>
  <c r="G474" i="16"/>
  <c r="F474" i="16"/>
  <c r="T473" i="16"/>
  <c r="S473" i="16"/>
  <c r="P473" i="16"/>
  <c r="O473" i="16"/>
  <c r="K473" i="16"/>
  <c r="J473" i="16"/>
  <c r="G473" i="16"/>
  <c r="F473" i="16"/>
  <c r="T472" i="16"/>
  <c r="S472" i="16"/>
  <c r="P472" i="16"/>
  <c r="O472" i="16"/>
  <c r="K472" i="16"/>
  <c r="J472" i="16"/>
  <c r="G472" i="16"/>
  <c r="F472" i="16"/>
  <c r="T471" i="16"/>
  <c r="S471" i="16"/>
  <c r="P471" i="16"/>
  <c r="O471" i="16"/>
  <c r="K471" i="16"/>
  <c r="J471" i="16"/>
  <c r="G471" i="16"/>
  <c r="F471" i="16"/>
  <c r="T470" i="16"/>
  <c r="S470" i="16"/>
  <c r="P470" i="16"/>
  <c r="O470" i="16"/>
  <c r="K470" i="16"/>
  <c r="J470" i="16"/>
  <c r="G470" i="16"/>
  <c r="F470" i="16"/>
  <c r="T469" i="16"/>
  <c r="S469" i="16"/>
  <c r="P469" i="16"/>
  <c r="O469" i="16"/>
  <c r="K469" i="16"/>
  <c r="J469" i="16"/>
  <c r="G469" i="16"/>
  <c r="F469" i="16"/>
  <c r="T468" i="16"/>
  <c r="S468" i="16"/>
  <c r="P468" i="16"/>
  <c r="O468" i="16"/>
  <c r="K468" i="16"/>
  <c r="J468" i="16"/>
  <c r="G468" i="16"/>
  <c r="F468" i="16"/>
  <c r="T467" i="16"/>
  <c r="S467" i="16"/>
  <c r="P467" i="16"/>
  <c r="O467" i="16"/>
  <c r="K467" i="16"/>
  <c r="J467" i="16"/>
  <c r="G467" i="16"/>
  <c r="F467" i="16"/>
  <c r="T466" i="16"/>
  <c r="S466" i="16"/>
  <c r="P466" i="16"/>
  <c r="O466" i="16"/>
  <c r="K466" i="16"/>
  <c r="J466" i="16"/>
  <c r="G466" i="16"/>
  <c r="F466" i="16"/>
  <c r="T465" i="16"/>
  <c r="S465" i="16"/>
  <c r="P465" i="16"/>
  <c r="O465" i="16"/>
  <c r="K465" i="16"/>
  <c r="J465" i="16"/>
  <c r="G465" i="16"/>
  <c r="F465" i="16"/>
  <c r="T464" i="16"/>
  <c r="S464" i="16"/>
  <c r="P464" i="16"/>
  <c r="O464" i="16"/>
  <c r="K464" i="16"/>
  <c r="J464" i="16"/>
  <c r="G464" i="16"/>
  <c r="F464" i="16"/>
  <c r="T463" i="16"/>
  <c r="S463" i="16"/>
  <c r="P463" i="16"/>
  <c r="O463" i="16"/>
  <c r="K463" i="16"/>
  <c r="J463" i="16"/>
  <c r="G463" i="16"/>
  <c r="F463" i="16"/>
  <c r="T462" i="16"/>
  <c r="S462" i="16"/>
  <c r="P462" i="16"/>
  <c r="O462" i="16"/>
  <c r="K462" i="16"/>
  <c r="J462" i="16"/>
  <c r="G462" i="16"/>
  <c r="F462" i="16"/>
  <c r="T461" i="16"/>
  <c r="S461" i="16"/>
  <c r="P461" i="16"/>
  <c r="O461" i="16"/>
  <c r="K461" i="16"/>
  <c r="J461" i="16"/>
  <c r="G461" i="16"/>
  <c r="F461" i="16"/>
  <c r="T460" i="16"/>
  <c r="S460" i="16"/>
  <c r="P460" i="16"/>
  <c r="O460" i="16"/>
  <c r="K460" i="16"/>
  <c r="J460" i="16"/>
  <c r="G460" i="16"/>
  <c r="F460" i="16"/>
  <c r="T459" i="16"/>
  <c r="S459" i="16"/>
  <c r="P459" i="16"/>
  <c r="O459" i="16"/>
  <c r="K459" i="16"/>
  <c r="J459" i="16"/>
  <c r="G459" i="16"/>
  <c r="F459" i="16"/>
  <c r="T458" i="16"/>
  <c r="S458" i="16"/>
  <c r="P458" i="16"/>
  <c r="O458" i="16"/>
  <c r="K458" i="16"/>
  <c r="J458" i="16"/>
  <c r="G458" i="16"/>
  <c r="F458" i="16"/>
  <c r="T457" i="16"/>
  <c r="S457" i="16"/>
  <c r="P457" i="16"/>
  <c r="O457" i="16"/>
  <c r="K457" i="16"/>
  <c r="J457" i="16"/>
  <c r="G457" i="16"/>
  <c r="F457" i="16"/>
  <c r="T456" i="16"/>
  <c r="S456" i="16"/>
  <c r="P456" i="16"/>
  <c r="O456" i="16"/>
  <c r="K456" i="16"/>
  <c r="J456" i="16"/>
  <c r="G456" i="16"/>
  <c r="F456" i="16"/>
  <c r="T455" i="16"/>
  <c r="S455" i="16"/>
  <c r="P455" i="16"/>
  <c r="O455" i="16"/>
  <c r="K455" i="16"/>
  <c r="J455" i="16"/>
  <c r="G455" i="16"/>
  <c r="F455" i="16"/>
  <c r="T454" i="16"/>
  <c r="S454" i="16"/>
  <c r="P454" i="16"/>
  <c r="O454" i="16"/>
  <c r="K454" i="16"/>
  <c r="J454" i="16"/>
  <c r="G454" i="16"/>
  <c r="F454" i="16"/>
  <c r="T453" i="16"/>
  <c r="S453" i="16"/>
  <c r="P453" i="16"/>
  <c r="O453" i="16"/>
  <c r="K453" i="16"/>
  <c r="J453" i="16"/>
  <c r="G453" i="16"/>
  <c r="F453" i="16"/>
  <c r="T452" i="16"/>
  <c r="S452" i="16"/>
  <c r="P452" i="16"/>
  <c r="O452" i="16"/>
  <c r="K452" i="16"/>
  <c r="J452" i="16"/>
  <c r="G452" i="16"/>
  <c r="F452" i="16"/>
  <c r="T451" i="16"/>
  <c r="S451" i="16"/>
  <c r="P451" i="16"/>
  <c r="O451" i="16"/>
  <c r="K451" i="16"/>
  <c r="J451" i="16"/>
  <c r="G451" i="16"/>
  <c r="F451" i="16"/>
  <c r="T450" i="16"/>
  <c r="S450" i="16"/>
  <c r="P450" i="16"/>
  <c r="O450" i="16"/>
  <c r="K450" i="16"/>
  <c r="J450" i="16"/>
  <c r="G450" i="16"/>
  <c r="F450" i="16"/>
  <c r="T449" i="16"/>
  <c r="S449" i="16"/>
  <c r="P449" i="16"/>
  <c r="O449" i="16"/>
  <c r="K449" i="16"/>
  <c r="J449" i="16"/>
  <c r="G449" i="16"/>
  <c r="F449" i="16"/>
  <c r="T448" i="16"/>
  <c r="S448" i="16"/>
  <c r="P448" i="16"/>
  <c r="O448" i="16"/>
  <c r="K448" i="16"/>
  <c r="J448" i="16"/>
  <c r="G448" i="16"/>
  <c r="F448" i="16"/>
  <c r="T447" i="16"/>
  <c r="S447" i="16"/>
  <c r="P447" i="16"/>
  <c r="O447" i="16"/>
  <c r="K447" i="16"/>
  <c r="J447" i="16"/>
  <c r="G447" i="16"/>
  <c r="F447" i="16"/>
  <c r="T446" i="16"/>
  <c r="S446" i="16"/>
  <c r="P446" i="16"/>
  <c r="O446" i="16"/>
  <c r="K446" i="16"/>
  <c r="J446" i="16"/>
  <c r="G446" i="16"/>
  <c r="F446" i="16"/>
  <c r="T445" i="16"/>
  <c r="S445" i="16"/>
  <c r="P445" i="16"/>
  <c r="O445" i="16"/>
  <c r="K445" i="16"/>
  <c r="J445" i="16"/>
  <c r="G445" i="16"/>
  <c r="F445" i="16"/>
  <c r="T444" i="16"/>
  <c r="S444" i="16"/>
  <c r="P444" i="16"/>
  <c r="O444" i="16"/>
  <c r="K444" i="16"/>
  <c r="J444" i="16"/>
  <c r="G444" i="16"/>
  <c r="F444" i="16"/>
  <c r="T443" i="16"/>
  <c r="S443" i="16"/>
  <c r="P443" i="16"/>
  <c r="O443" i="16"/>
  <c r="K443" i="16"/>
  <c r="J443" i="16"/>
  <c r="G443" i="16"/>
  <c r="F443" i="16"/>
  <c r="T442" i="16"/>
  <c r="S442" i="16"/>
  <c r="P442" i="16"/>
  <c r="O442" i="16"/>
  <c r="K442" i="16"/>
  <c r="J442" i="16"/>
  <c r="G442" i="16"/>
  <c r="F442" i="16"/>
  <c r="T441" i="16"/>
  <c r="S441" i="16"/>
  <c r="P441" i="16"/>
  <c r="O441" i="16"/>
  <c r="K441" i="16"/>
  <c r="J441" i="16"/>
  <c r="G441" i="16"/>
  <c r="F441" i="16"/>
  <c r="T440" i="16"/>
  <c r="S440" i="16"/>
  <c r="P440" i="16"/>
  <c r="O440" i="16"/>
  <c r="K440" i="16"/>
  <c r="J440" i="16"/>
  <c r="G440" i="16"/>
  <c r="F440" i="16"/>
  <c r="T439" i="16"/>
  <c r="S439" i="16"/>
  <c r="P439" i="16"/>
  <c r="O439" i="16"/>
  <c r="K439" i="16"/>
  <c r="J439" i="16"/>
  <c r="G439" i="16"/>
  <c r="F439" i="16"/>
  <c r="T438" i="16"/>
  <c r="S438" i="16"/>
  <c r="P438" i="16"/>
  <c r="O438" i="16"/>
  <c r="K438" i="16"/>
  <c r="J438" i="16"/>
  <c r="G438" i="16"/>
  <c r="F438" i="16"/>
  <c r="T437" i="16"/>
  <c r="S437" i="16"/>
  <c r="P437" i="16"/>
  <c r="O437" i="16"/>
  <c r="K437" i="16"/>
  <c r="J437" i="16"/>
  <c r="G437" i="16"/>
  <c r="F437" i="16"/>
  <c r="T436" i="16"/>
  <c r="S436" i="16"/>
  <c r="P436" i="16"/>
  <c r="O436" i="16"/>
  <c r="K436" i="16"/>
  <c r="J436" i="16"/>
  <c r="G436" i="16"/>
  <c r="F436" i="16"/>
  <c r="T435" i="16"/>
  <c r="S435" i="16"/>
  <c r="P435" i="16"/>
  <c r="O435" i="16"/>
  <c r="K435" i="16"/>
  <c r="J435" i="16"/>
  <c r="G435" i="16"/>
  <c r="F435" i="16"/>
  <c r="T434" i="16"/>
  <c r="S434" i="16"/>
  <c r="P434" i="16"/>
  <c r="O434" i="16"/>
  <c r="K434" i="16"/>
  <c r="J434" i="16"/>
  <c r="G434" i="16"/>
  <c r="F434" i="16"/>
  <c r="T433" i="16"/>
  <c r="S433" i="16"/>
  <c r="P433" i="16"/>
  <c r="O433" i="16"/>
  <c r="K433" i="16"/>
  <c r="J433" i="16"/>
  <c r="G433" i="16"/>
  <c r="F433" i="16"/>
  <c r="T432" i="16"/>
  <c r="S432" i="16"/>
  <c r="P432" i="16"/>
  <c r="O432" i="16"/>
  <c r="K432" i="16"/>
  <c r="J432" i="16"/>
  <c r="G432" i="16"/>
  <c r="F432" i="16"/>
  <c r="T431" i="16"/>
  <c r="S431" i="16"/>
  <c r="P431" i="16"/>
  <c r="O431" i="16"/>
  <c r="K431" i="16"/>
  <c r="J431" i="16"/>
  <c r="G431" i="16"/>
  <c r="F431" i="16"/>
  <c r="T430" i="16"/>
  <c r="S430" i="16"/>
  <c r="P430" i="16"/>
  <c r="O430" i="16"/>
  <c r="K430" i="16"/>
  <c r="J430" i="16"/>
  <c r="G430" i="16"/>
  <c r="F430" i="16"/>
  <c r="T429" i="16"/>
  <c r="S429" i="16"/>
  <c r="P429" i="16"/>
  <c r="O429" i="16"/>
  <c r="K429" i="16"/>
  <c r="J429" i="16"/>
  <c r="G429" i="16"/>
  <c r="F429" i="16"/>
  <c r="T428" i="16"/>
  <c r="S428" i="16"/>
  <c r="P428" i="16"/>
  <c r="O428" i="16"/>
  <c r="K428" i="16"/>
  <c r="J428" i="16"/>
  <c r="G428" i="16"/>
  <c r="F428" i="16"/>
  <c r="T427" i="16"/>
  <c r="S427" i="16"/>
  <c r="P427" i="16"/>
  <c r="O427" i="16"/>
  <c r="K427" i="16"/>
  <c r="J427" i="16"/>
  <c r="G427" i="16"/>
  <c r="F427" i="16"/>
  <c r="T426" i="16"/>
  <c r="S426" i="16"/>
  <c r="P426" i="16"/>
  <c r="O426" i="16"/>
  <c r="K426" i="16"/>
  <c r="J426" i="16"/>
  <c r="G426" i="16"/>
  <c r="F426" i="16"/>
  <c r="T425" i="16"/>
  <c r="S425" i="16"/>
  <c r="P425" i="16"/>
  <c r="O425" i="16"/>
  <c r="K425" i="16"/>
  <c r="J425" i="16"/>
  <c r="G425" i="16"/>
  <c r="F425" i="16"/>
  <c r="T424" i="16"/>
  <c r="S424" i="16"/>
  <c r="P424" i="16"/>
  <c r="O424" i="16"/>
  <c r="K424" i="16"/>
  <c r="J424" i="16"/>
  <c r="G424" i="16"/>
  <c r="F424" i="16"/>
  <c r="T423" i="16"/>
  <c r="S423" i="16"/>
  <c r="P423" i="16"/>
  <c r="O423" i="16"/>
  <c r="K423" i="16"/>
  <c r="J423" i="16"/>
  <c r="G423" i="16"/>
  <c r="F423" i="16"/>
  <c r="T422" i="16"/>
  <c r="S422" i="16"/>
  <c r="P422" i="16"/>
  <c r="O422" i="16"/>
  <c r="K422" i="16"/>
  <c r="J422" i="16"/>
  <c r="G422" i="16"/>
  <c r="F422" i="16"/>
  <c r="T421" i="16"/>
  <c r="S421" i="16"/>
  <c r="P421" i="16"/>
  <c r="O421" i="16"/>
  <c r="K421" i="16"/>
  <c r="J421" i="16"/>
  <c r="G421" i="16"/>
  <c r="F421" i="16"/>
  <c r="T420" i="16"/>
  <c r="S420" i="16"/>
  <c r="P420" i="16"/>
  <c r="O420" i="16"/>
  <c r="K420" i="16"/>
  <c r="J420" i="16"/>
  <c r="G420" i="16"/>
  <c r="F420" i="16"/>
  <c r="T419" i="16"/>
  <c r="S419" i="16"/>
  <c r="P419" i="16"/>
  <c r="O419" i="16"/>
  <c r="K419" i="16"/>
  <c r="J419" i="16"/>
  <c r="G419" i="16"/>
  <c r="F419" i="16"/>
  <c r="T418" i="16"/>
  <c r="S418" i="16"/>
  <c r="P418" i="16"/>
  <c r="O418" i="16"/>
  <c r="K418" i="16"/>
  <c r="J418" i="16"/>
  <c r="G418" i="16"/>
  <c r="F418" i="16"/>
  <c r="T417" i="16"/>
  <c r="S417" i="16"/>
  <c r="P417" i="16"/>
  <c r="O417" i="16"/>
  <c r="K417" i="16"/>
  <c r="J417" i="16"/>
  <c r="G417" i="16"/>
  <c r="F417" i="16"/>
  <c r="T416" i="16"/>
  <c r="S416" i="16"/>
  <c r="P416" i="16"/>
  <c r="O416" i="16"/>
  <c r="K416" i="16"/>
  <c r="J416" i="16"/>
  <c r="G416" i="16"/>
  <c r="F416" i="16"/>
  <c r="T415" i="16"/>
  <c r="S415" i="16"/>
  <c r="P415" i="16"/>
  <c r="O415" i="16"/>
  <c r="K415" i="16"/>
  <c r="J415" i="16"/>
  <c r="G415" i="16"/>
  <c r="F415" i="16"/>
  <c r="T414" i="16"/>
  <c r="S414" i="16"/>
  <c r="P414" i="16"/>
  <c r="O414" i="16"/>
  <c r="K414" i="16"/>
  <c r="J414" i="16"/>
  <c r="G414" i="16"/>
  <c r="F414" i="16"/>
  <c r="T413" i="16"/>
  <c r="S413" i="16"/>
  <c r="P413" i="16"/>
  <c r="O413" i="16"/>
  <c r="K413" i="16"/>
  <c r="J413" i="16"/>
  <c r="G413" i="16"/>
  <c r="F413" i="16"/>
  <c r="T412" i="16"/>
  <c r="S412" i="16"/>
  <c r="P412" i="16"/>
  <c r="O412" i="16"/>
  <c r="K412" i="16"/>
  <c r="J412" i="16"/>
  <c r="G412" i="16"/>
  <c r="F412" i="16"/>
  <c r="T411" i="16"/>
  <c r="S411" i="16"/>
  <c r="P411" i="16"/>
  <c r="O411" i="16"/>
  <c r="K411" i="16"/>
  <c r="J411" i="16"/>
  <c r="G411" i="16"/>
  <c r="F411" i="16"/>
  <c r="T410" i="16"/>
  <c r="S410" i="16"/>
  <c r="P410" i="16"/>
  <c r="O410" i="16"/>
  <c r="K410" i="16"/>
  <c r="J410" i="16"/>
  <c r="G410" i="16"/>
  <c r="F410" i="16"/>
  <c r="T409" i="16"/>
  <c r="S409" i="16"/>
  <c r="P409" i="16"/>
  <c r="O409" i="16"/>
  <c r="K409" i="16"/>
  <c r="J409" i="16"/>
  <c r="G409" i="16"/>
  <c r="F409" i="16"/>
  <c r="T408" i="16"/>
  <c r="S408" i="16"/>
  <c r="P408" i="16"/>
  <c r="O408" i="16"/>
  <c r="K408" i="16"/>
  <c r="J408" i="16"/>
  <c r="G408" i="16"/>
  <c r="F408" i="16"/>
  <c r="T407" i="16"/>
  <c r="S407" i="16"/>
  <c r="P407" i="16"/>
  <c r="O407" i="16"/>
  <c r="K407" i="16"/>
  <c r="J407" i="16"/>
  <c r="G407" i="16"/>
  <c r="F407" i="16"/>
  <c r="T406" i="16"/>
  <c r="S406" i="16"/>
  <c r="P406" i="16"/>
  <c r="O406" i="16"/>
  <c r="K406" i="16"/>
  <c r="J406" i="16"/>
  <c r="G406" i="16"/>
  <c r="F406" i="16"/>
  <c r="T405" i="16"/>
  <c r="S405" i="16"/>
  <c r="P405" i="16"/>
  <c r="O405" i="16"/>
  <c r="K405" i="16"/>
  <c r="J405" i="16"/>
  <c r="G405" i="16"/>
  <c r="F405" i="16"/>
  <c r="T404" i="16"/>
  <c r="S404" i="16"/>
  <c r="P404" i="16"/>
  <c r="O404" i="16"/>
  <c r="K404" i="16"/>
  <c r="J404" i="16"/>
  <c r="G404" i="16"/>
  <c r="F404" i="16"/>
  <c r="T403" i="16"/>
  <c r="S403" i="16"/>
  <c r="P403" i="16"/>
  <c r="O403" i="16"/>
  <c r="K403" i="16"/>
  <c r="J403" i="16"/>
  <c r="G403" i="16"/>
  <c r="F403" i="16"/>
  <c r="T402" i="16"/>
  <c r="S402" i="16"/>
  <c r="P402" i="16"/>
  <c r="O402" i="16"/>
  <c r="K402" i="16"/>
  <c r="J402" i="16"/>
  <c r="G402" i="16"/>
  <c r="F402" i="16"/>
  <c r="T401" i="16"/>
  <c r="S401" i="16"/>
  <c r="P401" i="16"/>
  <c r="O401" i="16"/>
  <c r="K401" i="16"/>
  <c r="J401" i="16"/>
  <c r="G401" i="16"/>
  <c r="F401" i="16"/>
  <c r="T400" i="16"/>
  <c r="S400" i="16"/>
  <c r="P400" i="16"/>
  <c r="O400" i="16"/>
  <c r="K400" i="16"/>
  <c r="J400" i="16"/>
  <c r="G400" i="16"/>
  <c r="F400" i="16"/>
  <c r="T399" i="16"/>
  <c r="S399" i="16"/>
  <c r="P399" i="16"/>
  <c r="O399" i="16"/>
  <c r="K399" i="16"/>
  <c r="J399" i="16"/>
  <c r="G399" i="16"/>
  <c r="F399" i="16"/>
  <c r="T398" i="16"/>
  <c r="S398" i="16"/>
  <c r="P398" i="16"/>
  <c r="O398" i="16"/>
  <c r="K398" i="16"/>
  <c r="J398" i="16"/>
  <c r="G398" i="16"/>
  <c r="F398" i="16"/>
  <c r="T397" i="16"/>
  <c r="S397" i="16"/>
  <c r="P397" i="16"/>
  <c r="O397" i="16"/>
  <c r="K397" i="16"/>
  <c r="J397" i="16"/>
  <c r="G397" i="16"/>
  <c r="F397" i="16"/>
  <c r="T396" i="16"/>
  <c r="S396" i="16"/>
  <c r="P396" i="16"/>
  <c r="O396" i="16"/>
  <c r="K396" i="16"/>
  <c r="J396" i="16"/>
  <c r="G396" i="16"/>
  <c r="F396" i="16"/>
  <c r="T395" i="16"/>
  <c r="S395" i="16"/>
  <c r="P395" i="16"/>
  <c r="O395" i="16"/>
  <c r="K395" i="16"/>
  <c r="J395" i="16"/>
  <c r="G395" i="16"/>
  <c r="F395" i="16"/>
  <c r="T394" i="16"/>
  <c r="S394" i="16"/>
  <c r="P394" i="16"/>
  <c r="O394" i="16"/>
  <c r="K394" i="16"/>
  <c r="J394" i="16"/>
  <c r="G394" i="16"/>
  <c r="F394" i="16"/>
  <c r="T393" i="16"/>
  <c r="S393" i="16"/>
  <c r="P393" i="16"/>
  <c r="O393" i="16"/>
  <c r="K393" i="16"/>
  <c r="J393" i="16"/>
  <c r="G393" i="16"/>
  <c r="F393" i="16"/>
  <c r="T392" i="16"/>
  <c r="S392" i="16"/>
  <c r="P392" i="16"/>
  <c r="O392" i="16"/>
  <c r="K392" i="16"/>
  <c r="J392" i="16"/>
  <c r="G392" i="16"/>
  <c r="F392" i="16"/>
  <c r="T391" i="16"/>
  <c r="S391" i="16"/>
  <c r="P391" i="16"/>
  <c r="O391" i="16"/>
  <c r="K391" i="16"/>
  <c r="J391" i="16"/>
  <c r="G391" i="16"/>
  <c r="F391" i="16"/>
  <c r="T390" i="16"/>
  <c r="S390" i="16"/>
  <c r="P390" i="16"/>
  <c r="O390" i="16"/>
  <c r="K390" i="16"/>
  <c r="J390" i="16"/>
  <c r="G390" i="16"/>
  <c r="F390" i="16"/>
  <c r="T389" i="16"/>
  <c r="S389" i="16"/>
  <c r="P389" i="16"/>
  <c r="O389" i="16"/>
  <c r="K389" i="16"/>
  <c r="J389" i="16"/>
  <c r="G389" i="16"/>
  <c r="F389" i="16"/>
  <c r="T388" i="16"/>
  <c r="S388" i="16"/>
  <c r="P388" i="16"/>
  <c r="O388" i="16"/>
  <c r="K388" i="16"/>
  <c r="J388" i="16"/>
  <c r="G388" i="16"/>
  <c r="F388" i="16"/>
  <c r="T387" i="16"/>
  <c r="S387" i="16"/>
  <c r="P387" i="16"/>
  <c r="O387" i="16"/>
  <c r="K387" i="16"/>
  <c r="J387" i="16"/>
  <c r="G387" i="16"/>
  <c r="F387" i="16"/>
  <c r="T386" i="16"/>
  <c r="S386" i="16"/>
  <c r="P386" i="16"/>
  <c r="O386" i="16"/>
  <c r="K386" i="16"/>
  <c r="J386" i="16"/>
  <c r="G386" i="16"/>
  <c r="F386" i="16"/>
  <c r="T385" i="16"/>
  <c r="S385" i="16"/>
  <c r="P385" i="16"/>
  <c r="O385" i="16"/>
  <c r="K385" i="16"/>
  <c r="J385" i="16"/>
  <c r="G385" i="16"/>
  <c r="F385" i="16"/>
  <c r="T384" i="16"/>
  <c r="S384" i="16"/>
  <c r="P384" i="16"/>
  <c r="O384" i="16"/>
  <c r="K384" i="16"/>
  <c r="J384" i="16"/>
  <c r="G384" i="16"/>
  <c r="F384" i="16"/>
  <c r="T383" i="16"/>
  <c r="S383" i="16"/>
  <c r="P383" i="16"/>
  <c r="O383" i="16"/>
  <c r="K383" i="16"/>
  <c r="J383" i="16"/>
  <c r="G383" i="16"/>
  <c r="F383" i="16"/>
  <c r="T382" i="16"/>
  <c r="S382" i="16"/>
  <c r="P382" i="16"/>
  <c r="O382" i="16"/>
  <c r="K382" i="16"/>
  <c r="J382" i="16"/>
  <c r="G382" i="16"/>
  <c r="F382" i="16"/>
  <c r="T381" i="16"/>
  <c r="S381" i="16"/>
  <c r="P381" i="16"/>
  <c r="O381" i="16"/>
  <c r="K381" i="16"/>
  <c r="J381" i="16"/>
  <c r="G381" i="16"/>
  <c r="F381" i="16"/>
  <c r="T380" i="16"/>
  <c r="S380" i="16"/>
  <c r="P380" i="16"/>
  <c r="O380" i="16"/>
  <c r="K380" i="16"/>
  <c r="J380" i="16"/>
  <c r="G380" i="16"/>
  <c r="F380" i="16"/>
  <c r="T379" i="16"/>
  <c r="S379" i="16"/>
  <c r="P379" i="16"/>
  <c r="O379" i="16"/>
  <c r="K379" i="16"/>
  <c r="J379" i="16"/>
  <c r="G379" i="16"/>
  <c r="F379" i="16"/>
  <c r="T378" i="16"/>
  <c r="S378" i="16"/>
  <c r="P378" i="16"/>
  <c r="O378" i="16"/>
  <c r="K378" i="16"/>
  <c r="J378" i="16"/>
  <c r="G378" i="16"/>
  <c r="F378" i="16"/>
  <c r="T377" i="16"/>
  <c r="S377" i="16"/>
  <c r="P377" i="16"/>
  <c r="O377" i="16"/>
  <c r="K377" i="16"/>
  <c r="J377" i="16"/>
  <c r="G377" i="16"/>
  <c r="F377" i="16"/>
  <c r="T376" i="16"/>
  <c r="S376" i="16"/>
  <c r="P376" i="16"/>
  <c r="O376" i="16"/>
  <c r="K376" i="16"/>
  <c r="J376" i="16"/>
  <c r="G376" i="16"/>
  <c r="F376" i="16"/>
  <c r="T375" i="16"/>
  <c r="S375" i="16"/>
  <c r="P375" i="16"/>
  <c r="O375" i="16"/>
  <c r="K375" i="16"/>
  <c r="J375" i="16"/>
  <c r="G375" i="16"/>
  <c r="F375" i="16"/>
  <c r="T374" i="16"/>
  <c r="S374" i="16"/>
  <c r="P374" i="16"/>
  <c r="O374" i="16"/>
  <c r="K374" i="16"/>
  <c r="J374" i="16"/>
  <c r="G374" i="16"/>
  <c r="F374" i="16"/>
  <c r="T373" i="16"/>
  <c r="S373" i="16"/>
  <c r="P373" i="16"/>
  <c r="O373" i="16"/>
  <c r="K373" i="16"/>
  <c r="J373" i="16"/>
  <c r="G373" i="16"/>
  <c r="F373" i="16"/>
  <c r="T372" i="16"/>
  <c r="S372" i="16"/>
  <c r="P372" i="16"/>
  <c r="O372" i="16"/>
  <c r="K372" i="16"/>
  <c r="J372" i="16"/>
  <c r="G372" i="16"/>
  <c r="F372" i="16"/>
  <c r="T371" i="16"/>
  <c r="S371" i="16"/>
  <c r="P371" i="16"/>
  <c r="O371" i="16"/>
  <c r="K371" i="16"/>
  <c r="J371" i="16"/>
  <c r="G371" i="16"/>
  <c r="F371" i="16"/>
  <c r="T370" i="16"/>
  <c r="S370" i="16"/>
  <c r="P370" i="16"/>
  <c r="O370" i="16"/>
  <c r="K370" i="16"/>
  <c r="J370" i="16"/>
  <c r="G370" i="16"/>
  <c r="F370" i="16"/>
  <c r="T369" i="16"/>
  <c r="S369" i="16"/>
  <c r="P369" i="16"/>
  <c r="O369" i="16"/>
  <c r="K369" i="16"/>
  <c r="J369" i="16"/>
  <c r="G369" i="16"/>
  <c r="F369" i="16"/>
  <c r="T368" i="16"/>
  <c r="S368" i="16"/>
  <c r="P368" i="16"/>
  <c r="O368" i="16"/>
  <c r="K368" i="16"/>
  <c r="J368" i="16"/>
  <c r="G368" i="16"/>
  <c r="F368" i="16"/>
  <c r="T367" i="16"/>
  <c r="S367" i="16"/>
  <c r="P367" i="16"/>
  <c r="O367" i="16"/>
  <c r="K367" i="16"/>
  <c r="J367" i="16"/>
  <c r="G367" i="16"/>
  <c r="F367" i="16"/>
  <c r="T366" i="16"/>
  <c r="S366" i="16"/>
  <c r="P366" i="16"/>
  <c r="O366" i="16"/>
  <c r="K366" i="16"/>
  <c r="J366" i="16"/>
  <c r="G366" i="16"/>
  <c r="F366" i="16"/>
  <c r="T365" i="16"/>
  <c r="S365" i="16"/>
  <c r="P365" i="16"/>
  <c r="O365" i="16"/>
  <c r="K365" i="16"/>
  <c r="J365" i="16"/>
  <c r="G365" i="16"/>
  <c r="F365" i="16"/>
  <c r="T364" i="16"/>
  <c r="S364" i="16"/>
  <c r="P364" i="16"/>
  <c r="O364" i="16"/>
  <c r="K364" i="16"/>
  <c r="J364" i="16"/>
  <c r="G364" i="16"/>
  <c r="F364" i="16"/>
  <c r="T363" i="16"/>
  <c r="S363" i="16"/>
  <c r="P363" i="16"/>
  <c r="O363" i="16"/>
  <c r="K363" i="16"/>
  <c r="J363" i="16"/>
  <c r="G363" i="16"/>
  <c r="F363" i="16"/>
  <c r="T362" i="16"/>
  <c r="S362" i="16"/>
  <c r="P362" i="16"/>
  <c r="O362" i="16"/>
  <c r="K362" i="16"/>
  <c r="J362" i="16"/>
  <c r="G362" i="16"/>
  <c r="F362" i="16"/>
  <c r="T361" i="16"/>
  <c r="S361" i="16"/>
  <c r="P361" i="16"/>
  <c r="O361" i="16"/>
  <c r="K361" i="16"/>
  <c r="J361" i="16"/>
  <c r="G361" i="16"/>
  <c r="F361" i="16"/>
  <c r="T360" i="16"/>
  <c r="S360" i="16"/>
  <c r="P360" i="16"/>
  <c r="O360" i="16"/>
  <c r="K360" i="16"/>
  <c r="J360" i="16"/>
  <c r="G360" i="16"/>
  <c r="F360" i="16"/>
  <c r="T359" i="16"/>
  <c r="S359" i="16"/>
  <c r="P359" i="16"/>
  <c r="O359" i="16"/>
  <c r="K359" i="16"/>
  <c r="J359" i="16"/>
  <c r="G359" i="16"/>
  <c r="F359" i="16"/>
  <c r="T358" i="16"/>
  <c r="S358" i="16"/>
  <c r="P358" i="16"/>
  <c r="O358" i="16"/>
  <c r="K358" i="16"/>
  <c r="J358" i="16"/>
  <c r="G358" i="16"/>
  <c r="F358" i="16"/>
  <c r="T357" i="16"/>
  <c r="S357" i="16"/>
  <c r="P357" i="16"/>
  <c r="O357" i="16"/>
  <c r="K357" i="16"/>
  <c r="J357" i="16"/>
  <c r="G357" i="16"/>
  <c r="F357" i="16"/>
  <c r="T356" i="16"/>
  <c r="S356" i="16"/>
  <c r="P356" i="16"/>
  <c r="O356" i="16"/>
  <c r="K356" i="16"/>
  <c r="J356" i="16"/>
  <c r="G356" i="16"/>
  <c r="F356" i="16"/>
  <c r="T355" i="16"/>
  <c r="S355" i="16"/>
  <c r="P355" i="16"/>
  <c r="O355" i="16"/>
  <c r="K355" i="16"/>
  <c r="J355" i="16"/>
  <c r="G355" i="16"/>
  <c r="F355" i="16"/>
  <c r="T354" i="16"/>
  <c r="S354" i="16"/>
  <c r="P354" i="16"/>
  <c r="O354" i="16"/>
  <c r="K354" i="16"/>
  <c r="J354" i="16"/>
  <c r="G354" i="16"/>
  <c r="F354" i="16"/>
  <c r="T353" i="16"/>
  <c r="S353" i="16"/>
  <c r="P353" i="16"/>
  <c r="O353" i="16"/>
  <c r="K353" i="16"/>
  <c r="J353" i="16"/>
  <c r="G353" i="16"/>
  <c r="F353" i="16"/>
  <c r="T352" i="16"/>
  <c r="S352" i="16"/>
  <c r="P352" i="16"/>
  <c r="O352" i="16"/>
  <c r="K352" i="16"/>
  <c r="J352" i="16"/>
  <c r="G352" i="16"/>
  <c r="F352" i="16"/>
  <c r="T351" i="16"/>
  <c r="S351" i="16"/>
  <c r="P351" i="16"/>
  <c r="O351" i="16"/>
  <c r="K351" i="16"/>
  <c r="J351" i="16"/>
  <c r="G351" i="16"/>
  <c r="F351" i="16"/>
  <c r="T350" i="16"/>
  <c r="S350" i="16"/>
  <c r="P350" i="16"/>
  <c r="O350" i="16"/>
  <c r="K350" i="16"/>
  <c r="J350" i="16"/>
  <c r="G350" i="16"/>
  <c r="F350" i="16"/>
  <c r="T349" i="16"/>
  <c r="S349" i="16"/>
  <c r="P349" i="16"/>
  <c r="O349" i="16"/>
  <c r="K349" i="16"/>
  <c r="J349" i="16"/>
  <c r="G349" i="16"/>
  <c r="F349" i="16"/>
  <c r="T348" i="16"/>
  <c r="S348" i="16"/>
  <c r="P348" i="16"/>
  <c r="O348" i="16"/>
  <c r="K348" i="16"/>
  <c r="J348" i="16"/>
  <c r="G348" i="16"/>
  <c r="F348" i="16"/>
  <c r="T347" i="16"/>
  <c r="S347" i="16"/>
  <c r="P347" i="16"/>
  <c r="O347" i="16"/>
  <c r="K347" i="16"/>
  <c r="J347" i="16"/>
  <c r="G347" i="16"/>
  <c r="F347" i="16"/>
  <c r="T346" i="16"/>
  <c r="S346" i="16"/>
  <c r="P346" i="16"/>
  <c r="O346" i="16"/>
  <c r="K346" i="16"/>
  <c r="J346" i="16"/>
  <c r="G346" i="16"/>
  <c r="F346" i="16"/>
  <c r="T345" i="16"/>
  <c r="S345" i="16"/>
  <c r="P345" i="16"/>
  <c r="O345" i="16"/>
  <c r="K345" i="16"/>
  <c r="J345" i="16"/>
  <c r="G345" i="16"/>
  <c r="F345" i="16"/>
  <c r="T344" i="16"/>
  <c r="S344" i="16"/>
  <c r="P344" i="16"/>
  <c r="O344" i="16"/>
  <c r="K344" i="16"/>
  <c r="J344" i="16"/>
  <c r="G344" i="16"/>
  <c r="F344" i="16"/>
  <c r="T343" i="16"/>
  <c r="S343" i="16"/>
  <c r="P343" i="16"/>
  <c r="O343" i="16"/>
  <c r="K343" i="16"/>
  <c r="J343" i="16"/>
  <c r="G343" i="16"/>
  <c r="F343" i="16"/>
  <c r="T342" i="16"/>
  <c r="S342" i="16"/>
  <c r="P342" i="16"/>
  <c r="O342" i="16"/>
  <c r="K342" i="16"/>
  <c r="J342" i="16"/>
  <c r="G342" i="16"/>
  <c r="F342" i="16"/>
  <c r="T341" i="16"/>
  <c r="S341" i="16"/>
  <c r="P341" i="16"/>
  <c r="O341" i="16"/>
  <c r="K341" i="16"/>
  <c r="J341" i="16"/>
  <c r="G341" i="16"/>
  <c r="F341" i="16"/>
  <c r="T340" i="16"/>
  <c r="S340" i="16"/>
  <c r="P340" i="16"/>
  <c r="O340" i="16"/>
  <c r="K340" i="16"/>
  <c r="J340" i="16"/>
  <c r="G340" i="16"/>
  <c r="F340" i="16"/>
  <c r="T339" i="16"/>
  <c r="S339" i="16"/>
  <c r="P339" i="16"/>
  <c r="O339" i="16"/>
  <c r="K339" i="16"/>
  <c r="J339" i="16"/>
  <c r="G339" i="16"/>
  <c r="F339" i="16"/>
  <c r="T338" i="16"/>
  <c r="S338" i="16"/>
  <c r="P338" i="16"/>
  <c r="O338" i="16"/>
  <c r="K338" i="16"/>
  <c r="J338" i="16"/>
  <c r="G338" i="16"/>
  <c r="F338" i="16"/>
  <c r="T337" i="16"/>
  <c r="S337" i="16"/>
  <c r="P337" i="16"/>
  <c r="O337" i="16"/>
  <c r="K337" i="16"/>
  <c r="J337" i="16"/>
  <c r="G337" i="16"/>
  <c r="F337" i="16"/>
  <c r="T336" i="16"/>
  <c r="S336" i="16"/>
  <c r="P336" i="16"/>
  <c r="O336" i="16"/>
  <c r="K336" i="16"/>
  <c r="J336" i="16"/>
  <c r="G336" i="16"/>
  <c r="F336" i="16"/>
  <c r="T335" i="16"/>
  <c r="S335" i="16"/>
  <c r="P335" i="16"/>
  <c r="O335" i="16"/>
  <c r="K335" i="16"/>
  <c r="J335" i="16"/>
  <c r="G335" i="16"/>
  <c r="F335" i="16"/>
  <c r="T334" i="16"/>
  <c r="S334" i="16"/>
  <c r="P334" i="16"/>
  <c r="O334" i="16"/>
  <c r="K334" i="16"/>
  <c r="J334" i="16"/>
  <c r="G334" i="16"/>
  <c r="F334" i="16"/>
  <c r="T333" i="16"/>
  <c r="S333" i="16"/>
  <c r="P333" i="16"/>
  <c r="O333" i="16"/>
  <c r="K333" i="16"/>
  <c r="J333" i="16"/>
  <c r="G333" i="16"/>
  <c r="F333" i="16"/>
  <c r="T332" i="16"/>
  <c r="S332" i="16"/>
  <c r="P332" i="16"/>
  <c r="O332" i="16"/>
  <c r="K332" i="16"/>
  <c r="J332" i="16"/>
  <c r="G332" i="16"/>
  <c r="F332" i="16"/>
  <c r="T331" i="16"/>
  <c r="S331" i="16"/>
  <c r="P331" i="16"/>
  <c r="O331" i="16"/>
  <c r="K331" i="16"/>
  <c r="J331" i="16"/>
  <c r="G331" i="16"/>
  <c r="F331" i="16"/>
  <c r="T330" i="16"/>
  <c r="S330" i="16"/>
  <c r="P330" i="16"/>
  <c r="O330" i="16"/>
  <c r="K330" i="16"/>
  <c r="J330" i="16"/>
  <c r="G330" i="16"/>
  <c r="F330" i="16"/>
  <c r="T329" i="16"/>
  <c r="S329" i="16"/>
  <c r="P329" i="16"/>
  <c r="O329" i="16"/>
  <c r="K329" i="16"/>
  <c r="J329" i="16"/>
  <c r="G329" i="16"/>
  <c r="F329" i="16"/>
  <c r="T328" i="16"/>
  <c r="S328" i="16"/>
  <c r="P328" i="16"/>
  <c r="O328" i="16"/>
  <c r="K328" i="16"/>
  <c r="J328" i="16"/>
  <c r="G328" i="16"/>
  <c r="F328" i="16"/>
  <c r="T327" i="16"/>
  <c r="S327" i="16"/>
  <c r="P327" i="16"/>
  <c r="O327" i="16"/>
  <c r="K327" i="16"/>
  <c r="J327" i="16"/>
  <c r="G327" i="16"/>
  <c r="F327" i="16"/>
  <c r="T326" i="16"/>
  <c r="S326" i="16"/>
  <c r="P326" i="16"/>
  <c r="O326" i="16"/>
  <c r="K326" i="16"/>
  <c r="J326" i="16"/>
  <c r="G326" i="16"/>
  <c r="F326" i="16"/>
  <c r="T325" i="16"/>
  <c r="S325" i="16"/>
  <c r="P325" i="16"/>
  <c r="O325" i="16"/>
  <c r="K325" i="16"/>
  <c r="J325" i="16"/>
  <c r="G325" i="16"/>
  <c r="F325" i="16"/>
  <c r="T324" i="16"/>
  <c r="S324" i="16"/>
  <c r="P324" i="16"/>
  <c r="O324" i="16"/>
  <c r="K324" i="16"/>
  <c r="J324" i="16"/>
  <c r="G324" i="16"/>
  <c r="F324" i="16"/>
  <c r="T323" i="16"/>
  <c r="S323" i="16"/>
  <c r="P323" i="16"/>
  <c r="O323" i="16"/>
  <c r="K323" i="16"/>
  <c r="J323" i="16"/>
  <c r="G323" i="16"/>
  <c r="F323" i="16"/>
  <c r="T322" i="16"/>
  <c r="S322" i="16"/>
  <c r="P322" i="16"/>
  <c r="O322" i="16"/>
  <c r="K322" i="16"/>
  <c r="J322" i="16"/>
  <c r="G322" i="16"/>
  <c r="F322" i="16"/>
  <c r="T321" i="16"/>
  <c r="S321" i="16"/>
  <c r="P321" i="16"/>
  <c r="O321" i="16"/>
  <c r="K321" i="16"/>
  <c r="J321" i="16"/>
  <c r="G321" i="16"/>
  <c r="F321" i="16"/>
  <c r="T320" i="16"/>
  <c r="S320" i="16"/>
  <c r="P320" i="16"/>
  <c r="O320" i="16"/>
  <c r="K320" i="16"/>
  <c r="J320" i="16"/>
  <c r="G320" i="16"/>
  <c r="F320" i="16"/>
  <c r="T319" i="16"/>
  <c r="S319" i="16"/>
  <c r="P319" i="16"/>
  <c r="O319" i="16"/>
  <c r="K319" i="16"/>
  <c r="J319" i="16"/>
  <c r="G319" i="16"/>
  <c r="F319" i="16"/>
  <c r="T318" i="16"/>
  <c r="S318" i="16"/>
  <c r="P318" i="16"/>
  <c r="O318" i="16"/>
  <c r="K318" i="16"/>
  <c r="J318" i="16"/>
  <c r="G318" i="16"/>
  <c r="F318" i="16"/>
  <c r="T317" i="16"/>
  <c r="S317" i="16"/>
  <c r="P317" i="16"/>
  <c r="O317" i="16"/>
  <c r="K317" i="16"/>
  <c r="J317" i="16"/>
  <c r="G317" i="16"/>
  <c r="F317" i="16"/>
  <c r="T316" i="16"/>
  <c r="S316" i="16"/>
  <c r="P316" i="16"/>
  <c r="O316" i="16"/>
  <c r="K316" i="16"/>
  <c r="J316" i="16"/>
  <c r="G316" i="16"/>
  <c r="F316" i="16"/>
  <c r="T315" i="16"/>
  <c r="S315" i="16"/>
  <c r="P315" i="16"/>
  <c r="O315" i="16"/>
  <c r="K315" i="16"/>
  <c r="J315" i="16"/>
  <c r="G315" i="16"/>
  <c r="F315" i="16"/>
  <c r="T314" i="16"/>
  <c r="S314" i="16"/>
  <c r="P314" i="16"/>
  <c r="O314" i="16"/>
  <c r="K314" i="16"/>
  <c r="J314" i="16"/>
  <c r="G314" i="16"/>
  <c r="F314" i="16"/>
  <c r="T313" i="16"/>
  <c r="S313" i="16"/>
  <c r="P313" i="16"/>
  <c r="O313" i="16"/>
  <c r="K313" i="16"/>
  <c r="J313" i="16"/>
  <c r="G313" i="16"/>
  <c r="F313" i="16"/>
  <c r="T312" i="16"/>
  <c r="S312" i="16"/>
  <c r="P312" i="16"/>
  <c r="O312" i="16"/>
  <c r="K312" i="16"/>
  <c r="J312" i="16"/>
  <c r="G312" i="16"/>
  <c r="F312" i="16"/>
  <c r="T311" i="16"/>
  <c r="S311" i="16"/>
  <c r="P311" i="16"/>
  <c r="O311" i="16"/>
  <c r="K311" i="16"/>
  <c r="J311" i="16"/>
  <c r="G311" i="16"/>
  <c r="F311" i="16"/>
  <c r="T310" i="16"/>
  <c r="S310" i="16"/>
  <c r="P310" i="16"/>
  <c r="O310" i="16"/>
  <c r="K310" i="16"/>
  <c r="J310" i="16"/>
  <c r="G310" i="16"/>
  <c r="F310" i="16"/>
  <c r="T309" i="16"/>
  <c r="S309" i="16"/>
  <c r="P309" i="16"/>
  <c r="O309" i="16"/>
  <c r="K309" i="16"/>
  <c r="J309" i="16"/>
  <c r="G309" i="16"/>
  <c r="F309" i="16"/>
  <c r="T308" i="16"/>
  <c r="S308" i="16"/>
  <c r="P308" i="16"/>
  <c r="O308" i="16"/>
  <c r="K308" i="16"/>
  <c r="J308" i="16"/>
  <c r="G308" i="16"/>
  <c r="F308" i="16"/>
  <c r="T307" i="16"/>
  <c r="S307" i="16"/>
  <c r="P307" i="16"/>
  <c r="O307" i="16"/>
  <c r="K307" i="16"/>
  <c r="J307" i="16"/>
  <c r="G307" i="16"/>
  <c r="F307" i="16"/>
  <c r="T306" i="16"/>
  <c r="S306" i="16"/>
  <c r="P306" i="16"/>
  <c r="O306" i="16"/>
  <c r="K306" i="16"/>
  <c r="J306" i="16"/>
  <c r="G306" i="16"/>
  <c r="F306" i="16"/>
  <c r="T305" i="16"/>
  <c r="S305" i="16"/>
  <c r="P305" i="16"/>
  <c r="O305" i="16"/>
  <c r="K305" i="16"/>
  <c r="J305" i="16"/>
  <c r="G305" i="16"/>
  <c r="F305" i="16"/>
  <c r="T304" i="16"/>
  <c r="S304" i="16"/>
  <c r="P304" i="16"/>
  <c r="O304" i="16"/>
  <c r="K304" i="16"/>
  <c r="J304" i="16"/>
  <c r="G304" i="16"/>
  <c r="F304" i="16"/>
  <c r="T303" i="16"/>
  <c r="S303" i="16"/>
  <c r="P303" i="16"/>
  <c r="O303" i="16"/>
  <c r="K303" i="16"/>
  <c r="J303" i="16"/>
  <c r="G303" i="16"/>
  <c r="F303" i="16"/>
  <c r="T302" i="16"/>
  <c r="S302" i="16"/>
  <c r="P302" i="16"/>
  <c r="O302" i="16"/>
  <c r="K302" i="16"/>
  <c r="J302" i="16"/>
  <c r="G302" i="16"/>
  <c r="F302" i="16"/>
  <c r="T301" i="16"/>
  <c r="S301" i="16"/>
  <c r="P301" i="16"/>
  <c r="O301" i="16"/>
  <c r="K301" i="16"/>
  <c r="J301" i="16"/>
  <c r="G301" i="16"/>
  <c r="F301" i="16"/>
  <c r="T300" i="16"/>
  <c r="S300" i="16"/>
  <c r="P300" i="16"/>
  <c r="O300" i="16"/>
  <c r="K300" i="16"/>
  <c r="J300" i="16"/>
  <c r="G300" i="16"/>
  <c r="F300" i="16"/>
  <c r="T299" i="16"/>
  <c r="S299" i="16"/>
  <c r="P299" i="16"/>
  <c r="O299" i="16"/>
  <c r="K299" i="16"/>
  <c r="J299" i="16"/>
  <c r="G299" i="16"/>
  <c r="F299" i="16"/>
  <c r="T298" i="16"/>
  <c r="S298" i="16"/>
  <c r="P298" i="16"/>
  <c r="O298" i="16"/>
  <c r="K298" i="16"/>
  <c r="J298" i="16"/>
  <c r="G298" i="16"/>
  <c r="F298" i="16"/>
  <c r="T297" i="16"/>
  <c r="S297" i="16"/>
  <c r="P297" i="16"/>
  <c r="O297" i="16"/>
  <c r="K297" i="16"/>
  <c r="J297" i="16"/>
  <c r="G297" i="16"/>
  <c r="F297" i="16"/>
  <c r="T296" i="16"/>
  <c r="S296" i="16"/>
  <c r="P296" i="16"/>
  <c r="O296" i="16"/>
  <c r="K296" i="16"/>
  <c r="J296" i="16"/>
  <c r="G296" i="16"/>
  <c r="F296" i="16"/>
  <c r="T295" i="16"/>
  <c r="S295" i="16"/>
  <c r="P295" i="16"/>
  <c r="O295" i="16"/>
  <c r="K295" i="16"/>
  <c r="J295" i="16"/>
  <c r="G295" i="16"/>
  <c r="F295" i="16"/>
  <c r="T294" i="16"/>
  <c r="S294" i="16"/>
  <c r="P294" i="16"/>
  <c r="O294" i="16"/>
  <c r="K294" i="16"/>
  <c r="J294" i="16"/>
  <c r="G294" i="16"/>
  <c r="F294" i="16"/>
  <c r="T293" i="16"/>
  <c r="S293" i="16"/>
  <c r="P293" i="16"/>
  <c r="O293" i="16"/>
  <c r="K293" i="16"/>
  <c r="J293" i="16"/>
  <c r="G293" i="16"/>
  <c r="F293" i="16"/>
  <c r="T292" i="16"/>
  <c r="S292" i="16"/>
  <c r="P292" i="16"/>
  <c r="O292" i="16"/>
  <c r="K292" i="16"/>
  <c r="J292" i="16"/>
  <c r="G292" i="16"/>
  <c r="F292" i="16"/>
  <c r="T291" i="16"/>
  <c r="S291" i="16"/>
  <c r="P291" i="16"/>
  <c r="O291" i="16"/>
  <c r="K291" i="16"/>
  <c r="J291" i="16"/>
  <c r="G291" i="16"/>
  <c r="F291" i="16"/>
  <c r="T290" i="16"/>
  <c r="S290" i="16"/>
  <c r="P290" i="16"/>
  <c r="O290" i="16"/>
  <c r="K290" i="16"/>
  <c r="J290" i="16"/>
  <c r="G290" i="16"/>
  <c r="F290" i="16"/>
  <c r="T289" i="16"/>
  <c r="S289" i="16"/>
  <c r="P289" i="16"/>
  <c r="O289" i="16"/>
  <c r="K289" i="16"/>
  <c r="J289" i="16"/>
  <c r="G289" i="16"/>
  <c r="F289" i="16"/>
  <c r="T288" i="16"/>
  <c r="S288" i="16"/>
  <c r="P288" i="16"/>
  <c r="O288" i="16"/>
  <c r="K288" i="16"/>
  <c r="J288" i="16"/>
  <c r="G288" i="16"/>
  <c r="F288" i="16"/>
  <c r="T287" i="16"/>
  <c r="S287" i="16"/>
  <c r="P287" i="16"/>
  <c r="O287" i="16"/>
  <c r="K287" i="16"/>
  <c r="J287" i="16"/>
  <c r="G287" i="16"/>
  <c r="F287" i="16"/>
  <c r="T286" i="16"/>
  <c r="S286" i="16"/>
  <c r="P286" i="16"/>
  <c r="O286" i="16"/>
  <c r="K286" i="16"/>
  <c r="J286" i="16"/>
  <c r="G286" i="16"/>
  <c r="F286" i="16"/>
  <c r="T285" i="16"/>
  <c r="S285" i="16"/>
  <c r="P285" i="16"/>
  <c r="O285" i="16"/>
  <c r="K285" i="16"/>
  <c r="J285" i="16"/>
  <c r="G285" i="16"/>
  <c r="F285" i="16"/>
  <c r="T284" i="16"/>
  <c r="S284" i="16"/>
  <c r="P284" i="16"/>
  <c r="O284" i="16"/>
  <c r="K284" i="16"/>
  <c r="J284" i="16"/>
  <c r="G284" i="16"/>
  <c r="F284" i="16"/>
  <c r="T283" i="16"/>
  <c r="S283" i="16"/>
  <c r="P283" i="16"/>
  <c r="O283" i="16"/>
  <c r="K283" i="16"/>
  <c r="J283" i="16"/>
  <c r="G283" i="16"/>
  <c r="F283" i="16"/>
  <c r="T282" i="16"/>
  <c r="S282" i="16"/>
  <c r="P282" i="16"/>
  <c r="O282" i="16"/>
  <c r="K282" i="16"/>
  <c r="J282" i="16"/>
  <c r="G282" i="16"/>
  <c r="F282" i="16"/>
  <c r="T281" i="16"/>
  <c r="S281" i="16"/>
  <c r="P281" i="16"/>
  <c r="O281" i="16"/>
  <c r="K281" i="16"/>
  <c r="J281" i="16"/>
  <c r="G281" i="16"/>
  <c r="F281" i="16"/>
  <c r="T280" i="16"/>
  <c r="S280" i="16"/>
  <c r="P280" i="16"/>
  <c r="O280" i="16"/>
  <c r="K280" i="16"/>
  <c r="J280" i="16"/>
  <c r="G280" i="16"/>
  <c r="F280" i="16"/>
  <c r="T279" i="16"/>
  <c r="S279" i="16"/>
  <c r="P279" i="16"/>
  <c r="O279" i="16"/>
  <c r="K279" i="16"/>
  <c r="J279" i="16"/>
  <c r="G279" i="16"/>
  <c r="F279" i="16"/>
  <c r="T278" i="16"/>
  <c r="S278" i="16"/>
  <c r="P278" i="16"/>
  <c r="O278" i="16"/>
  <c r="K278" i="16"/>
  <c r="J278" i="16"/>
  <c r="G278" i="16"/>
  <c r="F278" i="16"/>
  <c r="T277" i="16"/>
  <c r="S277" i="16"/>
  <c r="P277" i="16"/>
  <c r="O277" i="16"/>
  <c r="K277" i="16"/>
  <c r="J277" i="16"/>
  <c r="G277" i="16"/>
  <c r="F277" i="16"/>
  <c r="T276" i="16"/>
  <c r="S276" i="16"/>
  <c r="P276" i="16"/>
  <c r="O276" i="16"/>
  <c r="K276" i="16"/>
  <c r="J276" i="16"/>
  <c r="G276" i="16"/>
  <c r="F276" i="16"/>
  <c r="T275" i="16"/>
  <c r="S275" i="16"/>
  <c r="P275" i="16"/>
  <c r="O275" i="16"/>
  <c r="K275" i="16"/>
  <c r="J275" i="16"/>
  <c r="G275" i="16"/>
  <c r="F275" i="16"/>
  <c r="T274" i="16"/>
  <c r="S274" i="16"/>
  <c r="P274" i="16"/>
  <c r="O274" i="16"/>
  <c r="K274" i="16"/>
  <c r="J274" i="16"/>
  <c r="G274" i="16"/>
  <c r="F274" i="16"/>
  <c r="T273" i="16"/>
  <c r="S273" i="16"/>
  <c r="P273" i="16"/>
  <c r="O273" i="16"/>
  <c r="K273" i="16"/>
  <c r="J273" i="16"/>
  <c r="G273" i="16"/>
  <c r="F273" i="16"/>
  <c r="T272" i="16"/>
  <c r="S272" i="16"/>
  <c r="P272" i="16"/>
  <c r="O272" i="16"/>
  <c r="K272" i="16"/>
  <c r="J272" i="16"/>
  <c r="G272" i="16"/>
  <c r="F272" i="16"/>
  <c r="T271" i="16"/>
  <c r="S271" i="16"/>
  <c r="P271" i="16"/>
  <c r="O271" i="16"/>
  <c r="K271" i="16"/>
  <c r="J271" i="16"/>
  <c r="G271" i="16"/>
  <c r="F271" i="16"/>
  <c r="T270" i="16"/>
  <c r="S270" i="16"/>
  <c r="P270" i="16"/>
  <c r="O270" i="16"/>
  <c r="K270" i="16"/>
  <c r="J270" i="16"/>
  <c r="G270" i="16"/>
  <c r="F270" i="16"/>
  <c r="T269" i="16"/>
  <c r="S269" i="16"/>
  <c r="P269" i="16"/>
  <c r="O269" i="16"/>
  <c r="K269" i="16"/>
  <c r="J269" i="16"/>
  <c r="G269" i="16"/>
  <c r="F269" i="16"/>
  <c r="T268" i="16"/>
  <c r="S268" i="16"/>
  <c r="P268" i="16"/>
  <c r="O268" i="16"/>
  <c r="K268" i="16"/>
  <c r="J268" i="16"/>
  <c r="G268" i="16"/>
  <c r="F268" i="16"/>
  <c r="T267" i="16"/>
  <c r="S267" i="16"/>
  <c r="P267" i="16"/>
  <c r="O267" i="16"/>
  <c r="K267" i="16"/>
  <c r="J267" i="16"/>
  <c r="G267" i="16"/>
  <c r="F267" i="16"/>
  <c r="T266" i="16"/>
  <c r="S266" i="16"/>
  <c r="P266" i="16"/>
  <c r="O266" i="16"/>
  <c r="K266" i="16"/>
  <c r="J266" i="16"/>
  <c r="G266" i="16"/>
  <c r="F266" i="16"/>
  <c r="T265" i="16"/>
  <c r="S265" i="16"/>
  <c r="P265" i="16"/>
  <c r="O265" i="16"/>
  <c r="K265" i="16"/>
  <c r="J265" i="16"/>
  <c r="G265" i="16"/>
  <c r="F265" i="16"/>
  <c r="T264" i="16"/>
  <c r="S264" i="16"/>
  <c r="P264" i="16"/>
  <c r="O264" i="16"/>
  <c r="K264" i="16"/>
  <c r="J264" i="16"/>
  <c r="G264" i="16"/>
  <c r="F264" i="16"/>
  <c r="T263" i="16"/>
  <c r="S263" i="16"/>
  <c r="P263" i="16"/>
  <c r="O263" i="16"/>
  <c r="K263" i="16"/>
  <c r="J263" i="16"/>
  <c r="G263" i="16"/>
  <c r="F263" i="16"/>
  <c r="T262" i="16"/>
  <c r="S262" i="16"/>
  <c r="P262" i="16"/>
  <c r="O262" i="16"/>
  <c r="K262" i="16"/>
  <c r="J262" i="16"/>
  <c r="G262" i="16"/>
  <c r="F262" i="16"/>
  <c r="T261" i="16"/>
  <c r="S261" i="16"/>
  <c r="P261" i="16"/>
  <c r="O261" i="16"/>
  <c r="K261" i="16"/>
  <c r="J261" i="16"/>
  <c r="G261" i="16"/>
  <c r="F261" i="16"/>
  <c r="T260" i="16"/>
  <c r="S260" i="16"/>
  <c r="P260" i="16"/>
  <c r="O260" i="16"/>
  <c r="K260" i="16"/>
  <c r="J260" i="16"/>
  <c r="G260" i="16"/>
  <c r="F260" i="16"/>
  <c r="T259" i="16"/>
  <c r="S259" i="16"/>
  <c r="P259" i="16"/>
  <c r="O259" i="16"/>
  <c r="K259" i="16"/>
  <c r="J259" i="16"/>
  <c r="G259" i="16"/>
  <c r="F259" i="16"/>
  <c r="T258" i="16"/>
  <c r="S258" i="16"/>
  <c r="P258" i="16"/>
  <c r="O258" i="16"/>
  <c r="K258" i="16"/>
  <c r="J258" i="16"/>
  <c r="G258" i="16"/>
  <c r="F258" i="16"/>
  <c r="T257" i="16"/>
  <c r="S257" i="16"/>
  <c r="P257" i="16"/>
  <c r="O257" i="16"/>
  <c r="K257" i="16"/>
  <c r="J257" i="16"/>
  <c r="G257" i="16"/>
  <c r="F257" i="16"/>
  <c r="T256" i="16"/>
  <c r="S256" i="16"/>
  <c r="P256" i="16"/>
  <c r="O256" i="16"/>
  <c r="K256" i="16"/>
  <c r="J256" i="16"/>
  <c r="G256" i="16"/>
  <c r="F256" i="16"/>
  <c r="T255" i="16"/>
  <c r="S255" i="16"/>
  <c r="P255" i="16"/>
  <c r="O255" i="16"/>
  <c r="K255" i="16"/>
  <c r="J255" i="16"/>
  <c r="G255" i="16"/>
  <c r="F255" i="16"/>
  <c r="T254" i="16"/>
  <c r="S254" i="16"/>
  <c r="P254" i="16"/>
  <c r="O254" i="16"/>
  <c r="K254" i="16"/>
  <c r="J254" i="16"/>
  <c r="G254" i="16"/>
  <c r="F254" i="16"/>
  <c r="T253" i="16"/>
  <c r="S253" i="16"/>
  <c r="P253" i="16"/>
  <c r="O253" i="16"/>
  <c r="K253" i="16"/>
  <c r="J253" i="16"/>
  <c r="G253" i="16"/>
  <c r="F253" i="16"/>
  <c r="T252" i="16"/>
  <c r="S252" i="16"/>
  <c r="P252" i="16"/>
  <c r="O252" i="16"/>
  <c r="K252" i="16"/>
  <c r="J252" i="16"/>
  <c r="G252" i="16"/>
  <c r="F252" i="16"/>
  <c r="T251" i="16"/>
  <c r="S251" i="16"/>
  <c r="P251" i="16"/>
  <c r="O251" i="16"/>
  <c r="K251" i="16"/>
  <c r="J251" i="16"/>
  <c r="G251" i="16"/>
  <c r="F251" i="16"/>
  <c r="T250" i="16"/>
  <c r="S250" i="16"/>
  <c r="P250" i="16"/>
  <c r="O250" i="16"/>
  <c r="K250" i="16"/>
  <c r="J250" i="16"/>
  <c r="G250" i="16"/>
  <c r="F250" i="16"/>
  <c r="T249" i="16"/>
  <c r="S249" i="16"/>
  <c r="P249" i="16"/>
  <c r="O249" i="16"/>
  <c r="K249" i="16"/>
  <c r="J249" i="16"/>
  <c r="G249" i="16"/>
  <c r="F249" i="16"/>
  <c r="T248" i="16"/>
  <c r="S248" i="16"/>
  <c r="P248" i="16"/>
  <c r="O248" i="16"/>
  <c r="K248" i="16"/>
  <c r="J248" i="16"/>
  <c r="G248" i="16"/>
  <c r="F248" i="16"/>
  <c r="T247" i="16"/>
  <c r="S247" i="16"/>
  <c r="P247" i="16"/>
  <c r="O247" i="16"/>
  <c r="K247" i="16"/>
  <c r="J247" i="16"/>
  <c r="G247" i="16"/>
  <c r="F247" i="16"/>
  <c r="T246" i="16"/>
  <c r="S246" i="16"/>
  <c r="P246" i="16"/>
  <c r="O246" i="16"/>
  <c r="K246" i="16"/>
  <c r="J246" i="16"/>
  <c r="G246" i="16"/>
  <c r="F246" i="16"/>
  <c r="T245" i="16"/>
  <c r="S245" i="16"/>
  <c r="P245" i="16"/>
  <c r="O245" i="16"/>
  <c r="K245" i="16"/>
  <c r="J245" i="16"/>
  <c r="G245" i="16"/>
  <c r="F245" i="16"/>
  <c r="T244" i="16"/>
  <c r="S244" i="16"/>
  <c r="P244" i="16"/>
  <c r="O244" i="16"/>
  <c r="K244" i="16"/>
  <c r="J244" i="16"/>
  <c r="G244" i="16"/>
  <c r="F244" i="16"/>
  <c r="T243" i="16"/>
  <c r="S243" i="16"/>
  <c r="P243" i="16"/>
  <c r="O243" i="16"/>
  <c r="K243" i="16"/>
  <c r="J243" i="16"/>
  <c r="G243" i="16"/>
  <c r="F243" i="16"/>
  <c r="T242" i="16"/>
  <c r="S242" i="16"/>
  <c r="P242" i="16"/>
  <c r="O242" i="16"/>
  <c r="K242" i="16"/>
  <c r="J242" i="16"/>
  <c r="G242" i="16"/>
  <c r="F242" i="16"/>
  <c r="T241" i="16"/>
  <c r="S241" i="16"/>
  <c r="P241" i="16"/>
  <c r="O241" i="16"/>
  <c r="K241" i="16"/>
  <c r="J241" i="16"/>
  <c r="G241" i="16"/>
  <c r="F241" i="16"/>
  <c r="T240" i="16"/>
  <c r="S240" i="16"/>
  <c r="P240" i="16"/>
  <c r="O240" i="16"/>
  <c r="K240" i="16"/>
  <c r="J240" i="16"/>
  <c r="G240" i="16"/>
  <c r="F240" i="16"/>
  <c r="T239" i="16"/>
  <c r="S239" i="16"/>
  <c r="P239" i="16"/>
  <c r="O239" i="16"/>
  <c r="K239" i="16"/>
  <c r="J239" i="16"/>
  <c r="G239" i="16"/>
  <c r="F239" i="16"/>
  <c r="T238" i="16"/>
  <c r="S238" i="16"/>
  <c r="P238" i="16"/>
  <c r="O238" i="16"/>
  <c r="K238" i="16"/>
  <c r="J238" i="16"/>
  <c r="G238" i="16"/>
  <c r="F238" i="16"/>
  <c r="T237" i="16"/>
  <c r="S237" i="16"/>
  <c r="P237" i="16"/>
  <c r="O237" i="16"/>
  <c r="K237" i="16"/>
  <c r="J237" i="16"/>
  <c r="G237" i="16"/>
  <c r="F237" i="16"/>
  <c r="T236" i="16"/>
  <c r="S236" i="16"/>
  <c r="P236" i="16"/>
  <c r="O236" i="16"/>
  <c r="K236" i="16"/>
  <c r="J236" i="16"/>
  <c r="G236" i="16"/>
  <c r="F236" i="16"/>
  <c r="T235" i="16"/>
  <c r="S235" i="16"/>
  <c r="P235" i="16"/>
  <c r="O235" i="16"/>
  <c r="K235" i="16"/>
  <c r="J235" i="16"/>
  <c r="G235" i="16"/>
  <c r="F235" i="16"/>
  <c r="T234" i="16"/>
  <c r="S234" i="16"/>
  <c r="P234" i="16"/>
  <c r="O234" i="16"/>
  <c r="K234" i="16"/>
  <c r="J234" i="16"/>
  <c r="G234" i="16"/>
  <c r="F234" i="16"/>
  <c r="T233" i="16"/>
  <c r="S233" i="16"/>
  <c r="P233" i="16"/>
  <c r="O233" i="16"/>
  <c r="K233" i="16"/>
  <c r="J233" i="16"/>
  <c r="G233" i="16"/>
  <c r="F233" i="16"/>
  <c r="T232" i="16"/>
  <c r="S232" i="16"/>
  <c r="P232" i="16"/>
  <c r="O232" i="16"/>
  <c r="K232" i="16"/>
  <c r="J232" i="16"/>
  <c r="G232" i="16"/>
  <c r="F232" i="16"/>
  <c r="T231" i="16"/>
  <c r="S231" i="16"/>
  <c r="P231" i="16"/>
  <c r="O231" i="16"/>
  <c r="K231" i="16"/>
  <c r="J231" i="16"/>
  <c r="G231" i="16"/>
  <c r="F231" i="16"/>
  <c r="T230" i="16"/>
  <c r="S230" i="16"/>
  <c r="P230" i="16"/>
  <c r="O230" i="16"/>
  <c r="K230" i="16"/>
  <c r="J230" i="16"/>
  <c r="G230" i="16"/>
  <c r="F230" i="16"/>
  <c r="T229" i="16"/>
  <c r="S229" i="16"/>
  <c r="P229" i="16"/>
  <c r="O229" i="16"/>
  <c r="K229" i="16"/>
  <c r="J229" i="16"/>
  <c r="G229" i="16"/>
  <c r="F229" i="16"/>
  <c r="T228" i="16"/>
  <c r="S228" i="16"/>
  <c r="P228" i="16"/>
  <c r="O228" i="16"/>
  <c r="K228" i="16"/>
  <c r="J228" i="16"/>
  <c r="G228" i="16"/>
  <c r="F228" i="16"/>
  <c r="T227" i="16"/>
  <c r="S227" i="16"/>
  <c r="P227" i="16"/>
  <c r="O227" i="16"/>
  <c r="K227" i="16"/>
  <c r="J227" i="16"/>
  <c r="G227" i="16"/>
  <c r="F227" i="16"/>
  <c r="T226" i="16"/>
  <c r="S226" i="16"/>
  <c r="P226" i="16"/>
  <c r="O226" i="16"/>
  <c r="K226" i="16"/>
  <c r="J226" i="16"/>
  <c r="G226" i="16"/>
  <c r="F226" i="16"/>
  <c r="T225" i="16"/>
  <c r="S225" i="16"/>
  <c r="P225" i="16"/>
  <c r="O225" i="16"/>
  <c r="K225" i="16"/>
  <c r="J225" i="16"/>
  <c r="G225" i="16"/>
  <c r="F225" i="16"/>
  <c r="T224" i="16"/>
  <c r="S224" i="16"/>
  <c r="P224" i="16"/>
  <c r="O224" i="16"/>
  <c r="K224" i="16"/>
  <c r="J224" i="16"/>
  <c r="G224" i="16"/>
  <c r="F224" i="16"/>
  <c r="T223" i="16"/>
  <c r="S223" i="16"/>
  <c r="P223" i="16"/>
  <c r="O223" i="16"/>
  <c r="K223" i="16"/>
  <c r="J223" i="16"/>
  <c r="G223" i="16"/>
  <c r="F223" i="16"/>
  <c r="T222" i="16"/>
  <c r="S222" i="16"/>
  <c r="P222" i="16"/>
  <c r="O222" i="16"/>
  <c r="K222" i="16"/>
  <c r="J222" i="16"/>
  <c r="G222" i="16"/>
  <c r="F222" i="16"/>
  <c r="T221" i="16"/>
  <c r="S221" i="16"/>
  <c r="P221" i="16"/>
  <c r="O221" i="16"/>
  <c r="K221" i="16"/>
  <c r="J221" i="16"/>
  <c r="G221" i="16"/>
  <c r="F221" i="16"/>
  <c r="T220" i="16"/>
  <c r="S220" i="16"/>
  <c r="P220" i="16"/>
  <c r="O220" i="16"/>
  <c r="K220" i="16"/>
  <c r="J220" i="16"/>
  <c r="G220" i="16"/>
  <c r="F220" i="16"/>
  <c r="T219" i="16"/>
  <c r="S219" i="16"/>
  <c r="P219" i="16"/>
  <c r="O219" i="16"/>
  <c r="K219" i="16"/>
  <c r="J219" i="16"/>
  <c r="G219" i="16"/>
  <c r="F219" i="16"/>
  <c r="T218" i="16"/>
  <c r="S218" i="16"/>
  <c r="P218" i="16"/>
  <c r="O218" i="16"/>
  <c r="K218" i="16"/>
  <c r="J218" i="16"/>
  <c r="G218" i="16"/>
  <c r="F218" i="16"/>
  <c r="T217" i="16"/>
  <c r="S217" i="16"/>
  <c r="P217" i="16"/>
  <c r="O217" i="16"/>
  <c r="K217" i="16"/>
  <c r="J217" i="16"/>
  <c r="G217" i="16"/>
  <c r="F217" i="16"/>
  <c r="T216" i="16"/>
  <c r="S216" i="16"/>
  <c r="P216" i="16"/>
  <c r="O216" i="16"/>
  <c r="K216" i="16"/>
  <c r="J216" i="16"/>
  <c r="G216" i="16"/>
  <c r="F216" i="16"/>
  <c r="T215" i="16"/>
  <c r="S215" i="16"/>
  <c r="P215" i="16"/>
  <c r="O215" i="16"/>
  <c r="K215" i="16"/>
  <c r="J215" i="16"/>
  <c r="G215" i="16"/>
  <c r="F215" i="16"/>
  <c r="T214" i="16"/>
  <c r="S214" i="16"/>
  <c r="P214" i="16"/>
  <c r="O214" i="16"/>
  <c r="K214" i="16"/>
  <c r="J214" i="16"/>
  <c r="G214" i="16"/>
  <c r="F214" i="16"/>
  <c r="T213" i="16"/>
  <c r="S213" i="16"/>
  <c r="P213" i="16"/>
  <c r="O213" i="16"/>
  <c r="K213" i="16"/>
  <c r="J213" i="16"/>
  <c r="G213" i="16"/>
  <c r="F213" i="16"/>
  <c r="T212" i="16"/>
  <c r="S212" i="16"/>
  <c r="P212" i="16"/>
  <c r="O212" i="16"/>
  <c r="K212" i="16"/>
  <c r="J212" i="16"/>
  <c r="G212" i="16"/>
  <c r="F212" i="16"/>
  <c r="T211" i="16"/>
  <c r="S211" i="16"/>
  <c r="P211" i="16"/>
  <c r="O211" i="16"/>
  <c r="K211" i="16"/>
  <c r="J211" i="16"/>
  <c r="G211" i="16"/>
  <c r="F211" i="16"/>
  <c r="T210" i="16"/>
  <c r="S210" i="16"/>
  <c r="P210" i="16"/>
  <c r="O210" i="16"/>
  <c r="K210" i="16"/>
  <c r="J210" i="16"/>
  <c r="G210" i="16"/>
  <c r="F210" i="16"/>
  <c r="T209" i="16"/>
  <c r="S209" i="16"/>
  <c r="P209" i="16"/>
  <c r="O209" i="16"/>
  <c r="K209" i="16"/>
  <c r="J209" i="16"/>
  <c r="G209" i="16"/>
  <c r="F209" i="16"/>
  <c r="T208" i="16"/>
  <c r="S208" i="16"/>
  <c r="P208" i="16"/>
  <c r="O208" i="16"/>
  <c r="K208" i="16"/>
  <c r="J208" i="16"/>
  <c r="G208" i="16"/>
  <c r="F208" i="16"/>
  <c r="T207" i="16"/>
  <c r="S207" i="16"/>
  <c r="P207" i="16"/>
  <c r="O207" i="16"/>
  <c r="K207" i="16"/>
  <c r="J207" i="16"/>
  <c r="G207" i="16"/>
  <c r="F207" i="16"/>
  <c r="T206" i="16"/>
  <c r="S206" i="16"/>
  <c r="P206" i="16"/>
  <c r="O206" i="16"/>
  <c r="K206" i="16"/>
  <c r="J206" i="16"/>
  <c r="G206" i="16"/>
  <c r="F206" i="16"/>
  <c r="T205" i="16"/>
  <c r="S205" i="16"/>
  <c r="P205" i="16"/>
  <c r="O205" i="16"/>
  <c r="K205" i="16"/>
  <c r="J205" i="16"/>
  <c r="G205" i="16"/>
  <c r="F205" i="16"/>
  <c r="T204" i="16"/>
  <c r="S204" i="16"/>
  <c r="P204" i="16"/>
  <c r="O204" i="16"/>
  <c r="K204" i="16"/>
  <c r="J204" i="16"/>
  <c r="G204" i="16"/>
  <c r="F204" i="16"/>
  <c r="T203" i="16"/>
  <c r="S203" i="16"/>
  <c r="P203" i="16"/>
  <c r="O203" i="16"/>
  <c r="K203" i="16"/>
  <c r="J203" i="16"/>
  <c r="G203" i="16"/>
  <c r="F203" i="16"/>
  <c r="T202" i="16"/>
  <c r="S202" i="16"/>
  <c r="P202" i="16"/>
  <c r="O202" i="16"/>
  <c r="K202" i="16"/>
  <c r="J202" i="16"/>
  <c r="G202" i="16"/>
  <c r="F202" i="16"/>
  <c r="T201" i="16"/>
  <c r="S201" i="16"/>
  <c r="P201" i="16"/>
  <c r="O201" i="16"/>
  <c r="K201" i="16"/>
  <c r="J201" i="16"/>
  <c r="G201" i="16"/>
  <c r="F201" i="16"/>
  <c r="T200" i="16"/>
  <c r="S200" i="16"/>
  <c r="P200" i="16"/>
  <c r="O200" i="16"/>
  <c r="K200" i="16"/>
  <c r="J200" i="16"/>
  <c r="G200" i="16"/>
  <c r="F200" i="16"/>
  <c r="T199" i="16"/>
  <c r="S199" i="16"/>
  <c r="P199" i="16"/>
  <c r="O199" i="16"/>
  <c r="K199" i="16"/>
  <c r="J199" i="16"/>
  <c r="G199" i="16"/>
  <c r="F199" i="16"/>
  <c r="T198" i="16"/>
  <c r="S198" i="16"/>
  <c r="P198" i="16"/>
  <c r="O198" i="16"/>
  <c r="K198" i="16"/>
  <c r="J198" i="16"/>
  <c r="G198" i="16"/>
  <c r="F198" i="16"/>
  <c r="T197" i="16"/>
  <c r="S197" i="16"/>
  <c r="P197" i="16"/>
  <c r="O197" i="16"/>
  <c r="K197" i="16"/>
  <c r="J197" i="16"/>
  <c r="G197" i="16"/>
  <c r="F197" i="16"/>
  <c r="T196" i="16"/>
  <c r="S196" i="16"/>
  <c r="P196" i="16"/>
  <c r="O196" i="16"/>
  <c r="K196" i="16"/>
  <c r="J196" i="16"/>
  <c r="G196" i="16"/>
  <c r="F196" i="16"/>
  <c r="T195" i="16"/>
  <c r="S195" i="16"/>
  <c r="P195" i="16"/>
  <c r="O195" i="16"/>
  <c r="K195" i="16"/>
  <c r="J195" i="16"/>
  <c r="G195" i="16"/>
  <c r="F195" i="16"/>
  <c r="T194" i="16"/>
  <c r="S194" i="16"/>
  <c r="P194" i="16"/>
  <c r="O194" i="16"/>
  <c r="K194" i="16"/>
  <c r="J194" i="16"/>
  <c r="G194" i="16"/>
  <c r="F194" i="16"/>
  <c r="T193" i="16"/>
  <c r="S193" i="16"/>
  <c r="P193" i="16"/>
  <c r="O193" i="16"/>
  <c r="K193" i="16"/>
  <c r="J193" i="16"/>
  <c r="G193" i="16"/>
  <c r="F193" i="16"/>
  <c r="T192" i="16"/>
  <c r="S192" i="16"/>
  <c r="P192" i="16"/>
  <c r="O192" i="16"/>
  <c r="K192" i="16"/>
  <c r="J192" i="16"/>
  <c r="G192" i="16"/>
  <c r="F192" i="16"/>
  <c r="T191" i="16"/>
  <c r="S191" i="16"/>
  <c r="P191" i="16"/>
  <c r="O191" i="16"/>
  <c r="K191" i="16"/>
  <c r="J191" i="16"/>
  <c r="G191" i="16"/>
  <c r="F191" i="16"/>
  <c r="T190" i="16"/>
  <c r="S190" i="16"/>
  <c r="P190" i="16"/>
  <c r="O190" i="16"/>
  <c r="K190" i="16"/>
  <c r="J190" i="16"/>
  <c r="G190" i="16"/>
  <c r="F190" i="16"/>
  <c r="T189" i="16"/>
  <c r="S189" i="16"/>
  <c r="P189" i="16"/>
  <c r="O189" i="16"/>
  <c r="K189" i="16"/>
  <c r="J189" i="16"/>
  <c r="G189" i="16"/>
  <c r="F189" i="16"/>
  <c r="T188" i="16"/>
  <c r="S188" i="16"/>
  <c r="P188" i="16"/>
  <c r="O188" i="16"/>
  <c r="K188" i="16"/>
  <c r="J188" i="16"/>
  <c r="G188" i="16"/>
  <c r="F188" i="16"/>
  <c r="T187" i="16"/>
  <c r="S187" i="16"/>
  <c r="P187" i="16"/>
  <c r="O187" i="16"/>
  <c r="K187" i="16"/>
  <c r="J187" i="16"/>
  <c r="G187" i="16"/>
  <c r="F187" i="16"/>
  <c r="T186" i="16"/>
  <c r="S186" i="16"/>
  <c r="P186" i="16"/>
  <c r="O186" i="16"/>
  <c r="K186" i="16"/>
  <c r="J186" i="16"/>
  <c r="G186" i="16"/>
  <c r="F186" i="16"/>
  <c r="T185" i="16"/>
  <c r="S185" i="16"/>
  <c r="P185" i="16"/>
  <c r="O185" i="16"/>
  <c r="K185" i="16"/>
  <c r="J185" i="16"/>
  <c r="G185" i="16"/>
  <c r="F185" i="16"/>
  <c r="T184" i="16"/>
  <c r="S184" i="16"/>
  <c r="P184" i="16"/>
  <c r="O184" i="16"/>
  <c r="K184" i="16"/>
  <c r="J184" i="16"/>
  <c r="G184" i="16"/>
  <c r="F184" i="16"/>
  <c r="T183" i="16"/>
  <c r="S183" i="16"/>
  <c r="P183" i="16"/>
  <c r="O183" i="16"/>
  <c r="K183" i="16"/>
  <c r="J183" i="16"/>
  <c r="G183" i="16"/>
  <c r="F183" i="16"/>
  <c r="T182" i="16"/>
  <c r="S182" i="16"/>
  <c r="P182" i="16"/>
  <c r="O182" i="16"/>
  <c r="K182" i="16"/>
  <c r="J182" i="16"/>
  <c r="G182" i="16"/>
  <c r="F182" i="16"/>
  <c r="T181" i="16"/>
  <c r="S181" i="16"/>
  <c r="P181" i="16"/>
  <c r="O181" i="16"/>
  <c r="K181" i="16"/>
  <c r="J181" i="16"/>
  <c r="G181" i="16"/>
  <c r="F181" i="16"/>
  <c r="T180" i="16"/>
  <c r="S180" i="16"/>
  <c r="P180" i="16"/>
  <c r="O180" i="16"/>
  <c r="K180" i="16"/>
  <c r="J180" i="16"/>
  <c r="G180" i="16"/>
  <c r="F180" i="16"/>
  <c r="T179" i="16"/>
  <c r="S179" i="16"/>
  <c r="P179" i="16"/>
  <c r="O179" i="16"/>
  <c r="K179" i="16"/>
  <c r="J179" i="16"/>
  <c r="G179" i="16"/>
  <c r="F179" i="16"/>
  <c r="T178" i="16"/>
  <c r="S178" i="16"/>
  <c r="P178" i="16"/>
  <c r="O178" i="16"/>
  <c r="K178" i="16"/>
  <c r="J178" i="16"/>
  <c r="G178" i="16"/>
  <c r="F178" i="16"/>
  <c r="T177" i="16"/>
  <c r="S177" i="16"/>
  <c r="P177" i="16"/>
  <c r="O177" i="16"/>
  <c r="K177" i="16"/>
  <c r="J177" i="16"/>
  <c r="G177" i="16"/>
  <c r="F177" i="16"/>
  <c r="T176" i="16"/>
  <c r="S176" i="16"/>
  <c r="P176" i="16"/>
  <c r="O176" i="16"/>
  <c r="K176" i="16"/>
  <c r="J176" i="16"/>
  <c r="G176" i="16"/>
  <c r="F176" i="16"/>
  <c r="T175" i="16"/>
  <c r="S175" i="16"/>
  <c r="P175" i="16"/>
  <c r="O175" i="16"/>
  <c r="K175" i="16"/>
  <c r="J175" i="16"/>
  <c r="G175" i="16"/>
  <c r="F175" i="16"/>
  <c r="T174" i="16"/>
  <c r="S174" i="16"/>
  <c r="P174" i="16"/>
  <c r="O174" i="16"/>
  <c r="K174" i="16"/>
  <c r="J174" i="16"/>
  <c r="G174" i="16"/>
  <c r="F174" i="16"/>
  <c r="T173" i="16"/>
  <c r="S173" i="16"/>
  <c r="P173" i="16"/>
  <c r="O173" i="16"/>
  <c r="K173" i="16"/>
  <c r="J173" i="16"/>
  <c r="G173" i="16"/>
  <c r="F173" i="16"/>
  <c r="T172" i="16"/>
  <c r="S172" i="16"/>
  <c r="P172" i="16"/>
  <c r="O172" i="16"/>
  <c r="K172" i="16"/>
  <c r="J172" i="16"/>
  <c r="G172" i="16"/>
  <c r="F172" i="16"/>
  <c r="T171" i="16"/>
  <c r="S171" i="16"/>
  <c r="P171" i="16"/>
  <c r="O171" i="16"/>
  <c r="K171" i="16"/>
  <c r="J171" i="16"/>
  <c r="G171" i="16"/>
  <c r="F171" i="16"/>
  <c r="T170" i="16"/>
  <c r="S170" i="16"/>
  <c r="P170" i="16"/>
  <c r="O170" i="16"/>
  <c r="K170" i="16"/>
  <c r="J170" i="16"/>
  <c r="G170" i="16"/>
  <c r="F170" i="16"/>
  <c r="T169" i="16"/>
  <c r="S169" i="16"/>
  <c r="P169" i="16"/>
  <c r="O169" i="16"/>
  <c r="K169" i="16"/>
  <c r="J169" i="16"/>
  <c r="G169" i="16"/>
  <c r="F169" i="16"/>
  <c r="T168" i="16"/>
  <c r="S168" i="16"/>
  <c r="P168" i="16"/>
  <c r="O168" i="16"/>
  <c r="K168" i="16"/>
  <c r="J168" i="16"/>
  <c r="G168" i="16"/>
  <c r="F168" i="16"/>
  <c r="T167" i="16"/>
  <c r="S167" i="16"/>
  <c r="P167" i="16"/>
  <c r="O167" i="16"/>
  <c r="K167" i="16"/>
  <c r="J167" i="16"/>
  <c r="G167" i="16"/>
  <c r="F167" i="16"/>
  <c r="T166" i="16"/>
  <c r="S166" i="16"/>
  <c r="P166" i="16"/>
  <c r="O166" i="16"/>
  <c r="K166" i="16"/>
  <c r="J166" i="16"/>
  <c r="G166" i="16"/>
  <c r="F166" i="16"/>
  <c r="T165" i="16"/>
  <c r="S165" i="16"/>
  <c r="P165" i="16"/>
  <c r="O165" i="16"/>
  <c r="K165" i="16"/>
  <c r="J165" i="16"/>
  <c r="G165" i="16"/>
  <c r="F165" i="16"/>
  <c r="T164" i="16"/>
  <c r="S164" i="16"/>
  <c r="P164" i="16"/>
  <c r="O164" i="16"/>
  <c r="K164" i="16"/>
  <c r="J164" i="16"/>
  <c r="G164" i="16"/>
  <c r="F164" i="16"/>
  <c r="T163" i="16"/>
  <c r="S163" i="16"/>
  <c r="P163" i="16"/>
  <c r="O163" i="16"/>
  <c r="K163" i="16"/>
  <c r="J163" i="16"/>
  <c r="G163" i="16"/>
  <c r="F163" i="16"/>
  <c r="T162" i="16"/>
  <c r="S162" i="16"/>
  <c r="P162" i="16"/>
  <c r="O162" i="16"/>
  <c r="K162" i="16"/>
  <c r="J162" i="16"/>
  <c r="G162" i="16"/>
  <c r="F162" i="16"/>
  <c r="T161" i="16"/>
  <c r="S161" i="16"/>
  <c r="P161" i="16"/>
  <c r="O161" i="16"/>
  <c r="K161" i="16"/>
  <c r="J161" i="16"/>
  <c r="G161" i="16"/>
  <c r="F161" i="16"/>
  <c r="T160" i="16"/>
  <c r="S160" i="16"/>
  <c r="P160" i="16"/>
  <c r="O160" i="16"/>
  <c r="K160" i="16"/>
  <c r="J160" i="16"/>
  <c r="G160" i="16"/>
  <c r="F160" i="16"/>
  <c r="T159" i="16"/>
  <c r="S159" i="16"/>
  <c r="P159" i="16"/>
  <c r="O159" i="16"/>
  <c r="K159" i="16"/>
  <c r="J159" i="16"/>
  <c r="G159" i="16"/>
  <c r="F159" i="16"/>
  <c r="T158" i="16"/>
  <c r="S158" i="16"/>
  <c r="P158" i="16"/>
  <c r="O158" i="16"/>
  <c r="K158" i="16"/>
  <c r="J158" i="16"/>
  <c r="G158" i="16"/>
  <c r="F158" i="16"/>
  <c r="T157" i="16"/>
  <c r="S157" i="16"/>
  <c r="P157" i="16"/>
  <c r="O157" i="16"/>
  <c r="K157" i="16"/>
  <c r="J157" i="16"/>
  <c r="G157" i="16"/>
  <c r="F157" i="16"/>
  <c r="T156" i="16"/>
  <c r="S156" i="16"/>
  <c r="P156" i="16"/>
  <c r="O156" i="16"/>
  <c r="K156" i="16"/>
  <c r="J156" i="16"/>
  <c r="G156" i="16"/>
  <c r="F156" i="16"/>
  <c r="T155" i="16"/>
  <c r="S155" i="16"/>
  <c r="P155" i="16"/>
  <c r="O155" i="16"/>
  <c r="K155" i="16"/>
  <c r="J155" i="16"/>
  <c r="G155" i="16"/>
  <c r="F155" i="16"/>
  <c r="T154" i="16"/>
  <c r="S154" i="16"/>
  <c r="P154" i="16"/>
  <c r="O154" i="16"/>
  <c r="K154" i="16"/>
  <c r="J154" i="16"/>
  <c r="G154" i="16"/>
  <c r="F154" i="16"/>
  <c r="T153" i="16"/>
  <c r="S153" i="16"/>
  <c r="P153" i="16"/>
  <c r="O153" i="16"/>
  <c r="K153" i="16"/>
  <c r="J153" i="16"/>
  <c r="G153" i="16"/>
  <c r="F153" i="16"/>
  <c r="T152" i="16"/>
  <c r="S152" i="16"/>
  <c r="P152" i="16"/>
  <c r="O152" i="16"/>
  <c r="K152" i="16"/>
  <c r="J152" i="16"/>
  <c r="G152" i="16"/>
  <c r="F152" i="16"/>
  <c r="T151" i="16"/>
  <c r="S151" i="16"/>
  <c r="P151" i="16"/>
  <c r="O151" i="16"/>
  <c r="K151" i="16"/>
  <c r="J151" i="16"/>
  <c r="G151" i="16"/>
  <c r="F151" i="16"/>
  <c r="T150" i="16"/>
  <c r="S150" i="16"/>
  <c r="P150" i="16"/>
  <c r="O150" i="16"/>
  <c r="K150" i="16"/>
  <c r="J150" i="16"/>
  <c r="G150" i="16"/>
  <c r="F150" i="16"/>
  <c r="T149" i="16"/>
  <c r="S149" i="16"/>
  <c r="P149" i="16"/>
  <c r="O149" i="16"/>
  <c r="K149" i="16"/>
  <c r="J149" i="16"/>
  <c r="G149" i="16"/>
  <c r="F149" i="16"/>
  <c r="T148" i="16"/>
  <c r="S148" i="16"/>
  <c r="P148" i="16"/>
  <c r="O148" i="16"/>
  <c r="K148" i="16"/>
  <c r="J148" i="16"/>
  <c r="G148" i="16"/>
  <c r="F148" i="16"/>
  <c r="T147" i="16"/>
  <c r="S147" i="16"/>
  <c r="P147" i="16"/>
  <c r="O147" i="16"/>
  <c r="K147" i="16"/>
  <c r="J147" i="16"/>
  <c r="G147" i="16"/>
  <c r="F147" i="16"/>
  <c r="T146" i="16"/>
  <c r="S146" i="16"/>
  <c r="P146" i="16"/>
  <c r="O146" i="16"/>
  <c r="K146" i="16"/>
  <c r="J146" i="16"/>
  <c r="G146" i="16"/>
  <c r="F146" i="16"/>
  <c r="T145" i="16"/>
  <c r="S145" i="16"/>
  <c r="P145" i="16"/>
  <c r="O145" i="16"/>
  <c r="K145" i="16"/>
  <c r="J145" i="16"/>
  <c r="G145" i="16"/>
  <c r="F145" i="16"/>
  <c r="T144" i="16"/>
  <c r="S144" i="16"/>
  <c r="P144" i="16"/>
  <c r="O144" i="16"/>
  <c r="K144" i="16"/>
  <c r="J144" i="16"/>
  <c r="G144" i="16"/>
  <c r="F144" i="16"/>
  <c r="T143" i="16"/>
  <c r="S143" i="16"/>
  <c r="P143" i="16"/>
  <c r="O143" i="16"/>
  <c r="K143" i="16"/>
  <c r="J143" i="16"/>
  <c r="G143" i="16"/>
  <c r="F143" i="16"/>
  <c r="T142" i="16"/>
  <c r="S142" i="16"/>
  <c r="P142" i="16"/>
  <c r="O142" i="16"/>
  <c r="K142" i="16"/>
  <c r="J142" i="16"/>
  <c r="G142" i="16"/>
  <c r="F142" i="16"/>
  <c r="T141" i="16"/>
  <c r="S141" i="16"/>
  <c r="P141" i="16"/>
  <c r="O141" i="16"/>
  <c r="K141" i="16"/>
  <c r="J141" i="16"/>
  <c r="G141" i="16"/>
  <c r="F141" i="16"/>
  <c r="T140" i="16"/>
  <c r="S140" i="16"/>
  <c r="P140" i="16"/>
  <c r="O140" i="16"/>
  <c r="K140" i="16"/>
  <c r="J140" i="16"/>
  <c r="G140" i="16"/>
  <c r="F140" i="16"/>
  <c r="T139" i="16"/>
  <c r="S139" i="16"/>
  <c r="P139" i="16"/>
  <c r="O139" i="16"/>
  <c r="K139" i="16"/>
  <c r="J139" i="16"/>
  <c r="G139" i="16"/>
  <c r="F139" i="16"/>
  <c r="T138" i="16"/>
  <c r="S138" i="16"/>
  <c r="P138" i="16"/>
  <c r="O138" i="16"/>
  <c r="K138" i="16"/>
  <c r="J138" i="16"/>
  <c r="G138" i="16"/>
  <c r="F138" i="16"/>
  <c r="T137" i="16"/>
  <c r="S137" i="16"/>
  <c r="P137" i="16"/>
  <c r="O137" i="16"/>
  <c r="K137" i="16"/>
  <c r="J137" i="16"/>
  <c r="G137" i="16"/>
  <c r="F137" i="16"/>
  <c r="T136" i="16"/>
  <c r="S136" i="16"/>
  <c r="P136" i="16"/>
  <c r="O136" i="16"/>
  <c r="K136" i="16"/>
  <c r="J136" i="16"/>
  <c r="G136" i="16"/>
  <c r="F136" i="16"/>
  <c r="T135" i="16"/>
  <c r="S135" i="16"/>
  <c r="P135" i="16"/>
  <c r="O135" i="16"/>
  <c r="K135" i="16"/>
  <c r="J135" i="16"/>
  <c r="G135" i="16"/>
  <c r="F135" i="16"/>
  <c r="T134" i="16"/>
  <c r="S134" i="16"/>
  <c r="P134" i="16"/>
  <c r="O134" i="16"/>
  <c r="K134" i="16"/>
  <c r="J134" i="16"/>
  <c r="G134" i="16"/>
  <c r="F134" i="16"/>
  <c r="T133" i="16"/>
  <c r="S133" i="16"/>
  <c r="P133" i="16"/>
  <c r="O133" i="16"/>
  <c r="K133" i="16"/>
  <c r="J133" i="16"/>
  <c r="G133" i="16"/>
  <c r="F133" i="16"/>
  <c r="T132" i="16"/>
  <c r="S132" i="16"/>
  <c r="P132" i="16"/>
  <c r="O132" i="16"/>
  <c r="K132" i="16"/>
  <c r="J132" i="16"/>
  <c r="G132" i="16"/>
  <c r="F132" i="16"/>
  <c r="T131" i="16"/>
  <c r="S131" i="16"/>
  <c r="P131" i="16"/>
  <c r="O131" i="16"/>
  <c r="K131" i="16"/>
  <c r="J131" i="16"/>
  <c r="G131" i="16"/>
  <c r="F131" i="16"/>
  <c r="T130" i="16"/>
  <c r="S130" i="16"/>
  <c r="P130" i="16"/>
  <c r="O130" i="16"/>
  <c r="K130" i="16"/>
  <c r="J130" i="16"/>
  <c r="G130" i="16"/>
  <c r="F130" i="16"/>
  <c r="T129" i="16"/>
  <c r="S129" i="16"/>
  <c r="P129" i="16"/>
  <c r="O129" i="16"/>
  <c r="K129" i="16"/>
  <c r="J129" i="16"/>
  <c r="G129" i="16"/>
  <c r="F129" i="16"/>
  <c r="T128" i="16"/>
  <c r="S128" i="16"/>
  <c r="P128" i="16"/>
  <c r="O128" i="16"/>
  <c r="K128" i="16"/>
  <c r="J128" i="16"/>
  <c r="G128" i="16"/>
  <c r="F128" i="16"/>
  <c r="T127" i="16"/>
  <c r="S127" i="16"/>
  <c r="P127" i="16"/>
  <c r="O127" i="16"/>
  <c r="K127" i="16"/>
  <c r="J127" i="16"/>
  <c r="G127" i="16"/>
  <c r="F127" i="16"/>
  <c r="T126" i="16"/>
  <c r="S126" i="16"/>
  <c r="P126" i="16"/>
  <c r="O126" i="16"/>
  <c r="K126" i="16"/>
  <c r="J126" i="16"/>
  <c r="G126" i="16"/>
  <c r="F126" i="16"/>
  <c r="T125" i="16"/>
  <c r="S125" i="16"/>
  <c r="P125" i="16"/>
  <c r="O125" i="16"/>
  <c r="K125" i="16"/>
  <c r="J125" i="16"/>
  <c r="G125" i="16"/>
  <c r="F125" i="16"/>
  <c r="T124" i="16"/>
  <c r="S124" i="16"/>
  <c r="P124" i="16"/>
  <c r="O124" i="16"/>
  <c r="K124" i="16"/>
  <c r="J124" i="16"/>
  <c r="G124" i="16"/>
  <c r="F124" i="16"/>
  <c r="T123" i="16"/>
  <c r="S123" i="16"/>
  <c r="P123" i="16"/>
  <c r="O123" i="16"/>
  <c r="K123" i="16"/>
  <c r="J123" i="16"/>
  <c r="G123" i="16"/>
  <c r="F123" i="16"/>
  <c r="T122" i="16"/>
  <c r="S122" i="16"/>
  <c r="P122" i="16"/>
  <c r="O122" i="16"/>
  <c r="K122" i="16"/>
  <c r="J122" i="16"/>
  <c r="G122" i="16"/>
  <c r="F122" i="16"/>
  <c r="T121" i="16"/>
  <c r="S121" i="16"/>
  <c r="P121" i="16"/>
  <c r="O121" i="16"/>
  <c r="K121" i="16"/>
  <c r="J121" i="16"/>
  <c r="G121" i="16"/>
  <c r="F121" i="16"/>
  <c r="T120" i="16"/>
  <c r="S120" i="16"/>
  <c r="P120" i="16"/>
  <c r="O120" i="16"/>
  <c r="K120" i="16"/>
  <c r="J120" i="16"/>
  <c r="G120" i="16"/>
  <c r="F120" i="16"/>
  <c r="T119" i="16"/>
  <c r="S119" i="16"/>
  <c r="P119" i="16"/>
  <c r="O119" i="16"/>
  <c r="K119" i="16"/>
  <c r="J119" i="16"/>
  <c r="G119" i="16"/>
  <c r="F119" i="16"/>
  <c r="T118" i="16"/>
  <c r="S118" i="16"/>
  <c r="P118" i="16"/>
  <c r="O118" i="16"/>
  <c r="K118" i="16"/>
  <c r="J118" i="16"/>
  <c r="G118" i="16"/>
  <c r="F118" i="16"/>
  <c r="T117" i="16"/>
  <c r="S117" i="16"/>
  <c r="P117" i="16"/>
  <c r="O117" i="16"/>
  <c r="K117" i="16"/>
  <c r="J117" i="16"/>
  <c r="G117" i="16"/>
  <c r="F117" i="16"/>
  <c r="T116" i="16"/>
  <c r="S116" i="16"/>
  <c r="P116" i="16"/>
  <c r="O116" i="16"/>
  <c r="K116" i="16"/>
  <c r="J116" i="16"/>
  <c r="G116" i="16"/>
  <c r="F116" i="16"/>
  <c r="T115" i="16"/>
  <c r="S115" i="16"/>
  <c r="P115" i="16"/>
  <c r="O115" i="16"/>
  <c r="K115" i="16"/>
  <c r="J115" i="16"/>
  <c r="G115" i="16"/>
  <c r="F115" i="16"/>
  <c r="T114" i="16"/>
  <c r="S114" i="16"/>
  <c r="P114" i="16"/>
  <c r="O114" i="16"/>
  <c r="K114" i="16"/>
  <c r="J114" i="16"/>
  <c r="G114" i="16"/>
  <c r="F114" i="16"/>
  <c r="T113" i="16"/>
  <c r="S113" i="16"/>
  <c r="P113" i="16"/>
  <c r="O113" i="16"/>
  <c r="K113" i="16"/>
  <c r="J113" i="16"/>
  <c r="G113" i="16"/>
  <c r="F113" i="16"/>
  <c r="T112" i="16"/>
  <c r="S112" i="16"/>
  <c r="P112" i="16"/>
  <c r="O112" i="16"/>
  <c r="K112" i="16"/>
  <c r="J112" i="16"/>
  <c r="G112" i="16"/>
  <c r="F112" i="16"/>
  <c r="T111" i="16"/>
  <c r="S111" i="16"/>
  <c r="P111" i="16"/>
  <c r="O111" i="16"/>
  <c r="K111" i="16"/>
  <c r="J111" i="16"/>
  <c r="G111" i="16"/>
  <c r="F111" i="16"/>
  <c r="T110" i="16"/>
  <c r="S110" i="16"/>
  <c r="P110" i="16"/>
  <c r="O110" i="16"/>
  <c r="K110" i="16"/>
  <c r="J110" i="16"/>
  <c r="G110" i="16"/>
  <c r="F110" i="16"/>
  <c r="T109" i="16"/>
  <c r="S109" i="16"/>
  <c r="P109" i="16"/>
  <c r="O109" i="16"/>
  <c r="K109" i="16"/>
  <c r="J109" i="16"/>
  <c r="G109" i="16"/>
  <c r="F109" i="16"/>
  <c r="T108" i="16"/>
  <c r="S108" i="16"/>
  <c r="P108" i="16"/>
  <c r="O108" i="16"/>
  <c r="K108" i="16"/>
  <c r="J108" i="16"/>
  <c r="G108" i="16"/>
  <c r="F108" i="16"/>
  <c r="T107" i="16"/>
  <c r="S107" i="16"/>
  <c r="P107" i="16"/>
  <c r="O107" i="16"/>
  <c r="K107" i="16"/>
  <c r="J107" i="16"/>
  <c r="G107" i="16"/>
  <c r="F107" i="16"/>
  <c r="T106" i="16"/>
  <c r="S106" i="16"/>
  <c r="P106" i="16"/>
  <c r="O106" i="16"/>
  <c r="K106" i="16"/>
  <c r="J106" i="16"/>
  <c r="G106" i="16"/>
  <c r="F106" i="16"/>
  <c r="T105" i="16"/>
  <c r="S105" i="16"/>
  <c r="P105" i="16"/>
  <c r="O105" i="16"/>
  <c r="K105" i="16"/>
  <c r="J105" i="16"/>
  <c r="G105" i="16"/>
  <c r="F105" i="16"/>
  <c r="T104" i="16"/>
  <c r="S104" i="16"/>
  <c r="P104" i="16"/>
  <c r="O104" i="16"/>
  <c r="K104" i="16"/>
  <c r="J104" i="16"/>
  <c r="G104" i="16"/>
  <c r="F104" i="16"/>
  <c r="T103" i="16"/>
  <c r="S103" i="16"/>
  <c r="P103" i="16"/>
  <c r="O103" i="16"/>
  <c r="K103" i="16"/>
  <c r="J103" i="16"/>
  <c r="G103" i="16"/>
  <c r="F103" i="16"/>
  <c r="T102" i="16"/>
  <c r="S102" i="16"/>
  <c r="P102" i="16"/>
  <c r="O102" i="16"/>
  <c r="K102" i="16"/>
  <c r="J102" i="16"/>
  <c r="G102" i="16"/>
  <c r="F102" i="16"/>
  <c r="T101" i="16"/>
  <c r="S101" i="16"/>
  <c r="P101" i="16"/>
  <c r="O101" i="16"/>
  <c r="K101" i="16"/>
  <c r="J101" i="16"/>
  <c r="G101" i="16"/>
  <c r="F101" i="16"/>
  <c r="T100" i="16"/>
  <c r="S100" i="16"/>
  <c r="P100" i="16"/>
  <c r="O100" i="16"/>
  <c r="K100" i="16"/>
  <c r="J100" i="16"/>
  <c r="G100" i="16"/>
  <c r="F100" i="16"/>
  <c r="T99" i="16"/>
  <c r="S99" i="16"/>
  <c r="P99" i="16"/>
  <c r="O99" i="16"/>
  <c r="K99" i="16"/>
  <c r="J99" i="16"/>
  <c r="G99" i="16"/>
  <c r="F99" i="16"/>
  <c r="T98" i="16"/>
  <c r="S98" i="16"/>
  <c r="P98" i="16"/>
  <c r="O98" i="16"/>
  <c r="K98" i="16"/>
  <c r="J98" i="16"/>
  <c r="G98" i="16"/>
  <c r="F98" i="16"/>
  <c r="T97" i="16"/>
  <c r="S97" i="16"/>
  <c r="P97" i="16"/>
  <c r="O97" i="16"/>
  <c r="K97" i="16"/>
  <c r="J97" i="16"/>
  <c r="G97" i="16"/>
  <c r="F97" i="16"/>
  <c r="T96" i="16"/>
  <c r="S96" i="16"/>
  <c r="P96" i="16"/>
  <c r="O96" i="16"/>
  <c r="K96" i="16"/>
  <c r="J96" i="16"/>
  <c r="G96" i="16"/>
  <c r="F96" i="16"/>
  <c r="T95" i="16"/>
  <c r="S95" i="16"/>
  <c r="P95" i="16"/>
  <c r="O95" i="16"/>
  <c r="K95" i="16"/>
  <c r="J95" i="16"/>
  <c r="G95" i="16"/>
  <c r="F95" i="16"/>
  <c r="T94" i="16"/>
  <c r="S94" i="16"/>
  <c r="P94" i="16"/>
  <c r="O94" i="16"/>
  <c r="K94" i="16"/>
  <c r="J94" i="16"/>
  <c r="G94" i="16"/>
  <c r="F94" i="16"/>
  <c r="T93" i="16"/>
  <c r="S93" i="16"/>
  <c r="P93" i="16"/>
  <c r="O93" i="16"/>
  <c r="K93" i="16"/>
  <c r="J93" i="16"/>
  <c r="G93" i="16"/>
  <c r="F93" i="16"/>
  <c r="T92" i="16"/>
  <c r="S92" i="16"/>
  <c r="P92" i="16"/>
  <c r="O92" i="16"/>
  <c r="K92" i="16"/>
  <c r="J92" i="16"/>
  <c r="G92" i="16"/>
  <c r="F92" i="16"/>
  <c r="T91" i="16"/>
  <c r="S91" i="16"/>
  <c r="P91" i="16"/>
  <c r="O91" i="16"/>
  <c r="K91" i="16"/>
  <c r="J91" i="16"/>
  <c r="G91" i="16"/>
  <c r="F91" i="16"/>
  <c r="T90" i="16"/>
  <c r="S90" i="16"/>
  <c r="P90" i="16"/>
  <c r="O90" i="16"/>
  <c r="K90" i="16"/>
  <c r="J90" i="16"/>
  <c r="G90" i="16"/>
  <c r="F90" i="16"/>
  <c r="T89" i="16"/>
  <c r="S89" i="16"/>
  <c r="P89" i="16"/>
  <c r="O89" i="16"/>
  <c r="K89" i="16"/>
  <c r="J89" i="16"/>
  <c r="G89" i="16"/>
  <c r="F89" i="16"/>
  <c r="T88" i="16"/>
  <c r="S88" i="16"/>
  <c r="P88" i="16"/>
  <c r="O88" i="16"/>
  <c r="K88" i="16"/>
  <c r="J88" i="16"/>
  <c r="G88" i="16"/>
  <c r="F88" i="16"/>
  <c r="T87" i="16"/>
  <c r="S87" i="16"/>
  <c r="P87" i="16"/>
  <c r="O87" i="16"/>
  <c r="K87" i="16"/>
  <c r="J87" i="16"/>
  <c r="G87" i="16"/>
  <c r="F87" i="16"/>
  <c r="T86" i="16"/>
  <c r="S86" i="16"/>
  <c r="P86" i="16"/>
  <c r="O86" i="16"/>
  <c r="K86" i="16"/>
  <c r="J86" i="16"/>
  <c r="G86" i="16"/>
  <c r="F86" i="16"/>
  <c r="T85" i="16"/>
  <c r="S85" i="16"/>
  <c r="P85" i="16"/>
  <c r="O85" i="16"/>
  <c r="K85" i="16"/>
  <c r="J85" i="16"/>
  <c r="G85" i="16"/>
  <c r="F85" i="16"/>
  <c r="T84" i="16"/>
  <c r="S84" i="16"/>
  <c r="P84" i="16"/>
  <c r="O84" i="16"/>
  <c r="K84" i="16"/>
  <c r="J84" i="16"/>
  <c r="G84" i="16"/>
  <c r="F84" i="16"/>
  <c r="T83" i="16"/>
  <c r="S83" i="16"/>
  <c r="P83" i="16"/>
  <c r="O83" i="16"/>
  <c r="K83" i="16"/>
  <c r="J83" i="16"/>
  <c r="G83" i="16"/>
  <c r="F83" i="16"/>
  <c r="T82" i="16"/>
  <c r="S82" i="16"/>
  <c r="P82" i="16"/>
  <c r="O82" i="16"/>
  <c r="K82" i="16"/>
  <c r="J82" i="16"/>
  <c r="G82" i="16"/>
  <c r="F82" i="16"/>
  <c r="T81" i="16"/>
  <c r="S81" i="16"/>
  <c r="P81" i="16"/>
  <c r="O81" i="16"/>
  <c r="K81" i="16"/>
  <c r="J81" i="16"/>
  <c r="G81" i="16"/>
  <c r="F81" i="16"/>
  <c r="T80" i="16"/>
  <c r="S80" i="16"/>
  <c r="P80" i="16"/>
  <c r="O80" i="16"/>
  <c r="K80" i="16"/>
  <c r="J80" i="16"/>
  <c r="G80" i="16"/>
  <c r="F80" i="16"/>
  <c r="T79" i="16"/>
  <c r="S79" i="16"/>
  <c r="P79" i="16"/>
  <c r="O79" i="16"/>
  <c r="K79" i="16"/>
  <c r="J79" i="16"/>
  <c r="G79" i="16"/>
  <c r="F79" i="16"/>
  <c r="T78" i="16"/>
  <c r="S78" i="16"/>
  <c r="P78" i="16"/>
  <c r="O78" i="16"/>
  <c r="K78" i="16"/>
  <c r="J78" i="16"/>
  <c r="G78" i="16"/>
  <c r="F78" i="16"/>
  <c r="T77" i="16"/>
  <c r="S77" i="16"/>
  <c r="P77" i="16"/>
  <c r="O77" i="16"/>
  <c r="K77" i="16"/>
  <c r="J77" i="16"/>
  <c r="G77" i="16"/>
  <c r="F77" i="16"/>
  <c r="T76" i="16"/>
  <c r="S76" i="16"/>
  <c r="P76" i="16"/>
  <c r="O76" i="16"/>
  <c r="K76" i="16"/>
  <c r="J76" i="16"/>
  <c r="G76" i="16"/>
  <c r="F76" i="16"/>
  <c r="T75" i="16"/>
  <c r="S75" i="16"/>
  <c r="P75" i="16"/>
  <c r="O75" i="16"/>
  <c r="K75" i="16"/>
  <c r="J75" i="16"/>
  <c r="G75" i="16"/>
  <c r="F75" i="16"/>
  <c r="T74" i="16"/>
  <c r="S74" i="16"/>
  <c r="P74" i="16"/>
  <c r="O74" i="16"/>
  <c r="K74" i="16"/>
  <c r="J74" i="16"/>
  <c r="G74" i="16"/>
  <c r="F74" i="16"/>
  <c r="T73" i="16"/>
  <c r="S73" i="16"/>
  <c r="P73" i="16"/>
  <c r="O73" i="16"/>
  <c r="K73" i="16"/>
  <c r="J73" i="16"/>
  <c r="G73" i="16"/>
  <c r="F73" i="16"/>
  <c r="T72" i="16"/>
  <c r="S72" i="16"/>
  <c r="P72" i="16"/>
  <c r="O72" i="16"/>
  <c r="K72" i="16"/>
  <c r="J72" i="16"/>
  <c r="G72" i="16"/>
  <c r="F72" i="16"/>
  <c r="T71" i="16"/>
  <c r="S71" i="16"/>
  <c r="P71" i="16"/>
  <c r="O71" i="16"/>
  <c r="K71" i="16"/>
  <c r="J71" i="16"/>
  <c r="G71" i="16"/>
  <c r="F71" i="16"/>
  <c r="T70" i="16"/>
  <c r="S70" i="16"/>
  <c r="P70" i="16"/>
  <c r="O70" i="16"/>
  <c r="K70" i="16"/>
  <c r="J70" i="16"/>
  <c r="G70" i="16"/>
  <c r="F70" i="16"/>
  <c r="T69" i="16"/>
  <c r="S69" i="16"/>
  <c r="P69" i="16"/>
  <c r="O69" i="16"/>
  <c r="K69" i="16"/>
  <c r="J69" i="16"/>
  <c r="G69" i="16"/>
  <c r="F69" i="16"/>
  <c r="T68" i="16"/>
  <c r="S68" i="16"/>
  <c r="P68" i="16"/>
  <c r="O68" i="16"/>
  <c r="K68" i="16"/>
  <c r="J68" i="16"/>
  <c r="G68" i="16"/>
  <c r="F68" i="16"/>
  <c r="T67" i="16"/>
  <c r="S67" i="16"/>
  <c r="P67" i="16"/>
  <c r="O67" i="16"/>
  <c r="K67" i="16"/>
  <c r="J67" i="16"/>
  <c r="G67" i="16"/>
  <c r="F67" i="16"/>
  <c r="T66" i="16"/>
  <c r="S66" i="16"/>
  <c r="P66" i="16"/>
  <c r="O66" i="16"/>
  <c r="K66" i="16"/>
  <c r="J66" i="16"/>
  <c r="G66" i="16"/>
  <c r="F66" i="16"/>
  <c r="T65" i="16"/>
  <c r="S65" i="16"/>
  <c r="P65" i="16"/>
  <c r="O65" i="16"/>
  <c r="K65" i="16"/>
  <c r="J65" i="16"/>
  <c r="G65" i="16"/>
  <c r="F65" i="16"/>
  <c r="T64" i="16"/>
  <c r="S64" i="16"/>
  <c r="P64" i="16"/>
  <c r="O64" i="16"/>
  <c r="K64" i="16"/>
  <c r="J64" i="16"/>
  <c r="G64" i="16"/>
  <c r="F64" i="16"/>
  <c r="T63" i="16"/>
  <c r="S63" i="16"/>
  <c r="P63" i="16"/>
  <c r="O63" i="16"/>
  <c r="K63" i="16"/>
  <c r="J63" i="16"/>
  <c r="G63" i="16"/>
  <c r="F63" i="16"/>
  <c r="T62" i="16"/>
  <c r="S62" i="16"/>
  <c r="P62" i="16"/>
  <c r="O62" i="16"/>
  <c r="K62" i="16"/>
  <c r="J62" i="16"/>
  <c r="G62" i="16"/>
  <c r="F62" i="16"/>
  <c r="T61" i="16"/>
  <c r="S61" i="16"/>
  <c r="P61" i="16"/>
  <c r="O61" i="16"/>
  <c r="K61" i="16"/>
  <c r="J61" i="16"/>
  <c r="G61" i="16"/>
  <c r="F61" i="16"/>
  <c r="T60" i="16"/>
  <c r="S60" i="16"/>
  <c r="P60" i="16"/>
  <c r="O60" i="16"/>
  <c r="K60" i="16"/>
  <c r="J60" i="16"/>
  <c r="G60" i="16"/>
  <c r="F60" i="16"/>
  <c r="T59" i="16"/>
  <c r="S59" i="16"/>
  <c r="P59" i="16"/>
  <c r="O59" i="16"/>
  <c r="K59" i="16"/>
  <c r="J59" i="16"/>
  <c r="G59" i="16"/>
  <c r="F59" i="16"/>
  <c r="T58" i="16"/>
  <c r="S58" i="16"/>
  <c r="P58" i="16"/>
  <c r="O58" i="16"/>
  <c r="K58" i="16"/>
  <c r="J58" i="16"/>
  <c r="G58" i="16"/>
  <c r="F58" i="16"/>
  <c r="T57" i="16"/>
  <c r="S57" i="16"/>
  <c r="P57" i="16"/>
  <c r="O57" i="16"/>
  <c r="K57" i="16"/>
  <c r="J57" i="16"/>
  <c r="G57" i="16"/>
  <c r="F57" i="16"/>
  <c r="T56" i="16"/>
  <c r="S56" i="16"/>
  <c r="P56" i="16"/>
  <c r="O56" i="16"/>
  <c r="K56" i="16"/>
  <c r="J56" i="16"/>
  <c r="G56" i="16"/>
  <c r="F56" i="16"/>
  <c r="T55" i="16"/>
  <c r="S55" i="16"/>
  <c r="P55" i="16"/>
  <c r="O55" i="16"/>
  <c r="K55" i="16"/>
  <c r="J55" i="16"/>
  <c r="G55" i="16"/>
  <c r="F55" i="16"/>
  <c r="T54" i="16"/>
  <c r="S54" i="16"/>
  <c r="P54" i="16"/>
  <c r="O54" i="16"/>
  <c r="K54" i="16"/>
  <c r="J54" i="16"/>
  <c r="G54" i="16"/>
  <c r="F54" i="16"/>
  <c r="T53" i="16"/>
  <c r="S53" i="16"/>
  <c r="P53" i="16"/>
  <c r="O53" i="16"/>
  <c r="K53" i="16"/>
  <c r="J53" i="16"/>
  <c r="G53" i="16"/>
  <c r="F53" i="16"/>
  <c r="T52" i="16"/>
  <c r="S52" i="16"/>
  <c r="P52" i="16"/>
  <c r="O52" i="16"/>
  <c r="K52" i="16"/>
  <c r="J52" i="16"/>
  <c r="G52" i="16"/>
  <c r="F52" i="16"/>
  <c r="T51" i="16"/>
  <c r="S51" i="16"/>
  <c r="P51" i="16"/>
  <c r="O51" i="16"/>
  <c r="K51" i="16"/>
  <c r="J51" i="16"/>
  <c r="G51" i="16"/>
  <c r="F51" i="16"/>
  <c r="T50" i="16"/>
  <c r="S50" i="16"/>
  <c r="P50" i="16"/>
  <c r="O50" i="16"/>
  <c r="K50" i="16"/>
  <c r="J50" i="16"/>
  <c r="G50" i="16"/>
  <c r="F50" i="16"/>
  <c r="T49" i="16"/>
  <c r="S49" i="16"/>
  <c r="P49" i="16"/>
  <c r="O49" i="16"/>
  <c r="K49" i="16"/>
  <c r="J49" i="16"/>
  <c r="G49" i="16"/>
  <c r="F49" i="16"/>
  <c r="T48" i="16"/>
  <c r="S48" i="16"/>
  <c r="P48" i="16"/>
  <c r="O48" i="16"/>
  <c r="K48" i="16"/>
  <c r="J48" i="16"/>
  <c r="G48" i="16"/>
  <c r="F48" i="16"/>
  <c r="T47" i="16"/>
  <c r="S47" i="16"/>
  <c r="P47" i="16"/>
  <c r="O47" i="16"/>
  <c r="K47" i="16"/>
  <c r="J47" i="16"/>
  <c r="G47" i="16"/>
  <c r="F47" i="16"/>
  <c r="T46" i="16"/>
  <c r="S46" i="16"/>
  <c r="P46" i="16"/>
  <c r="O46" i="16"/>
  <c r="K46" i="16"/>
  <c r="J46" i="16"/>
  <c r="G46" i="16"/>
  <c r="F46" i="16"/>
  <c r="T45" i="16"/>
  <c r="S45" i="16"/>
  <c r="P45" i="16"/>
  <c r="O45" i="16"/>
  <c r="K45" i="16"/>
  <c r="J45" i="16"/>
  <c r="G45" i="16"/>
  <c r="F45" i="16"/>
  <c r="T44" i="16"/>
  <c r="S44" i="16"/>
  <c r="P44" i="16"/>
  <c r="O44" i="16"/>
  <c r="K44" i="16"/>
  <c r="J44" i="16"/>
  <c r="G44" i="16"/>
  <c r="F44" i="16"/>
  <c r="T43" i="16"/>
  <c r="S43" i="16"/>
  <c r="P43" i="16"/>
  <c r="O43" i="16"/>
  <c r="K43" i="16"/>
  <c r="J43" i="16"/>
  <c r="G43" i="16"/>
  <c r="F43" i="16"/>
  <c r="T42" i="16"/>
  <c r="S42" i="16"/>
  <c r="P42" i="16"/>
  <c r="O42" i="16"/>
  <c r="K42" i="16"/>
  <c r="J42" i="16"/>
  <c r="G42" i="16"/>
  <c r="F42" i="16"/>
  <c r="T41" i="16"/>
  <c r="S41" i="16"/>
  <c r="P41" i="16"/>
  <c r="O41" i="16"/>
  <c r="K41" i="16"/>
  <c r="J41" i="16"/>
  <c r="G41" i="16"/>
  <c r="F41" i="16"/>
  <c r="T40" i="16"/>
  <c r="S40" i="16"/>
  <c r="P40" i="16"/>
  <c r="O40" i="16"/>
  <c r="K40" i="16"/>
  <c r="J40" i="16"/>
  <c r="G40" i="16"/>
  <c r="F40" i="16"/>
  <c r="T39" i="16"/>
  <c r="S39" i="16"/>
  <c r="P39" i="16"/>
  <c r="O39" i="16"/>
  <c r="K39" i="16"/>
  <c r="J39" i="16"/>
  <c r="G39" i="16"/>
  <c r="F39" i="16"/>
  <c r="T38" i="16"/>
  <c r="S38" i="16"/>
  <c r="P38" i="16"/>
  <c r="O38" i="16"/>
  <c r="K38" i="16"/>
  <c r="J38" i="16"/>
  <c r="G38" i="16"/>
  <c r="F38" i="16"/>
  <c r="T37" i="16"/>
  <c r="S37" i="16"/>
  <c r="P37" i="16"/>
  <c r="O37" i="16"/>
  <c r="K37" i="16"/>
  <c r="J37" i="16"/>
  <c r="G37" i="16"/>
  <c r="F37" i="16"/>
  <c r="T36" i="16"/>
  <c r="S36" i="16"/>
  <c r="P36" i="16"/>
  <c r="O36" i="16"/>
  <c r="K36" i="16"/>
  <c r="J36" i="16"/>
  <c r="G36" i="16"/>
  <c r="F36" i="16"/>
  <c r="T35" i="16"/>
  <c r="S35" i="16"/>
  <c r="P35" i="16"/>
  <c r="O35" i="16"/>
  <c r="K35" i="16"/>
  <c r="J35" i="16"/>
  <c r="G35" i="16"/>
  <c r="F35" i="16"/>
  <c r="T34" i="16"/>
  <c r="S34" i="16"/>
  <c r="P34" i="16"/>
  <c r="O34" i="16"/>
  <c r="K34" i="16"/>
  <c r="J34" i="16"/>
  <c r="G34" i="16"/>
  <c r="F34" i="16"/>
  <c r="T33" i="16"/>
  <c r="S33" i="16"/>
  <c r="P33" i="16"/>
  <c r="O33" i="16"/>
  <c r="K33" i="16"/>
  <c r="J33" i="16"/>
  <c r="G33" i="16"/>
  <c r="F33" i="16"/>
  <c r="T32" i="16"/>
  <c r="S32" i="16"/>
  <c r="P32" i="16"/>
  <c r="O32" i="16"/>
  <c r="K32" i="16"/>
  <c r="J32" i="16"/>
  <c r="G32" i="16"/>
  <c r="F32" i="16"/>
  <c r="T31" i="16"/>
  <c r="S31" i="16"/>
  <c r="P31" i="16"/>
  <c r="O31" i="16"/>
  <c r="K31" i="16"/>
  <c r="J31" i="16"/>
  <c r="G31" i="16"/>
  <c r="F31" i="16"/>
  <c r="T30" i="16"/>
  <c r="S30" i="16"/>
  <c r="P30" i="16"/>
  <c r="O30" i="16"/>
  <c r="K30" i="16"/>
  <c r="J30" i="16"/>
  <c r="G30" i="16"/>
  <c r="F30" i="16"/>
  <c r="T29" i="16"/>
  <c r="S29" i="16"/>
  <c r="P29" i="16"/>
  <c r="O29" i="16"/>
  <c r="K29" i="16"/>
  <c r="J29" i="16"/>
  <c r="G29" i="16"/>
  <c r="F29" i="16"/>
  <c r="T28" i="16"/>
  <c r="S28" i="16"/>
  <c r="P28" i="16"/>
  <c r="O28" i="16"/>
  <c r="K28" i="16"/>
  <c r="J28" i="16"/>
  <c r="G28" i="16"/>
  <c r="F28" i="16"/>
  <c r="T27" i="16"/>
  <c r="S27" i="16"/>
  <c r="P27" i="16"/>
  <c r="O27" i="16"/>
  <c r="K27" i="16"/>
  <c r="J27" i="16"/>
  <c r="G27" i="16"/>
  <c r="F27" i="16"/>
  <c r="T26" i="16"/>
  <c r="S26" i="16"/>
  <c r="P26" i="16"/>
  <c r="O26" i="16"/>
  <c r="K26" i="16"/>
  <c r="J26" i="16"/>
  <c r="G26" i="16"/>
  <c r="F26" i="16"/>
  <c r="T25" i="16"/>
  <c r="S25" i="16"/>
  <c r="P25" i="16"/>
  <c r="O25" i="16"/>
  <c r="K25" i="16"/>
  <c r="J25" i="16"/>
  <c r="G25" i="16"/>
  <c r="F25" i="16"/>
  <c r="T24" i="16"/>
  <c r="S24" i="16"/>
  <c r="P24" i="16"/>
  <c r="O24" i="16"/>
  <c r="K24" i="16"/>
  <c r="J24" i="16"/>
  <c r="G24" i="16"/>
  <c r="F24" i="16"/>
  <c r="T23" i="16"/>
  <c r="S23" i="16"/>
  <c r="P23" i="16"/>
  <c r="O23" i="16"/>
  <c r="K23" i="16"/>
  <c r="J23" i="16"/>
  <c r="G23" i="16"/>
  <c r="F23" i="16"/>
  <c r="T22" i="16"/>
  <c r="S22" i="16"/>
  <c r="P22" i="16"/>
  <c r="O22" i="16"/>
  <c r="K22" i="16"/>
  <c r="J22" i="16"/>
  <c r="G22" i="16"/>
  <c r="F22" i="16"/>
  <c r="T21" i="16"/>
  <c r="S21" i="16"/>
  <c r="P21" i="16"/>
  <c r="O21" i="16"/>
  <c r="K21" i="16"/>
  <c r="J21" i="16"/>
  <c r="G21" i="16"/>
  <c r="F21" i="16"/>
  <c r="T20" i="16"/>
  <c r="S20" i="16"/>
  <c r="P20" i="16"/>
  <c r="O20" i="16"/>
  <c r="K20" i="16"/>
  <c r="J20" i="16"/>
  <c r="G20" i="16"/>
  <c r="F20" i="16"/>
  <c r="T19" i="16"/>
  <c r="S19" i="16"/>
  <c r="P19" i="16"/>
  <c r="O19" i="16"/>
  <c r="K19" i="16"/>
  <c r="J19" i="16"/>
  <c r="G19" i="16"/>
  <c r="F19" i="16"/>
  <c r="T18" i="16"/>
  <c r="S18" i="16"/>
  <c r="P18" i="16"/>
  <c r="O18" i="16"/>
  <c r="K18" i="16"/>
  <c r="J18" i="16"/>
  <c r="G18" i="16"/>
  <c r="F18" i="16"/>
  <c r="T17" i="16"/>
  <c r="S17" i="16"/>
  <c r="P17" i="16"/>
  <c r="O17" i="16"/>
  <c r="K17" i="16"/>
  <c r="J17" i="16"/>
  <c r="G17" i="16"/>
  <c r="F17" i="16"/>
  <c r="T16" i="16"/>
  <c r="S16" i="16"/>
  <c r="P16" i="16"/>
  <c r="O16" i="16"/>
  <c r="K16" i="16"/>
  <c r="J16" i="16"/>
  <c r="G16" i="16"/>
  <c r="F16" i="16"/>
  <c r="T15" i="16"/>
  <c r="S15" i="16"/>
  <c r="P15" i="16"/>
  <c r="O15" i="16"/>
  <c r="K15" i="16"/>
  <c r="J15" i="16"/>
  <c r="G15" i="16"/>
  <c r="F15" i="16"/>
  <c r="T14" i="16"/>
  <c r="S14" i="16"/>
  <c r="P14" i="16"/>
  <c r="O14" i="16"/>
  <c r="K14" i="16"/>
  <c r="J14" i="16"/>
  <c r="G14" i="16"/>
  <c r="F14" i="16"/>
  <c r="AC541" i="3"/>
  <c r="AB541" i="3"/>
  <c r="AA541" i="3"/>
  <c r="Z541" i="3"/>
  <c r="AC540" i="3"/>
  <c r="AB540" i="3"/>
  <c r="AA540" i="3"/>
  <c r="Z540" i="3"/>
  <c r="AC539" i="3"/>
  <c r="AB539" i="3"/>
  <c r="AA539" i="3"/>
  <c r="Z539" i="3"/>
  <c r="AC538" i="3"/>
  <c r="AB538" i="3"/>
  <c r="AA538" i="3"/>
  <c r="Z538" i="3"/>
  <c r="AC537" i="3"/>
  <c r="AB537" i="3"/>
  <c r="AA537" i="3"/>
  <c r="Z537" i="3"/>
  <c r="AC536" i="3"/>
  <c r="AB536" i="3"/>
  <c r="AA536" i="3"/>
  <c r="Z536" i="3"/>
  <c r="AC535" i="3"/>
  <c r="AB535" i="3"/>
  <c r="AA535" i="3"/>
  <c r="Z535" i="3"/>
  <c r="AD534" i="3"/>
  <c r="AE534" i="3" s="1"/>
  <c r="AC534" i="3"/>
  <c r="AB534" i="3"/>
  <c r="AA534" i="3"/>
  <c r="Z534" i="3"/>
  <c r="AC533" i="3"/>
  <c r="AB533" i="3"/>
  <c r="AA533" i="3"/>
  <c r="Z533" i="3"/>
  <c r="AC532" i="3"/>
  <c r="AB532" i="3"/>
  <c r="AA532" i="3"/>
  <c r="Z532" i="3"/>
  <c r="AC531" i="3"/>
  <c r="AB531" i="3"/>
  <c r="AA531" i="3"/>
  <c r="Z531" i="3"/>
  <c r="AC530" i="3"/>
  <c r="AB530" i="3"/>
  <c r="AA530" i="3"/>
  <c r="Z530" i="3"/>
  <c r="AC529" i="3"/>
  <c r="AB529" i="3"/>
  <c r="AA529" i="3"/>
  <c r="Z529" i="3"/>
  <c r="AC528" i="3"/>
  <c r="AB528" i="3"/>
  <c r="AA528" i="3"/>
  <c r="Z528" i="3"/>
  <c r="AC527" i="3"/>
  <c r="AB527" i="3"/>
  <c r="AA527" i="3"/>
  <c r="Z527" i="3"/>
  <c r="AC526" i="3"/>
  <c r="AB526" i="3"/>
  <c r="AA526" i="3"/>
  <c r="Z526" i="3"/>
  <c r="AD526" i="3" s="1"/>
  <c r="AE526" i="3" s="1"/>
  <c r="AC525" i="3"/>
  <c r="AB525" i="3"/>
  <c r="AA525" i="3"/>
  <c r="Z525" i="3"/>
  <c r="AC524" i="3"/>
  <c r="AB524" i="3"/>
  <c r="AA524" i="3"/>
  <c r="Z524" i="3"/>
  <c r="AC523" i="3"/>
  <c r="AB523" i="3"/>
  <c r="AA523" i="3"/>
  <c r="Z523" i="3"/>
  <c r="AD523" i="3" s="1"/>
  <c r="AE523" i="3" s="1"/>
  <c r="AC522" i="3"/>
  <c r="AB522" i="3"/>
  <c r="AD522" i="3" s="1"/>
  <c r="AE522" i="3" s="1"/>
  <c r="AA522" i="3"/>
  <c r="Z522" i="3"/>
  <c r="AC521" i="3"/>
  <c r="AB521" i="3"/>
  <c r="AA521" i="3"/>
  <c r="Z521" i="3"/>
  <c r="AC520" i="3"/>
  <c r="AB520" i="3"/>
  <c r="AA520" i="3"/>
  <c r="Z520" i="3"/>
  <c r="AC519" i="3"/>
  <c r="AB519" i="3"/>
  <c r="AA519" i="3"/>
  <c r="Z519" i="3"/>
  <c r="AC518" i="3"/>
  <c r="AB518" i="3"/>
  <c r="AA518" i="3"/>
  <c r="Z518" i="3"/>
  <c r="AC517" i="3"/>
  <c r="AB517" i="3"/>
  <c r="AA517" i="3"/>
  <c r="Z517" i="3"/>
  <c r="AC516" i="3"/>
  <c r="AB516" i="3"/>
  <c r="AA516" i="3"/>
  <c r="Z516" i="3"/>
  <c r="AC515" i="3"/>
  <c r="AB515" i="3"/>
  <c r="AA515" i="3"/>
  <c r="Z515" i="3"/>
  <c r="AC514" i="3"/>
  <c r="AB514" i="3"/>
  <c r="AA514" i="3"/>
  <c r="Z514" i="3"/>
  <c r="AC513" i="3"/>
  <c r="AB513" i="3"/>
  <c r="AA513" i="3"/>
  <c r="Z513" i="3"/>
  <c r="AC512" i="3"/>
  <c r="AB512" i="3"/>
  <c r="AA512" i="3"/>
  <c r="Z512" i="3"/>
  <c r="AC511" i="3"/>
  <c r="AB511" i="3"/>
  <c r="AA511" i="3"/>
  <c r="Z511" i="3"/>
  <c r="AC510" i="3"/>
  <c r="AB510" i="3"/>
  <c r="AA510" i="3"/>
  <c r="Z510" i="3"/>
  <c r="AC509" i="3"/>
  <c r="AB509" i="3"/>
  <c r="AA509" i="3"/>
  <c r="Z509" i="3"/>
  <c r="AC508" i="3"/>
  <c r="AB508" i="3"/>
  <c r="AA508" i="3"/>
  <c r="Z508" i="3"/>
  <c r="AC507" i="3"/>
  <c r="AB507" i="3"/>
  <c r="AA507" i="3"/>
  <c r="Z507" i="3"/>
  <c r="AC506" i="3"/>
  <c r="AB506" i="3"/>
  <c r="AA506" i="3"/>
  <c r="Z506" i="3"/>
  <c r="AC505" i="3"/>
  <c r="AB505" i="3"/>
  <c r="AA505" i="3"/>
  <c r="Z505" i="3"/>
  <c r="AC504" i="3"/>
  <c r="AB504" i="3"/>
  <c r="AA504" i="3"/>
  <c r="Z504" i="3"/>
  <c r="AC503" i="3"/>
  <c r="AB503" i="3"/>
  <c r="AA503" i="3"/>
  <c r="Z503" i="3"/>
  <c r="AC502" i="3"/>
  <c r="AB502" i="3"/>
  <c r="AA502" i="3"/>
  <c r="Z502" i="3"/>
  <c r="AC501" i="3"/>
  <c r="AB501" i="3"/>
  <c r="AA501" i="3"/>
  <c r="Z501" i="3"/>
  <c r="AC500" i="3"/>
  <c r="AB500" i="3"/>
  <c r="AA500" i="3"/>
  <c r="Z500" i="3"/>
  <c r="AC499" i="3"/>
  <c r="AB499" i="3"/>
  <c r="AA499" i="3"/>
  <c r="Z499" i="3"/>
  <c r="AC498" i="3"/>
  <c r="AB498" i="3"/>
  <c r="AA498" i="3"/>
  <c r="Z498" i="3"/>
  <c r="AC497" i="3"/>
  <c r="AB497" i="3"/>
  <c r="AA497" i="3"/>
  <c r="Z497" i="3"/>
  <c r="AC496" i="3"/>
  <c r="AB496" i="3"/>
  <c r="AA496" i="3"/>
  <c r="Z496" i="3"/>
  <c r="AC495" i="3"/>
  <c r="AB495" i="3"/>
  <c r="AA495" i="3"/>
  <c r="Z495" i="3"/>
  <c r="AC494" i="3"/>
  <c r="AB494" i="3"/>
  <c r="AA494" i="3"/>
  <c r="Z494" i="3"/>
  <c r="AC493" i="3"/>
  <c r="AB493" i="3"/>
  <c r="AA493" i="3"/>
  <c r="Z493" i="3"/>
  <c r="AC492" i="3"/>
  <c r="AB492" i="3"/>
  <c r="AA492" i="3"/>
  <c r="Z492" i="3"/>
  <c r="AC491" i="3"/>
  <c r="AB491" i="3"/>
  <c r="AA491" i="3"/>
  <c r="Z491" i="3"/>
  <c r="AC490" i="3"/>
  <c r="AB490" i="3"/>
  <c r="AA490" i="3"/>
  <c r="Z490" i="3"/>
  <c r="AC489" i="3"/>
  <c r="AB489" i="3"/>
  <c r="AA489" i="3"/>
  <c r="Z489" i="3"/>
  <c r="AC488" i="3"/>
  <c r="AB488" i="3"/>
  <c r="AA488" i="3"/>
  <c r="Z488" i="3"/>
  <c r="AC487" i="3"/>
  <c r="AB487" i="3"/>
  <c r="AA487" i="3"/>
  <c r="Z487" i="3"/>
  <c r="AC486" i="3"/>
  <c r="AB486" i="3"/>
  <c r="AA486" i="3"/>
  <c r="Z486" i="3"/>
  <c r="AC485" i="3"/>
  <c r="AB485" i="3"/>
  <c r="AA485" i="3"/>
  <c r="Z485" i="3"/>
  <c r="AC484" i="3"/>
  <c r="AB484" i="3"/>
  <c r="AA484" i="3"/>
  <c r="Z484" i="3"/>
  <c r="AC483" i="3"/>
  <c r="AB483" i="3"/>
  <c r="AA483" i="3"/>
  <c r="Z483" i="3"/>
  <c r="AC482" i="3"/>
  <c r="AB482" i="3"/>
  <c r="AD482" i="3" s="1"/>
  <c r="AE482" i="3" s="1"/>
  <c r="AA482" i="3"/>
  <c r="Z482" i="3"/>
  <c r="AC481" i="3"/>
  <c r="AB481" i="3"/>
  <c r="AA481" i="3"/>
  <c r="Z481" i="3"/>
  <c r="AC480" i="3"/>
  <c r="AB480" i="3"/>
  <c r="AA480" i="3"/>
  <c r="Z480" i="3"/>
  <c r="AC479" i="3"/>
  <c r="AB479" i="3"/>
  <c r="AA479" i="3"/>
  <c r="Z479" i="3"/>
  <c r="AC478" i="3"/>
  <c r="AB478" i="3"/>
  <c r="AA478" i="3"/>
  <c r="Z478" i="3"/>
  <c r="AC477" i="3"/>
  <c r="AB477" i="3"/>
  <c r="AA477" i="3"/>
  <c r="Z477" i="3"/>
  <c r="AC476" i="3"/>
  <c r="AB476" i="3"/>
  <c r="AA476" i="3"/>
  <c r="Z476" i="3"/>
  <c r="AC475" i="3"/>
  <c r="AB475" i="3"/>
  <c r="AA475" i="3"/>
  <c r="Z475" i="3"/>
  <c r="AD475" i="3" s="1"/>
  <c r="AE475" i="3" s="1"/>
  <c r="AC474" i="3"/>
  <c r="AB474" i="3"/>
  <c r="AA474" i="3"/>
  <c r="Z474" i="3"/>
  <c r="AC473" i="3"/>
  <c r="AB473" i="3"/>
  <c r="AA473" i="3"/>
  <c r="Z473" i="3"/>
  <c r="AC472" i="3"/>
  <c r="AB472" i="3"/>
  <c r="AA472" i="3"/>
  <c r="Z472" i="3"/>
  <c r="AD472" i="3" s="1"/>
  <c r="AE472" i="3" s="1"/>
  <c r="AC471" i="3"/>
  <c r="AB471" i="3"/>
  <c r="AA471" i="3"/>
  <c r="Z471" i="3"/>
  <c r="AC470" i="3"/>
  <c r="AB470" i="3"/>
  <c r="AA470" i="3"/>
  <c r="Z470" i="3"/>
  <c r="AC469" i="3"/>
  <c r="AB469" i="3"/>
  <c r="AA469" i="3"/>
  <c r="Z469" i="3"/>
  <c r="AC468" i="3"/>
  <c r="AB468" i="3"/>
  <c r="AA468" i="3"/>
  <c r="Z468" i="3"/>
  <c r="AC467" i="3"/>
  <c r="AB467" i="3"/>
  <c r="AA467" i="3"/>
  <c r="Z467" i="3"/>
  <c r="AC466" i="3"/>
  <c r="AB466" i="3"/>
  <c r="AA466" i="3"/>
  <c r="Z466" i="3"/>
  <c r="AD466" i="3" s="1"/>
  <c r="AE466" i="3" s="1"/>
  <c r="AC465" i="3"/>
  <c r="AB465" i="3"/>
  <c r="AA465" i="3"/>
  <c r="Z465" i="3"/>
  <c r="AC464" i="3"/>
  <c r="AB464" i="3"/>
  <c r="AA464" i="3"/>
  <c r="Z464" i="3"/>
  <c r="AC463" i="3"/>
  <c r="AB463" i="3"/>
  <c r="AA463" i="3"/>
  <c r="Z463" i="3"/>
  <c r="AD463" i="3" s="1"/>
  <c r="AE463" i="3" s="1"/>
  <c r="AC462" i="3"/>
  <c r="AB462" i="3"/>
  <c r="AA462" i="3"/>
  <c r="Z462" i="3"/>
  <c r="AC461" i="3"/>
  <c r="AB461" i="3"/>
  <c r="AA461" i="3"/>
  <c r="Z461" i="3"/>
  <c r="AC460" i="3"/>
  <c r="AB460" i="3"/>
  <c r="AA460" i="3"/>
  <c r="Z460" i="3"/>
  <c r="AD460" i="3" s="1"/>
  <c r="AE460" i="3" s="1"/>
  <c r="AC459" i="3"/>
  <c r="AB459" i="3"/>
  <c r="AA459" i="3"/>
  <c r="Z459" i="3"/>
  <c r="AC458" i="3"/>
  <c r="AB458" i="3"/>
  <c r="AA458" i="3"/>
  <c r="Z458" i="3"/>
  <c r="AC457" i="3"/>
  <c r="AB457" i="3"/>
  <c r="AA457" i="3"/>
  <c r="Z457" i="3"/>
  <c r="AC456" i="3"/>
  <c r="AB456" i="3"/>
  <c r="AA456" i="3"/>
  <c r="Z456" i="3"/>
  <c r="AC455" i="3"/>
  <c r="AB455" i="3"/>
  <c r="AA455" i="3"/>
  <c r="Z455" i="3"/>
  <c r="AC454" i="3"/>
  <c r="AB454" i="3"/>
  <c r="AA454" i="3"/>
  <c r="Z454" i="3"/>
  <c r="AC453" i="3"/>
  <c r="AB453" i="3"/>
  <c r="AA453" i="3"/>
  <c r="Z453" i="3"/>
  <c r="AC452" i="3"/>
  <c r="AB452" i="3"/>
  <c r="AA452" i="3"/>
  <c r="Z452" i="3"/>
  <c r="AC451" i="3"/>
  <c r="AB451" i="3"/>
  <c r="AA451" i="3"/>
  <c r="Z451" i="3"/>
  <c r="AC450" i="3"/>
  <c r="AB450" i="3"/>
  <c r="AA450" i="3"/>
  <c r="Z450" i="3"/>
  <c r="AC449" i="3"/>
  <c r="AB449" i="3"/>
  <c r="AA449" i="3"/>
  <c r="Z449" i="3"/>
  <c r="AC448" i="3"/>
  <c r="AB448" i="3"/>
  <c r="AA448" i="3"/>
  <c r="Z448" i="3"/>
  <c r="AD448" i="3" s="1"/>
  <c r="AE448" i="3" s="1"/>
  <c r="AC447" i="3"/>
  <c r="AB447" i="3"/>
  <c r="AA447" i="3"/>
  <c r="Z447" i="3"/>
  <c r="AC446" i="3"/>
  <c r="AB446" i="3"/>
  <c r="AA446" i="3"/>
  <c r="Z446" i="3"/>
  <c r="AC445" i="3"/>
  <c r="AB445" i="3"/>
  <c r="AA445" i="3"/>
  <c r="Z445" i="3"/>
  <c r="AC444" i="3"/>
  <c r="AB444" i="3"/>
  <c r="AA444" i="3"/>
  <c r="Z444" i="3"/>
  <c r="AC443" i="3"/>
  <c r="AB443" i="3"/>
  <c r="AA443" i="3"/>
  <c r="Z443" i="3"/>
  <c r="AC442" i="3"/>
  <c r="AB442" i="3"/>
  <c r="AA442" i="3"/>
  <c r="Z442" i="3"/>
  <c r="AD442" i="3" s="1"/>
  <c r="AE442" i="3" s="1"/>
  <c r="AC441" i="3"/>
  <c r="AB441" i="3"/>
  <c r="AA441" i="3"/>
  <c r="Z441" i="3"/>
  <c r="AC440" i="3"/>
  <c r="AB440" i="3"/>
  <c r="AA440" i="3"/>
  <c r="Z440" i="3"/>
  <c r="AC439" i="3"/>
  <c r="AB439" i="3"/>
  <c r="AA439" i="3"/>
  <c r="Z439" i="3"/>
  <c r="AD439" i="3" s="1"/>
  <c r="AE439" i="3" s="1"/>
  <c r="AC438" i="3"/>
  <c r="AB438" i="3"/>
  <c r="AA438" i="3"/>
  <c r="Z438" i="3"/>
  <c r="AC437" i="3"/>
  <c r="AB437" i="3"/>
  <c r="AA437" i="3"/>
  <c r="Z437" i="3"/>
  <c r="AC436" i="3"/>
  <c r="AB436" i="3"/>
  <c r="AA436" i="3"/>
  <c r="Z436" i="3"/>
  <c r="AD436" i="3" s="1"/>
  <c r="AE436" i="3" s="1"/>
  <c r="AC435" i="3"/>
  <c r="AB435" i="3"/>
  <c r="AA435" i="3"/>
  <c r="Z435" i="3"/>
  <c r="AC434" i="3"/>
  <c r="AB434" i="3"/>
  <c r="AA434" i="3"/>
  <c r="Z434" i="3"/>
  <c r="AC433" i="3"/>
  <c r="AB433" i="3"/>
  <c r="AA433" i="3"/>
  <c r="Z433" i="3"/>
  <c r="AC432" i="3"/>
  <c r="AB432" i="3"/>
  <c r="AA432" i="3"/>
  <c r="Z432" i="3"/>
  <c r="AC431" i="3"/>
  <c r="AB431" i="3"/>
  <c r="AA431" i="3"/>
  <c r="Z431" i="3"/>
  <c r="AC430" i="3"/>
  <c r="AB430" i="3"/>
  <c r="AA430" i="3"/>
  <c r="Z430" i="3"/>
  <c r="AC429" i="3"/>
  <c r="AB429" i="3"/>
  <c r="AA429" i="3"/>
  <c r="Z429" i="3"/>
  <c r="AC428" i="3"/>
  <c r="AB428" i="3"/>
  <c r="AD428" i="3" s="1"/>
  <c r="AE428" i="3" s="1"/>
  <c r="AA428" i="3"/>
  <c r="Z428" i="3"/>
  <c r="AC427" i="3"/>
  <c r="AB427" i="3"/>
  <c r="AA427" i="3"/>
  <c r="Z427" i="3"/>
  <c r="AC426" i="3"/>
  <c r="AB426" i="3"/>
  <c r="AA426" i="3"/>
  <c r="Z426" i="3"/>
  <c r="AC425" i="3"/>
  <c r="AB425" i="3"/>
  <c r="AA425" i="3"/>
  <c r="Z425" i="3"/>
  <c r="AC424" i="3"/>
  <c r="AB424" i="3"/>
  <c r="AA424" i="3"/>
  <c r="Z424" i="3"/>
  <c r="AC423" i="3"/>
  <c r="AB423" i="3"/>
  <c r="AA423" i="3"/>
  <c r="Z423" i="3"/>
  <c r="AC422" i="3"/>
  <c r="AB422" i="3"/>
  <c r="AA422" i="3"/>
  <c r="Z422" i="3"/>
  <c r="AC421" i="3"/>
  <c r="AB421" i="3"/>
  <c r="AA421" i="3"/>
  <c r="Z421" i="3"/>
  <c r="AC420" i="3"/>
  <c r="AB420" i="3"/>
  <c r="AA420" i="3"/>
  <c r="Z420" i="3"/>
  <c r="AC419" i="3"/>
  <c r="AB419" i="3"/>
  <c r="AA419" i="3"/>
  <c r="Z419" i="3"/>
  <c r="AC418" i="3"/>
  <c r="AB418" i="3"/>
  <c r="AA418" i="3"/>
  <c r="Z418" i="3"/>
  <c r="AC417" i="3"/>
  <c r="AB417" i="3"/>
  <c r="AA417" i="3"/>
  <c r="Z417" i="3"/>
  <c r="AC416" i="3"/>
  <c r="AB416" i="3"/>
  <c r="AA416" i="3"/>
  <c r="Z416" i="3"/>
  <c r="AC415" i="3"/>
  <c r="AB415" i="3"/>
  <c r="AA415" i="3"/>
  <c r="Z415" i="3"/>
  <c r="AC414" i="3"/>
  <c r="AB414" i="3"/>
  <c r="AA414" i="3"/>
  <c r="Z414" i="3"/>
  <c r="AC413" i="3"/>
  <c r="AB413" i="3"/>
  <c r="AA413" i="3"/>
  <c r="Z413" i="3"/>
  <c r="AC412" i="3"/>
  <c r="AB412" i="3"/>
  <c r="AA412" i="3"/>
  <c r="Z412" i="3"/>
  <c r="AC411" i="3"/>
  <c r="AB411" i="3"/>
  <c r="AA411" i="3"/>
  <c r="Z411" i="3"/>
  <c r="AC410" i="3"/>
  <c r="AB410" i="3"/>
  <c r="AA410" i="3"/>
  <c r="Z410" i="3"/>
  <c r="AC409" i="3"/>
  <c r="AB409" i="3"/>
  <c r="AA409" i="3"/>
  <c r="Z409" i="3"/>
  <c r="AC408" i="3"/>
  <c r="AB408" i="3"/>
  <c r="AA408" i="3"/>
  <c r="Z408" i="3"/>
  <c r="AC407" i="3"/>
  <c r="AB407" i="3"/>
  <c r="AA407" i="3"/>
  <c r="Z407" i="3"/>
  <c r="AC406" i="3"/>
  <c r="AB406" i="3"/>
  <c r="AA406" i="3"/>
  <c r="Z406" i="3"/>
  <c r="AC405" i="3"/>
  <c r="AB405" i="3"/>
  <c r="AA405" i="3"/>
  <c r="Z405" i="3"/>
  <c r="AC404" i="3"/>
  <c r="AB404" i="3"/>
  <c r="AA404" i="3"/>
  <c r="Z404" i="3"/>
  <c r="AC403" i="3"/>
  <c r="AB403" i="3"/>
  <c r="AA403" i="3"/>
  <c r="Z403" i="3"/>
  <c r="AC402" i="3"/>
  <c r="AB402" i="3"/>
  <c r="AA402" i="3"/>
  <c r="Z402" i="3"/>
  <c r="AC401" i="3"/>
  <c r="AB401" i="3"/>
  <c r="AA401" i="3"/>
  <c r="Z401" i="3"/>
  <c r="AC400" i="3"/>
  <c r="AB400" i="3"/>
  <c r="AA400" i="3"/>
  <c r="Z400" i="3"/>
  <c r="AD400" i="3" s="1"/>
  <c r="AE400" i="3" s="1"/>
  <c r="AC399" i="3"/>
  <c r="AB399" i="3"/>
  <c r="AA399" i="3"/>
  <c r="Z399" i="3"/>
  <c r="AC398" i="3"/>
  <c r="AB398" i="3"/>
  <c r="AA398" i="3"/>
  <c r="Z398" i="3"/>
  <c r="AC397" i="3"/>
  <c r="AB397" i="3"/>
  <c r="AA397" i="3"/>
  <c r="Z397" i="3"/>
  <c r="AC396" i="3"/>
  <c r="AB396" i="3"/>
  <c r="AA396" i="3"/>
  <c r="Z396" i="3"/>
  <c r="AC395" i="3"/>
  <c r="AB395" i="3"/>
  <c r="AA395" i="3"/>
  <c r="Z395" i="3"/>
  <c r="AC394" i="3"/>
  <c r="AB394" i="3"/>
  <c r="AA394" i="3"/>
  <c r="Z394" i="3"/>
  <c r="AC393" i="3"/>
  <c r="AB393" i="3"/>
  <c r="AA393" i="3"/>
  <c r="Z393" i="3"/>
  <c r="AC392" i="3"/>
  <c r="AB392" i="3"/>
  <c r="AA392" i="3"/>
  <c r="Z392" i="3"/>
  <c r="AC391" i="3"/>
  <c r="AB391" i="3"/>
  <c r="AA391" i="3"/>
  <c r="Z391" i="3"/>
  <c r="AD391" i="3" s="1"/>
  <c r="AE391" i="3" s="1"/>
  <c r="AC390" i="3"/>
  <c r="AB390" i="3"/>
  <c r="AA390" i="3"/>
  <c r="Z390" i="3"/>
  <c r="AC389" i="3"/>
  <c r="AB389" i="3"/>
  <c r="AA389" i="3"/>
  <c r="Z389" i="3"/>
  <c r="AC388" i="3"/>
  <c r="AB388" i="3"/>
  <c r="AA388" i="3"/>
  <c r="Z388" i="3"/>
  <c r="AD388" i="3" s="1"/>
  <c r="AE388" i="3" s="1"/>
  <c r="AC387" i="3"/>
  <c r="AB387" i="3"/>
  <c r="AA387" i="3"/>
  <c r="Z387" i="3"/>
  <c r="AC386" i="3"/>
  <c r="AB386" i="3"/>
  <c r="AA386" i="3"/>
  <c r="Z386" i="3"/>
  <c r="AD386" i="3" s="1"/>
  <c r="AE386" i="3" s="1"/>
  <c r="AC385" i="3"/>
  <c r="AB385" i="3"/>
  <c r="AA385" i="3"/>
  <c r="Z385" i="3"/>
  <c r="AC384" i="3"/>
  <c r="AB384" i="3"/>
  <c r="AA384" i="3"/>
  <c r="Z384" i="3"/>
  <c r="AC383" i="3"/>
  <c r="AB383" i="3"/>
  <c r="AA383" i="3"/>
  <c r="Z383" i="3"/>
  <c r="AC382" i="3"/>
  <c r="AB382" i="3"/>
  <c r="AA382" i="3"/>
  <c r="Z382" i="3"/>
  <c r="AC381" i="3"/>
  <c r="AB381" i="3"/>
  <c r="AA381" i="3"/>
  <c r="Z381" i="3"/>
  <c r="AD381" i="3" s="1"/>
  <c r="AE381" i="3" s="1"/>
  <c r="AC380" i="3"/>
  <c r="AB380" i="3"/>
  <c r="AA380" i="3"/>
  <c r="Z380" i="3"/>
  <c r="AC379" i="3"/>
  <c r="AB379" i="3"/>
  <c r="AA379" i="3"/>
  <c r="Z379" i="3"/>
  <c r="AC378" i="3"/>
  <c r="AB378" i="3"/>
  <c r="AA378" i="3"/>
  <c r="Z378" i="3"/>
  <c r="AD378" i="3" s="1"/>
  <c r="AE378" i="3" s="1"/>
  <c r="AC377" i="3"/>
  <c r="AB377" i="3"/>
  <c r="AA377" i="3"/>
  <c r="Z377" i="3"/>
  <c r="AC376" i="3"/>
  <c r="AB376" i="3"/>
  <c r="AA376" i="3"/>
  <c r="Z376" i="3"/>
  <c r="AC375" i="3"/>
  <c r="AB375" i="3"/>
  <c r="AA375" i="3"/>
  <c r="Z375" i="3"/>
  <c r="AC374" i="3"/>
  <c r="AB374" i="3"/>
  <c r="AA374" i="3"/>
  <c r="Z374" i="3"/>
  <c r="AC373" i="3"/>
  <c r="AB373" i="3"/>
  <c r="AA373" i="3"/>
  <c r="Z373" i="3"/>
  <c r="AC372" i="3"/>
  <c r="AB372" i="3"/>
  <c r="AA372" i="3"/>
  <c r="Z372" i="3"/>
  <c r="AC371" i="3"/>
  <c r="AB371" i="3"/>
  <c r="AA371" i="3"/>
  <c r="Z371" i="3"/>
  <c r="AC370" i="3"/>
  <c r="AB370" i="3"/>
  <c r="AA370" i="3"/>
  <c r="Z370" i="3"/>
  <c r="AC369" i="3"/>
  <c r="AB369" i="3"/>
  <c r="AA369" i="3"/>
  <c r="Z369" i="3"/>
  <c r="AC368" i="3"/>
  <c r="AB368" i="3"/>
  <c r="AA368" i="3"/>
  <c r="Z368" i="3"/>
  <c r="AC367" i="3"/>
  <c r="AB367" i="3"/>
  <c r="AA367" i="3"/>
  <c r="Z367" i="3"/>
  <c r="AC366" i="3"/>
  <c r="AB366" i="3"/>
  <c r="AA366" i="3"/>
  <c r="Z366" i="3"/>
  <c r="AC365" i="3"/>
  <c r="AB365" i="3"/>
  <c r="AA365" i="3"/>
  <c r="Z365" i="3"/>
  <c r="AD365" i="3" s="1"/>
  <c r="AE365" i="3" s="1"/>
  <c r="AC364" i="3"/>
  <c r="AB364" i="3"/>
  <c r="AA364" i="3"/>
  <c r="Z364" i="3"/>
  <c r="AC363" i="3"/>
  <c r="AB363" i="3"/>
  <c r="AA363" i="3"/>
  <c r="Z363" i="3"/>
  <c r="AC362" i="3"/>
  <c r="AB362" i="3"/>
  <c r="AA362" i="3"/>
  <c r="Z362" i="3"/>
  <c r="AC361" i="3"/>
  <c r="AB361" i="3"/>
  <c r="AA361" i="3"/>
  <c r="Z361" i="3"/>
  <c r="AC360" i="3"/>
  <c r="AB360" i="3"/>
  <c r="AA360" i="3"/>
  <c r="Z360" i="3"/>
  <c r="AC359" i="3"/>
  <c r="AB359" i="3"/>
  <c r="AA359" i="3"/>
  <c r="Z359" i="3"/>
  <c r="AD359" i="3" s="1"/>
  <c r="AE359" i="3" s="1"/>
  <c r="AC358" i="3"/>
  <c r="AB358" i="3"/>
  <c r="AA358" i="3"/>
  <c r="Z358" i="3"/>
  <c r="AC357" i="3"/>
  <c r="AB357" i="3"/>
  <c r="AA357" i="3"/>
  <c r="Z357" i="3"/>
  <c r="AD357" i="3" s="1"/>
  <c r="AE357" i="3" s="1"/>
  <c r="AC356" i="3"/>
  <c r="AB356" i="3"/>
  <c r="AA356" i="3"/>
  <c r="Z356" i="3"/>
  <c r="AC355" i="3"/>
  <c r="AB355" i="3"/>
  <c r="AA355" i="3"/>
  <c r="Z355" i="3"/>
  <c r="AC354" i="3"/>
  <c r="AB354" i="3"/>
  <c r="AA354" i="3"/>
  <c r="Z354" i="3"/>
  <c r="AC353" i="3"/>
  <c r="AB353" i="3"/>
  <c r="AA353" i="3"/>
  <c r="Z353" i="3"/>
  <c r="AC352" i="3"/>
  <c r="AB352" i="3"/>
  <c r="AA352" i="3"/>
  <c r="Z352" i="3"/>
  <c r="AC351" i="3"/>
  <c r="AB351" i="3"/>
  <c r="AA351" i="3"/>
  <c r="Z351" i="3"/>
  <c r="AD351" i="3" s="1"/>
  <c r="AE351" i="3" s="1"/>
  <c r="AC350" i="3"/>
  <c r="AB350" i="3"/>
  <c r="AA350" i="3"/>
  <c r="Z350" i="3"/>
  <c r="AC349" i="3"/>
  <c r="AB349" i="3"/>
  <c r="AA349" i="3"/>
  <c r="Z349" i="3"/>
  <c r="AD349" i="3" s="1"/>
  <c r="AE349" i="3" s="1"/>
  <c r="AC348" i="3"/>
  <c r="AB348" i="3"/>
  <c r="AA348" i="3"/>
  <c r="Z348" i="3"/>
  <c r="AC347" i="3"/>
  <c r="AB347" i="3"/>
  <c r="AA347" i="3"/>
  <c r="AD347" i="3" s="1"/>
  <c r="AE347" i="3" s="1"/>
  <c r="Z347" i="3"/>
  <c r="AC346" i="3"/>
  <c r="AB346" i="3"/>
  <c r="AA346" i="3"/>
  <c r="Z346" i="3"/>
  <c r="AC345" i="3"/>
  <c r="AB345" i="3"/>
  <c r="AA345" i="3"/>
  <c r="Z345" i="3"/>
  <c r="AC344" i="3"/>
  <c r="AB344" i="3"/>
  <c r="AA344" i="3"/>
  <c r="Z344" i="3"/>
  <c r="AC343" i="3"/>
  <c r="AB343" i="3"/>
  <c r="AA343" i="3"/>
  <c r="Z343" i="3"/>
  <c r="AC342" i="3"/>
  <c r="AB342" i="3"/>
  <c r="AA342" i="3"/>
  <c r="Z342" i="3"/>
  <c r="AC341" i="3"/>
  <c r="AB341" i="3"/>
  <c r="AA341" i="3"/>
  <c r="Z341" i="3"/>
  <c r="AC340" i="3"/>
  <c r="AB340" i="3"/>
  <c r="AA340" i="3"/>
  <c r="Z340" i="3"/>
  <c r="AC339" i="3"/>
  <c r="AB339" i="3"/>
  <c r="AA339" i="3"/>
  <c r="Z339" i="3"/>
  <c r="AC338" i="3"/>
  <c r="AB338" i="3"/>
  <c r="AA338" i="3"/>
  <c r="Z338" i="3"/>
  <c r="AC337" i="3"/>
  <c r="AB337" i="3"/>
  <c r="AA337" i="3"/>
  <c r="Z337" i="3"/>
  <c r="AC336" i="3"/>
  <c r="AB336" i="3"/>
  <c r="AA336" i="3"/>
  <c r="Z336" i="3"/>
  <c r="AC335" i="3"/>
  <c r="AB335" i="3"/>
  <c r="AA335" i="3"/>
  <c r="Z335" i="3"/>
  <c r="AD335" i="3" s="1"/>
  <c r="AE335" i="3" s="1"/>
  <c r="AC334" i="3"/>
  <c r="AB334" i="3"/>
  <c r="AA334" i="3"/>
  <c r="Z334" i="3"/>
  <c r="AC333" i="3"/>
  <c r="AB333" i="3"/>
  <c r="AA333" i="3"/>
  <c r="AD333" i="3" s="1"/>
  <c r="AE333" i="3" s="1"/>
  <c r="Z333" i="3"/>
  <c r="AC332" i="3"/>
  <c r="AB332" i="3"/>
  <c r="AA332" i="3"/>
  <c r="Z332" i="3"/>
  <c r="AC331" i="3"/>
  <c r="AB331" i="3"/>
  <c r="AA331" i="3"/>
  <c r="Z331" i="3"/>
  <c r="AC330" i="3"/>
  <c r="AB330" i="3"/>
  <c r="AA330" i="3"/>
  <c r="Z330" i="3"/>
  <c r="AC329" i="3"/>
  <c r="AB329" i="3"/>
  <c r="AA329" i="3"/>
  <c r="Z329" i="3"/>
  <c r="AC328" i="3"/>
  <c r="AB328" i="3"/>
  <c r="AA328" i="3"/>
  <c r="Z328" i="3"/>
  <c r="AC327" i="3"/>
  <c r="AB327" i="3"/>
  <c r="AA327" i="3"/>
  <c r="Z327" i="3"/>
  <c r="AC326" i="3"/>
  <c r="AB326" i="3"/>
  <c r="AA326" i="3"/>
  <c r="Z326" i="3"/>
  <c r="AC325" i="3"/>
  <c r="AB325" i="3"/>
  <c r="AA325" i="3"/>
  <c r="Z325" i="3"/>
  <c r="AC324" i="3"/>
  <c r="AB324" i="3"/>
  <c r="AA324" i="3"/>
  <c r="Z324" i="3"/>
  <c r="AC323" i="3"/>
  <c r="AB323" i="3"/>
  <c r="AA323" i="3"/>
  <c r="Z323" i="3"/>
  <c r="AC322" i="3"/>
  <c r="AB322" i="3"/>
  <c r="AA322" i="3"/>
  <c r="Z322" i="3"/>
  <c r="AC321" i="3"/>
  <c r="AB321" i="3"/>
  <c r="AA321" i="3"/>
  <c r="Z321" i="3"/>
  <c r="AC320" i="3"/>
  <c r="AB320" i="3"/>
  <c r="AA320" i="3"/>
  <c r="Z320" i="3"/>
  <c r="AC319" i="3"/>
  <c r="AB319" i="3"/>
  <c r="AA319" i="3"/>
  <c r="Z319" i="3"/>
  <c r="AC318" i="3"/>
  <c r="AB318" i="3"/>
  <c r="AA318" i="3"/>
  <c r="Z318" i="3"/>
  <c r="AC317" i="3"/>
  <c r="AB317" i="3"/>
  <c r="AA317" i="3"/>
  <c r="Z317" i="3"/>
  <c r="AD317" i="3" s="1"/>
  <c r="AE317" i="3" s="1"/>
  <c r="AC316" i="3"/>
  <c r="AB316" i="3"/>
  <c r="AA316" i="3"/>
  <c r="Z316" i="3"/>
  <c r="AC315" i="3"/>
  <c r="AB315" i="3"/>
  <c r="AA315" i="3"/>
  <c r="Z315" i="3"/>
  <c r="AC314" i="3"/>
  <c r="AB314" i="3"/>
  <c r="AA314" i="3"/>
  <c r="Z314" i="3"/>
  <c r="AC313" i="3"/>
  <c r="AB313" i="3"/>
  <c r="AA313" i="3"/>
  <c r="Z313" i="3"/>
  <c r="AC312" i="3"/>
  <c r="AB312" i="3"/>
  <c r="AA312" i="3"/>
  <c r="Z312" i="3"/>
  <c r="AC311" i="3"/>
  <c r="AB311" i="3"/>
  <c r="AA311" i="3"/>
  <c r="Z311" i="3"/>
  <c r="AD311" i="3" s="1"/>
  <c r="AE311" i="3" s="1"/>
  <c r="AC310" i="3"/>
  <c r="AB310" i="3"/>
  <c r="AA310" i="3"/>
  <c r="Z310" i="3"/>
  <c r="AC309" i="3"/>
  <c r="AB309" i="3"/>
  <c r="AA309" i="3"/>
  <c r="Z309" i="3"/>
  <c r="AC308" i="3"/>
  <c r="AB308" i="3"/>
  <c r="AA308" i="3"/>
  <c r="Z308" i="3"/>
  <c r="AC307" i="3"/>
  <c r="AB307" i="3"/>
  <c r="AA307" i="3"/>
  <c r="Z307" i="3"/>
  <c r="AC306" i="3"/>
  <c r="AB306" i="3"/>
  <c r="AA306" i="3"/>
  <c r="Z306" i="3"/>
  <c r="AC305" i="3"/>
  <c r="AB305" i="3"/>
  <c r="AA305" i="3"/>
  <c r="Z305" i="3"/>
  <c r="AC304" i="3"/>
  <c r="AB304" i="3"/>
  <c r="AA304" i="3"/>
  <c r="Z304" i="3"/>
  <c r="AC303" i="3"/>
  <c r="AB303" i="3"/>
  <c r="AA303" i="3"/>
  <c r="Z303" i="3"/>
  <c r="AC302" i="3"/>
  <c r="AB302" i="3"/>
  <c r="AA302" i="3"/>
  <c r="Z302" i="3"/>
  <c r="AC301" i="3"/>
  <c r="AB301" i="3"/>
  <c r="AA301" i="3"/>
  <c r="Z301" i="3"/>
  <c r="AC300" i="3"/>
  <c r="AB300" i="3"/>
  <c r="AA300" i="3"/>
  <c r="Z300" i="3"/>
  <c r="AC299" i="3"/>
  <c r="AB299" i="3"/>
  <c r="AA299" i="3"/>
  <c r="Z299" i="3"/>
  <c r="AC298" i="3"/>
  <c r="AB298" i="3"/>
  <c r="AA298" i="3"/>
  <c r="Z298" i="3"/>
  <c r="AC297" i="3"/>
  <c r="AB297" i="3"/>
  <c r="AA297" i="3"/>
  <c r="Z297" i="3"/>
  <c r="AC296" i="3"/>
  <c r="AB296" i="3"/>
  <c r="AA296" i="3"/>
  <c r="Z296" i="3"/>
  <c r="AC295" i="3"/>
  <c r="AB295" i="3"/>
  <c r="AA295" i="3"/>
  <c r="Z295" i="3"/>
  <c r="AC294" i="3"/>
  <c r="AB294" i="3"/>
  <c r="AA294" i="3"/>
  <c r="Z294" i="3"/>
  <c r="AC293" i="3"/>
  <c r="AB293" i="3"/>
  <c r="AA293" i="3"/>
  <c r="Z293" i="3"/>
  <c r="AC292" i="3"/>
  <c r="AB292" i="3"/>
  <c r="AA292" i="3"/>
  <c r="Z292" i="3"/>
  <c r="AC291" i="3"/>
  <c r="AB291" i="3"/>
  <c r="AA291" i="3"/>
  <c r="Z291" i="3"/>
  <c r="AC290" i="3"/>
  <c r="AB290" i="3"/>
  <c r="AA290" i="3"/>
  <c r="Z290" i="3"/>
  <c r="AC289" i="3"/>
  <c r="AB289" i="3"/>
  <c r="AA289" i="3"/>
  <c r="Z289" i="3"/>
  <c r="AC288" i="3"/>
  <c r="AB288" i="3"/>
  <c r="AA288" i="3"/>
  <c r="Z288" i="3"/>
  <c r="AC287" i="3"/>
  <c r="AB287" i="3"/>
  <c r="AA287" i="3"/>
  <c r="Z287" i="3"/>
  <c r="AD287" i="3" s="1"/>
  <c r="AE287" i="3" s="1"/>
  <c r="AC286" i="3"/>
  <c r="AB286" i="3"/>
  <c r="AA286" i="3"/>
  <c r="Z286" i="3"/>
  <c r="AC285" i="3"/>
  <c r="AB285" i="3"/>
  <c r="AA285" i="3"/>
  <c r="Z285" i="3"/>
  <c r="AC284" i="3"/>
  <c r="AB284" i="3"/>
  <c r="AA284" i="3"/>
  <c r="Z284" i="3"/>
  <c r="AC283" i="3"/>
  <c r="AB283" i="3"/>
  <c r="AA283" i="3"/>
  <c r="Z283" i="3"/>
  <c r="AC282" i="3"/>
  <c r="AB282" i="3"/>
  <c r="AA282" i="3"/>
  <c r="Z282" i="3"/>
  <c r="AC281" i="3"/>
  <c r="AB281" i="3"/>
  <c r="AA281" i="3"/>
  <c r="Z281" i="3"/>
  <c r="AC280" i="3"/>
  <c r="AB280" i="3"/>
  <c r="AA280" i="3"/>
  <c r="Z280" i="3"/>
  <c r="AC279" i="3"/>
  <c r="AB279" i="3"/>
  <c r="AA279" i="3"/>
  <c r="Z279" i="3"/>
  <c r="AC278" i="3"/>
  <c r="AB278" i="3"/>
  <c r="AA278" i="3"/>
  <c r="Z278" i="3"/>
  <c r="AC277" i="3"/>
  <c r="AB277" i="3"/>
  <c r="AA277" i="3"/>
  <c r="Z277" i="3"/>
  <c r="AC276" i="3"/>
  <c r="AB276" i="3"/>
  <c r="AA276" i="3"/>
  <c r="Z276" i="3"/>
  <c r="AC275" i="3"/>
  <c r="AB275" i="3"/>
  <c r="AA275" i="3"/>
  <c r="Z275" i="3"/>
  <c r="AC274" i="3"/>
  <c r="AB274" i="3"/>
  <c r="AA274" i="3"/>
  <c r="Z274" i="3"/>
  <c r="AC273" i="3"/>
  <c r="AB273" i="3"/>
  <c r="AA273" i="3"/>
  <c r="Z273" i="3"/>
  <c r="AC272" i="3"/>
  <c r="AB272" i="3"/>
  <c r="AA272" i="3"/>
  <c r="Z272" i="3"/>
  <c r="AC271" i="3"/>
  <c r="AD271" i="3" s="1"/>
  <c r="AE271" i="3" s="1"/>
  <c r="AB271" i="3"/>
  <c r="AA271" i="3"/>
  <c r="Z271" i="3"/>
  <c r="AC270" i="3"/>
  <c r="AB270" i="3"/>
  <c r="AA270" i="3"/>
  <c r="Z270" i="3"/>
  <c r="AC269" i="3"/>
  <c r="AB269" i="3"/>
  <c r="AA269" i="3"/>
  <c r="Z269" i="3"/>
  <c r="AD269" i="3" s="1"/>
  <c r="AE269" i="3" s="1"/>
  <c r="AC268" i="3"/>
  <c r="AB268" i="3"/>
  <c r="AA268" i="3"/>
  <c r="Z268" i="3"/>
  <c r="AC267" i="3"/>
  <c r="AB267" i="3"/>
  <c r="AA267" i="3"/>
  <c r="Z267" i="3"/>
  <c r="AC266" i="3"/>
  <c r="AB266" i="3"/>
  <c r="AA266" i="3"/>
  <c r="Z266" i="3"/>
  <c r="AD266" i="3" s="1"/>
  <c r="AE266" i="3" s="1"/>
  <c r="AC265" i="3"/>
  <c r="AB265" i="3"/>
  <c r="AA265" i="3"/>
  <c r="Z265" i="3"/>
  <c r="AC264" i="3"/>
  <c r="AB264" i="3"/>
  <c r="AA264" i="3"/>
  <c r="Z264" i="3"/>
  <c r="AC263" i="3"/>
  <c r="AB263" i="3"/>
  <c r="AA263" i="3"/>
  <c r="Z263" i="3"/>
  <c r="AC262" i="3"/>
  <c r="AB262" i="3"/>
  <c r="AA262" i="3"/>
  <c r="Z262" i="3"/>
  <c r="AC261" i="3"/>
  <c r="AB261" i="3"/>
  <c r="AA261" i="3"/>
  <c r="Z261" i="3"/>
  <c r="AC260" i="3"/>
  <c r="AB260" i="3"/>
  <c r="AA260" i="3"/>
  <c r="Z260" i="3"/>
  <c r="AC259" i="3"/>
  <c r="AB259" i="3"/>
  <c r="AA259" i="3"/>
  <c r="Z259" i="3"/>
  <c r="AC258" i="3"/>
  <c r="AB258" i="3"/>
  <c r="AA258" i="3"/>
  <c r="Z258" i="3"/>
  <c r="AC257" i="3"/>
  <c r="AB257" i="3"/>
  <c r="AA257" i="3"/>
  <c r="Z257" i="3"/>
  <c r="AC256" i="3"/>
  <c r="AB256" i="3"/>
  <c r="AA256" i="3"/>
  <c r="Z256" i="3"/>
  <c r="AC255" i="3"/>
  <c r="AB255" i="3"/>
  <c r="AA255" i="3"/>
  <c r="Z255" i="3"/>
  <c r="AC254" i="3"/>
  <c r="AB254" i="3"/>
  <c r="AA254" i="3"/>
  <c r="Z254" i="3"/>
  <c r="AC253" i="3"/>
  <c r="AB253" i="3"/>
  <c r="AA253" i="3"/>
  <c r="Z253" i="3"/>
  <c r="AC252" i="3"/>
  <c r="AB252" i="3"/>
  <c r="AA252" i="3"/>
  <c r="Z252" i="3"/>
  <c r="AC251" i="3"/>
  <c r="AB251" i="3"/>
  <c r="AA251" i="3"/>
  <c r="Z251" i="3"/>
  <c r="AD251" i="3" s="1"/>
  <c r="AE251" i="3" s="1"/>
  <c r="AC250" i="3"/>
  <c r="AD250" i="3" s="1"/>
  <c r="AE250" i="3" s="1"/>
  <c r="AB250" i="3"/>
  <c r="AA250" i="3"/>
  <c r="Z250" i="3"/>
  <c r="AC249" i="3"/>
  <c r="AB249" i="3"/>
  <c r="AA249" i="3"/>
  <c r="Z249" i="3"/>
  <c r="AC248" i="3"/>
  <c r="AB248" i="3"/>
  <c r="AA248" i="3"/>
  <c r="Z248" i="3"/>
  <c r="AD248" i="3" s="1"/>
  <c r="AE248" i="3" s="1"/>
  <c r="AC247" i="3"/>
  <c r="AD247" i="3" s="1"/>
  <c r="AE247" i="3" s="1"/>
  <c r="AB247" i="3"/>
  <c r="AA247" i="3"/>
  <c r="Z247" i="3"/>
  <c r="AC246" i="3"/>
  <c r="AB246" i="3"/>
  <c r="AA246" i="3"/>
  <c r="Z246" i="3"/>
  <c r="AC245" i="3"/>
  <c r="AB245" i="3"/>
  <c r="AA245" i="3"/>
  <c r="Z245" i="3"/>
  <c r="AC244" i="3"/>
  <c r="AB244" i="3"/>
  <c r="AA244" i="3"/>
  <c r="Z244" i="3"/>
  <c r="AC243" i="3"/>
  <c r="AB243" i="3"/>
  <c r="AA243" i="3"/>
  <c r="Z243" i="3"/>
  <c r="AC242" i="3"/>
  <c r="AB242" i="3"/>
  <c r="AA242" i="3"/>
  <c r="Z242" i="3"/>
  <c r="AC241" i="3"/>
  <c r="AD241" i="3" s="1"/>
  <c r="AE241" i="3" s="1"/>
  <c r="AB241" i="3"/>
  <c r="AA241" i="3"/>
  <c r="Z241" i="3"/>
  <c r="AC240" i="3"/>
  <c r="AB240" i="3"/>
  <c r="AA240" i="3"/>
  <c r="Z240" i="3"/>
  <c r="AC239" i="3"/>
  <c r="AB239" i="3"/>
  <c r="AA239" i="3"/>
  <c r="Z239" i="3"/>
  <c r="AC238" i="3"/>
  <c r="AB238" i="3"/>
  <c r="AA238" i="3"/>
  <c r="Z238" i="3"/>
  <c r="AC237" i="3"/>
  <c r="AB237" i="3"/>
  <c r="AA237" i="3"/>
  <c r="Z237" i="3"/>
  <c r="AC236" i="3"/>
  <c r="AB236" i="3"/>
  <c r="AA236" i="3"/>
  <c r="Z236" i="3"/>
  <c r="AD236" i="3" s="1"/>
  <c r="AE236" i="3" s="1"/>
  <c r="AC235" i="3"/>
  <c r="AD235" i="3" s="1"/>
  <c r="AE235" i="3" s="1"/>
  <c r="AB235" i="3"/>
  <c r="AA235" i="3"/>
  <c r="Z235" i="3"/>
  <c r="AC234" i="3"/>
  <c r="AB234" i="3"/>
  <c r="AA234" i="3"/>
  <c r="Z234" i="3"/>
  <c r="AC233" i="3"/>
  <c r="AB233" i="3"/>
  <c r="AA233" i="3"/>
  <c r="Z233" i="3"/>
  <c r="AC232" i="3"/>
  <c r="AB232" i="3"/>
  <c r="AA232" i="3"/>
  <c r="Z232" i="3"/>
  <c r="AC231" i="3"/>
  <c r="AB231" i="3"/>
  <c r="AA231" i="3"/>
  <c r="Z231" i="3"/>
  <c r="AC230" i="3"/>
  <c r="AB230" i="3"/>
  <c r="AA230" i="3"/>
  <c r="Z230" i="3"/>
  <c r="AC229" i="3"/>
  <c r="AD229" i="3" s="1"/>
  <c r="AE229" i="3" s="1"/>
  <c r="AB229" i="3"/>
  <c r="AA229" i="3"/>
  <c r="Z229" i="3"/>
  <c r="AC228" i="3"/>
  <c r="AB228" i="3"/>
  <c r="AA228" i="3"/>
  <c r="Z228" i="3"/>
  <c r="AC227" i="3"/>
  <c r="AB227" i="3"/>
  <c r="AA227" i="3"/>
  <c r="Z227" i="3"/>
  <c r="AC226" i="3"/>
  <c r="AB226" i="3"/>
  <c r="AA226" i="3"/>
  <c r="Z226" i="3"/>
  <c r="AC225" i="3"/>
  <c r="AB225" i="3"/>
  <c r="AA225" i="3"/>
  <c r="Z225" i="3"/>
  <c r="AC224" i="3"/>
  <c r="AB224" i="3"/>
  <c r="AA224" i="3"/>
  <c r="Z224" i="3"/>
  <c r="AD224" i="3" s="1"/>
  <c r="AE224" i="3" s="1"/>
  <c r="AC223" i="3"/>
  <c r="AB223" i="3"/>
  <c r="AA223" i="3"/>
  <c r="Z223" i="3"/>
  <c r="AC222" i="3"/>
  <c r="AB222" i="3"/>
  <c r="AA222" i="3"/>
  <c r="Z222" i="3"/>
  <c r="AC221" i="3"/>
  <c r="AB221" i="3"/>
  <c r="AA221" i="3"/>
  <c r="Z221" i="3"/>
  <c r="AD221" i="3" s="1"/>
  <c r="AE221" i="3" s="1"/>
  <c r="AC220" i="3"/>
  <c r="AB220" i="3"/>
  <c r="AA220" i="3"/>
  <c r="Z220" i="3"/>
  <c r="AC219" i="3"/>
  <c r="AB219" i="3"/>
  <c r="AA219" i="3"/>
  <c r="Z219" i="3"/>
  <c r="AC218" i="3"/>
  <c r="AB218" i="3"/>
  <c r="AA218" i="3"/>
  <c r="Z218" i="3"/>
  <c r="AC217" i="3"/>
  <c r="AB217" i="3"/>
  <c r="AA217" i="3"/>
  <c r="Z217" i="3"/>
  <c r="AC216" i="3"/>
  <c r="AB216" i="3"/>
  <c r="AA216" i="3"/>
  <c r="Z216" i="3"/>
  <c r="AC215" i="3"/>
  <c r="AB215" i="3"/>
  <c r="AA215" i="3"/>
  <c r="Z215" i="3"/>
  <c r="AD215" i="3" s="1"/>
  <c r="AE215" i="3" s="1"/>
  <c r="AC214" i="3"/>
  <c r="AB214" i="3"/>
  <c r="AA214" i="3"/>
  <c r="Z214" i="3"/>
  <c r="AC213" i="3"/>
  <c r="AB213" i="3"/>
  <c r="AA213" i="3"/>
  <c r="Z213" i="3"/>
  <c r="AC212" i="3"/>
  <c r="AB212" i="3"/>
  <c r="AA212" i="3"/>
  <c r="Z212" i="3"/>
  <c r="AD211" i="3"/>
  <c r="AE211" i="3" s="1"/>
  <c r="AC211" i="3"/>
  <c r="AB211" i="3"/>
  <c r="AA211" i="3"/>
  <c r="Z211" i="3"/>
  <c r="AC210" i="3"/>
  <c r="AB210" i="3"/>
  <c r="AA210" i="3"/>
  <c r="Z210" i="3"/>
  <c r="AC209" i="3"/>
  <c r="AB209" i="3"/>
  <c r="AA209" i="3"/>
  <c r="Z209" i="3"/>
  <c r="AC208" i="3"/>
  <c r="AB208" i="3"/>
  <c r="AA208" i="3"/>
  <c r="Z208" i="3"/>
  <c r="AC207" i="3"/>
  <c r="AB207" i="3"/>
  <c r="AA207" i="3"/>
  <c r="Z207" i="3"/>
  <c r="AC206" i="3"/>
  <c r="AB206" i="3"/>
  <c r="AA206" i="3"/>
  <c r="Z206" i="3"/>
  <c r="AC205" i="3"/>
  <c r="AB205" i="3"/>
  <c r="AA205" i="3"/>
  <c r="Z205" i="3"/>
  <c r="AC204" i="3"/>
  <c r="AB204" i="3"/>
  <c r="AA204" i="3"/>
  <c r="Z204" i="3"/>
  <c r="AC203" i="3"/>
  <c r="AB203" i="3"/>
  <c r="AA203" i="3"/>
  <c r="Z203" i="3"/>
  <c r="AC202" i="3"/>
  <c r="AB202" i="3"/>
  <c r="AA202" i="3"/>
  <c r="Z202" i="3"/>
  <c r="AC201" i="3"/>
  <c r="AB201" i="3"/>
  <c r="AA201" i="3"/>
  <c r="Z201" i="3"/>
  <c r="AC200" i="3"/>
  <c r="AB200" i="3"/>
  <c r="AA200" i="3"/>
  <c r="Z200" i="3"/>
  <c r="AC199" i="3"/>
  <c r="AB199" i="3"/>
  <c r="AA199" i="3"/>
  <c r="Z199" i="3"/>
  <c r="AC198" i="3"/>
  <c r="AB198" i="3"/>
  <c r="AA198" i="3"/>
  <c r="Z198" i="3"/>
  <c r="AC197" i="3"/>
  <c r="AB197" i="3"/>
  <c r="AA197" i="3"/>
  <c r="Z197" i="3"/>
  <c r="AC196" i="3"/>
  <c r="AB196" i="3"/>
  <c r="AA196" i="3"/>
  <c r="Z196" i="3"/>
  <c r="AC195" i="3"/>
  <c r="AB195" i="3"/>
  <c r="AA195" i="3"/>
  <c r="Z195" i="3"/>
  <c r="AC194" i="3"/>
  <c r="AB194" i="3"/>
  <c r="AA194" i="3"/>
  <c r="Z194" i="3"/>
  <c r="AC193" i="3"/>
  <c r="AB193" i="3"/>
  <c r="AA193" i="3"/>
  <c r="Z193" i="3"/>
  <c r="AC192" i="3"/>
  <c r="AB192" i="3"/>
  <c r="AA192" i="3"/>
  <c r="Z192" i="3"/>
  <c r="AC191" i="3"/>
  <c r="AB191" i="3"/>
  <c r="AA191" i="3"/>
  <c r="Z191" i="3"/>
  <c r="AC190" i="3"/>
  <c r="AB190" i="3"/>
  <c r="AA190" i="3"/>
  <c r="Z190" i="3"/>
  <c r="AC189" i="3"/>
  <c r="AB189" i="3"/>
  <c r="AA189" i="3"/>
  <c r="Z189" i="3"/>
  <c r="AC188" i="3"/>
  <c r="AB188" i="3"/>
  <c r="AA188" i="3"/>
  <c r="Z188" i="3"/>
  <c r="AC187" i="3"/>
  <c r="AB187" i="3"/>
  <c r="AA187" i="3"/>
  <c r="Z187" i="3"/>
  <c r="AC186" i="3"/>
  <c r="AB186" i="3"/>
  <c r="AA186" i="3"/>
  <c r="Z186" i="3"/>
  <c r="AC185" i="3"/>
  <c r="AB185" i="3"/>
  <c r="AA185" i="3"/>
  <c r="Z185" i="3"/>
  <c r="AD185" i="3" s="1"/>
  <c r="AE185" i="3" s="1"/>
  <c r="AC184" i="3"/>
  <c r="AB184" i="3"/>
  <c r="AA184" i="3"/>
  <c r="Z184" i="3"/>
  <c r="AC183" i="3"/>
  <c r="AB183" i="3"/>
  <c r="AA183" i="3"/>
  <c r="Z183" i="3"/>
  <c r="AC182" i="3"/>
  <c r="AB182" i="3"/>
  <c r="AA182" i="3"/>
  <c r="Z182" i="3"/>
  <c r="AD182" i="3" s="1"/>
  <c r="AE182" i="3" s="1"/>
  <c r="AC181" i="3"/>
  <c r="AB181" i="3"/>
  <c r="AA181" i="3"/>
  <c r="Z181" i="3"/>
  <c r="AC180" i="3"/>
  <c r="AB180" i="3"/>
  <c r="AA180" i="3"/>
  <c r="Z180" i="3"/>
  <c r="AC179" i="3"/>
  <c r="AB179" i="3"/>
  <c r="AA179" i="3"/>
  <c r="Z179" i="3"/>
  <c r="AC178" i="3"/>
  <c r="AB178" i="3"/>
  <c r="AA178" i="3"/>
  <c r="Z178" i="3"/>
  <c r="AC177" i="3"/>
  <c r="AB177" i="3"/>
  <c r="AA177" i="3"/>
  <c r="Z177" i="3"/>
  <c r="AC176" i="3"/>
  <c r="AB176" i="3"/>
  <c r="AA176" i="3"/>
  <c r="Z176" i="3"/>
  <c r="AD176" i="3" s="1"/>
  <c r="AE176" i="3" s="1"/>
  <c r="AC175" i="3"/>
  <c r="AB175" i="3"/>
  <c r="AA175" i="3"/>
  <c r="Z175" i="3"/>
  <c r="AC174" i="3"/>
  <c r="AB174" i="3"/>
  <c r="AA174" i="3"/>
  <c r="Z174" i="3"/>
  <c r="AC173" i="3"/>
  <c r="AB173" i="3"/>
  <c r="AA173" i="3"/>
  <c r="Z173" i="3"/>
  <c r="AD173" i="3" s="1"/>
  <c r="AE173" i="3" s="1"/>
  <c r="AC172" i="3"/>
  <c r="AB172" i="3"/>
  <c r="AA172" i="3"/>
  <c r="Z172" i="3"/>
  <c r="AC171" i="3"/>
  <c r="AB171" i="3"/>
  <c r="AA171" i="3"/>
  <c r="Z171" i="3"/>
  <c r="AC170" i="3"/>
  <c r="AB170" i="3"/>
  <c r="AA170" i="3"/>
  <c r="Z170" i="3"/>
  <c r="AC169" i="3"/>
  <c r="AB169" i="3"/>
  <c r="AA169" i="3"/>
  <c r="Z169" i="3"/>
  <c r="AC168" i="3"/>
  <c r="AB168" i="3"/>
  <c r="AA168" i="3"/>
  <c r="Z168" i="3"/>
  <c r="AC167" i="3"/>
  <c r="AB167" i="3"/>
  <c r="AA167" i="3"/>
  <c r="Z167" i="3"/>
  <c r="AC166" i="3"/>
  <c r="AB166" i="3"/>
  <c r="AA166" i="3"/>
  <c r="Z166" i="3"/>
  <c r="AC165" i="3"/>
  <c r="AB165" i="3"/>
  <c r="AD165" i="3" s="1"/>
  <c r="AE165" i="3" s="1"/>
  <c r="AA165" i="3"/>
  <c r="Z165" i="3"/>
  <c r="AC164" i="3"/>
  <c r="AB164" i="3"/>
  <c r="AA164" i="3"/>
  <c r="Z164" i="3"/>
  <c r="AC163" i="3"/>
  <c r="AB163" i="3"/>
  <c r="AD163" i="3" s="1"/>
  <c r="AE163" i="3" s="1"/>
  <c r="AA163" i="3"/>
  <c r="Z163" i="3"/>
  <c r="AC162" i="3"/>
  <c r="AB162" i="3"/>
  <c r="AA162" i="3"/>
  <c r="Z162" i="3"/>
  <c r="AC161" i="3"/>
  <c r="AB161" i="3"/>
  <c r="AA161" i="3"/>
  <c r="Z161" i="3"/>
  <c r="AD161" i="3" s="1"/>
  <c r="AE161" i="3" s="1"/>
  <c r="AC160" i="3"/>
  <c r="AB160" i="3"/>
  <c r="AA160" i="3"/>
  <c r="Z160" i="3"/>
  <c r="AC159" i="3"/>
  <c r="AB159" i="3"/>
  <c r="AA159" i="3"/>
  <c r="Z159" i="3"/>
  <c r="AC158" i="3"/>
  <c r="AB158" i="3"/>
  <c r="AA158" i="3"/>
  <c r="Z158" i="3"/>
  <c r="AC157" i="3"/>
  <c r="AB157" i="3"/>
  <c r="AA157" i="3"/>
  <c r="Z157" i="3"/>
  <c r="AC156" i="3"/>
  <c r="AB156" i="3"/>
  <c r="AA156" i="3"/>
  <c r="Z156" i="3"/>
  <c r="AC155" i="3"/>
  <c r="AB155" i="3"/>
  <c r="AA155" i="3"/>
  <c r="Z155" i="3"/>
  <c r="AC154" i="3"/>
  <c r="AB154" i="3"/>
  <c r="AA154" i="3"/>
  <c r="Z154" i="3"/>
  <c r="AC153" i="3"/>
  <c r="AB153" i="3"/>
  <c r="AA153" i="3"/>
  <c r="Z153" i="3"/>
  <c r="AC152" i="3"/>
  <c r="AB152" i="3"/>
  <c r="AA152" i="3"/>
  <c r="Z152" i="3"/>
  <c r="AC151" i="3"/>
  <c r="AB151" i="3"/>
  <c r="AA151" i="3"/>
  <c r="Z151" i="3"/>
  <c r="AD151" i="3" s="1"/>
  <c r="AE151" i="3" s="1"/>
  <c r="AC150" i="3"/>
  <c r="AB150" i="3"/>
  <c r="AA150" i="3"/>
  <c r="Z150" i="3"/>
  <c r="AD150" i="3" s="1"/>
  <c r="AE150" i="3" s="1"/>
  <c r="AC149" i="3"/>
  <c r="AB149" i="3"/>
  <c r="AA149" i="3"/>
  <c r="AD149" i="3" s="1"/>
  <c r="AE149" i="3" s="1"/>
  <c r="Z149" i="3"/>
  <c r="AC148" i="3"/>
  <c r="AB148" i="3"/>
  <c r="AA148" i="3"/>
  <c r="Z148" i="3"/>
  <c r="AC147" i="3"/>
  <c r="AB147" i="3"/>
  <c r="AA147" i="3"/>
  <c r="Z147" i="3"/>
  <c r="AC146" i="3"/>
  <c r="AB146" i="3"/>
  <c r="AA146" i="3"/>
  <c r="Z146" i="3"/>
  <c r="AC145" i="3"/>
  <c r="AB145" i="3"/>
  <c r="AA145" i="3"/>
  <c r="Z145" i="3"/>
  <c r="AC144" i="3"/>
  <c r="AB144" i="3"/>
  <c r="AA144" i="3"/>
  <c r="Z144" i="3"/>
  <c r="AC143" i="3"/>
  <c r="AB143" i="3"/>
  <c r="AA143" i="3"/>
  <c r="Z143" i="3"/>
  <c r="AC142" i="3"/>
  <c r="AB142" i="3"/>
  <c r="AA142" i="3"/>
  <c r="Z142" i="3"/>
  <c r="AC141" i="3"/>
  <c r="AB141" i="3"/>
  <c r="AA141" i="3"/>
  <c r="Z141" i="3"/>
  <c r="AC140" i="3"/>
  <c r="AB140" i="3"/>
  <c r="AA140" i="3"/>
  <c r="Z140" i="3"/>
  <c r="AC139" i="3"/>
  <c r="AB139" i="3"/>
  <c r="AA139" i="3"/>
  <c r="Z139" i="3"/>
  <c r="AD139" i="3" s="1"/>
  <c r="AE139" i="3" s="1"/>
  <c r="AC138" i="3"/>
  <c r="AB138" i="3"/>
  <c r="AA138" i="3"/>
  <c r="Z138" i="3"/>
  <c r="AC137" i="3"/>
  <c r="AB137" i="3"/>
  <c r="AA137" i="3"/>
  <c r="Z137" i="3"/>
  <c r="AD137" i="3" s="1"/>
  <c r="AE137" i="3" s="1"/>
  <c r="AC136" i="3"/>
  <c r="AB136" i="3"/>
  <c r="AA136" i="3"/>
  <c r="Z136" i="3"/>
  <c r="AD136" i="3" s="1"/>
  <c r="AE136" i="3" s="1"/>
  <c r="AC135" i="3"/>
  <c r="AB135" i="3"/>
  <c r="AA135" i="3"/>
  <c r="Z135" i="3"/>
  <c r="AC134" i="3"/>
  <c r="AB134" i="3"/>
  <c r="AA134" i="3"/>
  <c r="Z134" i="3"/>
  <c r="AC133" i="3"/>
  <c r="AB133" i="3"/>
  <c r="AA133" i="3"/>
  <c r="Z133" i="3"/>
  <c r="AC132" i="3"/>
  <c r="AB132" i="3"/>
  <c r="AA132" i="3"/>
  <c r="Z132" i="3"/>
  <c r="AC131" i="3"/>
  <c r="AB131" i="3"/>
  <c r="AA131" i="3"/>
  <c r="Z131" i="3"/>
  <c r="AC130" i="3"/>
  <c r="AB130" i="3"/>
  <c r="AA130" i="3"/>
  <c r="Z130" i="3"/>
  <c r="AC129" i="3"/>
  <c r="AB129" i="3"/>
  <c r="AA129" i="3"/>
  <c r="Z129" i="3"/>
  <c r="AC128" i="3"/>
  <c r="AB128" i="3"/>
  <c r="AA128" i="3"/>
  <c r="Z128" i="3"/>
  <c r="AC127" i="3"/>
  <c r="AB127" i="3"/>
  <c r="AA127" i="3"/>
  <c r="Z127" i="3"/>
  <c r="AD127" i="3" s="1"/>
  <c r="AE127" i="3" s="1"/>
  <c r="AC126" i="3"/>
  <c r="AB126" i="3"/>
  <c r="AA126" i="3"/>
  <c r="Z126" i="3"/>
  <c r="AC125" i="3"/>
  <c r="AB125" i="3"/>
  <c r="AA125" i="3"/>
  <c r="Z125" i="3"/>
  <c r="AC124" i="3"/>
  <c r="AB124" i="3"/>
  <c r="AA124" i="3"/>
  <c r="Z124" i="3"/>
  <c r="AC123" i="3"/>
  <c r="AB123" i="3"/>
  <c r="AA123" i="3"/>
  <c r="Z123" i="3"/>
  <c r="AC122" i="3"/>
  <c r="AB122" i="3"/>
  <c r="AA122" i="3"/>
  <c r="Z122" i="3"/>
  <c r="AC121" i="3"/>
  <c r="AB121" i="3"/>
  <c r="AA121" i="3"/>
  <c r="Z121" i="3"/>
  <c r="AD121" i="3" s="1"/>
  <c r="AE121" i="3" s="1"/>
  <c r="AC120" i="3"/>
  <c r="AB120" i="3"/>
  <c r="AA120" i="3"/>
  <c r="Z120" i="3"/>
  <c r="AC119" i="3"/>
  <c r="AB119" i="3"/>
  <c r="AA119" i="3"/>
  <c r="Z119" i="3"/>
  <c r="AC118" i="3"/>
  <c r="AB118" i="3"/>
  <c r="AA118" i="3"/>
  <c r="Z118" i="3"/>
  <c r="AC117" i="3"/>
  <c r="AB117" i="3"/>
  <c r="AA117" i="3"/>
  <c r="Z117" i="3"/>
  <c r="AC116" i="3"/>
  <c r="AB116" i="3"/>
  <c r="AA116" i="3"/>
  <c r="Z116" i="3"/>
  <c r="AC115" i="3"/>
  <c r="AB115" i="3"/>
  <c r="AA115" i="3"/>
  <c r="Z115" i="3"/>
  <c r="AD115" i="3" s="1"/>
  <c r="AE115" i="3" s="1"/>
  <c r="AC114" i="3"/>
  <c r="AB114" i="3"/>
  <c r="AA114" i="3"/>
  <c r="Z114" i="3"/>
  <c r="AC113" i="3"/>
  <c r="AB113" i="3"/>
  <c r="AA113" i="3"/>
  <c r="Z113" i="3"/>
  <c r="AC112" i="3"/>
  <c r="AB112" i="3"/>
  <c r="AA112" i="3"/>
  <c r="Z112" i="3"/>
  <c r="AC111" i="3"/>
  <c r="AB111" i="3"/>
  <c r="AA111" i="3"/>
  <c r="Z111" i="3"/>
  <c r="AC110" i="3"/>
  <c r="AB110" i="3"/>
  <c r="AA110" i="3"/>
  <c r="Z110" i="3"/>
  <c r="AC109" i="3"/>
  <c r="AB109" i="3"/>
  <c r="AA109" i="3"/>
  <c r="Z109" i="3"/>
  <c r="AD109" i="3" s="1"/>
  <c r="AE109" i="3" s="1"/>
  <c r="AC108" i="3"/>
  <c r="AB108" i="3"/>
  <c r="AA108" i="3"/>
  <c r="Z108" i="3"/>
  <c r="AC107" i="3"/>
  <c r="AB107" i="3"/>
  <c r="AA107" i="3"/>
  <c r="Z107" i="3"/>
  <c r="AC106" i="3"/>
  <c r="AB106" i="3"/>
  <c r="AA106" i="3"/>
  <c r="Z106" i="3"/>
  <c r="AC105" i="3"/>
  <c r="AB105" i="3"/>
  <c r="AA105" i="3"/>
  <c r="Z105" i="3"/>
  <c r="AC104" i="3"/>
  <c r="AB104" i="3"/>
  <c r="AA104" i="3"/>
  <c r="Z104" i="3"/>
  <c r="AC103" i="3"/>
  <c r="AB103" i="3"/>
  <c r="AA103" i="3"/>
  <c r="Z103" i="3"/>
  <c r="AD103" i="3" s="1"/>
  <c r="AE103" i="3" s="1"/>
  <c r="AC102" i="3"/>
  <c r="AB102" i="3"/>
  <c r="AA102" i="3"/>
  <c r="Z102" i="3"/>
  <c r="AC101" i="3"/>
  <c r="AB101" i="3"/>
  <c r="AA101" i="3"/>
  <c r="Z101" i="3"/>
  <c r="AC100" i="3"/>
  <c r="AB100" i="3"/>
  <c r="AA100" i="3"/>
  <c r="Z100" i="3"/>
  <c r="AC99" i="3"/>
  <c r="AB99" i="3"/>
  <c r="AA99" i="3"/>
  <c r="Z99" i="3"/>
  <c r="AC98" i="3"/>
  <c r="AB98" i="3"/>
  <c r="AA98" i="3"/>
  <c r="Z98" i="3"/>
  <c r="AC97" i="3"/>
  <c r="AB97" i="3"/>
  <c r="AA97" i="3"/>
  <c r="Z97" i="3"/>
  <c r="AD97" i="3" s="1"/>
  <c r="AE97" i="3" s="1"/>
  <c r="AC96" i="3"/>
  <c r="AB96" i="3"/>
  <c r="AA96" i="3"/>
  <c r="Z96" i="3"/>
  <c r="AC95" i="3"/>
  <c r="AB95" i="3"/>
  <c r="AA95" i="3"/>
  <c r="Z95" i="3"/>
  <c r="AC94" i="3"/>
  <c r="AB94" i="3"/>
  <c r="AA94" i="3"/>
  <c r="Z94" i="3"/>
  <c r="AC93" i="3"/>
  <c r="AB93" i="3"/>
  <c r="AA93" i="3"/>
  <c r="Z93" i="3"/>
  <c r="AC92" i="3"/>
  <c r="AB92" i="3"/>
  <c r="AA92" i="3"/>
  <c r="Z92" i="3"/>
  <c r="AC91" i="3"/>
  <c r="AB91" i="3"/>
  <c r="AA91" i="3"/>
  <c r="Z91" i="3"/>
  <c r="AD91" i="3" s="1"/>
  <c r="AE91" i="3" s="1"/>
  <c r="AC90" i="3"/>
  <c r="AB90" i="3"/>
  <c r="AA90" i="3"/>
  <c r="Z90" i="3"/>
  <c r="AC89" i="3"/>
  <c r="AB89" i="3"/>
  <c r="AA89" i="3"/>
  <c r="Z89" i="3"/>
  <c r="AC88" i="3"/>
  <c r="AB88" i="3"/>
  <c r="AA88" i="3"/>
  <c r="Z88" i="3"/>
  <c r="AC87" i="3"/>
  <c r="AB87" i="3"/>
  <c r="AA87" i="3"/>
  <c r="Z87" i="3"/>
  <c r="AC86" i="3"/>
  <c r="AB86" i="3"/>
  <c r="AA86" i="3"/>
  <c r="Z86" i="3"/>
  <c r="AC85" i="3"/>
  <c r="AB85" i="3"/>
  <c r="AA85" i="3"/>
  <c r="Z85" i="3"/>
  <c r="AD85" i="3" s="1"/>
  <c r="AE85" i="3" s="1"/>
  <c r="AC84" i="3"/>
  <c r="AB84" i="3"/>
  <c r="AA84" i="3"/>
  <c r="Z84" i="3"/>
  <c r="AC83" i="3"/>
  <c r="AB83" i="3"/>
  <c r="AA83" i="3"/>
  <c r="Z83" i="3"/>
  <c r="AC82" i="3"/>
  <c r="AB82" i="3"/>
  <c r="AA82" i="3"/>
  <c r="Z82" i="3"/>
  <c r="AC81" i="3"/>
  <c r="AB81" i="3"/>
  <c r="AA81" i="3"/>
  <c r="Z81" i="3"/>
  <c r="AC80" i="3"/>
  <c r="AB80" i="3"/>
  <c r="AA80" i="3"/>
  <c r="Z80" i="3"/>
  <c r="AC79" i="3"/>
  <c r="AB79" i="3"/>
  <c r="AA79" i="3"/>
  <c r="Z79" i="3"/>
  <c r="AD79" i="3" s="1"/>
  <c r="AE79" i="3" s="1"/>
  <c r="AC78" i="3"/>
  <c r="AB78" i="3"/>
  <c r="AA78" i="3"/>
  <c r="Z78" i="3"/>
  <c r="AC77" i="3"/>
  <c r="AB77" i="3"/>
  <c r="AA77" i="3"/>
  <c r="Z77" i="3"/>
  <c r="AC76" i="3"/>
  <c r="AB76" i="3"/>
  <c r="AA76" i="3"/>
  <c r="Z76" i="3"/>
  <c r="AD76" i="3" s="1"/>
  <c r="AE76" i="3" s="1"/>
  <c r="AC75" i="3"/>
  <c r="AB75" i="3"/>
  <c r="AA75" i="3"/>
  <c r="Z75" i="3"/>
  <c r="AC74" i="3"/>
  <c r="AB74" i="3"/>
  <c r="AA74" i="3"/>
  <c r="Z74" i="3"/>
  <c r="AC73" i="3"/>
  <c r="AB73" i="3"/>
  <c r="AA73" i="3"/>
  <c r="Z73" i="3"/>
  <c r="AD73" i="3" s="1"/>
  <c r="AE73" i="3" s="1"/>
  <c r="AC72" i="3"/>
  <c r="AB72" i="3"/>
  <c r="AA72" i="3"/>
  <c r="Z72" i="3"/>
  <c r="AC71" i="3"/>
  <c r="AB71" i="3"/>
  <c r="AA71" i="3"/>
  <c r="Z71" i="3"/>
  <c r="AC70" i="3"/>
  <c r="AB70" i="3"/>
  <c r="AA70" i="3"/>
  <c r="Z70" i="3"/>
  <c r="AD70" i="3" s="1"/>
  <c r="AE70" i="3" s="1"/>
  <c r="AC69" i="3"/>
  <c r="AB69" i="3"/>
  <c r="AA69" i="3"/>
  <c r="Z69" i="3"/>
  <c r="AC68" i="3"/>
  <c r="AB68" i="3"/>
  <c r="AA68" i="3"/>
  <c r="Z68" i="3"/>
  <c r="AC67" i="3"/>
  <c r="AB67" i="3"/>
  <c r="AA67" i="3"/>
  <c r="Z67" i="3"/>
  <c r="AD67" i="3" s="1"/>
  <c r="AE67" i="3" s="1"/>
  <c r="AC66" i="3"/>
  <c r="AB66" i="3"/>
  <c r="AA66" i="3"/>
  <c r="Z66" i="3"/>
  <c r="AC65" i="3"/>
  <c r="AB65" i="3"/>
  <c r="AA65" i="3"/>
  <c r="Z65" i="3"/>
  <c r="AC64" i="3"/>
  <c r="AB64" i="3"/>
  <c r="AA64" i="3"/>
  <c r="Z64" i="3"/>
  <c r="AD64" i="3" s="1"/>
  <c r="AE64" i="3" s="1"/>
  <c r="AC63" i="3"/>
  <c r="AB63" i="3"/>
  <c r="AA63" i="3"/>
  <c r="Z63" i="3"/>
  <c r="AC62" i="3"/>
  <c r="AB62" i="3"/>
  <c r="AA62" i="3"/>
  <c r="Z62" i="3"/>
  <c r="AC61" i="3"/>
  <c r="AB61" i="3"/>
  <c r="AA61" i="3"/>
  <c r="Z61" i="3"/>
  <c r="AD61" i="3" s="1"/>
  <c r="AE61" i="3" s="1"/>
  <c r="AC60" i="3"/>
  <c r="AB60" i="3"/>
  <c r="AA60" i="3"/>
  <c r="Z60" i="3"/>
  <c r="AC59" i="3"/>
  <c r="AB59" i="3"/>
  <c r="AA59" i="3"/>
  <c r="Z59" i="3"/>
  <c r="AC58" i="3"/>
  <c r="AB58" i="3"/>
  <c r="AA58" i="3"/>
  <c r="Z58" i="3"/>
  <c r="AD58" i="3" s="1"/>
  <c r="AE58" i="3" s="1"/>
  <c r="AC57" i="3"/>
  <c r="AB57" i="3"/>
  <c r="AA57" i="3"/>
  <c r="Z57" i="3"/>
  <c r="AC56" i="3"/>
  <c r="AB56" i="3"/>
  <c r="AA56" i="3"/>
  <c r="Z56" i="3"/>
  <c r="AC55" i="3"/>
  <c r="AB55" i="3"/>
  <c r="AA55" i="3"/>
  <c r="Z55" i="3"/>
  <c r="AD55" i="3" s="1"/>
  <c r="AE55" i="3" s="1"/>
  <c r="AC54" i="3"/>
  <c r="AB54" i="3"/>
  <c r="AA54" i="3"/>
  <c r="Z54" i="3"/>
  <c r="AC53" i="3"/>
  <c r="AB53" i="3"/>
  <c r="AA53" i="3"/>
  <c r="Z53" i="3"/>
  <c r="AC52" i="3"/>
  <c r="AB52" i="3"/>
  <c r="AA52" i="3"/>
  <c r="Z52" i="3"/>
  <c r="AC51" i="3"/>
  <c r="AB51" i="3"/>
  <c r="AA51" i="3"/>
  <c r="Z51" i="3"/>
  <c r="AC50" i="3"/>
  <c r="AB50" i="3"/>
  <c r="AA50" i="3"/>
  <c r="Z50" i="3"/>
  <c r="AC49" i="3"/>
  <c r="AB49" i="3"/>
  <c r="AA49" i="3"/>
  <c r="Z49" i="3"/>
  <c r="AD49" i="3" s="1"/>
  <c r="AE49" i="3" s="1"/>
  <c r="AC48" i="3"/>
  <c r="AB48" i="3"/>
  <c r="AA48" i="3"/>
  <c r="Z48" i="3"/>
  <c r="AC47" i="3"/>
  <c r="AB47" i="3"/>
  <c r="AA47" i="3"/>
  <c r="Z47" i="3"/>
  <c r="AC46" i="3"/>
  <c r="AB46" i="3"/>
  <c r="AA46" i="3"/>
  <c r="Z46" i="3"/>
  <c r="AD46" i="3" s="1"/>
  <c r="AE46" i="3" s="1"/>
  <c r="AC45" i="3"/>
  <c r="AB45" i="3"/>
  <c r="AA45" i="3"/>
  <c r="Z45" i="3"/>
  <c r="AC44" i="3"/>
  <c r="AB44" i="3"/>
  <c r="AA44" i="3"/>
  <c r="Z44" i="3"/>
  <c r="AC43" i="3"/>
  <c r="AB43" i="3"/>
  <c r="AA43" i="3"/>
  <c r="Z43" i="3"/>
  <c r="AD43" i="3" s="1"/>
  <c r="AE43" i="3" s="1"/>
  <c r="AC42" i="3"/>
  <c r="AB42" i="3"/>
  <c r="AA42" i="3"/>
  <c r="Z42" i="3"/>
  <c r="AC41" i="3"/>
  <c r="AB41" i="3"/>
  <c r="AA41" i="3"/>
  <c r="Z41" i="3"/>
  <c r="AC40" i="3"/>
  <c r="AB40" i="3"/>
  <c r="AA40" i="3"/>
  <c r="Z40" i="3"/>
  <c r="AD40" i="3" s="1"/>
  <c r="AE40" i="3" s="1"/>
  <c r="AC39" i="3"/>
  <c r="AB39" i="3"/>
  <c r="AA39" i="3"/>
  <c r="Z39" i="3"/>
  <c r="AC38" i="3"/>
  <c r="AB38" i="3"/>
  <c r="AA38" i="3"/>
  <c r="Z38" i="3"/>
  <c r="AC37" i="3"/>
  <c r="AB37" i="3"/>
  <c r="AA37" i="3"/>
  <c r="Z37" i="3"/>
  <c r="AD37" i="3" s="1"/>
  <c r="AE37" i="3" s="1"/>
  <c r="AC36" i="3"/>
  <c r="AB36" i="3"/>
  <c r="AA36" i="3"/>
  <c r="Z36" i="3"/>
  <c r="AC35" i="3"/>
  <c r="AB35" i="3"/>
  <c r="AA35" i="3"/>
  <c r="Z35" i="3"/>
  <c r="AC34" i="3"/>
  <c r="AB34" i="3"/>
  <c r="AA34" i="3"/>
  <c r="Z34" i="3"/>
  <c r="AC33" i="3"/>
  <c r="AB33" i="3"/>
  <c r="AA33" i="3"/>
  <c r="Z33" i="3"/>
  <c r="AC32" i="3"/>
  <c r="AB32" i="3"/>
  <c r="AA32" i="3"/>
  <c r="Z32" i="3"/>
  <c r="AC31" i="3"/>
  <c r="AB31" i="3"/>
  <c r="AA31" i="3"/>
  <c r="Z31" i="3"/>
  <c r="AD31" i="3" s="1"/>
  <c r="AE31" i="3" s="1"/>
  <c r="AC30" i="3"/>
  <c r="AB30" i="3"/>
  <c r="AA30" i="3"/>
  <c r="Z30" i="3"/>
  <c r="AC29" i="3"/>
  <c r="AB29" i="3"/>
  <c r="AA29" i="3"/>
  <c r="Z29" i="3"/>
  <c r="AC28" i="3"/>
  <c r="AB28" i="3"/>
  <c r="AA28" i="3"/>
  <c r="Z28" i="3"/>
  <c r="AC27" i="3"/>
  <c r="AB27" i="3"/>
  <c r="AA27" i="3"/>
  <c r="Z27" i="3"/>
  <c r="AC26" i="3"/>
  <c r="AB26" i="3"/>
  <c r="AA26" i="3"/>
  <c r="Z26" i="3"/>
  <c r="AC25" i="3"/>
  <c r="AB25" i="3"/>
  <c r="AA25" i="3"/>
  <c r="Z25" i="3"/>
  <c r="AD25" i="3" s="1"/>
  <c r="AE25" i="3" s="1"/>
  <c r="AC24" i="3"/>
  <c r="AB24" i="3"/>
  <c r="AA24" i="3"/>
  <c r="Z24" i="3"/>
  <c r="AC23" i="3"/>
  <c r="AB23" i="3"/>
  <c r="AA23" i="3"/>
  <c r="Z23" i="3"/>
  <c r="AC22" i="3"/>
  <c r="AB22" i="3"/>
  <c r="AA22" i="3"/>
  <c r="Z22" i="3"/>
  <c r="AC21" i="3"/>
  <c r="AB21" i="3"/>
  <c r="AA21" i="3"/>
  <c r="Z21" i="3"/>
  <c r="AC20" i="3"/>
  <c r="AB20" i="3"/>
  <c r="AA20" i="3"/>
  <c r="Z20" i="3"/>
  <c r="AC19" i="3"/>
  <c r="AB19" i="3"/>
  <c r="AA19" i="3"/>
  <c r="Z19" i="3"/>
  <c r="AD19" i="3" s="1"/>
  <c r="AE19" i="3" s="1"/>
  <c r="AC18" i="3"/>
  <c r="AB18" i="3"/>
  <c r="AA18" i="3"/>
  <c r="Z18" i="3"/>
  <c r="AC17" i="3"/>
  <c r="AB17" i="3"/>
  <c r="AA17" i="3"/>
  <c r="Z17" i="3"/>
  <c r="AC16" i="3"/>
  <c r="AB16" i="3"/>
  <c r="AA16" i="3"/>
  <c r="Z16" i="3"/>
  <c r="AC15" i="3"/>
  <c r="AB15" i="3"/>
  <c r="AA15" i="3"/>
  <c r="Z15" i="3"/>
  <c r="AC14" i="3"/>
  <c r="AB14" i="3"/>
  <c r="AA14" i="3"/>
  <c r="Z14" i="3"/>
  <c r="AC13" i="3"/>
  <c r="AB13" i="3"/>
  <c r="AA13" i="3"/>
  <c r="Z13" i="3"/>
  <c r="AD13" i="3" s="1"/>
  <c r="AE13" i="3" s="1"/>
  <c r="AC12" i="3"/>
  <c r="AB12" i="3"/>
  <c r="AA12" i="3"/>
  <c r="Z12" i="3"/>
  <c r="AC11" i="3"/>
  <c r="AB11" i="3"/>
  <c r="AA11" i="3"/>
  <c r="Z11" i="3"/>
  <c r="AC10" i="3"/>
  <c r="AB10" i="3"/>
  <c r="AA10" i="3"/>
  <c r="Z10" i="3"/>
  <c r="AC9" i="3"/>
  <c r="AB9" i="3"/>
  <c r="AA9" i="3"/>
  <c r="Z9" i="3"/>
  <c r="AC8" i="3"/>
  <c r="AB8" i="3"/>
  <c r="AA8" i="3"/>
  <c r="Z8" i="3"/>
  <c r="AC7" i="3"/>
  <c r="AB7" i="3"/>
  <c r="AA7" i="3"/>
  <c r="Z7" i="3"/>
  <c r="AD7" i="3" s="1"/>
  <c r="AE7" i="3" s="1"/>
  <c r="AC6" i="3"/>
  <c r="AB6" i="3"/>
  <c r="AA6" i="3"/>
  <c r="Z6" i="3"/>
  <c r="AC5" i="3"/>
  <c r="AB5" i="3"/>
  <c r="AA5" i="3"/>
  <c r="Z5" i="3"/>
  <c r="AC4" i="3"/>
  <c r="AB4" i="3"/>
  <c r="AA4" i="3"/>
  <c r="Z4" i="3"/>
  <c r="AC3" i="3"/>
  <c r="AB3" i="3"/>
  <c r="AA3" i="3"/>
  <c r="Z3" i="3"/>
  <c r="AC2" i="3"/>
  <c r="AB2" i="3"/>
  <c r="AA2" i="3"/>
  <c r="Z2" i="3"/>
  <c r="J78" i="15"/>
  <c r="I78" i="15"/>
  <c r="G78" i="15"/>
  <c r="H78" i="15" s="1"/>
  <c r="F78" i="15"/>
  <c r="E78" i="15"/>
  <c r="D78" i="15"/>
  <c r="C78" i="15"/>
  <c r="B78" i="15"/>
  <c r="J77" i="15"/>
  <c r="I77" i="15"/>
  <c r="G77" i="15"/>
  <c r="H77" i="15" s="1"/>
  <c r="F77" i="15"/>
  <c r="E77" i="15"/>
  <c r="D77" i="15"/>
  <c r="C77" i="15"/>
  <c r="B77" i="15"/>
  <c r="J76" i="15"/>
  <c r="I76" i="15"/>
  <c r="G76" i="15"/>
  <c r="H76" i="15" s="1"/>
  <c r="F76" i="15"/>
  <c r="E76" i="15"/>
  <c r="D76" i="15"/>
  <c r="C76" i="15"/>
  <c r="B76" i="15"/>
  <c r="J75" i="15"/>
  <c r="I75" i="15"/>
  <c r="G75" i="15"/>
  <c r="H75" i="15" s="1"/>
  <c r="F75" i="15"/>
  <c r="E75" i="15"/>
  <c r="D75" i="15"/>
  <c r="C75" i="15"/>
  <c r="B75" i="15"/>
  <c r="J74" i="15"/>
  <c r="I74" i="15"/>
  <c r="H74" i="15"/>
  <c r="G74" i="15"/>
  <c r="F74" i="15"/>
  <c r="E74" i="15"/>
  <c r="D74" i="15"/>
  <c r="C74" i="15"/>
  <c r="B74" i="15"/>
  <c r="J73" i="15"/>
  <c r="I73" i="15"/>
  <c r="G73" i="15"/>
  <c r="H73" i="15" s="1"/>
  <c r="F73" i="15"/>
  <c r="E73" i="15"/>
  <c r="D73" i="15"/>
  <c r="C73" i="15"/>
  <c r="B73" i="15"/>
  <c r="J72" i="15"/>
  <c r="I72" i="15"/>
  <c r="G72" i="15"/>
  <c r="H72" i="15" s="1"/>
  <c r="F72" i="15"/>
  <c r="E72" i="15"/>
  <c r="D72" i="15"/>
  <c r="C72" i="15"/>
  <c r="B72" i="15"/>
  <c r="J71" i="15"/>
  <c r="I71" i="15"/>
  <c r="G71" i="15"/>
  <c r="H71" i="15" s="1"/>
  <c r="F71" i="15"/>
  <c r="E71" i="15"/>
  <c r="D71" i="15"/>
  <c r="C71" i="15"/>
  <c r="B71" i="15"/>
  <c r="J70" i="15"/>
  <c r="I70" i="15"/>
  <c r="G70" i="15"/>
  <c r="H70" i="15" s="1"/>
  <c r="F70" i="15"/>
  <c r="E70" i="15"/>
  <c r="D70" i="15"/>
  <c r="C70" i="15"/>
  <c r="B70" i="15"/>
  <c r="J69" i="15"/>
  <c r="I69" i="15"/>
  <c r="G69" i="15"/>
  <c r="H69" i="15" s="1"/>
  <c r="F69" i="15"/>
  <c r="E69" i="15"/>
  <c r="D69" i="15"/>
  <c r="C69" i="15"/>
  <c r="B69" i="15"/>
  <c r="J68" i="15"/>
  <c r="I68" i="15"/>
  <c r="G68" i="15"/>
  <c r="H68" i="15" s="1"/>
  <c r="F68" i="15"/>
  <c r="E68" i="15"/>
  <c r="D68" i="15"/>
  <c r="C68" i="15"/>
  <c r="B68" i="15"/>
  <c r="J67" i="15"/>
  <c r="I67" i="15"/>
  <c r="G67" i="15"/>
  <c r="H67" i="15" s="1"/>
  <c r="F67" i="15"/>
  <c r="E67" i="15"/>
  <c r="D67" i="15"/>
  <c r="C67" i="15"/>
  <c r="B67" i="15"/>
  <c r="J66" i="15"/>
  <c r="I66" i="15"/>
  <c r="G66" i="15"/>
  <c r="H66" i="15" s="1"/>
  <c r="F66" i="15"/>
  <c r="E66" i="15"/>
  <c r="D66" i="15"/>
  <c r="C66" i="15"/>
  <c r="B66" i="15"/>
  <c r="J65" i="15"/>
  <c r="I65" i="15"/>
  <c r="I79" i="15" s="1"/>
  <c r="G65" i="15"/>
  <c r="F65" i="15"/>
  <c r="E65" i="15"/>
  <c r="D65" i="15"/>
  <c r="C65" i="15"/>
  <c r="B65" i="15"/>
  <c r="J59" i="15"/>
  <c r="I59" i="15"/>
  <c r="G59" i="15"/>
  <c r="H59" i="15" s="1"/>
  <c r="F59" i="15"/>
  <c r="E59" i="15"/>
  <c r="D59" i="15"/>
  <c r="C59" i="15"/>
  <c r="B59" i="15"/>
  <c r="J58" i="15"/>
  <c r="I58" i="15"/>
  <c r="G58" i="15"/>
  <c r="H58" i="15" s="1"/>
  <c r="F58" i="15"/>
  <c r="E58" i="15"/>
  <c r="D58" i="15"/>
  <c r="C58" i="15"/>
  <c r="B58" i="15"/>
  <c r="J57" i="15"/>
  <c r="I57" i="15"/>
  <c r="G57" i="15"/>
  <c r="H57" i="15" s="1"/>
  <c r="F57" i="15"/>
  <c r="E57" i="15"/>
  <c r="D57" i="15"/>
  <c r="C57" i="15"/>
  <c r="B57" i="15"/>
  <c r="J56" i="15"/>
  <c r="I56" i="15"/>
  <c r="G56" i="15"/>
  <c r="H56" i="15" s="1"/>
  <c r="F56" i="15"/>
  <c r="E56" i="15"/>
  <c r="D56" i="15"/>
  <c r="C56" i="15"/>
  <c r="B56" i="15"/>
  <c r="J55" i="15"/>
  <c r="I55" i="15"/>
  <c r="H55" i="15"/>
  <c r="G55" i="15"/>
  <c r="F55" i="15"/>
  <c r="E55" i="15"/>
  <c r="D55" i="15"/>
  <c r="C55" i="15"/>
  <c r="B55" i="15"/>
  <c r="J54" i="15"/>
  <c r="I54" i="15"/>
  <c r="H54" i="15"/>
  <c r="G54" i="15"/>
  <c r="F54" i="15"/>
  <c r="E54" i="15"/>
  <c r="D54" i="15"/>
  <c r="C54" i="15"/>
  <c r="B54" i="15"/>
  <c r="J53" i="15"/>
  <c r="I53" i="15"/>
  <c r="G53" i="15"/>
  <c r="H53" i="15" s="1"/>
  <c r="F53" i="15"/>
  <c r="E53" i="15"/>
  <c r="D53" i="15"/>
  <c r="C53" i="15"/>
  <c r="B53" i="15"/>
  <c r="J52" i="15"/>
  <c r="I52" i="15"/>
  <c r="G52" i="15"/>
  <c r="H52" i="15" s="1"/>
  <c r="F52" i="15"/>
  <c r="E52" i="15"/>
  <c r="D52" i="15"/>
  <c r="C52" i="15"/>
  <c r="B52" i="15"/>
  <c r="J51" i="15"/>
  <c r="I51" i="15"/>
  <c r="H51" i="15"/>
  <c r="G51" i="15"/>
  <c r="F51" i="15"/>
  <c r="E51" i="15"/>
  <c r="D51" i="15"/>
  <c r="C51" i="15"/>
  <c r="B51" i="15"/>
  <c r="J50" i="15"/>
  <c r="I50" i="15"/>
  <c r="H50" i="15"/>
  <c r="G50" i="15"/>
  <c r="F50" i="15"/>
  <c r="E50" i="15"/>
  <c r="D50" i="15"/>
  <c r="C50" i="15"/>
  <c r="B50" i="15"/>
  <c r="J49" i="15"/>
  <c r="I49" i="15"/>
  <c r="G49" i="15"/>
  <c r="H49" i="15" s="1"/>
  <c r="F49" i="15"/>
  <c r="E49" i="15"/>
  <c r="D49" i="15"/>
  <c r="C49" i="15"/>
  <c r="B49" i="15"/>
  <c r="J48" i="15"/>
  <c r="I48" i="15"/>
  <c r="G48" i="15"/>
  <c r="H48" i="15" s="1"/>
  <c r="F48" i="15"/>
  <c r="E48" i="15"/>
  <c r="D48" i="15"/>
  <c r="C48" i="15"/>
  <c r="B48" i="15"/>
  <c r="J47" i="15"/>
  <c r="I47" i="15"/>
  <c r="H47" i="15"/>
  <c r="G47" i="15"/>
  <c r="F47" i="15"/>
  <c r="E47" i="15"/>
  <c r="D47" i="15"/>
  <c r="C47" i="15"/>
  <c r="B47" i="15"/>
  <c r="J46" i="15"/>
  <c r="I46" i="15"/>
  <c r="G46" i="15"/>
  <c r="H46" i="15" s="1"/>
  <c r="F46" i="15"/>
  <c r="E46" i="15"/>
  <c r="D46" i="15"/>
  <c r="C46" i="15"/>
  <c r="B46" i="15"/>
  <c r="J45" i="15"/>
  <c r="I45" i="15"/>
  <c r="G45" i="15"/>
  <c r="F45" i="15"/>
  <c r="E45" i="15"/>
  <c r="D45" i="15"/>
  <c r="D60" i="15" s="1"/>
  <c r="C45" i="15"/>
  <c r="B45" i="15"/>
  <c r="G40" i="15"/>
  <c r="J39" i="15"/>
  <c r="I39" i="15"/>
  <c r="H39" i="15"/>
  <c r="G39" i="15"/>
  <c r="F39" i="15"/>
  <c r="E39" i="15"/>
  <c r="D39" i="15"/>
  <c r="D40" i="15" s="1"/>
  <c r="C39" i="15"/>
  <c r="C40" i="15" s="1"/>
  <c r="B39" i="15"/>
  <c r="J38" i="15"/>
  <c r="I38" i="15"/>
  <c r="G38" i="15"/>
  <c r="H38" i="15" s="1"/>
  <c r="F38" i="15"/>
  <c r="E38" i="15"/>
  <c r="D38" i="15"/>
  <c r="C38" i="15"/>
  <c r="B38" i="15"/>
  <c r="J37" i="15"/>
  <c r="J40" i="15" s="1"/>
  <c r="I37" i="15"/>
  <c r="I40" i="15" s="1"/>
  <c r="H37" i="15"/>
  <c r="G37" i="15"/>
  <c r="F37" i="15"/>
  <c r="E37" i="15"/>
  <c r="E40" i="15" s="1"/>
  <c r="D37" i="15"/>
  <c r="C37" i="15"/>
  <c r="B37" i="15"/>
  <c r="E29" i="15"/>
  <c r="H28" i="15"/>
  <c r="G28" i="15"/>
  <c r="E28" i="15"/>
  <c r="C28" i="15"/>
  <c r="F28" i="15" s="1"/>
  <c r="B28" i="15"/>
  <c r="H27" i="15"/>
  <c r="G27" i="15"/>
  <c r="E27" i="15"/>
  <c r="B27" i="15"/>
  <c r="C27" i="15" s="1"/>
  <c r="H26" i="15"/>
  <c r="G26" i="15"/>
  <c r="G29" i="15" s="1"/>
  <c r="E26" i="15"/>
  <c r="B26" i="15"/>
  <c r="C26" i="15" s="1"/>
  <c r="H25" i="15"/>
  <c r="H29" i="15" s="1"/>
  <c r="G25" i="15"/>
  <c r="E25" i="15"/>
  <c r="B25" i="15"/>
  <c r="C25" i="15" s="1"/>
  <c r="J13" i="15"/>
  <c r="J12" i="15"/>
  <c r="J11" i="15"/>
  <c r="J10" i="15"/>
  <c r="J9" i="15"/>
  <c r="J8" i="15"/>
  <c r="J7" i="15"/>
  <c r="G15" i="15" s="1"/>
  <c r="S662" i="14" a="1"/>
  <c r="S662" i="14" s="1"/>
  <c r="Q662" i="14" a="1"/>
  <c r="Q662" i="14" s="1"/>
  <c r="R662" i="14" s="1"/>
  <c r="P662" i="14" a="1"/>
  <c r="P662" i="14" s="1"/>
  <c r="O662" i="14"/>
  <c r="N662" i="14" a="1"/>
  <c r="N662" i="14" s="1"/>
  <c r="M662" i="14" a="1"/>
  <c r="M662" i="14" s="1"/>
  <c r="L662" i="14" a="1"/>
  <c r="L662" i="14" s="1"/>
  <c r="S661" i="14" a="1"/>
  <c r="S661" i="14" s="1"/>
  <c r="Q661" i="14" a="1"/>
  <c r="Q661" i="14" s="1"/>
  <c r="R661" i="14" s="1"/>
  <c r="P661" i="14"/>
  <c r="P661" i="14" a="1"/>
  <c r="O661" i="14"/>
  <c r="N661" i="14" a="1"/>
  <c r="N661" i="14" s="1"/>
  <c r="M661" i="14" a="1"/>
  <c r="M661" i="14" s="1"/>
  <c r="L661" i="14" a="1"/>
  <c r="L661" i="14" s="1"/>
  <c r="S660" i="14" a="1"/>
  <c r="S660" i="14" s="1"/>
  <c r="R660" i="14"/>
  <c r="Q660" i="14"/>
  <c r="Q660" i="14" a="1"/>
  <c r="P660" i="14" a="1"/>
  <c r="P660" i="14" s="1"/>
  <c r="O660" i="14"/>
  <c r="N660" i="14" a="1"/>
  <c r="N660" i="14" s="1"/>
  <c r="M660" i="14" a="1"/>
  <c r="M660" i="14" s="1"/>
  <c r="L660" i="14" a="1"/>
  <c r="L660" i="14" s="1"/>
  <c r="S659" i="14"/>
  <c r="S659" i="14" a="1"/>
  <c r="Q659" i="14" a="1"/>
  <c r="Q659" i="14" s="1"/>
  <c r="R659" i="14" s="1"/>
  <c r="P659" i="14"/>
  <c r="P659" i="14" a="1"/>
  <c r="O659" i="14"/>
  <c r="N659" i="14" a="1"/>
  <c r="N659" i="14" s="1"/>
  <c r="M659" i="14" a="1"/>
  <c r="M659" i="14" s="1"/>
  <c r="L659" i="14" a="1"/>
  <c r="L659" i="14" s="1"/>
  <c r="S658" i="14" a="1"/>
  <c r="S658" i="14" s="1"/>
  <c r="Q658" i="14" a="1"/>
  <c r="Q658" i="14" s="1"/>
  <c r="R658" i="14" s="1"/>
  <c r="P658" i="14"/>
  <c r="P658" i="14" a="1"/>
  <c r="O658" i="14"/>
  <c r="N658" i="14" a="1"/>
  <c r="N658" i="14" s="1"/>
  <c r="M658" i="14" a="1"/>
  <c r="M658" i="14" s="1"/>
  <c r="L658" i="14" a="1"/>
  <c r="L658" i="14" s="1"/>
  <c r="S657" i="14"/>
  <c r="S657" i="14" a="1"/>
  <c r="Q657" i="14"/>
  <c r="R657" i="14" s="1"/>
  <c r="Q657" i="14" a="1"/>
  <c r="P657" i="14"/>
  <c r="P657" i="14" a="1"/>
  <c r="O657" i="14"/>
  <c r="N657" i="14" a="1"/>
  <c r="N657" i="14" s="1"/>
  <c r="M657" i="14" a="1"/>
  <c r="M657" i="14" s="1"/>
  <c r="L657" i="14"/>
  <c r="L657" i="14" a="1"/>
  <c r="S656" i="14" a="1"/>
  <c r="S656" i="14" s="1"/>
  <c r="Q656" i="14"/>
  <c r="R656" i="14" s="1"/>
  <c r="Q656" i="14" a="1"/>
  <c r="P656" i="14"/>
  <c r="P656" i="14" a="1"/>
  <c r="O656" i="14"/>
  <c r="N656" i="14" a="1"/>
  <c r="N656" i="14" s="1"/>
  <c r="M656" i="14" a="1"/>
  <c r="M656" i="14" s="1"/>
  <c r="L656" i="14" a="1"/>
  <c r="L656" i="14" s="1"/>
  <c r="S655" i="14" a="1"/>
  <c r="S655" i="14" s="1"/>
  <c r="Q655" i="14" a="1"/>
  <c r="Q655" i="14" s="1"/>
  <c r="R655" i="14" s="1"/>
  <c r="P655" i="14"/>
  <c r="P655" i="14" a="1"/>
  <c r="O655" i="14"/>
  <c r="N655" i="14" a="1"/>
  <c r="N655" i="14" s="1"/>
  <c r="M655" i="14" a="1"/>
  <c r="M655" i="14" s="1"/>
  <c r="L655" i="14" a="1"/>
  <c r="L655" i="14" s="1"/>
  <c r="S654" i="14" a="1"/>
  <c r="S654" i="14" s="1"/>
  <c r="Q654" i="14"/>
  <c r="R654" i="14" s="1"/>
  <c r="Q654" i="14" a="1"/>
  <c r="P654" i="14" a="1"/>
  <c r="P654" i="14" s="1"/>
  <c r="O654" i="14"/>
  <c r="N654" i="14" a="1"/>
  <c r="N654" i="14" s="1"/>
  <c r="M654" i="14" a="1"/>
  <c r="M654" i="14" s="1"/>
  <c r="L654" i="14" a="1"/>
  <c r="L654" i="14" s="1"/>
  <c r="S653" i="14" a="1"/>
  <c r="S653" i="14" s="1"/>
  <c r="Q653" i="14" a="1"/>
  <c r="Q653" i="14" s="1"/>
  <c r="R653" i="14" s="1"/>
  <c r="P653" i="14"/>
  <c r="P653" i="14" a="1"/>
  <c r="O653" i="14"/>
  <c r="N653" i="14" a="1"/>
  <c r="N653" i="14" s="1"/>
  <c r="M653" i="14" a="1"/>
  <c r="M653" i="14" s="1"/>
  <c r="L653" i="14" a="1"/>
  <c r="L653" i="14" s="1"/>
  <c r="S652" i="14" a="1"/>
  <c r="S652" i="14" s="1"/>
  <c r="R652" i="14"/>
  <c r="Q652" i="14"/>
  <c r="Q652" i="14" a="1"/>
  <c r="P652" i="14"/>
  <c r="P652" i="14" a="1"/>
  <c r="O652" i="14"/>
  <c r="N652" i="14" a="1"/>
  <c r="N652" i="14" s="1"/>
  <c r="M652" i="14" a="1"/>
  <c r="M652" i="14" s="1"/>
  <c r="L652" i="14" a="1"/>
  <c r="L652" i="14" s="1"/>
  <c r="S651" i="14"/>
  <c r="S651" i="14" a="1"/>
  <c r="R651" i="14"/>
  <c r="Q651" i="14"/>
  <c r="Q651" i="14" a="1"/>
  <c r="P651" i="14"/>
  <c r="P651" i="14" a="1"/>
  <c r="O651" i="14"/>
  <c r="N651" i="14" a="1"/>
  <c r="N651" i="14" s="1"/>
  <c r="M651" i="14" a="1"/>
  <c r="M651" i="14" s="1"/>
  <c r="L651" i="14" a="1"/>
  <c r="L651" i="14" s="1"/>
  <c r="S650" i="14"/>
  <c r="S650" i="14" a="1"/>
  <c r="Q650" i="14"/>
  <c r="R650" i="14" s="1"/>
  <c r="Q650" i="14" a="1"/>
  <c r="P650" i="14" a="1"/>
  <c r="P650" i="14" s="1"/>
  <c r="O650" i="14"/>
  <c r="N650" i="14" a="1"/>
  <c r="N650" i="14" s="1"/>
  <c r="M650" i="14" a="1"/>
  <c r="M650" i="14" s="1"/>
  <c r="L650" i="14" a="1"/>
  <c r="L650" i="14" s="1"/>
  <c r="S649" i="14" a="1"/>
  <c r="S649" i="14" s="1"/>
  <c r="Q649" i="14" a="1"/>
  <c r="Q649" i="14" s="1"/>
  <c r="R649" i="14" s="1"/>
  <c r="P649" i="14"/>
  <c r="P649" i="14" a="1"/>
  <c r="O649" i="14"/>
  <c r="N649" i="14" a="1"/>
  <c r="N649" i="14" s="1"/>
  <c r="M649" i="14" a="1"/>
  <c r="M649" i="14" s="1"/>
  <c r="L649" i="14" a="1"/>
  <c r="L649" i="14" s="1"/>
  <c r="S648" i="14" a="1"/>
  <c r="S648" i="14" s="1"/>
  <c r="Q648" i="14"/>
  <c r="R648" i="14" s="1"/>
  <c r="Q648" i="14" a="1"/>
  <c r="P648" i="14"/>
  <c r="P648" i="14" a="1"/>
  <c r="O648" i="14"/>
  <c r="N648" i="14" a="1"/>
  <c r="N648" i="14" s="1"/>
  <c r="M648" i="14" a="1"/>
  <c r="M648" i="14" s="1"/>
  <c r="L648" i="14" a="1"/>
  <c r="L648" i="14" s="1"/>
  <c r="S647" i="14" a="1"/>
  <c r="S647" i="14" s="1"/>
  <c r="Q647" i="14" a="1"/>
  <c r="Q647" i="14" s="1"/>
  <c r="R647" i="14" s="1"/>
  <c r="P647" i="14"/>
  <c r="P647" i="14" a="1"/>
  <c r="O647" i="14"/>
  <c r="N647" i="14" a="1"/>
  <c r="N647" i="14" s="1"/>
  <c r="M647" i="14" a="1"/>
  <c r="M647" i="14" s="1"/>
  <c r="L647" i="14" a="1"/>
  <c r="L647" i="14" s="1"/>
  <c r="S646" i="14" a="1"/>
  <c r="S646" i="14" s="1"/>
  <c r="Q646" i="14"/>
  <c r="R646" i="14" s="1"/>
  <c r="Q646" i="14" a="1"/>
  <c r="P646" i="14"/>
  <c r="P646" i="14" a="1"/>
  <c r="O646" i="14"/>
  <c r="N646" i="14" a="1"/>
  <c r="N646" i="14" s="1"/>
  <c r="M646" i="14" a="1"/>
  <c r="M646" i="14" s="1"/>
  <c r="L646" i="14" a="1"/>
  <c r="L646" i="14" s="1"/>
  <c r="S645" i="14" a="1"/>
  <c r="S645" i="14" s="1"/>
  <c r="Q645" i="14" a="1"/>
  <c r="Q645" i="14" s="1"/>
  <c r="R645" i="14" s="1"/>
  <c r="P645" i="14"/>
  <c r="P645" i="14" a="1"/>
  <c r="O645" i="14"/>
  <c r="N645" i="14" a="1"/>
  <c r="N645" i="14" s="1"/>
  <c r="M645" i="14" a="1"/>
  <c r="M645" i="14" s="1"/>
  <c r="L645" i="14" a="1"/>
  <c r="L645" i="14" s="1"/>
  <c r="S644" i="14"/>
  <c r="S644" i="14" a="1"/>
  <c r="Q644" i="14"/>
  <c r="R644" i="14" s="1"/>
  <c r="Q644" i="14" a="1"/>
  <c r="P644" i="14"/>
  <c r="P644" i="14" a="1"/>
  <c r="O644" i="14"/>
  <c r="N644" i="14" a="1"/>
  <c r="N644" i="14" s="1"/>
  <c r="M644" i="14" a="1"/>
  <c r="M644" i="14" s="1"/>
  <c r="L644" i="14" a="1"/>
  <c r="L644" i="14" s="1"/>
  <c r="S643" i="14" a="1"/>
  <c r="S643" i="14" s="1"/>
  <c r="Q643" i="14"/>
  <c r="R643" i="14" s="1"/>
  <c r="Q643" i="14" a="1"/>
  <c r="P643" i="14"/>
  <c r="P643" i="14" a="1"/>
  <c r="O643" i="14"/>
  <c r="N643" i="14" a="1"/>
  <c r="N643" i="14" s="1"/>
  <c r="M643" i="14" a="1"/>
  <c r="M643" i="14" s="1"/>
  <c r="L643" i="14" a="1"/>
  <c r="L643" i="14" s="1"/>
  <c r="S642" i="14" a="1"/>
  <c r="S642" i="14" s="1"/>
  <c r="Q642" i="14"/>
  <c r="R642" i="14" s="1"/>
  <c r="Q642" i="14" a="1"/>
  <c r="P642" i="14"/>
  <c r="P642" i="14" a="1"/>
  <c r="O642" i="14"/>
  <c r="N642" i="14" a="1"/>
  <c r="N642" i="14" s="1"/>
  <c r="M642" i="14" a="1"/>
  <c r="M642" i="14" s="1"/>
  <c r="L642" i="14" a="1"/>
  <c r="L642" i="14" s="1"/>
  <c r="S641" i="14" a="1"/>
  <c r="S641" i="14" s="1"/>
  <c r="Q641" i="14"/>
  <c r="R641" i="14" s="1"/>
  <c r="Q641" i="14" a="1"/>
  <c r="P641" i="14"/>
  <c r="P641" i="14" a="1"/>
  <c r="O641" i="14"/>
  <c r="N641" i="14" a="1"/>
  <c r="N641" i="14" s="1"/>
  <c r="M641" i="14" a="1"/>
  <c r="M641" i="14" s="1"/>
  <c r="L641" i="14" a="1"/>
  <c r="L641" i="14" s="1"/>
  <c r="S640" i="14" a="1"/>
  <c r="S640" i="14" s="1"/>
  <c r="Q640" i="14"/>
  <c r="R640" i="14" s="1"/>
  <c r="Q640" i="14" a="1"/>
  <c r="P640" i="14" a="1"/>
  <c r="P640" i="14" s="1"/>
  <c r="O640" i="14"/>
  <c r="N640" i="14" a="1"/>
  <c r="N640" i="14" s="1"/>
  <c r="M640" i="14" a="1"/>
  <c r="M640" i="14" s="1"/>
  <c r="L640" i="14" a="1"/>
  <c r="L640" i="14" s="1"/>
  <c r="S639" i="14" a="1"/>
  <c r="S639" i="14" s="1"/>
  <c r="Q639" i="14" a="1"/>
  <c r="Q639" i="14" s="1"/>
  <c r="R639" i="14" s="1"/>
  <c r="P639" i="14"/>
  <c r="P639" i="14" a="1"/>
  <c r="O639" i="14"/>
  <c r="N639" i="14" a="1"/>
  <c r="N639" i="14" s="1"/>
  <c r="M639" i="14" a="1"/>
  <c r="M639" i="14" s="1"/>
  <c r="L639" i="14" a="1"/>
  <c r="L639" i="14" s="1"/>
  <c r="S638" i="14"/>
  <c r="S638" i="14" a="1"/>
  <c r="Q638" i="14"/>
  <c r="R638" i="14" s="1"/>
  <c r="Q638" i="14" a="1"/>
  <c r="P638" i="14"/>
  <c r="P638" i="14" a="1"/>
  <c r="O638" i="14"/>
  <c r="N638" i="14" a="1"/>
  <c r="N638" i="14" s="1"/>
  <c r="M638" i="14" a="1"/>
  <c r="M638" i="14" s="1"/>
  <c r="L638" i="14"/>
  <c r="L638" i="14" a="1"/>
  <c r="S637" i="14" a="1"/>
  <c r="S637" i="14" s="1"/>
  <c r="Q637" i="14"/>
  <c r="R637" i="14" s="1"/>
  <c r="Q637" i="14" a="1"/>
  <c r="P637" i="14"/>
  <c r="P637" i="14" a="1"/>
  <c r="O637" i="14"/>
  <c r="N637" i="14" a="1"/>
  <c r="N637" i="14" s="1"/>
  <c r="M637" i="14" a="1"/>
  <c r="M637" i="14" s="1"/>
  <c r="L637" i="14" a="1"/>
  <c r="L637" i="14" s="1"/>
  <c r="S636" i="14" a="1"/>
  <c r="S636" i="14" s="1"/>
  <c r="Q636" i="14"/>
  <c r="R636" i="14" s="1"/>
  <c r="Q636" i="14" a="1"/>
  <c r="P636" i="14"/>
  <c r="P636" i="14" a="1"/>
  <c r="O636" i="14"/>
  <c r="N636" i="14" a="1"/>
  <c r="N636" i="14" s="1"/>
  <c r="M636" i="14" a="1"/>
  <c r="M636" i="14" s="1"/>
  <c r="L636" i="14" a="1"/>
  <c r="L636" i="14" s="1"/>
  <c r="S635" i="14" a="1"/>
  <c r="S635" i="14" s="1"/>
  <c r="Q635" i="14"/>
  <c r="R635" i="14" s="1"/>
  <c r="Q635" i="14" a="1"/>
  <c r="P635" i="14"/>
  <c r="P635" i="14" a="1"/>
  <c r="O635" i="14"/>
  <c r="N635" i="14" a="1"/>
  <c r="N635" i="14" s="1"/>
  <c r="M635" i="14" a="1"/>
  <c r="M635" i="14" s="1"/>
  <c r="L635" i="14" a="1"/>
  <c r="L635" i="14" s="1"/>
  <c r="S634" i="14" a="1"/>
  <c r="S634" i="14" s="1"/>
  <c r="Q634" i="14"/>
  <c r="R634" i="14" s="1"/>
  <c r="Q634" i="14" a="1"/>
  <c r="P634" i="14"/>
  <c r="P634" i="14" a="1"/>
  <c r="O634" i="14"/>
  <c r="N634" i="14" a="1"/>
  <c r="N634" i="14" s="1"/>
  <c r="M634" i="14" a="1"/>
  <c r="M634" i="14" s="1"/>
  <c r="L634" i="14" a="1"/>
  <c r="L634" i="14" s="1"/>
  <c r="S633" i="14" a="1"/>
  <c r="S633" i="14" s="1"/>
  <c r="Q633" i="14" a="1"/>
  <c r="Q633" i="14" s="1"/>
  <c r="R633" i="14" s="1"/>
  <c r="P633" i="14"/>
  <c r="P633" i="14" a="1"/>
  <c r="O633" i="14"/>
  <c r="N633" i="14" a="1"/>
  <c r="N633" i="14" s="1"/>
  <c r="M633" i="14" a="1"/>
  <c r="M633" i="14" s="1"/>
  <c r="L633" i="14" a="1"/>
  <c r="L633" i="14" s="1"/>
  <c r="S632" i="14" a="1"/>
  <c r="S632" i="14" s="1"/>
  <c r="Q632" i="14"/>
  <c r="R632" i="14" s="1"/>
  <c r="Q632" i="14" a="1"/>
  <c r="P632" i="14"/>
  <c r="P632" i="14" a="1"/>
  <c r="O632" i="14"/>
  <c r="N632" i="14" a="1"/>
  <c r="N632" i="14" s="1"/>
  <c r="M632" i="14" a="1"/>
  <c r="M632" i="14" s="1"/>
  <c r="L632" i="14" a="1"/>
  <c r="L632" i="14" s="1"/>
  <c r="S631" i="14" a="1"/>
  <c r="S631" i="14" s="1"/>
  <c r="Q631" i="14" a="1"/>
  <c r="Q631" i="14" s="1"/>
  <c r="R631" i="14" s="1"/>
  <c r="P631" i="14"/>
  <c r="P631" i="14" a="1"/>
  <c r="O631" i="14"/>
  <c r="N631" i="14" a="1"/>
  <c r="N631" i="14" s="1"/>
  <c r="M631" i="14" a="1"/>
  <c r="M631" i="14" s="1"/>
  <c r="L631" i="14" a="1"/>
  <c r="L631" i="14" s="1"/>
  <c r="S630" i="14" a="1"/>
  <c r="S630" i="14" s="1"/>
  <c r="Q630" i="14"/>
  <c r="R630" i="14" s="1"/>
  <c r="Q630" i="14" a="1"/>
  <c r="P630" i="14"/>
  <c r="P630" i="14" a="1"/>
  <c r="O630" i="14"/>
  <c r="N630" i="14" a="1"/>
  <c r="N630" i="14" s="1"/>
  <c r="M630" i="14" a="1"/>
  <c r="M630" i="14" s="1"/>
  <c r="L630" i="14" a="1"/>
  <c r="L630" i="14" s="1"/>
  <c r="S629" i="14" a="1"/>
  <c r="S629" i="14" s="1"/>
  <c r="Q629" i="14"/>
  <c r="R629" i="14" s="1"/>
  <c r="Q629" i="14" a="1"/>
  <c r="P629" i="14"/>
  <c r="P629" i="14" a="1"/>
  <c r="O629" i="14"/>
  <c r="N629" i="14" a="1"/>
  <c r="N629" i="14" s="1"/>
  <c r="M629" i="14" a="1"/>
  <c r="M629" i="14" s="1"/>
  <c r="L629" i="14" a="1"/>
  <c r="L629" i="14" s="1"/>
  <c r="S628" i="14" a="1"/>
  <c r="S628" i="14" s="1"/>
  <c r="Q628" i="14"/>
  <c r="R628" i="14" s="1"/>
  <c r="Q628" i="14" a="1"/>
  <c r="P628" i="14"/>
  <c r="P628" i="14" a="1"/>
  <c r="O628" i="14"/>
  <c r="N628" i="14" a="1"/>
  <c r="N628" i="14" s="1"/>
  <c r="M628" i="14" a="1"/>
  <c r="M628" i="14" s="1"/>
  <c r="L628" i="14" a="1"/>
  <c r="L628" i="14" s="1"/>
  <c r="S627" i="14" a="1"/>
  <c r="S627" i="14" s="1"/>
  <c r="Q627" i="14"/>
  <c r="R627" i="14" s="1"/>
  <c r="Q627" i="14" a="1"/>
  <c r="P627" i="14"/>
  <c r="P627" i="14" a="1"/>
  <c r="O627" i="14"/>
  <c r="N627" i="14" a="1"/>
  <c r="N627" i="14" s="1"/>
  <c r="M627" i="14" a="1"/>
  <c r="M627" i="14" s="1"/>
  <c r="L627" i="14" a="1"/>
  <c r="L627" i="14" s="1"/>
  <c r="S626" i="14" a="1"/>
  <c r="S626" i="14" s="1"/>
  <c r="Q626" i="14"/>
  <c r="R626" i="14" s="1"/>
  <c r="Q626" i="14" a="1"/>
  <c r="P626" i="14"/>
  <c r="P626" i="14" a="1"/>
  <c r="O626" i="14"/>
  <c r="N626" i="14" a="1"/>
  <c r="N626" i="14" s="1"/>
  <c r="M626" i="14" a="1"/>
  <c r="M626" i="14" s="1"/>
  <c r="L626" i="14" a="1"/>
  <c r="L626" i="14" s="1"/>
  <c r="S625" i="14" a="1"/>
  <c r="S625" i="14" s="1"/>
  <c r="Q625" i="14"/>
  <c r="R625" i="14" s="1"/>
  <c r="Q625" i="14" a="1"/>
  <c r="P625" i="14"/>
  <c r="P625" i="14" a="1"/>
  <c r="O625" i="14"/>
  <c r="N625" i="14" a="1"/>
  <c r="N625" i="14" s="1"/>
  <c r="M625" i="14" a="1"/>
  <c r="M625" i="14" s="1"/>
  <c r="L625" i="14" a="1"/>
  <c r="L625" i="14" s="1"/>
  <c r="S624" i="14" a="1"/>
  <c r="S624" i="14" s="1"/>
  <c r="Q624" i="14"/>
  <c r="R624" i="14" s="1"/>
  <c r="Q624" i="14" a="1"/>
  <c r="P624" i="14"/>
  <c r="P624" i="14" a="1"/>
  <c r="O624" i="14"/>
  <c r="N624" i="14" a="1"/>
  <c r="N624" i="14" s="1"/>
  <c r="M624" i="14" a="1"/>
  <c r="M624" i="14" s="1"/>
  <c r="L624" i="14" a="1"/>
  <c r="L624" i="14" s="1"/>
  <c r="S623" i="14" a="1"/>
  <c r="S623" i="14" s="1"/>
  <c r="Q623" i="14"/>
  <c r="R623" i="14" s="1"/>
  <c r="Q623" i="14" a="1"/>
  <c r="P623" i="14"/>
  <c r="P623" i="14" a="1"/>
  <c r="O623" i="14"/>
  <c r="N623" i="14" a="1"/>
  <c r="N623" i="14" s="1"/>
  <c r="M623" i="14" a="1"/>
  <c r="M623" i="14" s="1"/>
  <c r="L623" i="14" a="1"/>
  <c r="L623" i="14" s="1"/>
  <c r="S622" i="14" a="1"/>
  <c r="S622" i="14" s="1"/>
  <c r="Q622" i="14"/>
  <c r="R622" i="14" s="1"/>
  <c r="Q622" i="14" a="1"/>
  <c r="P622" i="14"/>
  <c r="P622" i="14" a="1"/>
  <c r="O622" i="14"/>
  <c r="N622" i="14" a="1"/>
  <c r="N622" i="14" s="1"/>
  <c r="M622" i="14" a="1"/>
  <c r="M622" i="14" s="1"/>
  <c r="L622" i="14" a="1"/>
  <c r="L622" i="14" s="1"/>
  <c r="S621" i="14" a="1"/>
  <c r="S621" i="14" s="1"/>
  <c r="Q621" i="14"/>
  <c r="R621" i="14" s="1"/>
  <c r="Q621" i="14" a="1"/>
  <c r="P621" i="14"/>
  <c r="P621" i="14" a="1"/>
  <c r="O621" i="14"/>
  <c r="N621" i="14" a="1"/>
  <c r="N621" i="14" s="1"/>
  <c r="M621" i="14" a="1"/>
  <c r="M621" i="14" s="1"/>
  <c r="L621" i="14" a="1"/>
  <c r="L621" i="14" s="1"/>
  <c r="S620" i="14" a="1"/>
  <c r="S620" i="14" s="1"/>
  <c r="Q620" i="14"/>
  <c r="R620" i="14" s="1"/>
  <c r="Q620" i="14" a="1"/>
  <c r="P620" i="14"/>
  <c r="P620" i="14" a="1"/>
  <c r="O620" i="14"/>
  <c r="N620" i="14" a="1"/>
  <c r="N620" i="14" s="1"/>
  <c r="M620" i="14" a="1"/>
  <c r="M620" i="14" s="1"/>
  <c r="L620" i="14" a="1"/>
  <c r="L620" i="14" s="1"/>
  <c r="S619" i="14" a="1"/>
  <c r="S619" i="14" s="1"/>
  <c r="Q619" i="14"/>
  <c r="R619" i="14" s="1"/>
  <c r="Q619" i="14" a="1"/>
  <c r="P619" i="14"/>
  <c r="P619" i="14" a="1"/>
  <c r="O619" i="14"/>
  <c r="N619" i="14" a="1"/>
  <c r="N619" i="14" s="1"/>
  <c r="M619" i="14" a="1"/>
  <c r="M619" i="14" s="1"/>
  <c r="L619" i="14" a="1"/>
  <c r="L619" i="14" s="1"/>
  <c r="S618" i="14" a="1"/>
  <c r="S618" i="14" s="1"/>
  <c r="Q618" i="14"/>
  <c r="R618" i="14" s="1"/>
  <c r="Q618" i="14" a="1"/>
  <c r="P618" i="14"/>
  <c r="P618" i="14" a="1"/>
  <c r="O618" i="14"/>
  <c r="N618" i="14" a="1"/>
  <c r="N618" i="14" s="1"/>
  <c r="M618" i="14" a="1"/>
  <c r="M618" i="14" s="1"/>
  <c r="L618" i="14" a="1"/>
  <c r="L618" i="14" s="1"/>
  <c r="S617" i="14" a="1"/>
  <c r="S617" i="14" s="1"/>
  <c r="Q617" i="14"/>
  <c r="R617" i="14" s="1"/>
  <c r="Q617" i="14" a="1"/>
  <c r="P617" i="14"/>
  <c r="P617" i="14" a="1"/>
  <c r="O617" i="14"/>
  <c r="N617" i="14" a="1"/>
  <c r="N617" i="14" s="1"/>
  <c r="M617" i="14" a="1"/>
  <c r="M617" i="14" s="1"/>
  <c r="L617" i="14" a="1"/>
  <c r="L617" i="14" s="1"/>
  <c r="S616" i="14" a="1"/>
  <c r="S616" i="14" s="1"/>
  <c r="Q616" i="14"/>
  <c r="R616" i="14" s="1"/>
  <c r="Q616" i="14" a="1"/>
  <c r="P616" i="14"/>
  <c r="P616" i="14" a="1"/>
  <c r="O616" i="14"/>
  <c r="N616" i="14" a="1"/>
  <c r="N616" i="14" s="1"/>
  <c r="M616" i="14" a="1"/>
  <c r="M616" i="14" s="1"/>
  <c r="L616" i="14" a="1"/>
  <c r="L616" i="14" s="1"/>
  <c r="S615" i="14" a="1"/>
  <c r="S615" i="14" s="1"/>
  <c r="Q615" i="14"/>
  <c r="R615" i="14" s="1"/>
  <c r="Q615" i="14" a="1"/>
  <c r="P615" i="14"/>
  <c r="P615" i="14" a="1"/>
  <c r="O615" i="14"/>
  <c r="N615" i="14" a="1"/>
  <c r="N615" i="14" s="1"/>
  <c r="M615" i="14" a="1"/>
  <c r="M615" i="14" s="1"/>
  <c r="L615" i="14" a="1"/>
  <c r="L615" i="14" s="1"/>
  <c r="S614" i="14" a="1"/>
  <c r="S614" i="14" s="1"/>
  <c r="Q614" i="14"/>
  <c r="R614" i="14" s="1"/>
  <c r="Q614" i="14" a="1"/>
  <c r="P614" i="14"/>
  <c r="P614" i="14" a="1"/>
  <c r="O614" i="14"/>
  <c r="N614" i="14" a="1"/>
  <c r="N614" i="14" s="1"/>
  <c r="M614" i="14" a="1"/>
  <c r="M614" i="14" s="1"/>
  <c r="L614" i="14" a="1"/>
  <c r="L614" i="14" s="1"/>
  <c r="S613" i="14" a="1"/>
  <c r="S613" i="14" s="1"/>
  <c r="Q613" i="14"/>
  <c r="R613" i="14" s="1"/>
  <c r="Q613" i="14" a="1"/>
  <c r="P613" i="14"/>
  <c r="P613" i="14" a="1"/>
  <c r="O613" i="14"/>
  <c r="N613" i="14" a="1"/>
  <c r="N613" i="14" s="1"/>
  <c r="M613" i="14" a="1"/>
  <c r="M613" i="14" s="1"/>
  <c r="L613" i="14" a="1"/>
  <c r="L613" i="14" s="1"/>
  <c r="S612" i="14" a="1"/>
  <c r="S612" i="14" s="1"/>
  <c r="Q612" i="14"/>
  <c r="R612" i="14" s="1"/>
  <c r="Q612" i="14" a="1"/>
  <c r="P612" i="14"/>
  <c r="P612" i="14" a="1"/>
  <c r="O612" i="14"/>
  <c r="N612" i="14" a="1"/>
  <c r="N612" i="14" s="1"/>
  <c r="M612" i="14" a="1"/>
  <c r="M612" i="14" s="1"/>
  <c r="L612" i="14" a="1"/>
  <c r="L612" i="14" s="1"/>
  <c r="S611" i="14" a="1"/>
  <c r="S611" i="14" s="1"/>
  <c r="Q611" i="14"/>
  <c r="R611" i="14" s="1"/>
  <c r="Q611" i="14" a="1"/>
  <c r="P611" i="14"/>
  <c r="P611" i="14" a="1"/>
  <c r="O611" i="14"/>
  <c r="N611" i="14" a="1"/>
  <c r="N611" i="14" s="1"/>
  <c r="M611" i="14" a="1"/>
  <c r="M611" i="14" s="1"/>
  <c r="L611" i="14" a="1"/>
  <c r="L611" i="14" s="1"/>
  <c r="S610" i="14" a="1"/>
  <c r="S610" i="14" s="1"/>
  <c r="Q610" i="14"/>
  <c r="R610" i="14" s="1"/>
  <c r="Q610" i="14" a="1"/>
  <c r="P610" i="14"/>
  <c r="P610" i="14" a="1"/>
  <c r="O610" i="14"/>
  <c r="N610" i="14" a="1"/>
  <c r="N610" i="14" s="1"/>
  <c r="M610" i="14" a="1"/>
  <c r="M610" i="14" s="1"/>
  <c r="L610" i="14" a="1"/>
  <c r="L610" i="14" s="1"/>
  <c r="S609" i="14" a="1"/>
  <c r="S609" i="14" s="1"/>
  <c r="Q609" i="14"/>
  <c r="R609" i="14" s="1"/>
  <c r="Q609" i="14" a="1"/>
  <c r="P609" i="14"/>
  <c r="P609" i="14" a="1"/>
  <c r="O609" i="14"/>
  <c r="N609" i="14" a="1"/>
  <c r="N609" i="14" s="1"/>
  <c r="M609" i="14" a="1"/>
  <c r="M609" i="14" s="1"/>
  <c r="L609" i="14" a="1"/>
  <c r="L609" i="14" s="1"/>
  <c r="S608" i="14" a="1"/>
  <c r="S608" i="14" s="1"/>
  <c r="Q608" i="14"/>
  <c r="R608" i="14" s="1"/>
  <c r="Q608" i="14" a="1"/>
  <c r="P608" i="14"/>
  <c r="P608" i="14" a="1"/>
  <c r="O608" i="14"/>
  <c r="N608" i="14" a="1"/>
  <c r="N608" i="14" s="1"/>
  <c r="M608" i="14" a="1"/>
  <c r="M608" i="14" s="1"/>
  <c r="L608" i="14" a="1"/>
  <c r="L608" i="14" s="1"/>
  <c r="S607" i="14" a="1"/>
  <c r="S607" i="14" s="1"/>
  <c r="Q607" i="14"/>
  <c r="R607" i="14" s="1"/>
  <c r="Q607" i="14" a="1"/>
  <c r="P607" i="14"/>
  <c r="P607" i="14" a="1"/>
  <c r="O607" i="14"/>
  <c r="N607" i="14" a="1"/>
  <c r="N607" i="14" s="1"/>
  <c r="M607" i="14" a="1"/>
  <c r="M607" i="14" s="1"/>
  <c r="L607" i="14" a="1"/>
  <c r="L607" i="14" s="1"/>
  <c r="S606" i="14" a="1"/>
  <c r="S606" i="14" s="1"/>
  <c r="Q606" i="14"/>
  <c r="R606" i="14" s="1"/>
  <c r="Q606" i="14" a="1"/>
  <c r="P606" i="14"/>
  <c r="P606" i="14" a="1"/>
  <c r="O606" i="14"/>
  <c r="N606" i="14" a="1"/>
  <c r="N606" i="14" s="1"/>
  <c r="M606" i="14" a="1"/>
  <c r="M606" i="14" s="1"/>
  <c r="L606" i="14" a="1"/>
  <c r="L606" i="14" s="1"/>
  <c r="S605" i="14" a="1"/>
  <c r="S605" i="14" s="1"/>
  <c r="Q605" i="14"/>
  <c r="R605" i="14" s="1"/>
  <c r="Q605" i="14" a="1"/>
  <c r="P605" i="14"/>
  <c r="P605" i="14" a="1"/>
  <c r="O605" i="14"/>
  <c r="N605" i="14" a="1"/>
  <c r="N605" i="14" s="1"/>
  <c r="M605" i="14" a="1"/>
  <c r="M605" i="14" s="1"/>
  <c r="L605" i="14" a="1"/>
  <c r="L605" i="14" s="1"/>
  <c r="S604" i="14" a="1"/>
  <c r="S604" i="14" s="1"/>
  <c r="Q604" i="14"/>
  <c r="R604" i="14" s="1"/>
  <c r="Q604" i="14" a="1"/>
  <c r="P604" i="14"/>
  <c r="P604" i="14" a="1"/>
  <c r="O604" i="14"/>
  <c r="N604" i="14" a="1"/>
  <c r="N604" i="14" s="1"/>
  <c r="M604" i="14" a="1"/>
  <c r="M604" i="14" s="1"/>
  <c r="L604" i="14" a="1"/>
  <c r="L604" i="14" s="1"/>
  <c r="S603" i="14" a="1"/>
  <c r="S603" i="14" s="1"/>
  <c r="Q603" i="14"/>
  <c r="R603" i="14" s="1"/>
  <c r="Q603" i="14" a="1"/>
  <c r="P603" i="14"/>
  <c r="P603" i="14" a="1"/>
  <c r="O603" i="14"/>
  <c r="N603" i="14" a="1"/>
  <c r="N603" i="14" s="1"/>
  <c r="M603" i="14" a="1"/>
  <c r="M603" i="14" s="1"/>
  <c r="L603" i="14" a="1"/>
  <c r="L603" i="14" s="1"/>
  <c r="S602" i="14" a="1"/>
  <c r="S602" i="14" s="1"/>
  <c r="Q602" i="14"/>
  <c r="R602" i="14" s="1"/>
  <c r="Q602" i="14" a="1"/>
  <c r="P602" i="14"/>
  <c r="P602" i="14" a="1"/>
  <c r="O602" i="14"/>
  <c r="N602" i="14" a="1"/>
  <c r="N602" i="14" s="1"/>
  <c r="M602" i="14" a="1"/>
  <c r="M602" i="14" s="1"/>
  <c r="L602" i="14" a="1"/>
  <c r="L602" i="14" s="1"/>
  <c r="S601" i="14" a="1"/>
  <c r="S601" i="14" s="1"/>
  <c r="Q601" i="14"/>
  <c r="R601" i="14" s="1"/>
  <c r="Q601" i="14" a="1"/>
  <c r="P601" i="14"/>
  <c r="P601" i="14" a="1"/>
  <c r="O601" i="14"/>
  <c r="N601" i="14" a="1"/>
  <c r="N601" i="14" s="1"/>
  <c r="M601" i="14" a="1"/>
  <c r="M601" i="14" s="1"/>
  <c r="L601" i="14" a="1"/>
  <c r="L601" i="14" s="1"/>
  <c r="S600" i="14" a="1"/>
  <c r="S600" i="14" s="1"/>
  <c r="Q600" i="14"/>
  <c r="R600" i="14" s="1"/>
  <c r="Q600" i="14" a="1"/>
  <c r="P600" i="14"/>
  <c r="P600" i="14" a="1"/>
  <c r="O600" i="14"/>
  <c r="N600" i="14" a="1"/>
  <c r="N600" i="14" s="1"/>
  <c r="M600" i="14" a="1"/>
  <c r="M600" i="14" s="1"/>
  <c r="L600" i="14" a="1"/>
  <c r="L600" i="14" s="1"/>
  <c r="S599" i="14" a="1"/>
  <c r="S599" i="14" s="1"/>
  <c r="Q599" i="14"/>
  <c r="R599" i="14" s="1"/>
  <c r="Q599" i="14" a="1"/>
  <c r="P599" i="14"/>
  <c r="P599" i="14" a="1"/>
  <c r="O599" i="14"/>
  <c r="N599" i="14" a="1"/>
  <c r="N599" i="14" s="1"/>
  <c r="M599" i="14" a="1"/>
  <c r="M599" i="14" s="1"/>
  <c r="L599" i="14" a="1"/>
  <c r="L599" i="14" s="1"/>
  <c r="S598" i="14" a="1"/>
  <c r="S598" i="14" s="1"/>
  <c r="Q598" i="14"/>
  <c r="R598" i="14" s="1"/>
  <c r="Q598" i="14" a="1"/>
  <c r="P598" i="14"/>
  <c r="P598" i="14" a="1"/>
  <c r="O598" i="14"/>
  <c r="N598" i="14" a="1"/>
  <c r="N598" i="14" s="1"/>
  <c r="M598" i="14" a="1"/>
  <c r="M598" i="14" s="1"/>
  <c r="L598" i="14" a="1"/>
  <c r="L598" i="14" s="1"/>
  <c r="S597" i="14" a="1"/>
  <c r="S597" i="14" s="1"/>
  <c r="Q597" i="14"/>
  <c r="R597" i="14" s="1"/>
  <c r="Q597" i="14" a="1"/>
  <c r="P597" i="14"/>
  <c r="P597" i="14" a="1"/>
  <c r="O597" i="14"/>
  <c r="N597" i="14" a="1"/>
  <c r="N597" i="14" s="1"/>
  <c r="M597" i="14" a="1"/>
  <c r="M597" i="14" s="1"/>
  <c r="L597" i="14" a="1"/>
  <c r="L597" i="14" s="1"/>
  <c r="S596" i="14" a="1"/>
  <c r="S596" i="14" s="1"/>
  <c r="Q596" i="14"/>
  <c r="R596" i="14" s="1"/>
  <c r="Q596" i="14" a="1"/>
  <c r="P596" i="14"/>
  <c r="P596" i="14" a="1"/>
  <c r="O596" i="14"/>
  <c r="N596" i="14" a="1"/>
  <c r="N596" i="14" s="1"/>
  <c r="M596" i="14" a="1"/>
  <c r="M596" i="14" s="1"/>
  <c r="L596" i="14" a="1"/>
  <c r="L596" i="14" s="1"/>
  <c r="S595" i="14" a="1"/>
  <c r="S595" i="14" s="1"/>
  <c r="Q595" i="14"/>
  <c r="R595" i="14" s="1"/>
  <c r="Q595" i="14" a="1"/>
  <c r="P595" i="14"/>
  <c r="P595" i="14" a="1"/>
  <c r="O595" i="14"/>
  <c r="N595" i="14" a="1"/>
  <c r="N595" i="14" s="1"/>
  <c r="M595" i="14" a="1"/>
  <c r="M595" i="14" s="1"/>
  <c r="L595" i="14" a="1"/>
  <c r="L595" i="14" s="1"/>
  <c r="S594" i="14" a="1"/>
  <c r="S594" i="14" s="1"/>
  <c r="Q594" i="14"/>
  <c r="R594" i="14" s="1"/>
  <c r="Q594" i="14" a="1"/>
  <c r="P594" i="14"/>
  <c r="P594" i="14" a="1"/>
  <c r="O594" i="14"/>
  <c r="N594" i="14" a="1"/>
  <c r="N594" i="14" s="1"/>
  <c r="M594" i="14" a="1"/>
  <c r="M594" i="14" s="1"/>
  <c r="L594" i="14" a="1"/>
  <c r="L594" i="14" s="1"/>
  <c r="S593" i="14" a="1"/>
  <c r="S593" i="14" s="1"/>
  <c r="Q593" i="14"/>
  <c r="R593" i="14" s="1"/>
  <c r="Q593" i="14" a="1"/>
  <c r="P593" i="14"/>
  <c r="P593" i="14" a="1"/>
  <c r="O593" i="14"/>
  <c r="N593" i="14" a="1"/>
  <c r="N593" i="14" s="1"/>
  <c r="M593" i="14" a="1"/>
  <c r="M593" i="14" s="1"/>
  <c r="L593" i="14" a="1"/>
  <c r="L593" i="14" s="1"/>
  <c r="S592" i="14" a="1"/>
  <c r="S592" i="14" s="1"/>
  <c r="Q592" i="14"/>
  <c r="R592" i="14" s="1"/>
  <c r="Q592" i="14" a="1"/>
  <c r="P592" i="14"/>
  <c r="P592" i="14" a="1"/>
  <c r="O592" i="14"/>
  <c r="N592" i="14" a="1"/>
  <c r="N592" i="14" s="1"/>
  <c r="M592" i="14" a="1"/>
  <c r="M592" i="14" s="1"/>
  <c r="L592" i="14" a="1"/>
  <c r="L592" i="14" s="1"/>
  <c r="S591" i="14" a="1"/>
  <c r="S591" i="14" s="1"/>
  <c r="Q591" i="14"/>
  <c r="R591" i="14" s="1"/>
  <c r="Q591" i="14" a="1"/>
  <c r="P591" i="14"/>
  <c r="P591" i="14" a="1"/>
  <c r="O591" i="14"/>
  <c r="N591" i="14" a="1"/>
  <c r="N591" i="14" s="1"/>
  <c r="M591" i="14" a="1"/>
  <c r="M591" i="14" s="1"/>
  <c r="L591" i="14" a="1"/>
  <c r="L591" i="14" s="1"/>
  <c r="S590" i="14" a="1"/>
  <c r="S590" i="14" s="1"/>
  <c r="Q590" i="14"/>
  <c r="R590" i="14" s="1"/>
  <c r="Q590" i="14" a="1"/>
  <c r="P590" i="14"/>
  <c r="P590" i="14" a="1"/>
  <c r="O590" i="14"/>
  <c r="N590" i="14" a="1"/>
  <c r="N590" i="14" s="1"/>
  <c r="M590" i="14" a="1"/>
  <c r="M590" i="14" s="1"/>
  <c r="L590" i="14" a="1"/>
  <c r="L590" i="14" s="1"/>
  <c r="S589" i="14" a="1"/>
  <c r="S589" i="14" s="1"/>
  <c r="Q589" i="14" a="1"/>
  <c r="Q589" i="14" s="1"/>
  <c r="R589" i="14" s="1"/>
  <c r="P589" i="14"/>
  <c r="P589" i="14" a="1"/>
  <c r="O589" i="14"/>
  <c r="N589" i="14" a="1"/>
  <c r="N589" i="14" s="1"/>
  <c r="M589" i="14" a="1"/>
  <c r="M589" i="14" s="1"/>
  <c r="L589" i="14" a="1"/>
  <c r="L589" i="14" s="1"/>
  <c r="S588" i="14" a="1"/>
  <c r="S588" i="14" s="1"/>
  <c r="Q588" i="14"/>
  <c r="R588" i="14" s="1"/>
  <c r="Q588" i="14" a="1"/>
  <c r="P588" i="14"/>
  <c r="P588" i="14" a="1"/>
  <c r="O588" i="14"/>
  <c r="N588" i="14" a="1"/>
  <c r="N588" i="14" s="1"/>
  <c r="M588" i="14" a="1"/>
  <c r="M588" i="14" s="1"/>
  <c r="L588" i="14" a="1"/>
  <c r="L588" i="14" s="1"/>
  <c r="S587" i="14" a="1"/>
  <c r="S587" i="14" s="1"/>
  <c r="Q587" i="14"/>
  <c r="R587" i="14" s="1"/>
  <c r="Q587" i="14" a="1"/>
  <c r="P587" i="14"/>
  <c r="P587" i="14" a="1"/>
  <c r="O587" i="14"/>
  <c r="N587" i="14" a="1"/>
  <c r="N587" i="14" s="1"/>
  <c r="M587" i="14" a="1"/>
  <c r="M587" i="14" s="1"/>
  <c r="L587" i="14" a="1"/>
  <c r="L587" i="14" s="1"/>
  <c r="S586" i="14" a="1"/>
  <c r="S586" i="14" s="1"/>
  <c r="Q586" i="14"/>
  <c r="R586" i="14" s="1"/>
  <c r="Q586" i="14" a="1"/>
  <c r="P586" i="14"/>
  <c r="P586" i="14" a="1"/>
  <c r="O586" i="14"/>
  <c r="N586" i="14" a="1"/>
  <c r="N586" i="14" s="1"/>
  <c r="M586" i="14" a="1"/>
  <c r="M586" i="14" s="1"/>
  <c r="L586" i="14" a="1"/>
  <c r="L586" i="14" s="1"/>
  <c r="S585" i="14" a="1"/>
  <c r="S585" i="14" s="1"/>
  <c r="Q585" i="14"/>
  <c r="R585" i="14" s="1"/>
  <c r="Q585" i="14" a="1"/>
  <c r="P585" i="14"/>
  <c r="P585" i="14" a="1"/>
  <c r="O585" i="14"/>
  <c r="N585" i="14" a="1"/>
  <c r="N585" i="14" s="1"/>
  <c r="M585" i="14" a="1"/>
  <c r="M585" i="14" s="1"/>
  <c r="L585" i="14" a="1"/>
  <c r="L585" i="14" s="1"/>
  <c r="S584" i="14" a="1"/>
  <c r="S584" i="14" s="1"/>
  <c r="Q584" i="14"/>
  <c r="R584" i="14" s="1"/>
  <c r="Q584" i="14" a="1"/>
  <c r="P584" i="14"/>
  <c r="P584" i="14" a="1"/>
  <c r="O584" i="14"/>
  <c r="N584" i="14" a="1"/>
  <c r="N584" i="14" s="1"/>
  <c r="M584" i="14" a="1"/>
  <c r="M584" i="14" s="1"/>
  <c r="L584" i="14" a="1"/>
  <c r="L584" i="14" s="1"/>
  <c r="S583" i="14" a="1"/>
  <c r="S583" i="14" s="1"/>
  <c r="Q583" i="14"/>
  <c r="R583" i="14" s="1"/>
  <c r="Q583" i="14" a="1"/>
  <c r="P583" i="14"/>
  <c r="P583" i="14" a="1"/>
  <c r="O583" i="14"/>
  <c r="N583" i="14" a="1"/>
  <c r="N583" i="14" s="1"/>
  <c r="M583" i="14" a="1"/>
  <c r="M583" i="14" s="1"/>
  <c r="L583" i="14" a="1"/>
  <c r="L583" i="14" s="1"/>
  <c r="S582" i="14" a="1"/>
  <c r="S582" i="14" s="1"/>
  <c r="Q582" i="14"/>
  <c r="R582" i="14" s="1"/>
  <c r="Q582" i="14" a="1"/>
  <c r="P582" i="14"/>
  <c r="P582" i="14" a="1"/>
  <c r="O582" i="14"/>
  <c r="N582" i="14" a="1"/>
  <c r="N582" i="14" s="1"/>
  <c r="M582" i="14" a="1"/>
  <c r="M582" i="14" s="1"/>
  <c r="L582" i="14" a="1"/>
  <c r="L582" i="14" s="1"/>
  <c r="S581" i="14" a="1"/>
  <c r="S581" i="14" s="1"/>
  <c r="Q581" i="14"/>
  <c r="R581" i="14" s="1"/>
  <c r="Q581" i="14" a="1"/>
  <c r="P581" i="14"/>
  <c r="P581" i="14" a="1"/>
  <c r="O581" i="14"/>
  <c r="N581" i="14" a="1"/>
  <c r="N581" i="14" s="1"/>
  <c r="M581" i="14" a="1"/>
  <c r="M581" i="14" s="1"/>
  <c r="L581" i="14" a="1"/>
  <c r="L581" i="14" s="1"/>
  <c r="S580" i="14" a="1"/>
  <c r="S580" i="14" s="1"/>
  <c r="Q580" i="14"/>
  <c r="R580" i="14" s="1"/>
  <c r="Q580" i="14" a="1"/>
  <c r="P580" i="14"/>
  <c r="P580" i="14" a="1"/>
  <c r="O580" i="14"/>
  <c r="N580" i="14" a="1"/>
  <c r="N580" i="14" s="1"/>
  <c r="M580" i="14" a="1"/>
  <c r="M580" i="14" s="1"/>
  <c r="L580" i="14" a="1"/>
  <c r="L580" i="14" s="1"/>
  <c r="S579" i="14" a="1"/>
  <c r="S579" i="14" s="1"/>
  <c r="Q579" i="14"/>
  <c r="R579" i="14" s="1"/>
  <c r="Q579" i="14" a="1"/>
  <c r="P579" i="14"/>
  <c r="P579" i="14" a="1"/>
  <c r="O579" i="14"/>
  <c r="N579" i="14" a="1"/>
  <c r="N579" i="14" s="1"/>
  <c r="M579" i="14" a="1"/>
  <c r="M579" i="14" s="1"/>
  <c r="L579" i="14" a="1"/>
  <c r="L579" i="14" s="1"/>
  <c r="S578" i="14" a="1"/>
  <c r="S578" i="14" s="1"/>
  <c r="Q578" i="14"/>
  <c r="R578" i="14" s="1"/>
  <c r="Q578" i="14" a="1"/>
  <c r="P578" i="14"/>
  <c r="P578" i="14" a="1"/>
  <c r="O578" i="14"/>
  <c r="N578" i="14" a="1"/>
  <c r="N578" i="14" s="1"/>
  <c r="M578" i="14" a="1"/>
  <c r="M578" i="14" s="1"/>
  <c r="L578" i="14" a="1"/>
  <c r="L578" i="14" s="1"/>
  <c r="S577" i="14" a="1"/>
  <c r="S577" i="14" s="1"/>
  <c r="Q577" i="14" a="1"/>
  <c r="Q577" i="14" s="1"/>
  <c r="R577" i="14" s="1"/>
  <c r="P577" i="14"/>
  <c r="P577" i="14" a="1"/>
  <c r="O577" i="14"/>
  <c r="N577" i="14" a="1"/>
  <c r="N577" i="14" s="1"/>
  <c r="M577" i="14" a="1"/>
  <c r="M577" i="14" s="1"/>
  <c r="L577" i="14" a="1"/>
  <c r="L577" i="14" s="1"/>
  <c r="S576" i="14" a="1"/>
  <c r="S576" i="14" s="1"/>
  <c r="R576" i="14"/>
  <c r="Q576" i="14"/>
  <c r="Q576" i="14" a="1"/>
  <c r="P576" i="14"/>
  <c r="P576" i="14" a="1"/>
  <c r="O576" i="14"/>
  <c r="N576" i="14" a="1"/>
  <c r="N576" i="14" s="1"/>
  <c r="M576" i="14" a="1"/>
  <c r="M576" i="14" s="1"/>
  <c r="L576" i="14" a="1"/>
  <c r="L576" i="14" s="1"/>
  <c r="S575" i="14"/>
  <c r="S575" i="14" a="1"/>
  <c r="Q575" i="14"/>
  <c r="R575" i="14" s="1"/>
  <c r="Q575" i="14" a="1"/>
  <c r="P575" i="14"/>
  <c r="P575" i="14" a="1"/>
  <c r="O575" i="14"/>
  <c r="N575" i="14" a="1"/>
  <c r="N575" i="14" s="1"/>
  <c r="M575" i="14" a="1"/>
  <c r="M575" i="14" s="1"/>
  <c r="L575" i="14"/>
  <c r="L575" i="14" a="1"/>
  <c r="S574" i="14" a="1"/>
  <c r="S574" i="14" s="1"/>
  <c r="R574" i="14"/>
  <c r="Q574" i="14"/>
  <c r="Q574" i="14" a="1"/>
  <c r="P574" i="14"/>
  <c r="P574" i="14" a="1"/>
  <c r="O574" i="14"/>
  <c r="N574" i="14" a="1"/>
  <c r="N574" i="14" s="1"/>
  <c r="M574" i="14" a="1"/>
  <c r="M574" i="14" s="1"/>
  <c r="L574" i="14" a="1"/>
  <c r="L574" i="14" s="1"/>
  <c r="S573" i="14" a="1"/>
  <c r="S573" i="14" s="1"/>
  <c r="Q573" i="14"/>
  <c r="R573" i="14" s="1"/>
  <c r="Q573" i="14" a="1"/>
  <c r="P573" i="14"/>
  <c r="P573" i="14" a="1"/>
  <c r="O573" i="14"/>
  <c r="N573" i="14" a="1"/>
  <c r="N573" i="14" s="1"/>
  <c r="M573" i="14" a="1"/>
  <c r="M573" i="14" s="1"/>
  <c r="L573" i="14"/>
  <c r="L573" i="14" a="1"/>
  <c r="S572" i="14" a="1"/>
  <c r="S572" i="14" s="1"/>
  <c r="R572" i="14"/>
  <c r="Q572" i="14"/>
  <c r="Q572" i="14" a="1"/>
  <c r="P572" i="14"/>
  <c r="P572" i="14" a="1"/>
  <c r="O572" i="14"/>
  <c r="N572" i="14" a="1"/>
  <c r="N572" i="14" s="1"/>
  <c r="M572" i="14" a="1"/>
  <c r="M572" i="14" s="1"/>
  <c r="L572" i="14" a="1"/>
  <c r="L572" i="14" s="1"/>
  <c r="S571" i="14"/>
  <c r="S571" i="14" a="1"/>
  <c r="Q571" i="14"/>
  <c r="R571" i="14" s="1"/>
  <c r="Q571" i="14" a="1"/>
  <c r="P571" i="14"/>
  <c r="P571" i="14" a="1"/>
  <c r="O571" i="14"/>
  <c r="N571" i="14" a="1"/>
  <c r="N571" i="14" s="1"/>
  <c r="M571" i="14" a="1"/>
  <c r="M571" i="14" s="1"/>
  <c r="L571" i="14" a="1"/>
  <c r="L571" i="14" s="1"/>
  <c r="S570" i="14" a="1"/>
  <c r="S570" i="14" s="1"/>
  <c r="Q570" i="14"/>
  <c r="R570" i="14" s="1"/>
  <c r="Q570" i="14" a="1"/>
  <c r="P570" i="14" a="1"/>
  <c r="P570" i="14" s="1"/>
  <c r="O570" i="14"/>
  <c r="N570" i="14" a="1"/>
  <c r="N570" i="14" s="1"/>
  <c r="M570" i="14" a="1"/>
  <c r="M570" i="14" s="1"/>
  <c r="L570" i="14" a="1"/>
  <c r="L570" i="14" s="1"/>
  <c r="S569" i="14"/>
  <c r="S569" i="14" a="1"/>
  <c r="Q569" i="14" a="1"/>
  <c r="Q569" i="14" s="1"/>
  <c r="R569" i="14" s="1"/>
  <c r="P569" i="14"/>
  <c r="P569" i="14" a="1"/>
  <c r="O569" i="14"/>
  <c r="N569" i="14"/>
  <c r="N569" i="14" a="1"/>
  <c r="M569" i="14" a="1"/>
  <c r="M569" i="14" s="1"/>
  <c r="L569" i="14"/>
  <c r="L569" i="14" a="1"/>
  <c r="S568" i="14" a="1"/>
  <c r="S568" i="14" s="1"/>
  <c r="R568" i="14"/>
  <c r="Q568" i="14"/>
  <c r="Q568" i="14" a="1"/>
  <c r="P568" i="14"/>
  <c r="P568" i="14" a="1"/>
  <c r="O568" i="14"/>
  <c r="N568" i="14" a="1"/>
  <c r="N568" i="14" s="1"/>
  <c r="M568" i="14" a="1"/>
  <c r="M568" i="14" s="1"/>
  <c r="L568" i="14" a="1"/>
  <c r="L568" i="14" s="1"/>
  <c r="S567" i="14" a="1"/>
  <c r="S567" i="14" s="1"/>
  <c r="Q567" i="14"/>
  <c r="R567" i="14" s="1"/>
  <c r="Q567" i="14" a="1"/>
  <c r="P567" i="14"/>
  <c r="P567" i="14" a="1"/>
  <c r="O567" i="14"/>
  <c r="N567" i="14"/>
  <c r="N567" i="14" a="1"/>
  <c r="M567" i="14" a="1"/>
  <c r="M567" i="14" s="1"/>
  <c r="L567" i="14"/>
  <c r="L567" i="14" a="1"/>
  <c r="S566" i="14" a="1"/>
  <c r="S566" i="14" s="1"/>
  <c r="R566" i="14"/>
  <c r="Q566" i="14"/>
  <c r="Q566" i="14" a="1"/>
  <c r="P566" i="14"/>
  <c r="P566" i="14" a="1"/>
  <c r="O566" i="14"/>
  <c r="N566" i="14" a="1"/>
  <c r="N566" i="14" s="1"/>
  <c r="M566" i="14"/>
  <c r="M566" i="14" a="1"/>
  <c r="L566" i="14" a="1"/>
  <c r="L566" i="14" s="1"/>
  <c r="S565" i="14"/>
  <c r="S565" i="14" a="1"/>
  <c r="R565" i="14"/>
  <c r="Q565" i="14"/>
  <c r="Q565" i="14" a="1"/>
  <c r="P565" i="14"/>
  <c r="P565" i="14" a="1"/>
  <c r="O565" i="14"/>
  <c r="N565" i="14"/>
  <c r="N565" i="14" a="1"/>
  <c r="M565" i="14" a="1"/>
  <c r="M565" i="14" s="1"/>
  <c r="L565" i="14"/>
  <c r="L565" i="14" a="1"/>
  <c r="S564" i="14" a="1"/>
  <c r="S564" i="14" s="1"/>
  <c r="R564" i="14"/>
  <c r="Q564" i="14"/>
  <c r="Q564" i="14" a="1"/>
  <c r="P564" i="14"/>
  <c r="P564" i="14" a="1"/>
  <c r="O564" i="14"/>
  <c r="N564" i="14" a="1"/>
  <c r="N564" i="14" s="1"/>
  <c r="M564" i="14" a="1"/>
  <c r="M564" i="14" s="1"/>
  <c r="L564" i="14"/>
  <c r="L564" i="14" a="1"/>
  <c r="S563" i="14"/>
  <c r="S563" i="14" a="1"/>
  <c r="Q563" i="14" a="1"/>
  <c r="Q563" i="14" s="1"/>
  <c r="R563" i="14" s="1"/>
  <c r="P563" i="14"/>
  <c r="P563" i="14" a="1"/>
  <c r="O563" i="14"/>
  <c r="N563" i="14"/>
  <c r="N563" i="14" a="1"/>
  <c r="M563" i="14"/>
  <c r="M563" i="14" a="1"/>
  <c r="L563" i="14"/>
  <c r="L563" i="14" a="1"/>
  <c r="S562" i="14" a="1"/>
  <c r="S562" i="14" s="1"/>
  <c r="Q562" i="14"/>
  <c r="R562" i="14" s="1"/>
  <c r="Q562" i="14" a="1"/>
  <c r="P562" i="14" a="1"/>
  <c r="P562" i="14" s="1"/>
  <c r="O562" i="14"/>
  <c r="N562" i="14" a="1"/>
  <c r="N562" i="14" s="1"/>
  <c r="M562" i="14"/>
  <c r="M562" i="14" a="1"/>
  <c r="L562" i="14" a="1"/>
  <c r="L562" i="14" s="1"/>
  <c r="S561" i="14"/>
  <c r="S561" i="14" a="1"/>
  <c r="R561" i="14"/>
  <c r="Q561" i="14"/>
  <c r="Q561" i="14" a="1"/>
  <c r="P561" i="14"/>
  <c r="P561" i="14" a="1"/>
  <c r="O561" i="14"/>
  <c r="N561" i="14"/>
  <c r="N561" i="14" a="1"/>
  <c r="M561" i="14" a="1"/>
  <c r="M561" i="14" s="1"/>
  <c r="L561" i="14"/>
  <c r="L561" i="14" a="1"/>
  <c r="S560" i="14" a="1"/>
  <c r="S560" i="14" s="1"/>
  <c r="Q560" i="14" a="1"/>
  <c r="Q560" i="14" s="1"/>
  <c r="R560" i="14" s="1"/>
  <c r="P560" i="14"/>
  <c r="P560" i="14" a="1"/>
  <c r="O560" i="14"/>
  <c r="N560" i="14"/>
  <c r="N560" i="14" a="1"/>
  <c r="M560" i="14"/>
  <c r="M560" i="14" a="1"/>
  <c r="L560" i="14" a="1"/>
  <c r="L560" i="14" s="1"/>
  <c r="S559" i="14"/>
  <c r="S559" i="14" a="1"/>
  <c r="R559" i="14"/>
  <c r="Q559" i="14"/>
  <c r="Q559" i="14" a="1"/>
  <c r="P559" i="14"/>
  <c r="P559" i="14" a="1"/>
  <c r="O559" i="14"/>
  <c r="N559" i="14" a="1"/>
  <c r="N559" i="14" s="1"/>
  <c r="M559" i="14" a="1"/>
  <c r="M559" i="14" s="1"/>
  <c r="L559" i="14" a="1"/>
  <c r="L559" i="14" s="1"/>
  <c r="S558" i="14"/>
  <c r="S558" i="14" a="1"/>
  <c r="Q558" i="14"/>
  <c r="R558" i="14" s="1"/>
  <c r="Q558" i="14" a="1"/>
  <c r="P558" i="14"/>
  <c r="P558" i="14" a="1"/>
  <c r="O558" i="14"/>
  <c r="N558" i="14" a="1"/>
  <c r="N558" i="14" s="1"/>
  <c r="M558" i="14" a="1"/>
  <c r="M558" i="14" s="1"/>
  <c r="L558" i="14"/>
  <c r="L558" i="14" a="1"/>
  <c r="S557" i="14" a="1"/>
  <c r="S557" i="14" s="1"/>
  <c r="Q557" i="14" a="1"/>
  <c r="Q557" i="14" s="1"/>
  <c r="R557" i="14" s="1"/>
  <c r="P557" i="14"/>
  <c r="P557" i="14" a="1"/>
  <c r="O557" i="14"/>
  <c r="N557" i="14" a="1"/>
  <c r="N557" i="14" s="1"/>
  <c r="M557" i="14"/>
  <c r="M557" i="14" a="1"/>
  <c r="L557" i="14" a="1"/>
  <c r="L557" i="14" s="1"/>
  <c r="S556" i="14"/>
  <c r="S556" i="14" a="1"/>
  <c r="R556" i="14"/>
  <c r="Q556" i="14"/>
  <c r="Q556" i="14" a="1"/>
  <c r="P556" i="14"/>
  <c r="P556" i="14" a="1"/>
  <c r="O556" i="14"/>
  <c r="N556" i="14" a="1"/>
  <c r="N556" i="14" s="1"/>
  <c r="M556" i="14" a="1"/>
  <c r="M556" i="14" s="1"/>
  <c r="L556" i="14"/>
  <c r="L556" i="14" a="1"/>
  <c r="S555" i="14"/>
  <c r="S555" i="14" a="1"/>
  <c r="Q555" i="14"/>
  <c r="R555" i="14" s="1"/>
  <c r="Q555" i="14" a="1"/>
  <c r="P555" i="14" a="1"/>
  <c r="P555" i="14" s="1"/>
  <c r="O555" i="14"/>
  <c r="N555" i="14" a="1"/>
  <c r="N555" i="14" s="1"/>
  <c r="M555" i="14"/>
  <c r="M555" i="14" a="1"/>
  <c r="L555" i="14" a="1"/>
  <c r="L555" i="14" s="1"/>
  <c r="S554" i="14" a="1"/>
  <c r="S554" i="14" s="1"/>
  <c r="Q554" i="14" a="1"/>
  <c r="Q554" i="14" s="1"/>
  <c r="R554" i="14" s="1"/>
  <c r="P554" i="14"/>
  <c r="P554" i="14" a="1"/>
  <c r="O554" i="14"/>
  <c r="N554" i="14" a="1"/>
  <c r="N554" i="14" s="1"/>
  <c r="M554" i="14" a="1"/>
  <c r="M554" i="14" s="1"/>
  <c r="L554" i="14" a="1"/>
  <c r="L554" i="14" s="1"/>
  <c r="S553" i="14"/>
  <c r="S553" i="14" a="1"/>
  <c r="Q553" i="14" a="1"/>
  <c r="Q553" i="14" s="1"/>
  <c r="R553" i="14" s="1"/>
  <c r="P553" i="14"/>
  <c r="P553" i="14" a="1"/>
  <c r="O553" i="14"/>
  <c r="N553" i="14" a="1"/>
  <c r="N553" i="14" s="1"/>
  <c r="M553" i="14" a="1"/>
  <c r="M553" i="14" s="1"/>
  <c r="L553" i="14"/>
  <c r="L553" i="14" a="1"/>
  <c r="S552" i="14"/>
  <c r="S552" i="14" a="1"/>
  <c r="Q552" i="14"/>
  <c r="R552" i="14" s="1"/>
  <c r="Q552" i="14" a="1"/>
  <c r="P552" i="14"/>
  <c r="P552" i="14" a="1"/>
  <c r="O552" i="14"/>
  <c r="N552" i="14" a="1"/>
  <c r="N552" i="14" s="1"/>
  <c r="M552" i="14" a="1"/>
  <c r="M552" i="14" s="1"/>
  <c r="L552" i="14"/>
  <c r="L552" i="14" a="1"/>
  <c r="S551" i="14" a="1"/>
  <c r="S551" i="14" s="1"/>
  <c r="Q551" i="14"/>
  <c r="R551" i="14" s="1"/>
  <c r="Q551" i="14" a="1"/>
  <c r="P551" i="14"/>
  <c r="P551" i="14" a="1"/>
  <c r="O551" i="14"/>
  <c r="N551" i="14" a="1"/>
  <c r="N551" i="14" s="1"/>
  <c r="M551" i="14" a="1"/>
  <c r="M551" i="14" s="1"/>
  <c r="L551" i="14" a="1"/>
  <c r="L551" i="14" s="1"/>
  <c r="S550" i="14" a="1"/>
  <c r="S550" i="14" s="1"/>
  <c r="R550" i="14"/>
  <c r="Q550" i="14"/>
  <c r="Q550" i="14" a="1"/>
  <c r="P550" i="14"/>
  <c r="P550" i="14" a="1"/>
  <c r="O550" i="14"/>
  <c r="N550" i="14" a="1"/>
  <c r="N550" i="14" s="1"/>
  <c r="M550" i="14" a="1"/>
  <c r="M550" i="14" s="1"/>
  <c r="L550" i="14" a="1"/>
  <c r="L550" i="14" s="1"/>
  <c r="S549" i="14" a="1"/>
  <c r="S549" i="14" s="1"/>
  <c r="Q549" i="14"/>
  <c r="R549" i="14" s="1"/>
  <c r="Q549" i="14" a="1"/>
  <c r="P549" i="14" a="1"/>
  <c r="P549" i="14" s="1"/>
  <c r="O549" i="14"/>
  <c r="N549" i="14" a="1"/>
  <c r="N549" i="14" s="1"/>
  <c r="M549" i="14" a="1"/>
  <c r="M549" i="14" s="1"/>
  <c r="L549" i="14" a="1"/>
  <c r="L549" i="14" s="1"/>
  <c r="S548" i="14" a="1"/>
  <c r="S548" i="14" s="1"/>
  <c r="Q548" i="14" a="1"/>
  <c r="Q548" i="14" s="1"/>
  <c r="R548" i="14" s="1"/>
  <c r="P548" i="14"/>
  <c r="P548" i="14" a="1"/>
  <c r="O548" i="14"/>
  <c r="N548" i="14" a="1"/>
  <c r="N548" i="14" s="1"/>
  <c r="M548" i="14" a="1"/>
  <c r="M548" i="14" s="1"/>
  <c r="L548" i="14" a="1"/>
  <c r="L548" i="14" s="1"/>
  <c r="S547" i="14" a="1"/>
  <c r="S547" i="14" s="1"/>
  <c r="Q547" i="14" a="1"/>
  <c r="Q547" i="14" s="1"/>
  <c r="R547" i="14" s="1"/>
  <c r="P547" i="14"/>
  <c r="P547" i="14" a="1"/>
  <c r="O547" i="14"/>
  <c r="N547" i="14" a="1"/>
  <c r="N547" i="14" s="1"/>
  <c r="M547" i="14" a="1"/>
  <c r="M547" i="14" s="1"/>
  <c r="L547" i="14" a="1"/>
  <c r="L547" i="14" s="1"/>
  <c r="S546" i="14"/>
  <c r="S546" i="14" a="1"/>
  <c r="Q546" i="14"/>
  <c r="R546" i="14" s="1"/>
  <c r="Q546" i="14" a="1"/>
  <c r="P546" i="14"/>
  <c r="P546" i="14" a="1"/>
  <c r="O546" i="14"/>
  <c r="N546" i="14" a="1"/>
  <c r="N546" i="14" s="1"/>
  <c r="M546" i="14" a="1"/>
  <c r="M546" i="14" s="1"/>
  <c r="L546" i="14"/>
  <c r="L546" i="14" a="1"/>
  <c r="S545" i="14" a="1"/>
  <c r="S545" i="14" s="1"/>
  <c r="Q545" i="14"/>
  <c r="R545" i="14" s="1"/>
  <c r="Q545" i="14" a="1"/>
  <c r="P545" i="14"/>
  <c r="P545" i="14" a="1"/>
  <c r="O545" i="14"/>
  <c r="N545" i="14" a="1"/>
  <c r="N545" i="14" s="1"/>
  <c r="M545" i="14"/>
  <c r="M545" i="14" a="1"/>
  <c r="L545" i="14" a="1"/>
  <c r="L545" i="14" s="1"/>
  <c r="S544" i="14" a="1"/>
  <c r="S544" i="14" s="1"/>
  <c r="Q544" i="14"/>
  <c r="R544" i="14" s="1"/>
  <c r="Q544" i="14" a="1"/>
  <c r="P544" i="14"/>
  <c r="P544" i="14" a="1"/>
  <c r="O544" i="14"/>
  <c r="N544" i="14" a="1"/>
  <c r="N544" i="14" s="1"/>
  <c r="M544" i="14" a="1"/>
  <c r="M544" i="14" s="1"/>
  <c r="L544" i="14" a="1"/>
  <c r="L544" i="14" s="1"/>
  <c r="S543" i="14" a="1"/>
  <c r="S543" i="14" s="1"/>
  <c r="Q543" i="14"/>
  <c r="R543" i="14" s="1"/>
  <c r="Q543" i="14" a="1"/>
  <c r="P543" i="14"/>
  <c r="P543" i="14" a="1"/>
  <c r="O543" i="14"/>
  <c r="N543" i="14" a="1"/>
  <c r="N543" i="14" s="1"/>
  <c r="M543" i="14" a="1"/>
  <c r="M543" i="14" s="1"/>
  <c r="L543" i="14" a="1"/>
  <c r="L543" i="14" s="1"/>
  <c r="S542" i="14" a="1"/>
  <c r="S542" i="14" s="1"/>
  <c r="Q542" i="14"/>
  <c r="R542" i="14" s="1"/>
  <c r="Q542" i="14" a="1"/>
  <c r="P542" i="14"/>
  <c r="P542" i="14" a="1"/>
  <c r="O542" i="14"/>
  <c r="N542" i="14" a="1"/>
  <c r="N542" i="14" s="1"/>
  <c r="M542" i="14" a="1"/>
  <c r="M542" i="14" s="1"/>
  <c r="L542" i="14" a="1"/>
  <c r="L542" i="14" s="1"/>
  <c r="S541" i="14" a="1"/>
  <c r="S541" i="14" s="1"/>
  <c r="Q541" i="14" a="1"/>
  <c r="Q541" i="14" s="1"/>
  <c r="R541" i="14" s="1"/>
  <c r="P541" i="14"/>
  <c r="P541" i="14" a="1"/>
  <c r="O541" i="14"/>
  <c r="N541" i="14" a="1"/>
  <c r="N541" i="14" s="1"/>
  <c r="M541" i="14" a="1"/>
  <c r="M541" i="14" s="1"/>
  <c r="L541" i="14" a="1"/>
  <c r="L541" i="14" s="1"/>
  <c r="S540" i="14"/>
  <c r="S540" i="14" a="1"/>
  <c r="Q540" i="14"/>
  <c r="R540" i="14" s="1"/>
  <c r="Q540" i="14" a="1"/>
  <c r="P540" i="14"/>
  <c r="P540" i="14" a="1"/>
  <c r="O540" i="14"/>
  <c r="N540" i="14" a="1"/>
  <c r="N540" i="14" s="1"/>
  <c r="M540" i="14" a="1"/>
  <c r="M540" i="14" s="1"/>
  <c r="L540" i="14" a="1"/>
  <c r="L540" i="14" s="1"/>
  <c r="S539" i="14" a="1"/>
  <c r="S539" i="14" s="1"/>
  <c r="Q539" i="14"/>
  <c r="R539" i="14" s="1"/>
  <c r="Q539" i="14" a="1"/>
  <c r="P539" i="14"/>
  <c r="P539" i="14" a="1"/>
  <c r="O539" i="14"/>
  <c r="N539" i="14" a="1"/>
  <c r="N539" i="14" s="1"/>
  <c r="M539" i="14" a="1"/>
  <c r="M539" i="14" s="1"/>
  <c r="L539" i="14" a="1"/>
  <c r="L539" i="14" s="1"/>
  <c r="S538" i="14" a="1"/>
  <c r="S538" i="14" s="1"/>
  <c r="Q538" i="14"/>
  <c r="R538" i="14" s="1"/>
  <c r="Q538" i="14" a="1"/>
  <c r="P538" i="14"/>
  <c r="P538" i="14" a="1"/>
  <c r="O538" i="14"/>
  <c r="N538" i="14" a="1"/>
  <c r="N538" i="14" s="1"/>
  <c r="M538" i="14" a="1"/>
  <c r="M538" i="14" s="1"/>
  <c r="L538" i="14" a="1"/>
  <c r="L538" i="14" s="1"/>
  <c r="S537" i="14" a="1"/>
  <c r="S537" i="14" s="1"/>
  <c r="Q537" i="14"/>
  <c r="R537" i="14" s="1"/>
  <c r="Q537" i="14" a="1"/>
  <c r="P537" i="14"/>
  <c r="P537" i="14" a="1"/>
  <c r="O537" i="14"/>
  <c r="N537" i="14" a="1"/>
  <c r="N537" i="14" s="1"/>
  <c r="M537" i="14" a="1"/>
  <c r="M537" i="14" s="1"/>
  <c r="L537" i="14" a="1"/>
  <c r="L537" i="14" s="1"/>
  <c r="S536" i="14" a="1"/>
  <c r="S536" i="14" s="1"/>
  <c r="Q536" i="14"/>
  <c r="R536" i="14" s="1"/>
  <c r="Q536" i="14" a="1"/>
  <c r="P536" i="14"/>
  <c r="P536" i="14" a="1"/>
  <c r="O536" i="14"/>
  <c r="N536" i="14" a="1"/>
  <c r="N536" i="14" s="1"/>
  <c r="M536" i="14" a="1"/>
  <c r="M536" i="14" s="1"/>
  <c r="L536" i="14" a="1"/>
  <c r="L536" i="14" s="1"/>
  <c r="S535" i="14" a="1"/>
  <c r="S535" i="14" s="1"/>
  <c r="Q535" i="14" a="1"/>
  <c r="Q535" i="14" s="1"/>
  <c r="R535" i="14" s="1"/>
  <c r="P535" i="14"/>
  <c r="P535" i="14" a="1"/>
  <c r="O535" i="14"/>
  <c r="N535" i="14" a="1"/>
  <c r="N535" i="14" s="1"/>
  <c r="M535" i="14" a="1"/>
  <c r="M535" i="14" s="1"/>
  <c r="L535" i="14" a="1"/>
  <c r="L535" i="14" s="1"/>
  <c r="S534" i="14"/>
  <c r="S534" i="14" a="1"/>
  <c r="Q534" i="14"/>
  <c r="R534" i="14" s="1"/>
  <c r="Q534" i="14" a="1"/>
  <c r="P534" i="14"/>
  <c r="P534" i="14" a="1"/>
  <c r="O534" i="14"/>
  <c r="N534" i="14" a="1"/>
  <c r="N534" i="14" s="1"/>
  <c r="M534" i="14" a="1"/>
  <c r="M534" i="14" s="1"/>
  <c r="L534" i="14" a="1"/>
  <c r="L534" i="14" s="1"/>
  <c r="S533" i="14" a="1"/>
  <c r="S533" i="14" s="1"/>
  <c r="Q533" i="14"/>
  <c r="R533" i="14" s="1"/>
  <c r="Q533" i="14" a="1"/>
  <c r="P533" i="14"/>
  <c r="P533" i="14" a="1"/>
  <c r="O533" i="14"/>
  <c r="N533" i="14" a="1"/>
  <c r="N533" i="14" s="1"/>
  <c r="M533" i="14" a="1"/>
  <c r="M533" i="14" s="1"/>
  <c r="L533" i="14" a="1"/>
  <c r="L533" i="14" s="1"/>
  <c r="S532" i="14" a="1"/>
  <c r="S532" i="14" s="1"/>
  <c r="Q532" i="14"/>
  <c r="R532" i="14" s="1"/>
  <c r="Q532" i="14" a="1"/>
  <c r="P532" i="14"/>
  <c r="P532" i="14" a="1"/>
  <c r="O532" i="14"/>
  <c r="N532" i="14" a="1"/>
  <c r="N532" i="14" s="1"/>
  <c r="M532" i="14" a="1"/>
  <c r="M532" i="14" s="1"/>
  <c r="L532" i="14" a="1"/>
  <c r="L532" i="14" s="1"/>
  <c r="S531" i="14" a="1"/>
  <c r="S531" i="14" s="1"/>
  <c r="Q531" i="14"/>
  <c r="R531" i="14" s="1"/>
  <c r="Q531" i="14" a="1"/>
  <c r="P531" i="14"/>
  <c r="P531" i="14" a="1"/>
  <c r="O531" i="14"/>
  <c r="N531" i="14" a="1"/>
  <c r="N531" i="14" s="1"/>
  <c r="M531" i="14" a="1"/>
  <c r="M531" i="14" s="1"/>
  <c r="L531" i="14" a="1"/>
  <c r="L531" i="14" s="1"/>
  <c r="S530" i="14" a="1"/>
  <c r="S530" i="14" s="1"/>
  <c r="Q530" i="14"/>
  <c r="R530" i="14" s="1"/>
  <c r="Q530" i="14" a="1"/>
  <c r="P530" i="14"/>
  <c r="P530" i="14" a="1"/>
  <c r="O530" i="14"/>
  <c r="N530" i="14" a="1"/>
  <c r="N530" i="14" s="1"/>
  <c r="M530" i="14" a="1"/>
  <c r="M530" i="14" s="1"/>
  <c r="L530" i="14" a="1"/>
  <c r="L530" i="14" s="1"/>
  <c r="S529" i="14" a="1"/>
  <c r="S529" i="14" s="1"/>
  <c r="Q529" i="14"/>
  <c r="R529" i="14" s="1"/>
  <c r="Q529" i="14" a="1"/>
  <c r="P529" i="14"/>
  <c r="P529" i="14" a="1"/>
  <c r="O529" i="14"/>
  <c r="N529" i="14" a="1"/>
  <c r="N529" i="14" s="1"/>
  <c r="M529" i="14" a="1"/>
  <c r="M529" i="14" s="1"/>
  <c r="L529" i="14" a="1"/>
  <c r="L529" i="14" s="1"/>
  <c r="S528" i="14" a="1"/>
  <c r="S528" i="14" s="1"/>
  <c r="Q528" i="14"/>
  <c r="R528" i="14" s="1"/>
  <c r="Q528" i="14" a="1"/>
  <c r="P528" i="14"/>
  <c r="P528" i="14" a="1"/>
  <c r="O528" i="14"/>
  <c r="N528" i="14" a="1"/>
  <c r="N528" i="14" s="1"/>
  <c r="M528" i="14" a="1"/>
  <c r="M528" i="14" s="1"/>
  <c r="L528" i="14" a="1"/>
  <c r="L528" i="14" s="1"/>
  <c r="S527" i="14" a="1"/>
  <c r="S527" i="14" s="1"/>
  <c r="Q527" i="14"/>
  <c r="R527" i="14" s="1"/>
  <c r="Q527" i="14" a="1"/>
  <c r="P527" i="14"/>
  <c r="P527" i="14" a="1"/>
  <c r="O527" i="14"/>
  <c r="N527" i="14" a="1"/>
  <c r="N527" i="14" s="1"/>
  <c r="M527" i="14" a="1"/>
  <c r="M527" i="14" s="1"/>
  <c r="L527" i="14" a="1"/>
  <c r="L527" i="14" s="1"/>
  <c r="S526" i="14" a="1"/>
  <c r="S526" i="14" s="1"/>
  <c r="Q526" i="14"/>
  <c r="R526" i="14" s="1"/>
  <c r="Q526" i="14" a="1"/>
  <c r="P526" i="14"/>
  <c r="P526" i="14" a="1"/>
  <c r="O526" i="14"/>
  <c r="N526" i="14" a="1"/>
  <c r="N526" i="14" s="1"/>
  <c r="M526" i="14" a="1"/>
  <c r="M526" i="14" s="1"/>
  <c r="L526" i="14" a="1"/>
  <c r="L526" i="14" s="1"/>
  <c r="S525" i="14" a="1"/>
  <c r="S525" i="14" s="1"/>
  <c r="Q525" i="14"/>
  <c r="R525" i="14" s="1"/>
  <c r="Q525" i="14" a="1"/>
  <c r="P525" i="14"/>
  <c r="P525" i="14" a="1"/>
  <c r="O525" i="14"/>
  <c r="N525" i="14" a="1"/>
  <c r="N525" i="14" s="1"/>
  <c r="M525" i="14" a="1"/>
  <c r="M525" i="14" s="1"/>
  <c r="L525" i="14" a="1"/>
  <c r="L525" i="14" s="1"/>
  <c r="S524" i="14" a="1"/>
  <c r="S524" i="14" s="1"/>
  <c r="Q524" i="14"/>
  <c r="R524" i="14" s="1"/>
  <c r="Q524" i="14" a="1"/>
  <c r="P524" i="14"/>
  <c r="P524" i="14" a="1"/>
  <c r="O524" i="14"/>
  <c r="N524" i="14" a="1"/>
  <c r="N524" i="14" s="1"/>
  <c r="M524" i="14" a="1"/>
  <c r="M524" i="14" s="1"/>
  <c r="L524" i="14" a="1"/>
  <c r="L524" i="14" s="1"/>
  <c r="S523" i="14" a="1"/>
  <c r="S523" i="14" s="1"/>
  <c r="Q523" i="14"/>
  <c r="R523" i="14" s="1"/>
  <c r="Q523" i="14" a="1"/>
  <c r="P523" i="14"/>
  <c r="P523" i="14" a="1"/>
  <c r="O523" i="14"/>
  <c r="N523" i="14" a="1"/>
  <c r="N523" i="14" s="1"/>
  <c r="M523" i="14" a="1"/>
  <c r="M523" i="14" s="1"/>
  <c r="L523" i="14" a="1"/>
  <c r="L523" i="14" s="1"/>
  <c r="S522" i="14" a="1"/>
  <c r="S522" i="14" s="1"/>
  <c r="Q522" i="14"/>
  <c r="R522" i="14" s="1"/>
  <c r="Q522" i="14" a="1"/>
  <c r="P522" i="14"/>
  <c r="P522" i="14" a="1"/>
  <c r="O522" i="14"/>
  <c r="N522" i="14" a="1"/>
  <c r="N522" i="14" s="1"/>
  <c r="M522" i="14" a="1"/>
  <c r="M522" i="14" s="1"/>
  <c r="L522" i="14" a="1"/>
  <c r="L522" i="14" s="1"/>
  <c r="S521" i="14" a="1"/>
  <c r="S521" i="14" s="1"/>
  <c r="Q521" i="14"/>
  <c r="R521" i="14" s="1"/>
  <c r="Q521" i="14" a="1"/>
  <c r="P521" i="14"/>
  <c r="P521" i="14" a="1"/>
  <c r="O521" i="14"/>
  <c r="N521" i="14" a="1"/>
  <c r="N521" i="14" s="1"/>
  <c r="M521" i="14" a="1"/>
  <c r="M521" i="14" s="1"/>
  <c r="L521" i="14" a="1"/>
  <c r="L521" i="14" s="1"/>
  <c r="S520" i="14" a="1"/>
  <c r="S520" i="14" s="1"/>
  <c r="Q520" i="14"/>
  <c r="R520" i="14" s="1"/>
  <c r="Q520" i="14" a="1"/>
  <c r="P520" i="14"/>
  <c r="P520" i="14" a="1"/>
  <c r="O520" i="14"/>
  <c r="N520" i="14" a="1"/>
  <c r="N520" i="14" s="1"/>
  <c r="M520" i="14" a="1"/>
  <c r="M520" i="14" s="1"/>
  <c r="L520" i="14" a="1"/>
  <c r="L520" i="14" s="1"/>
  <c r="S519" i="14" a="1"/>
  <c r="S519" i="14" s="1"/>
  <c r="Q519" i="14"/>
  <c r="R519" i="14" s="1"/>
  <c r="Q519" i="14" a="1"/>
  <c r="P519" i="14"/>
  <c r="P519" i="14" a="1"/>
  <c r="O519" i="14"/>
  <c r="N519" i="14" a="1"/>
  <c r="N519" i="14" s="1"/>
  <c r="M519" i="14" a="1"/>
  <c r="M519" i="14" s="1"/>
  <c r="L519" i="14" a="1"/>
  <c r="L519" i="14" s="1"/>
  <c r="S518" i="14" a="1"/>
  <c r="S518" i="14" s="1"/>
  <c r="Q518" i="14"/>
  <c r="R518" i="14" s="1"/>
  <c r="Q518" i="14" a="1"/>
  <c r="P518" i="14"/>
  <c r="P518" i="14" a="1"/>
  <c r="O518" i="14"/>
  <c r="N518" i="14" a="1"/>
  <c r="N518" i="14" s="1"/>
  <c r="M518" i="14" a="1"/>
  <c r="M518" i="14" s="1"/>
  <c r="L518" i="14" a="1"/>
  <c r="L518" i="14" s="1"/>
  <c r="S517" i="14" a="1"/>
  <c r="S517" i="14" s="1"/>
  <c r="Q517" i="14"/>
  <c r="R517" i="14" s="1"/>
  <c r="Q517" i="14" a="1"/>
  <c r="P517" i="14"/>
  <c r="P517" i="14" a="1"/>
  <c r="O517" i="14"/>
  <c r="N517" i="14" a="1"/>
  <c r="N517" i="14" s="1"/>
  <c r="M517" i="14" a="1"/>
  <c r="M517" i="14" s="1"/>
  <c r="L517" i="14" a="1"/>
  <c r="L517" i="14" s="1"/>
  <c r="S516" i="14" a="1"/>
  <c r="S516" i="14" s="1"/>
  <c r="Q516" i="14"/>
  <c r="R516" i="14" s="1"/>
  <c r="Q516" i="14" a="1"/>
  <c r="P516" i="14"/>
  <c r="P516" i="14" a="1"/>
  <c r="O516" i="14"/>
  <c r="N516" i="14" a="1"/>
  <c r="N516" i="14" s="1"/>
  <c r="M516" i="14" a="1"/>
  <c r="M516" i="14" s="1"/>
  <c r="L516" i="14" a="1"/>
  <c r="L516" i="14" s="1"/>
  <c r="S515" i="14" a="1"/>
  <c r="S515" i="14" s="1"/>
  <c r="Q515" i="14"/>
  <c r="R515" i="14" s="1"/>
  <c r="Q515" i="14" a="1"/>
  <c r="P515" i="14"/>
  <c r="P515" i="14" a="1"/>
  <c r="O515" i="14"/>
  <c r="N515" i="14" a="1"/>
  <c r="N515" i="14" s="1"/>
  <c r="M515" i="14" a="1"/>
  <c r="M515" i="14" s="1"/>
  <c r="L515" i="14" a="1"/>
  <c r="L515" i="14" s="1"/>
  <c r="S514" i="14" a="1"/>
  <c r="S514" i="14" s="1"/>
  <c r="Q514" i="14"/>
  <c r="R514" i="14" s="1"/>
  <c r="Q514" i="14" a="1"/>
  <c r="P514" i="14"/>
  <c r="P514" i="14" a="1"/>
  <c r="O514" i="14"/>
  <c r="N514" i="14" a="1"/>
  <c r="N514" i="14" s="1"/>
  <c r="M514" i="14" a="1"/>
  <c r="M514" i="14" s="1"/>
  <c r="L514" i="14" a="1"/>
  <c r="L514" i="14" s="1"/>
  <c r="S513" i="14" a="1"/>
  <c r="S513" i="14" s="1"/>
  <c r="Q513" i="14"/>
  <c r="R513" i="14" s="1"/>
  <c r="Q513" i="14" a="1"/>
  <c r="P513" i="14"/>
  <c r="P513" i="14" a="1"/>
  <c r="O513" i="14"/>
  <c r="N513" i="14" a="1"/>
  <c r="N513" i="14" s="1"/>
  <c r="M513" i="14" a="1"/>
  <c r="M513" i="14" s="1"/>
  <c r="L513" i="14" a="1"/>
  <c r="L513" i="14" s="1"/>
  <c r="S512" i="14" a="1"/>
  <c r="S512" i="14" s="1"/>
  <c r="Q512" i="14"/>
  <c r="R512" i="14" s="1"/>
  <c r="Q512" i="14" a="1"/>
  <c r="P512" i="14"/>
  <c r="P512" i="14" a="1"/>
  <c r="O512" i="14"/>
  <c r="N512" i="14" a="1"/>
  <c r="N512" i="14" s="1"/>
  <c r="M512" i="14" a="1"/>
  <c r="M512" i="14" s="1"/>
  <c r="L512" i="14" a="1"/>
  <c r="L512" i="14" s="1"/>
  <c r="S511" i="14" a="1"/>
  <c r="S511" i="14" s="1"/>
  <c r="Q511" i="14"/>
  <c r="R511" i="14" s="1"/>
  <c r="Q511" i="14" a="1"/>
  <c r="P511" i="14"/>
  <c r="P511" i="14" a="1"/>
  <c r="O511" i="14"/>
  <c r="N511" i="14" a="1"/>
  <c r="N511" i="14" s="1"/>
  <c r="M511" i="14" a="1"/>
  <c r="M511" i="14" s="1"/>
  <c r="L511" i="14" a="1"/>
  <c r="L511" i="14" s="1"/>
  <c r="S510" i="14" a="1"/>
  <c r="S510" i="14" s="1"/>
  <c r="Q510" i="14"/>
  <c r="R510" i="14" s="1"/>
  <c r="Q510" i="14" a="1"/>
  <c r="P510" i="14"/>
  <c r="P510" i="14" a="1"/>
  <c r="O510" i="14"/>
  <c r="N510" i="14" a="1"/>
  <c r="N510" i="14" s="1"/>
  <c r="M510" i="14" a="1"/>
  <c r="M510" i="14" s="1"/>
  <c r="L510" i="14" a="1"/>
  <c r="L510" i="14" s="1"/>
  <c r="S509" i="14" a="1"/>
  <c r="S509" i="14" s="1"/>
  <c r="Q509" i="14"/>
  <c r="R509" i="14" s="1"/>
  <c r="Q509" i="14" a="1"/>
  <c r="P509" i="14"/>
  <c r="P509" i="14" a="1"/>
  <c r="O509" i="14"/>
  <c r="N509" i="14" a="1"/>
  <c r="N509" i="14" s="1"/>
  <c r="M509" i="14" a="1"/>
  <c r="M509" i="14" s="1"/>
  <c r="L509" i="14" a="1"/>
  <c r="L509" i="14" s="1"/>
  <c r="S508" i="14" a="1"/>
  <c r="S508" i="14" s="1"/>
  <c r="Q508" i="14"/>
  <c r="R508" i="14" s="1"/>
  <c r="Q508" i="14" a="1"/>
  <c r="P508" i="14"/>
  <c r="P508" i="14" a="1"/>
  <c r="O508" i="14"/>
  <c r="N508" i="14" a="1"/>
  <c r="N508" i="14" s="1"/>
  <c r="M508" i="14" a="1"/>
  <c r="M508" i="14" s="1"/>
  <c r="L508" i="14" a="1"/>
  <c r="L508" i="14" s="1"/>
  <c r="S507" i="14" a="1"/>
  <c r="S507" i="14" s="1"/>
  <c r="Q507" i="14"/>
  <c r="R507" i="14" s="1"/>
  <c r="Q507" i="14" a="1"/>
  <c r="P507" i="14"/>
  <c r="P507" i="14" a="1"/>
  <c r="O507" i="14"/>
  <c r="N507" i="14" a="1"/>
  <c r="N507" i="14" s="1"/>
  <c r="M507" i="14" a="1"/>
  <c r="M507" i="14" s="1"/>
  <c r="L507" i="14" a="1"/>
  <c r="L507" i="14" s="1"/>
  <c r="S506" i="14" a="1"/>
  <c r="S506" i="14" s="1"/>
  <c r="Q506" i="14"/>
  <c r="R506" i="14" s="1"/>
  <c r="Q506" i="14" a="1"/>
  <c r="P506" i="14"/>
  <c r="P506" i="14" a="1"/>
  <c r="O506" i="14"/>
  <c r="N506" i="14" a="1"/>
  <c r="N506" i="14" s="1"/>
  <c r="M506" i="14" a="1"/>
  <c r="M506" i="14" s="1"/>
  <c r="L506" i="14" a="1"/>
  <c r="L506" i="14" s="1"/>
  <c r="S505" i="14" a="1"/>
  <c r="S505" i="14" s="1"/>
  <c r="Q505" i="14"/>
  <c r="R505" i="14" s="1"/>
  <c r="Q505" i="14" a="1"/>
  <c r="P505" i="14"/>
  <c r="P505" i="14" a="1"/>
  <c r="O505" i="14"/>
  <c r="N505" i="14" a="1"/>
  <c r="N505" i="14" s="1"/>
  <c r="M505" i="14" a="1"/>
  <c r="M505" i="14" s="1"/>
  <c r="L505" i="14" a="1"/>
  <c r="L505" i="14" s="1"/>
  <c r="S504" i="14" a="1"/>
  <c r="S504" i="14" s="1"/>
  <c r="Q504" i="14"/>
  <c r="R504" i="14" s="1"/>
  <c r="Q504" i="14" a="1"/>
  <c r="P504" i="14"/>
  <c r="P504" i="14" a="1"/>
  <c r="O504" i="14"/>
  <c r="N504" i="14" a="1"/>
  <c r="N504" i="14" s="1"/>
  <c r="M504" i="14" a="1"/>
  <c r="M504" i="14" s="1"/>
  <c r="L504" i="14" a="1"/>
  <c r="L504" i="14" s="1"/>
  <c r="S503" i="14" a="1"/>
  <c r="S503" i="14" s="1"/>
  <c r="Q503" i="14"/>
  <c r="R503" i="14" s="1"/>
  <c r="Q503" i="14" a="1"/>
  <c r="P503" i="14"/>
  <c r="P503" i="14" a="1"/>
  <c r="O503" i="14"/>
  <c r="N503" i="14" a="1"/>
  <c r="N503" i="14" s="1"/>
  <c r="M503" i="14" a="1"/>
  <c r="M503" i="14" s="1"/>
  <c r="L503" i="14" a="1"/>
  <c r="L503" i="14" s="1"/>
  <c r="S502" i="14" a="1"/>
  <c r="S502" i="14" s="1"/>
  <c r="Q502" i="14"/>
  <c r="R502" i="14" s="1"/>
  <c r="Q502" i="14" a="1"/>
  <c r="P502" i="14"/>
  <c r="P502" i="14" a="1"/>
  <c r="O502" i="14"/>
  <c r="N502" i="14" a="1"/>
  <c r="N502" i="14" s="1"/>
  <c r="M502" i="14" a="1"/>
  <c r="M502" i="14" s="1"/>
  <c r="L502" i="14" a="1"/>
  <c r="L502" i="14" s="1"/>
  <c r="S501" i="14" a="1"/>
  <c r="S501" i="14" s="1"/>
  <c r="Q501" i="14"/>
  <c r="R501" i="14" s="1"/>
  <c r="Q501" i="14" a="1"/>
  <c r="P501" i="14"/>
  <c r="P501" i="14" a="1"/>
  <c r="O501" i="14"/>
  <c r="N501" i="14" a="1"/>
  <c r="N501" i="14" s="1"/>
  <c r="M501" i="14" a="1"/>
  <c r="M501" i="14" s="1"/>
  <c r="L501" i="14" a="1"/>
  <c r="L501" i="14" s="1"/>
  <c r="S500" i="14" a="1"/>
  <c r="S500" i="14" s="1"/>
  <c r="Q500" i="14"/>
  <c r="R500" i="14" s="1"/>
  <c r="Q500" i="14" a="1"/>
  <c r="P500" i="14"/>
  <c r="P500" i="14" a="1"/>
  <c r="O500" i="14"/>
  <c r="N500" i="14" a="1"/>
  <c r="N500" i="14" s="1"/>
  <c r="M500" i="14" a="1"/>
  <c r="M500" i="14" s="1"/>
  <c r="L500" i="14" a="1"/>
  <c r="L500" i="14" s="1"/>
  <c r="S499" i="14" a="1"/>
  <c r="S499" i="14" s="1"/>
  <c r="Q499" i="14"/>
  <c r="R499" i="14" s="1"/>
  <c r="Q499" i="14" a="1"/>
  <c r="P499" i="14"/>
  <c r="P499" i="14" a="1"/>
  <c r="O499" i="14"/>
  <c r="N499" i="14" a="1"/>
  <c r="N499" i="14" s="1"/>
  <c r="M499" i="14" a="1"/>
  <c r="M499" i="14" s="1"/>
  <c r="L499" i="14" a="1"/>
  <c r="L499" i="14" s="1"/>
  <c r="S498" i="14" a="1"/>
  <c r="S498" i="14" s="1"/>
  <c r="Q498" i="14"/>
  <c r="R498" i="14" s="1"/>
  <c r="Q498" i="14" a="1"/>
  <c r="P498" i="14"/>
  <c r="P498" i="14" a="1"/>
  <c r="O498" i="14"/>
  <c r="N498" i="14" a="1"/>
  <c r="N498" i="14" s="1"/>
  <c r="M498" i="14" a="1"/>
  <c r="M498" i="14" s="1"/>
  <c r="L498" i="14" a="1"/>
  <c r="L498" i="14" s="1"/>
  <c r="S497" i="14" a="1"/>
  <c r="S497" i="14" s="1"/>
  <c r="Q497" i="14"/>
  <c r="R497" i="14" s="1"/>
  <c r="Q497" i="14" a="1"/>
  <c r="P497" i="14"/>
  <c r="P497" i="14" a="1"/>
  <c r="O497" i="14"/>
  <c r="N497" i="14" a="1"/>
  <c r="N497" i="14" s="1"/>
  <c r="M497" i="14" a="1"/>
  <c r="M497" i="14" s="1"/>
  <c r="L497" i="14" a="1"/>
  <c r="L497" i="14" s="1"/>
  <c r="S496" i="14" a="1"/>
  <c r="S496" i="14" s="1"/>
  <c r="Q496" i="14"/>
  <c r="R496" i="14" s="1"/>
  <c r="Q496" i="14" a="1"/>
  <c r="P496" i="14"/>
  <c r="P496" i="14" a="1"/>
  <c r="O496" i="14"/>
  <c r="N496" i="14" a="1"/>
  <c r="N496" i="14" s="1"/>
  <c r="M496" i="14" a="1"/>
  <c r="M496" i="14" s="1"/>
  <c r="L496" i="14" a="1"/>
  <c r="L496" i="14" s="1"/>
  <c r="S495" i="14" a="1"/>
  <c r="S495" i="14" s="1"/>
  <c r="Q495" i="14"/>
  <c r="R495" i="14" s="1"/>
  <c r="Q495" i="14" a="1"/>
  <c r="P495" i="14"/>
  <c r="P495" i="14" a="1"/>
  <c r="O495" i="14"/>
  <c r="N495" i="14" a="1"/>
  <c r="N495" i="14" s="1"/>
  <c r="M495" i="14" a="1"/>
  <c r="M495" i="14" s="1"/>
  <c r="L495" i="14" a="1"/>
  <c r="L495" i="14" s="1"/>
  <c r="S494" i="14" a="1"/>
  <c r="S494" i="14" s="1"/>
  <c r="R494" i="14"/>
  <c r="Q494" i="14"/>
  <c r="Q494" i="14" a="1"/>
  <c r="P494" i="14"/>
  <c r="P494" i="14" a="1"/>
  <c r="O494" i="14"/>
  <c r="N494" i="14" a="1"/>
  <c r="N494" i="14" s="1"/>
  <c r="M494" i="14" a="1"/>
  <c r="M494" i="14" s="1"/>
  <c r="L494" i="14" a="1"/>
  <c r="L494" i="14" s="1"/>
  <c r="S493" i="14" a="1"/>
  <c r="S493" i="14" s="1"/>
  <c r="Q493" i="14"/>
  <c r="R493" i="14" s="1"/>
  <c r="Q493" i="14" a="1"/>
  <c r="P493" i="14"/>
  <c r="P493" i="14" a="1"/>
  <c r="O493" i="14"/>
  <c r="N493" i="14" a="1"/>
  <c r="N493" i="14" s="1"/>
  <c r="M493" i="14" a="1"/>
  <c r="M493" i="14" s="1"/>
  <c r="L493" i="14"/>
  <c r="L493" i="14" a="1"/>
  <c r="S492" i="14" a="1"/>
  <c r="S492" i="14" s="1"/>
  <c r="Q492" i="14" a="1"/>
  <c r="Q492" i="14" s="1"/>
  <c r="R492" i="14" s="1"/>
  <c r="P492" i="14"/>
  <c r="P492" i="14" a="1"/>
  <c r="O492" i="14"/>
  <c r="N492" i="14" a="1"/>
  <c r="N492" i="14" s="1"/>
  <c r="M492" i="14" a="1"/>
  <c r="M492" i="14" s="1"/>
  <c r="L492" i="14" a="1"/>
  <c r="L492" i="14" s="1"/>
  <c r="S491" i="14" a="1"/>
  <c r="S491" i="14" s="1"/>
  <c r="Q491" i="14"/>
  <c r="R491" i="14" s="1"/>
  <c r="Q491" i="14" a="1"/>
  <c r="P491" i="14"/>
  <c r="P491" i="14" a="1"/>
  <c r="O491" i="14"/>
  <c r="N491" i="14" a="1"/>
  <c r="N491" i="14" s="1"/>
  <c r="M491" i="14" a="1"/>
  <c r="M491" i="14" s="1"/>
  <c r="L491" i="14" a="1"/>
  <c r="L491" i="14" s="1"/>
  <c r="S490" i="14" a="1"/>
  <c r="S490" i="14" s="1"/>
  <c r="Q490" i="14"/>
  <c r="R490" i="14" s="1"/>
  <c r="Q490" i="14" a="1"/>
  <c r="P490" i="14" a="1"/>
  <c r="P490" i="14" s="1"/>
  <c r="O490" i="14"/>
  <c r="N490" i="14" a="1"/>
  <c r="N490" i="14" s="1"/>
  <c r="M490" i="14" a="1"/>
  <c r="M490" i="14" s="1"/>
  <c r="L490" i="14"/>
  <c r="L490" i="14" a="1"/>
  <c r="S489" i="14" a="1"/>
  <c r="S489" i="14" s="1"/>
  <c r="Q489" i="14" a="1"/>
  <c r="Q489" i="14" s="1"/>
  <c r="R489" i="14" s="1"/>
  <c r="P489" i="14"/>
  <c r="P489" i="14" a="1"/>
  <c r="O489" i="14"/>
  <c r="N489" i="14" a="1"/>
  <c r="N489" i="14" s="1"/>
  <c r="M489" i="14" a="1"/>
  <c r="M489" i="14" s="1"/>
  <c r="L489" i="14" a="1"/>
  <c r="L489" i="14" s="1"/>
  <c r="S488" i="14" a="1"/>
  <c r="S488" i="14" s="1"/>
  <c r="Q488" i="14"/>
  <c r="R488" i="14" s="1"/>
  <c r="Q488" i="14" a="1"/>
  <c r="P488" i="14"/>
  <c r="P488" i="14" a="1"/>
  <c r="O488" i="14"/>
  <c r="N488" i="14" a="1"/>
  <c r="N488" i="14" s="1"/>
  <c r="M488" i="14" a="1"/>
  <c r="M488" i="14" s="1"/>
  <c r="L488" i="14" a="1"/>
  <c r="L488" i="14" s="1"/>
  <c r="S487" i="14" a="1"/>
  <c r="S487" i="14" s="1"/>
  <c r="Q487" i="14"/>
  <c r="R487" i="14" s="1"/>
  <c r="Q487" i="14" a="1"/>
  <c r="P487" i="14"/>
  <c r="P487" i="14" a="1"/>
  <c r="O487" i="14"/>
  <c r="N487" i="14" a="1"/>
  <c r="N487" i="14" s="1"/>
  <c r="M487" i="14" a="1"/>
  <c r="M487" i="14" s="1"/>
  <c r="L487" i="14" a="1"/>
  <c r="L487" i="14" s="1"/>
  <c r="S486" i="14" a="1"/>
  <c r="S486" i="14" s="1"/>
  <c r="Q486" i="14" a="1"/>
  <c r="Q486" i="14" s="1"/>
  <c r="R486" i="14" s="1"/>
  <c r="P486" i="14"/>
  <c r="P486" i="14" a="1"/>
  <c r="O486" i="14"/>
  <c r="N486" i="14" a="1"/>
  <c r="N486" i="14" s="1"/>
  <c r="M486" i="14" a="1"/>
  <c r="M486" i="14" s="1"/>
  <c r="L486" i="14" a="1"/>
  <c r="L486" i="14" s="1"/>
  <c r="S485" i="14" a="1"/>
  <c r="S485" i="14" s="1"/>
  <c r="R485" i="14"/>
  <c r="Q485" i="14"/>
  <c r="Q485" i="14" a="1"/>
  <c r="P485" i="14"/>
  <c r="P485" i="14" a="1"/>
  <c r="O485" i="14"/>
  <c r="N485" i="14"/>
  <c r="N485" i="14" a="1"/>
  <c r="M485" i="14"/>
  <c r="M485" i="14" a="1"/>
  <c r="L485" i="14" a="1"/>
  <c r="L485" i="14" s="1"/>
  <c r="S484" i="14" a="1"/>
  <c r="S484" i="14" s="1"/>
  <c r="Q484" i="14"/>
  <c r="R484" i="14" s="1"/>
  <c r="Q484" i="14" a="1"/>
  <c r="P484" i="14" a="1"/>
  <c r="P484" i="14" s="1"/>
  <c r="O484" i="14"/>
  <c r="N484" i="14"/>
  <c r="N484" i="14" a="1"/>
  <c r="M484" i="14" a="1"/>
  <c r="M484" i="14" s="1"/>
  <c r="L484" i="14" a="1"/>
  <c r="L484" i="14" s="1"/>
  <c r="S483" i="14" a="1"/>
  <c r="S483" i="14" s="1"/>
  <c r="Q483" i="14"/>
  <c r="R483" i="14" s="1"/>
  <c r="Q483" i="14" a="1"/>
  <c r="P483" i="14"/>
  <c r="P483" i="14" a="1"/>
  <c r="O483" i="14"/>
  <c r="N483" i="14" a="1"/>
  <c r="N483" i="14" s="1"/>
  <c r="M483" i="14"/>
  <c r="M483" i="14" a="1"/>
  <c r="L483" i="14" a="1"/>
  <c r="L483" i="14" s="1"/>
  <c r="S482" i="14" a="1"/>
  <c r="S482" i="14" s="1"/>
  <c r="Q482" i="14" a="1"/>
  <c r="Q482" i="14" s="1"/>
  <c r="R482" i="14" s="1"/>
  <c r="P482" i="14"/>
  <c r="P482" i="14" a="1"/>
  <c r="O482" i="14"/>
  <c r="N482" i="14" a="1"/>
  <c r="N482" i="14" s="1"/>
  <c r="M482" i="14" a="1"/>
  <c r="M482" i="14" s="1"/>
  <c r="L482" i="14" a="1"/>
  <c r="L482" i="14" s="1"/>
  <c r="S481" i="14"/>
  <c r="S481" i="14" a="1"/>
  <c r="Q481" i="14" a="1"/>
  <c r="Q481" i="14" s="1"/>
  <c r="R481" i="14" s="1"/>
  <c r="P481" i="14" a="1"/>
  <c r="P481" i="14" s="1"/>
  <c r="O481" i="14"/>
  <c r="N481" i="14" a="1"/>
  <c r="N481" i="14" s="1"/>
  <c r="M481" i="14" a="1"/>
  <c r="M481" i="14" s="1"/>
  <c r="L481" i="14"/>
  <c r="L481" i="14" a="1"/>
  <c r="S480" i="14"/>
  <c r="S480" i="14" a="1"/>
  <c r="Q480" i="14" a="1"/>
  <c r="Q480" i="14" s="1"/>
  <c r="R480" i="14" s="1"/>
  <c r="P480" i="14"/>
  <c r="P480" i="14" a="1"/>
  <c r="O480" i="14"/>
  <c r="N480" i="14" a="1"/>
  <c r="N480" i="14" s="1"/>
  <c r="M480" i="14" a="1"/>
  <c r="M480" i="14" s="1"/>
  <c r="L480" i="14" a="1"/>
  <c r="L480" i="14" s="1"/>
  <c r="S479" i="14" a="1"/>
  <c r="S479" i="14" s="1"/>
  <c r="Q479" i="14"/>
  <c r="R479" i="14" s="1"/>
  <c r="Q479" i="14" a="1"/>
  <c r="P479" i="14"/>
  <c r="P479" i="14" a="1"/>
  <c r="O479" i="14"/>
  <c r="N479" i="14" a="1"/>
  <c r="N479" i="14" s="1"/>
  <c r="M479" i="14" a="1"/>
  <c r="M479" i="14" s="1"/>
  <c r="L479" i="14" a="1"/>
  <c r="L479" i="14" s="1"/>
  <c r="S478" i="14" a="1"/>
  <c r="S478" i="14" s="1"/>
  <c r="Q478" i="14"/>
  <c r="R478" i="14" s="1"/>
  <c r="Q478" i="14" a="1"/>
  <c r="P478" i="14" a="1"/>
  <c r="P478" i="14" s="1"/>
  <c r="O478" i="14"/>
  <c r="N478" i="14" a="1"/>
  <c r="N478" i="14" s="1"/>
  <c r="M478" i="14" a="1"/>
  <c r="M478" i="14" s="1"/>
  <c r="L478" i="14" a="1"/>
  <c r="L478" i="14" s="1"/>
  <c r="S477" i="14" a="1"/>
  <c r="S477" i="14" s="1"/>
  <c r="Q477" i="14" a="1"/>
  <c r="Q477" i="14" s="1"/>
  <c r="R477" i="14" s="1"/>
  <c r="P477" i="14" a="1"/>
  <c r="P477" i="14" s="1"/>
  <c r="O477" i="14"/>
  <c r="N477" i="14"/>
  <c r="N477" i="14" a="1"/>
  <c r="M477" i="14"/>
  <c r="M477" i="14" a="1"/>
  <c r="L477" i="14"/>
  <c r="L477" i="14" a="1"/>
  <c r="S476" i="14" a="1"/>
  <c r="S476" i="14" s="1"/>
  <c r="Q476" i="14" a="1"/>
  <c r="Q476" i="14" s="1"/>
  <c r="R476" i="14" s="1"/>
  <c r="P476" i="14"/>
  <c r="P476" i="14" a="1"/>
  <c r="O476" i="14"/>
  <c r="N476" i="14" a="1"/>
  <c r="N476" i="14" s="1"/>
  <c r="M476" i="14" a="1"/>
  <c r="M476" i="14" s="1"/>
  <c r="L476" i="14" a="1"/>
  <c r="L476" i="14" s="1"/>
  <c r="S475" i="14"/>
  <c r="S475" i="14" a="1"/>
  <c r="Q475" i="14" a="1"/>
  <c r="Q475" i="14" s="1"/>
  <c r="R475" i="14" s="1"/>
  <c r="P475" i="14" a="1"/>
  <c r="P475" i="14" s="1"/>
  <c r="O475" i="14"/>
  <c r="N475" i="14"/>
  <c r="N475" i="14" a="1"/>
  <c r="M475" i="14" a="1"/>
  <c r="M475" i="14" s="1"/>
  <c r="L475" i="14" a="1"/>
  <c r="L475" i="14" s="1"/>
  <c r="S474" i="14" a="1"/>
  <c r="S474" i="14" s="1"/>
  <c r="Q474" i="14"/>
  <c r="R474" i="14" s="1"/>
  <c r="Q474" i="14" a="1"/>
  <c r="P474" i="14"/>
  <c r="P474" i="14" a="1"/>
  <c r="O474" i="14"/>
  <c r="N474" i="14" a="1"/>
  <c r="N474" i="14" s="1"/>
  <c r="M474" i="14"/>
  <c r="M474" i="14" a="1"/>
  <c r="L474" i="14"/>
  <c r="L474" i="14" a="1"/>
  <c r="S473" i="14"/>
  <c r="S473" i="14" a="1"/>
  <c r="Q473" i="14" a="1"/>
  <c r="Q473" i="14" s="1"/>
  <c r="R473" i="14" s="1"/>
  <c r="P473" i="14"/>
  <c r="P473" i="14" a="1"/>
  <c r="O473" i="14"/>
  <c r="N473" i="14"/>
  <c r="N473" i="14" a="1"/>
  <c r="M473" i="14"/>
  <c r="M473" i="14" a="1"/>
  <c r="L473" i="14" a="1"/>
  <c r="L473" i="14" s="1"/>
  <c r="S472" i="14"/>
  <c r="S472" i="14" a="1"/>
  <c r="R472" i="14"/>
  <c r="Q472" i="14"/>
  <c r="Q472" i="14" a="1"/>
  <c r="P472" i="14" a="1"/>
  <c r="P472" i="14" s="1"/>
  <c r="O472" i="14"/>
  <c r="N472" i="14"/>
  <c r="N472" i="14" a="1"/>
  <c r="M472" i="14" a="1"/>
  <c r="M472" i="14" s="1"/>
  <c r="L472" i="14"/>
  <c r="L472" i="14" a="1"/>
  <c r="S471" i="14"/>
  <c r="S471" i="14" a="1"/>
  <c r="Q471" i="14"/>
  <c r="R471" i="14" s="1"/>
  <c r="Q471" i="14" a="1"/>
  <c r="P471" i="14"/>
  <c r="P471" i="14" a="1"/>
  <c r="O471" i="14"/>
  <c r="N471" i="14" a="1"/>
  <c r="N471" i="14" s="1"/>
  <c r="M471" i="14" a="1"/>
  <c r="M471" i="14" s="1"/>
  <c r="L471" i="14" a="1"/>
  <c r="L471" i="14" s="1"/>
  <c r="S470" i="14" a="1"/>
  <c r="S470" i="14" s="1"/>
  <c r="Q470" i="14" a="1"/>
  <c r="Q470" i="14" s="1"/>
  <c r="R470" i="14" s="1"/>
  <c r="P470" i="14" a="1"/>
  <c r="P470" i="14" s="1"/>
  <c r="O470" i="14"/>
  <c r="N470" i="14"/>
  <c r="N470" i="14" a="1"/>
  <c r="M470" i="14"/>
  <c r="M470" i="14" a="1"/>
  <c r="L470" i="14" a="1"/>
  <c r="L470" i="14" s="1"/>
  <c r="S469" i="14" a="1"/>
  <c r="S469" i="14" s="1"/>
  <c r="Q469" i="14"/>
  <c r="R469" i="14" s="1"/>
  <c r="Q469" i="14" a="1"/>
  <c r="P469" i="14"/>
  <c r="P469" i="14" a="1"/>
  <c r="O469" i="14"/>
  <c r="N469" i="14"/>
  <c r="N469" i="14" a="1"/>
  <c r="M469" i="14" a="1"/>
  <c r="M469" i="14" s="1"/>
  <c r="L469" i="14"/>
  <c r="L469" i="14" a="1"/>
  <c r="S468" i="14"/>
  <c r="S468" i="14" a="1"/>
  <c r="R468" i="14"/>
  <c r="Q468" i="14"/>
  <c r="Q468" i="14" a="1"/>
  <c r="P468" i="14" a="1"/>
  <c r="P468" i="14" s="1"/>
  <c r="O468" i="14"/>
  <c r="N468" i="14" a="1"/>
  <c r="N468" i="14" s="1"/>
  <c r="M468" i="14" a="1"/>
  <c r="M468" i="14" s="1"/>
  <c r="L468" i="14" a="1"/>
  <c r="L468" i="14" s="1"/>
  <c r="S467" i="14" a="1"/>
  <c r="S467" i="14" s="1"/>
  <c r="R467" i="14"/>
  <c r="Q467" i="14"/>
  <c r="Q467" i="14" a="1"/>
  <c r="P467" i="14"/>
  <c r="P467" i="14" a="1"/>
  <c r="O467" i="14"/>
  <c r="N467" i="14" a="1"/>
  <c r="N467" i="14" s="1"/>
  <c r="M467" i="14" a="1"/>
  <c r="M467" i="14" s="1"/>
  <c r="L467" i="14" a="1"/>
  <c r="L467" i="14" s="1"/>
  <c r="S466" i="14"/>
  <c r="S466" i="14" a="1"/>
  <c r="Q466" i="14"/>
  <c r="R466" i="14" s="1"/>
  <c r="Q466" i="14" a="1"/>
  <c r="P466" i="14"/>
  <c r="P466" i="14" a="1"/>
  <c r="O466" i="14"/>
  <c r="N466" i="14" a="1"/>
  <c r="N466" i="14" s="1"/>
  <c r="M466" i="14" a="1"/>
  <c r="M466" i="14" s="1"/>
  <c r="L466" i="14"/>
  <c r="L466" i="14" a="1"/>
  <c r="S465" i="14" a="1"/>
  <c r="S465" i="14" s="1"/>
  <c r="Q465" i="14" a="1"/>
  <c r="Q465" i="14" s="1"/>
  <c r="R465" i="14" s="1"/>
  <c r="P465" i="14" a="1"/>
  <c r="P465" i="14" s="1"/>
  <c r="O465" i="14"/>
  <c r="N465" i="14"/>
  <c r="N465" i="14" a="1"/>
  <c r="M465" i="14"/>
  <c r="M465" i="14" a="1"/>
  <c r="L465" i="14"/>
  <c r="L465" i="14" a="1"/>
  <c r="S464" i="14"/>
  <c r="S464" i="14" a="1"/>
  <c r="Q464" i="14" a="1"/>
  <c r="Q464" i="14" s="1"/>
  <c r="R464" i="14" s="1"/>
  <c r="P464" i="14" a="1"/>
  <c r="P464" i="14" s="1"/>
  <c r="O464" i="14"/>
  <c r="N464" i="14"/>
  <c r="N464" i="14" a="1"/>
  <c r="M464" i="14"/>
  <c r="M464" i="14" a="1"/>
  <c r="L464" i="14"/>
  <c r="L464" i="14" a="1"/>
  <c r="S463" i="14"/>
  <c r="S463" i="14" a="1"/>
  <c r="Q463" i="14" a="1"/>
  <c r="Q463" i="14" s="1"/>
  <c r="R463" i="14" s="1"/>
  <c r="P463" i="14" a="1"/>
  <c r="P463" i="14" s="1"/>
  <c r="O463" i="14"/>
  <c r="N463" i="14" a="1"/>
  <c r="N463" i="14" s="1"/>
  <c r="M463" i="14"/>
  <c r="M463" i="14" a="1"/>
  <c r="L463" i="14"/>
  <c r="L463" i="14" a="1"/>
  <c r="S462" i="14"/>
  <c r="S462" i="14" a="1"/>
  <c r="Q462" i="14" a="1"/>
  <c r="Q462" i="14" s="1"/>
  <c r="R462" i="14" s="1"/>
  <c r="P462" i="14"/>
  <c r="P462" i="14" a="1"/>
  <c r="O462" i="14"/>
  <c r="N462" i="14" a="1"/>
  <c r="N462" i="14" s="1"/>
  <c r="M462" i="14"/>
  <c r="M462" i="14" a="1"/>
  <c r="L462" i="14"/>
  <c r="L462" i="14" a="1"/>
  <c r="S461" i="14"/>
  <c r="S461" i="14" a="1"/>
  <c r="R461" i="14"/>
  <c r="Q461" i="14"/>
  <c r="Q461" i="14" a="1"/>
  <c r="P461" i="14" a="1"/>
  <c r="P461" i="14" s="1"/>
  <c r="O461" i="14"/>
  <c r="N461" i="14"/>
  <c r="N461" i="14" a="1"/>
  <c r="M461" i="14"/>
  <c r="M461" i="14" a="1"/>
  <c r="L461" i="14"/>
  <c r="L461" i="14" a="1"/>
  <c r="S460" i="14"/>
  <c r="S460" i="14" a="1"/>
  <c r="Q460" i="14" a="1"/>
  <c r="Q460" i="14" s="1"/>
  <c r="R460" i="14" s="1"/>
  <c r="P460" i="14"/>
  <c r="P460" i="14" a="1"/>
  <c r="O460" i="14"/>
  <c r="N460" i="14"/>
  <c r="N460" i="14" a="1"/>
  <c r="M460" i="14"/>
  <c r="M460" i="14" a="1"/>
  <c r="L460" i="14"/>
  <c r="L460" i="14" a="1"/>
  <c r="S459" i="14"/>
  <c r="S459" i="14" a="1"/>
  <c r="R459" i="14"/>
  <c r="Q459" i="14"/>
  <c r="Q459" i="14" a="1"/>
  <c r="P459" i="14" a="1"/>
  <c r="P459" i="14" s="1"/>
  <c r="O459" i="14"/>
  <c r="N459" i="14"/>
  <c r="N459" i="14" a="1"/>
  <c r="M459" i="14"/>
  <c r="M459" i="14" a="1"/>
  <c r="L459" i="14" a="1"/>
  <c r="L459" i="14" s="1"/>
  <c r="S458" i="14"/>
  <c r="S458" i="14" a="1"/>
  <c r="Q458" i="14" a="1"/>
  <c r="Q458" i="14" s="1"/>
  <c r="R458" i="14" s="1"/>
  <c r="P458" i="14" a="1"/>
  <c r="P458" i="14" s="1"/>
  <c r="O458" i="14"/>
  <c r="N458" i="14"/>
  <c r="N458" i="14" a="1"/>
  <c r="M458" i="14" a="1"/>
  <c r="M458" i="14" s="1"/>
  <c r="L458" i="14" a="1"/>
  <c r="L458" i="14" s="1"/>
  <c r="S457" i="14"/>
  <c r="S457" i="14" a="1"/>
  <c r="Q457" i="14" a="1"/>
  <c r="Q457" i="14" s="1"/>
  <c r="R457" i="14" s="1"/>
  <c r="P457" i="14" a="1"/>
  <c r="P457" i="14" s="1"/>
  <c r="O457" i="14"/>
  <c r="N457" i="14" a="1"/>
  <c r="N457" i="14" s="1"/>
  <c r="M457" i="14" a="1"/>
  <c r="M457" i="14" s="1"/>
  <c r="L457" i="14"/>
  <c r="L457" i="14" a="1"/>
  <c r="S456" i="14"/>
  <c r="S456" i="14" a="1"/>
  <c r="Q456" i="14" a="1"/>
  <c r="Q456" i="14" s="1"/>
  <c r="R456" i="14" s="1"/>
  <c r="P456" i="14"/>
  <c r="P456" i="14" a="1"/>
  <c r="O456" i="14"/>
  <c r="N456" i="14" a="1"/>
  <c r="N456" i="14" s="1"/>
  <c r="M456" i="14"/>
  <c r="M456" i="14" a="1"/>
  <c r="L456" i="14"/>
  <c r="L456" i="14" a="1"/>
  <c r="S455" i="14"/>
  <c r="S455" i="14" a="1"/>
  <c r="R455" i="14"/>
  <c r="Q455" i="14"/>
  <c r="Q455" i="14" a="1"/>
  <c r="P455" i="14" a="1"/>
  <c r="P455" i="14" s="1"/>
  <c r="O455" i="14"/>
  <c r="N455" i="14"/>
  <c r="N455" i="14" a="1"/>
  <c r="M455" i="14"/>
  <c r="M455" i="14" a="1"/>
  <c r="L455" i="14"/>
  <c r="L455" i="14" a="1"/>
  <c r="S454" i="14"/>
  <c r="S454" i="14" a="1"/>
  <c r="Q454" i="14" a="1"/>
  <c r="Q454" i="14" s="1"/>
  <c r="R454" i="14" s="1"/>
  <c r="P454" i="14"/>
  <c r="P454" i="14" a="1"/>
  <c r="O454" i="14"/>
  <c r="N454" i="14"/>
  <c r="N454" i="14" a="1"/>
  <c r="M454" i="14"/>
  <c r="M454" i="14" a="1"/>
  <c r="L454" i="14"/>
  <c r="L454" i="14" a="1"/>
  <c r="S453" i="14" a="1"/>
  <c r="S453" i="14" s="1"/>
  <c r="R453" i="14"/>
  <c r="Q453" i="14"/>
  <c r="Q453" i="14" a="1"/>
  <c r="P453" i="14" a="1"/>
  <c r="P453" i="14" s="1"/>
  <c r="O453" i="14"/>
  <c r="N453" i="14"/>
  <c r="N453" i="14" a="1"/>
  <c r="M453" i="14"/>
  <c r="M453" i="14" a="1"/>
  <c r="L453" i="14" a="1"/>
  <c r="L453" i="14" s="1"/>
  <c r="S452" i="14" a="1"/>
  <c r="S452" i="14" s="1"/>
  <c r="Q452" i="14" a="1"/>
  <c r="Q452" i="14" s="1"/>
  <c r="R452" i="14" s="1"/>
  <c r="P452" i="14"/>
  <c r="P452" i="14" a="1"/>
  <c r="O452" i="14"/>
  <c r="N452" i="14"/>
  <c r="N452" i="14" a="1"/>
  <c r="M452" i="14" a="1"/>
  <c r="M452" i="14" s="1"/>
  <c r="L452" i="14" a="1"/>
  <c r="L452" i="14" s="1"/>
  <c r="S451" i="14"/>
  <c r="S451" i="14" a="1"/>
  <c r="Q451" i="14" a="1"/>
  <c r="Q451" i="14" s="1"/>
  <c r="R451" i="14" s="1"/>
  <c r="P451" i="14" a="1"/>
  <c r="P451" i="14" s="1"/>
  <c r="O451" i="14"/>
  <c r="N451" i="14" a="1"/>
  <c r="N451" i="14" s="1"/>
  <c r="M451" i="14" a="1"/>
  <c r="M451" i="14" s="1"/>
  <c r="L451" i="14"/>
  <c r="L451" i="14" a="1"/>
  <c r="S450" i="14"/>
  <c r="S450" i="14" a="1"/>
  <c r="Q450" i="14" a="1"/>
  <c r="Q450" i="14" s="1"/>
  <c r="R450" i="14" s="1"/>
  <c r="P450" i="14"/>
  <c r="P450" i="14" a="1"/>
  <c r="O450" i="14"/>
  <c r="N450" i="14" a="1"/>
  <c r="N450" i="14" s="1"/>
  <c r="M450" i="14"/>
  <c r="M450" i="14" a="1"/>
  <c r="L450" i="14"/>
  <c r="L450" i="14" a="1"/>
  <c r="S449" i="14"/>
  <c r="S449" i="14" a="1"/>
  <c r="R449" i="14"/>
  <c r="Q449" i="14"/>
  <c r="Q449" i="14" a="1"/>
  <c r="P449" i="14" a="1"/>
  <c r="P449" i="14" s="1"/>
  <c r="O449" i="14"/>
  <c r="N449" i="14"/>
  <c r="N449" i="14" a="1"/>
  <c r="M449" i="14"/>
  <c r="M449" i="14" a="1"/>
  <c r="L449" i="14"/>
  <c r="L449" i="14" a="1"/>
  <c r="S448" i="14"/>
  <c r="S448" i="14" a="1"/>
  <c r="Q448" i="14" a="1"/>
  <c r="Q448" i="14" s="1"/>
  <c r="R448" i="14" s="1"/>
  <c r="P448" i="14"/>
  <c r="P448" i="14" a="1"/>
  <c r="O448" i="14"/>
  <c r="N448" i="14"/>
  <c r="N448" i="14" a="1"/>
  <c r="M448" i="14"/>
  <c r="M448" i="14" a="1"/>
  <c r="L448" i="14"/>
  <c r="L448" i="14" a="1"/>
  <c r="S447" i="14" a="1"/>
  <c r="S447" i="14" s="1"/>
  <c r="Q447" i="14"/>
  <c r="R447" i="14" s="1"/>
  <c r="Q447" i="14" a="1"/>
  <c r="P447" i="14" a="1"/>
  <c r="P447" i="14" s="1"/>
  <c r="O447" i="14"/>
  <c r="N447" i="14" a="1"/>
  <c r="N447" i="14" s="1"/>
  <c r="M447" i="14"/>
  <c r="M447" i="14" a="1"/>
  <c r="L447" i="14" a="1"/>
  <c r="L447" i="14" s="1"/>
  <c r="S446" i="14" a="1"/>
  <c r="S446" i="14" s="1"/>
  <c r="Q446" i="14" a="1"/>
  <c r="Q446" i="14" s="1"/>
  <c r="R446" i="14" s="1"/>
  <c r="P446" i="14"/>
  <c r="P446" i="14" a="1"/>
  <c r="O446" i="14"/>
  <c r="N446" i="14"/>
  <c r="N446" i="14" a="1"/>
  <c r="M446" i="14" a="1"/>
  <c r="M446" i="14" s="1"/>
  <c r="L446" i="14" a="1"/>
  <c r="L446" i="14" s="1"/>
  <c r="S445" i="14"/>
  <c r="S445" i="14" a="1"/>
  <c r="R445" i="14"/>
  <c r="Q445" i="14"/>
  <c r="Q445" i="14" a="1"/>
  <c r="P445" i="14" a="1"/>
  <c r="P445" i="14" s="1"/>
  <c r="O445" i="14"/>
  <c r="N445" i="14" a="1"/>
  <c r="N445" i="14" s="1"/>
  <c r="M445" i="14" a="1"/>
  <c r="M445" i="14" s="1"/>
  <c r="L445" i="14" a="1"/>
  <c r="L445" i="14" s="1"/>
  <c r="S444" i="14"/>
  <c r="S444" i="14" a="1"/>
  <c r="Q444" i="14" a="1"/>
  <c r="Q444" i="14" s="1"/>
  <c r="R444" i="14" s="1"/>
  <c r="P444" i="14"/>
  <c r="P444" i="14" a="1"/>
  <c r="O444" i="14"/>
  <c r="N444" i="14" a="1"/>
  <c r="N444" i="14" s="1"/>
  <c r="M444" i="14" a="1"/>
  <c r="M444" i="14" s="1"/>
  <c r="L444" i="14"/>
  <c r="L444" i="14" a="1"/>
  <c r="S443" i="14" a="1"/>
  <c r="S443" i="14" s="1"/>
  <c r="R443" i="14"/>
  <c r="Q443" i="14"/>
  <c r="Q443" i="14" a="1"/>
  <c r="P443" i="14"/>
  <c r="P443" i="14" a="1"/>
  <c r="O443" i="14"/>
  <c r="N443" i="14" a="1"/>
  <c r="N443" i="14" s="1"/>
  <c r="M443" i="14"/>
  <c r="M443" i="14" a="1"/>
  <c r="L443" i="14" a="1"/>
  <c r="L443" i="14" s="1"/>
  <c r="S442" i="14"/>
  <c r="S442" i="14" a="1"/>
  <c r="Q442" i="14" a="1"/>
  <c r="Q442" i="14" s="1"/>
  <c r="R442" i="14" s="1"/>
  <c r="P442" i="14"/>
  <c r="P442" i="14" a="1"/>
  <c r="O442" i="14"/>
  <c r="N442" i="14"/>
  <c r="N442" i="14" a="1"/>
  <c r="M442" i="14" a="1"/>
  <c r="M442" i="14" s="1"/>
  <c r="L442" i="14"/>
  <c r="L442" i="14" a="1"/>
  <c r="S441" i="14" a="1"/>
  <c r="S441" i="14" s="1"/>
  <c r="Q441" i="14"/>
  <c r="R441" i="14" s="1"/>
  <c r="Q441" i="14" a="1"/>
  <c r="P441" i="14" a="1"/>
  <c r="P441" i="14" s="1"/>
  <c r="O441" i="14"/>
  <c r="N441" i="14" a="1"/>
  <c r="N441" i="14" s="1"/>
  <c r="M441" i="14"/>
  <c r="M441" i="14" a="1"/>
  <c r="L441" i="14" a="1"/>
  <c r="L441" i="14" s="1"/>
  <c r="S440" i="14" a="1"/>
  <c r="S440" i="14" s="1"/>
  <c r="Q440" i="14" a="1"/>
  <c r="Q440" i="14" s="1"/>
  <c r="R440" i="14" s="1"/>
  <c r="P440" i="14"/>
  <c r="P440" i="14" a="1"/>
  <c r="O440" i="14"/>
  <c r="N440" i="14"/>
  <c r="N440" i="14" a="1"/>
  <c r="M440" i="14" a="1"/>
  <c r="M440" i="14" s="1"/>
  <c r="L440" i="14" a="1"/>
  <c r="L440" i="14" s="1"/>
  <c r="S439" i="14" a="1"/>
  <c r="S439" i="14" s="1"/>
  <c r="Q439" i="14" a="1"/>
  <c r="Q439" i="14" s="1"/>
  <c r="R439" i="14" s="1"/>
  <c r="P439" i="14" a="1"/>
  <c r="P439" i="14" s="1"/>
  <c r="O439" i="14"/>
  <c r="N439" i="14" a="1"/>
  <c r="N439" i="14" s="1"/>
  <c r="M439" i="14" a="1"/>
  <c r="M439" i="14" s="1"/>
  <c r="L439" i="14" a="1"/>
  <c r="L439" i="14" s="1"/>
  <c r="S438" i="14"/>
  <c r="S438" i="14" a="1"/>
  <c r="Q438" i="14" a="1"/>
  <c r="Q438" i="14" s="1"/>
  <c r="R438" i="14" s="1"/>
  <c r="P438" i="14"/>
  <c r="P438" i="14" a="1"/>
  <c r="O438" i="14"/>
  <c r="N438" i="14" a="1"/>
  <c r="N438" i="14" s="1"/>
  <c r="M438" i="14" a="1"/>
  <c r="M438" i="14" s="1"/>
  <c r="L438" i="14"/>
  <c r="L438" i="14" a="1"/>
  <c r="S437" i="14"/>
  <c r="S437" i="14" a="1"/>
  <c r="R437" i="14"/>
  <c r="Q437" i="14"/>
  <c r="Q437" i="14" a="1"/>
  <c r="P437" i="14"/>
  <c r="P437" i="14" a="1"/>
  <c r="O437" i="14"/>
  <c r="N437" i="14" a="1"/>
  <c r="N437" i="14" s="1"/>
  <c r="M437" i="14"/>
  <c r="M437" i="14" a="1"/>
  <c r="L437" i="14" a="1"/>
  <c r="L437" i="14" s="1"/>
  <c r="S436" i="14"/>
  <c r="S436" i="14" a="1"/>
  <c r="Q436" i="14"/>
  <c r="R436" i="14" s="1"/>
  <c r="Q436" i="14" a="1"/>
  <c r="P436" i="14"/>
  <c r="P436" i="14" a="1"/>
  <c r="O436" i="14"/>
  <c r="N436" i="14"/>
  <c r="N436" i="14" a="1"/>
  <c r="M436" i="14" a="1"/>
  <c r="M436" i="14" s="1"/>
  <c r="L436" i="14"/>
  <c r="L436" i="14" a="1"/>
  <c r="S435" i="14" a="1"/>
  <c r="S435" i="14" s="1"/>
  <c r="Q435" i="14"/>
  <c r="R435" i="14" s="1"/>
  <c r="Q435" i="14" a="1"/>
  <c r="P435" i="14" a="1"/>
  <c r="P435" i="14" s="1"/>
  <c r="O435" i="14"/>
  <c r="N435" i="14" a="1"/>
  <c r="N435" i="14" s="1"/>
  <c r="M435" i="14"/>
  <c r="M435" i="14" a="1"/>
  <c r="L435" i="14" a="1"/>
  <c r="L435" i="14" s="1"/>
  <c r="S434" i="14" a="1"/>
  <c r="S434" i="14" s="1"/>
  <c r="Q434" i="14" a="1"/>
  <c r="Q434" i="14" s="1"/>
  <c r="R434" i="14" s="1"/>
  <c r="P434" i="14"/>
  <c r="P434" i="14" a="1"/>
  <c r="O434" i="14"/>
  <c r="N434" i="14"/>
  <c r="N434" i="14" a="1"/>
  <c r="M434" i="14" a="1"/>
  <c r="M434" i="14" s="1"/>
  <c r="L434" i="14" a="1"/>
  <c r="L434" i="14" s="1"/>
  <c r="S433" i="14" a="1"/>
  <c r="S433" i="14" s="1"/>
  <c r="R433" i="14"/>
  <c r="Q433" i="14"/>
  <c r="Q433" i="14" a="1"/>
  <c r="P433" i="14" a="1"/>
  <c r="P433" i="14" s="1"/>
  <c r="O433" i="14"/>
  <c r="N433" i="14" a="1"/>
  <c r="N433" i="14" s="1"/>
  <c r="M433" i="14" a="1"/>
  <c r="M433" i="14" s="1"/>
  <c r="L433" i="14" a="1"/>
  <c r="L433" i="14" s="1"/>
  <c r="S432" i="14"/>
  <c r="S432" i="14" a="1"/>
  <c r="Q432" i="14" a="1"/>
  <c r="Q432" i="14" s="1"/>
  <c r="R432" i="14" s="1"/>
  <c r="P432" i="14"/>
  <c r="P432" i="14" a="1"/>
  <c r="O432" i="14"/>
  <c r="N432" i="14" a="1"/>
  <c r="N432" i="14" s="1"/>
  <c r="M432" i="14" a="1"/>
  <c r="M432" i="14" s="1"/>
  <c r="L432" i="14"/>
  <c r="L432" i="14" a="1"/>
  <c r="S431" i="14" a="1"/>
  <c r="S431" i="14" s="1"/>
  <c r="R431" i="14"/>
  <c r="Q431" i="14"/>
  <c r="Q431" i="14" a="1"/>
  <c r="P431" i="14"/>
  <c r="P431" i="14" a="1"/>
  <c r="O431" i="14"/>
  <c r="N431" i="14" a="1"/>
  <c r="N431" i="14" s="1"/>
  <c r="M431" i="14"/>
  <c r="M431" i="14" a="1"/>
  <c r="L431" i="14" a="1"/>
  <c r="L431" i="14" s="1"/>
  <c r="S430" i="14"/>
  <c r="S430" i="14" a="1"/>
  <c r="Q430" i="14"/>
  <c r="R430" i="14" s="1"/>
  <c r="Q430" i="14" a="1"/>
  <c r="P430" i="14"/>
  <c r="P430" i="14" a="1"/>
  <c r="O430" i="14"/>
  <c r="N430" i="14"/>
  <c r="N430" i="14" a="1"/>
  <c r="M430" i="14" a="1"/>
  <c r="M430" i="14" s="1"/>
  <c r="L430" i="14"/>
  <c r="L430" i="14" a="1"/>
  <c r="S429" i="14" a="1"/>
  <c r="S429" i="14" s="1"/>
  <c r="Q429" i="14"/>
  <c r="R429" i="14" s="1"/>
  <c r="Q429" i="14" a="1"/>
  <c r="P429" i="14" a="1"/>
  <c r="P429" i="14" s="1"/>
  <c r="O429" i="14"/>
  <c r="N429" i="14" a="1"/>
  <c r="N429" i="14" s="1"/>
  <c r="M429" i="14"/>
  <c r="M429" i="14" a="1"/>
  <c r="L429" i="14" a="1"/>
  <c r="L429" i="14" s="1"/>
  <c r="S428" i="14" a="1"/>
  <c r="S428" i="14" s="1"/>
  <c r="Q428" i="14" a="1"/>
  <c r="Q428" i="14" s="1"/>
  <c r="R428" i="14" s="1"/>
  <c r="P428" i="14"/>
  <c r="P428" i="14" a="1"/>
  <c r="O428" i="14"/>
  <c r="N428" i="14"/>
  <c r="N428" i="14" a="1"/>
  <c r="M428" i="14" a="1"/>
  <c r="M428" i="14" s="1"/>
  <c r="L428" i="14" a="1"/>
  <c r="L428" i="14" s="1"/>
  <c r="S427" i="14" a="1"/>
  <c r="S427" i="14" s="1"/>
  <c r="R427" i="14"/>
  <c r="Q427" i="14"/>
  <c r="Q427" i="14" a="1"/>
  <c r="P427" i="14" a="1"/>
  <c r="P427" i="14" s="1"/>
  <c r="O427" i="14"/>
  <c r="N427" i="14" a="1"/>
  <c r="N427" i="14" s="1"/>
  <c r="M427" i="14" a="1"/>
  <c r="M427" i="14" s="1"/>
  <c r="L427" i="14" a="1"/>
  <c r="L427" i="14" s="1"/>
  <c r="S426" i="14"/>
  <c r="S426" i="14" a="1"/>
  <c r="Q426" i="14" a="1"/>
  <c r="Q426" i="14" s="1"/>
  <c r="R426" i="14" s="1"/>
  <c r="P426" i="14"/>
  <c r="P426" i="14" a="1"/>
  <c r="O426" i="14"/>
  <c r="N426" i="14" a="1"/>
  <c r="N426" i="14" s="1"/>
  <c r="M426" i="14" a="1"/>
  <c r="M426" i="14" s="1"/>
  <c r="L426" i="14"/>
  <c r="L426" i="14" a="1"/>
  <c r="S425" i="14" a="1"/>
  <c r="S425" i="14" s="1"/>
  <c r="R425" i="14"/>
  <c r="Q425" i="14"/>
  <c r="Q425" i="14" a="1"/>
  <c r="P425" i="14"/>
  <c r="P425" i="14" a="1"/>
  <c r="O425" i="14"/>
  <c r="N425" i="14" a="1"/>
  <c r="N425" i="14" s="1"/>
  <c r="M425" i="14"/>
  <c r="M425" i="14" a="1"/>
  <c r="L425" i="14" a="1"/>
  <c r="L425" i="14" s="1"/>
  <c r="S424" i="14"/>
  <c r="S424" i="14" a="1"/>
  <c r="Q424" i="14"/>
  <c r="R424" i="14" s="1"/>
  <c r="Q424" i="14" a="1"/>
  <c r="P424" i="14"/>
  <c r="P424" i="14" a="1"/>
  <c r="O424" i="14"/>
  <c r="N424" i="14" a="1"/>
  <c r="N424" i="14" s="1"/>
  <c r="M424" i="14" a="1"/>
  <c r="M424" i="14" s="1"/>
  <c r="L424" i="14"/>
  <c r="L424" i="14" a="1"/>
  <c r="S423" i="14" a="1"/>
  <c r="S423" i="14" s="1"/>
  <c r="Q423" i="14"/>
  <c r="R423" i="14" s="1"/>
  <c r="Q423" i="14" a="1"/>
  <c r="P423" i="14" a="1"/>
  <c r="P423" i="14" s="1"/>
  <c r="O423" i="14"/>
  <c r="N423" i="14" a="1"/>
  <c r="N423" i="14" s="1"/>
  <c r="M423" i="14"/>
  <c r="M423" i="14" a="1"/>
  <c r="L423" i="14" a="1"/>
  <c r="L423" i="14" s="1"/>
  <c r="S422" i="14" a="1"/>
  <c r="S422" i="14" s="1"/>
  <c r="Q422" i="14" a="1"/>
  <c r="Q422" i="14" s="1"/>
  <c r="R422" i="14" s="1"/>
  <c r="P422" i="14"/>
  <c r="P422" i="14" a="1"/>
  <c r="O422" i="14"/>
  <c r="N422" i="14"/>
  <c r="N422" i="14" a="1"/>
  <c r="M422" i="14" a="1"/>
  <c r="M422" i="14" s="1"/>
  <c r="L422" i="14" a="1"/>
  <c r="L422" i="14" s="1"/>
  <c r="S421" i="14" a="1"/>
  <c r="S421" i="14" s="1"/>
  <c r="R421" i="14"/>
  <c r="Q421" i="14"/>
  <c r="Q421" i="14" a="1"/>
  <c r="P421" i="14" a="1"/>
  <c r="P421" i="14" s="1"/>
  <c r="O421" i="14"/>
  <c r="N421" i="14" a="1"/>
  <c r="N421" i="14" s="1"/>
  <c r="M421" i="14" a="1"/>
  <c r="M421" i="14" s="1"/>
  <c r="L421" i="14" a="1"/>
  <c r="L421" i="14" s="1"/>
  <c r="S420" i="14"/>
  <c r="S420" i="14" a="1"/>
  <c r="Q420" i="14" a="1"/>
  <c r="Q420" i="14" s="1"/>
  <c r="R420" i="14" s="1"/>
  <c r="P420" i="14"/>
  <c r="P420" i="14" a="1"/>
  <c r="O420" i="14"/>
  <c r="N420" i="14" a="1"/>
  <c r="N420" i="14" s="1"/>
  <c r="M420" i="14" a="1"/>
  <c r="M420" i="14" s="1"/>
  <c r="L420" i="14" a="1"/>
  <c r="L420" i="14" s="1"/>
  <c r="S419" i="14" a="1"/>
  <c r="S419" i="14" s="1"/>
  <c r="R419" i="14"/>
  <c r="Q419" i="14"/>
  <c r="Q419" i="14" a="1"/>
  <c r="P419" i="14"/>
  <c r="P419" i="14" a="1"/>
  <c r="O419" i="14"/>
  <c r="N419" i="14" a="1"/>
  <c r="N419" i="14" s="1"/>
  <c r="M419" i="14" a="1"/>
  <c r="M419" i="14" s="1"/>
  <c r="L419" i="14" a="1"/>
  <c r="L419" i="14" s="1"/>
  <c r="S418" i="14"/>
  <c r="S418" i="14" a="1"/>
  <c r="Q418" i="14"/>
  <c r="R418" i="14" s="1"/>
  <c r="Q418" i="14" a="1"/>
  <c r="P418" i="14"/>
  <c r="P418" i="14" a="1"/>
  <c r="O418" i="14"/>
  <c r="N418" i="14" a="1"/>
  <c r="N418" i="14" s="1"/>
  <c r="M418" i="14" a="1"/>
  <c r="M418" i="14" s="1"/>
  <c r="L418" i="14"/>
  <c r="L418" i="14" a="1"/>
  <c r="S417" i="14" a="1"/>
  <c r="S417" i="14" s="1"/>
  <c r="Q417" i="14"/>
  <c r="R417" i="14" s="1"/>
  <c r="Q417" i="14" a="1"/>
  <c r="P417" i="14" a="1"/>
  <c r="P417" i="14" s="1"/>
  <c r="O417" i="14"/>
  <c r="N417" i="14" a="1"/>
  <c r="N417" i="14" s="1"/>
  <c r="M417" i="14"/>
  <c r="M417" i="14" a="1"/>
  <c r="L417" i="14" a="1"/>
  <c r="L417" i="14" s="1"/>
  <c r="S416" i="14" a="1"/>
  <c r="S416" i="14" s="1"/>
  <c r="Q416" i="14" a="1"/>
  <c r="Q416" i="14" s="1"/>
  <c r="R416" i="14" s="1"/>
  <c r="P416" i="14"/>
  <c r="P416" i="14" a="1"/>
  <c r="O416" i="14"/>
  <c r="N416" i="14"/>
  <c r="N416" i="14" a="1"/>
  <c r="M416" i="14" a="1"/>
  <c r="M416" i="14" s="1"/>
  <c r="L416" i="14" a="1"/>
  <c r="L416" i="14" s="1"/>
  <c r="S415" i="14" a="1"/>
  <c r="S415" i="14" s="1"/>
  <c r="Q415" i="14"/>
  <c r="R415" i="14" s="1"/>
  <c r="Q415" i="14" a="1"/>
  <c r="P415" i="14" a="1"/>
  <c r="P415" i="14" s="1"/>
  <c r="O415" i="14"/>
  <c r="N415" i="14" a="1"/>
  <c r="N415" i="14" s="1"/>
  <c r="M415" i="14" a="1"/>
  <c r="M415" i="14" s="1"/>
  <c r="L415" i="14" a="1"/>
  <c r="L415" i="14" s="1"/>
  <c r="S414" i="14" a="1"/>
  <c r="S414" i="14" s="1"/>
  <c r="Q414" i="14" a="1"/>
  <c r="Q414" i="14" s="1"/>
  <c r="R414" i="14" s="1"/>
  <c r="P414" i="14"/>
  <c r="P414" i="14" a="1"/>
  <c r="O414" i="14"/>
  <c r="N414" i="14" a="1"/>
  <c r="N414" i="14" s="1"/>
  <c r="M414" i="14" a="1"/>
  <c r="M414" i="14" s="1"/>
  <c r="L414" i="14" a="1"/>
  <c r="L414" i="14" s="1"/>
  <c r="S413" i="14" a="1"/>
  <c r="S413" i="14" s="1"/>
  <c r="R413" i="14"/>
  <c r="Q413" i="14"/>
  <c r="Q413" i="14" a="1"/>
  <c r="P413" i="14"/>
  <c r="P413" i="14" a="1"/>
  <c r="O413" i="14"/>
  <c r="N413" i="14" a="1"/>
  <c r="N413" i="14" s="1"/>
  <c r="M413" i="14" a="1"/>
  <c r="M413" i="14" s="1"/>
  <c r="L413" i="14" a="1"/>
  <c r="L413" i="14" s="1"/>
  <c r="S412" i="14"/>
  <c r="S412" i="14" a="1"/>
  <c r="Q412" i="14"/>
  <c r="R412" i="14" s="1"/>
  <c r="Q412" i="14" a="1"/>
  <c r="P412" i="14"/>
  <c r="P412" i="14" a="1"/>
  <c r="O412" i="14"/>
  <c r="N412" i="14" a="1"/>
  <c r="N412" i="14" s="1"/>
  <c r="M412" i="14" a="1"/>
  <c r="M412" i="14" s="1"/>
  <c r="L412" i="14"/>
  <c r="L412" i="14" a="1"/>
  <c r="S411" i="14" a="1"/>
  <c r="S411" i="14" s="1"/>
  <c r="Q411" i="14"/>
  <c r="R411" i="14" s="1"/>
  <c r="Q411" i="14" a="1"/>
  <c r="P411" i="14" a="1"/>
  <c r="P411" i="14" s="1"/>
  <c r="O411" i="14"/>
  <c r="N411" i="14" a="1"/>
  <c r="N411" i="14" s="1"/>
  <c r="M411" i="14"/>
  <c r="M411" i="14" a="1"/>
  <c r="L411" i="14" a="1"/>
  <c r="L411" i="14" s="1"/>
  <c r="S410" i="14" a="1"/>
  <c r="S410" i="14" s="1"/>
  <c r="Q410" i="14" a="1"/>
  <c r="Q410" i="14" s="1"/>
  <c r="R410" i="14" s="1"/>
  <c r="P410" i="14"/>
  <c r="P410" i="14" a="1"/>
  <c r="O410" i="14"/>
  <c r="N410" i="14"/>
  <c r="N410" i="14" a="1"/>
  <c r="M410" i="14" a="1"/>
  <c r="M410" i="14" s="1"/>
  <c r="L410" i="14" a="1"/>
  <c r="L410" i="14" s="1"/>
  <c r="S409" i="14" a="1"/>
  <c r="S409" i="14" s="1"/>
  <c r="Q409" i="14"/>
  <c r="R409" i="14" s="1"/>
  <c r="Q409" i="14" a="1"/>
  <c r="P409" i="14" a="1"/>
  <c r="P409" i="14" s="1"/>
  <c r="O409" i="14"/>
  <c r="N409" i="14" a="1"/>
  <c r="N409" i="14" s="1"/>
  <c r="M409" i="14" a="1"/>
  <c r="M409" i="14" s="1"/>
  <c r="L409" i="14" a="1"/>
  <c r="L409" i="14" s="1"/>
  <c r="S408" i="14" a="1"/>
  <c r="S408" i="14" s="1"/>
  <c r="Q408" i="14" a="1"/>
  <c r="Q408" i="14" s="1"/>
  <c r="R408" i="14" s="1"/>
  <c r="P408" i="14"/>
  <c r="P408" i="14" a="1"/>
  <c r="O408" i="14"/>
  <c r="N408" i="14" a="1"/>
  <c r="N408" i="14" s="1"/>
  <c r="M408" i="14" a="1"/>
  <c r="M408" i="14" s="1"/>
  <c r="L408" i="14" a="1"/>
  <c r="L408" i="14" s="1"/>
  <c r="S407" i="14" a="1"/>
  <c r="S407" i="14" s="1"/>
  <c r="R407" i="14"/>
  <c r="Q407" i="14"/>
  <c r="Q407" i="14" a="1"/>
  <c r="P407" i="14"/>
  <c r="P407" i="14" a="1"/>
  <c r="O407" i="14"/>
  <c r="N407" i="14" a="1"/>
  <c r="N407" i="14" s="1"/>
  <c r="M407" i="14" a="1"/>
  <c r="M407" i="14" s="1"/>
  <c r="L407" i="14" a="1"/>
  <c r="L407" i="14" s="1"/>
  <c r="S406" i="14"/>
  <c r="S406" i="14" a="1"/>
  <c r="Q406" i="14"/>
  <c r="R406" i="14" s="1"/>
  <c r="Q406" i="14" a="1"/>
  <c r="P406" i="14"/>
  <c r="P406" i="14" a="1"/>
  <c r="O406" i="14"/>
  <c r="N406" i="14" a="1"/>
  <c r="N406" i="14" s="1"/>
  <c r="M406" i="14" a="1"/>
  <c r="M406" i="14" s="1"/>
  <c r="L406" i="14"/>
  <c r="L406" i="14" a="1"/>
  <c r="S405" i="14" a="1"/>
  <c r="S405" i="14" s="1"/>
  <c r="Q405" i="14"/>
  <c r="R405" i="14" s="1"/>
  <c r="Q405" i="14" a="1"/>
  <c r="P405" i="14"/>
  <c r="P405" i="14" a="1"/>
  <c r="O405" i="14"/>
  <c r="N405" i="14" a="1"/>
  <c r="N405" i="14" s="1"/>
  <c r="M405" i="14"/>
  <c r="M405" i="14" a="1"/>
  <c r="L405" i="14" a="1"/>
  <c r="L405" i="14" s="1"/>
  <c r="S404" i="14" a="1"/>
  <c r="S404" i="14" s="1"/>
  <c r="Q404" i="14" a="1"/>
  <c r="Q404" i="14" s="1"/>
  <c r="R404" i="14" s="1"/>
  <c r="P404" i="14"/>
  <c r="P404" i="14" a="1"/>
  <c r="O404" i="14"/>
  <c r="N404" i="14"/>
  <c r="N404" i="14" a="1"/>
  <c r="M404" i="14" a="1"/>
  <c r="M404" i="14" s="1"/>
  <c r="L404" i="14" a="1"/>
  <c r="L404" i="14" s="1"/>
  <c r="S403" i="14" a="1"/>
  <c r="S403" i="14" s="1"/>
  <c r="Q403" i="14"/>
  <c r="R403" i="14" s="1"/>
  <c r="Q403" i="14" a="1"/>
  <c r="P403" i="14" a="1"/>
  <c r="P403" i="14" s="1"/>
  <c r="O403" i="14"/>
  <c r="N403" i="14" a="1"/>
  <c r="N403" i="14" s="1"/>
  <c r="M403" i="14" a="1"/>
  <c r="M403" i="14" s="1"/>
  <c r="L403" i="14" a="1"/>
  <c r="L403" i="14" s="1"/>
  <c r="S402" i="14" a="1"/>
  <c r="S402" i="14" s="1"/>
  <c r="Q402" i="14" a="1"/>
  <c r="Q402" i="14" s="1"/>
  <c r="R402" i="14" s="1"/>
  <c r="P402" i="14"/>
  <c r="P402" i="14" a="1"/>
  <c r="O402" i="14"/>
  <c r="N402" i="14" a="1"/>
  <c r="N402" i="14" s="1"/>
  <c r="M402" i="14" a="1"/>
  <c r="M402" i="14" s="1"/>
  <c r="L402" i="14" a="1"/>
  <c r="L402" i="14" s="1"/>
  <c r="S401" i="14" a="1"/>
  <c r="S401" i="14" s="1"/>
  <c r="R401" i="14"/>
  <c r="Q401" i="14"/>
  <c r="Q401" i="14" a="1"/>
  <c r="P401" i="14"/>
  <c r="P401" i="14" a="1"/>
  <c r="O401" i="14"/>
  <c r="N401" i="14" a="1"/>
  <c r="N401" i="14" s="1"/>
  <c r="M401" i="14" a="1"/>
  <c r="M401" i="14" s="1"/>
  <c r="L401" i="14" a="1"/>
  <c r="L401" i="14" s="1"/>
  <c r="S400" i="14"/>
  <c r="S400" i="14" a="1"/>
  <c r="Q400" i="14"/>
  <c r="R400" i="14" s="1"/>
  <c r="Q400" i="14" a="1"/>
  <c r="P400" i="14"/>
  <c r="P400" i="14" a="1"/>
  <c r="O400" i="14"/>
  <c r="N400" i="14" a="1"/>
  <c r="N400" i="14" s="1"/>
  <c r="M400" i="14" a="1"/>
  <c r="M400" i="14" s="1"/>
  <c r="L400" i="14"/>
  <c r="L400" i="14" a="1"/>
  <c r="S399" i="14" a="1"/>
  <c r="S399" i="14" s="1"/>
  <c r="Q399" i="14"/>
  <c r="R399" i="14" s="1"/>
  <c r="Q399" i="14" a="1"/>
  <c r="P399" i="14"/>
  <c r="P399" i="14" a="1"/>
  <c r="O399" i="14"/>
  <c r="N399" i="14" a="1"/>
  <c r="N399" i="14" s="1"/>
  <c r="M399" i="14"/>
  <c r="M399" i="14" a="1"/>
  <c r="L399" i="14" a="1"/>
  <c r="L399" i="14" s="1"/>
  <c r="S398" i="14" a="1"/>
  <c r="S398" i="14" s="1"/>
  <c r="Q398" i="14"/>
  <c r="R398" i="14" s="1"/>
  <c r="Q398" i="14" a="1"/>
  <c r="P398" i="14"/>
  <c r="P398" i="14" a="1"/>
  <c r="O398" i="14"/>
  <c r="N398" i="14"/>
  <c r="N398" i="14" a="1"/>
  <c r="M398" i="14" a="1"/>
  <c r="M398" i="14" s="1"/>
  <c r="L398" i="14" a="1"/>
  <c r="L398" i="14" s="1"/>
  <c r="S397" i="14" a="1"/>
  <c r="S397" i="14" s="1"/>
  <c r="Q397" i="14"/>
  <c r="R397" i="14" s="1"/>
  <c r="Q397" i="14" a="1"/>
  <c r="P397" i="14" a="1"/>
  <c r="P397" i="14" s="1"/>
  <c r="O397" i="14"/>
  <c r="N397" i="14" a="1"/>
  <c r="N397" i="14" s="1"/>
  <c r="M397" i="14" a="1"/>
  <c r="M397" i="14" s="1"/>
  <c r="L397" i="14" a="1"/>
  <c r="L397" i="14" s="1"/>
  <c r="S396" i="14" a="1"/>
  <c r="S396" i="14" s="1"/>
  <c r="Q396" i="14"/>
  <c r="R396" i="14" s="1"/>
  <c r="Q396" i="14" a="1"/>
  <c r="P396" i="14"/>
  <c r="P396" i="14" a="1"/>
  <c r="O396" i="14"/>
  <c r="N396" i="14" a="1"/>
  <c r="N396" i="14" s="1"/>
  <c r="M396" i="14" a="1"/>
  <c r="M396" i="14" s="1"/>
  <c r="L396" i="14" a="1"/>
  <c r="L396" i="14" s="1"/>
  <c r="S395" i="14" a="1"/>
  <c r="S395" i="14" s="1"/>
  <c r="Q395" i="14"/>
  <c r="R395" i="14" s="1"/>
  <c r="Q395" i="14" a="1"/>
  <c r="P395" i="14"/>
  <c r="P395" i="14" a="1"/>
  <c r="O395" i="14"/>
  <c r="N395" i="14" a="1"/>
  <c r="N395" i="14" s="1"/>
  <c r="M395" i="14" a="1"/>
  <c r="M395" i="14" s="1"/>
  <c r="L395" i="14" a="1"/>
  <c r="L395" i="14" s="1"/>
  <c r="S394" i="14"/>
  <c r="S394" i="14" a="1"/>
  <c r="Q394" i="14"/>
  <c r="R394" i="14" s="1"/>
  <c r="Q394" i="14" a="1"/>
  <c r="P394" i="14"/>
  <c r="P394" i="14" a="1"/>
  <c r="O394" i="14"/>
  <c r="N394" i="14" a="1"/>
  <c r="N394" i="14" s="1"/>
  <c r="M394" i="14" a="1"/>
  <c r="M394" i="14" s="1"/>
  <c r="L394" i="14"/>
  <c r="L394" i="14" a="1"/>
  <c r="S393" i="14" a="1"/>
  <c r="S393" i="14" s="1"/>
  <c r="Q393" i="14"/>
  <c r="R393" i="14" s="1"/>
  <c r="Q393" i="14" a="1"/>
  <c r="P393" i="14"/>
  <c r="P393" i="14" a="1"/>
  <c r="O393" i="14"/>
  <c r="N393" i="14" a="1"/>
  <c r="N393" i="14" s="1"/>
  <c r="M393" i="14"/>
  <c r="M393" i="14" a="1"/>
  <c r="L393" i="14" a="1"/>
  <c r="L393" i="14" s="1"/>
  <c r="S392" i="14" a="1"/>
  <c r="S392" i="14" s="1"/>
  <c r="Q392" i="14" a="1"/>
  <c r="Q392" i="14" s="1"/>
  <c r="R392" i="14" s="1"/>
  <c r="P392" i="14"/>
  <c r="P392" i="14" a="1"/>
  <c r="O392" i="14"/>
  <c r="N392" i="14" a="1"/>
  <c r="N392" i="14" s="1"/>
  <c r="M392" i="14" a="1"/>
  <c r="M392" i="14" s="1"/>
  <c r="L392" i="14" a="1"/>
  <c r="L392" i="14" s="1"/>
  <c r="S391" i="14" a="1"/>
  <c r="S391" i="14" s="1"/>
  <c r="R391" i="14"/>
  <c r="Q391" i="14"/>
  <c r="Q391" i="14" a="1"/>
  <c r="P391" i="14"/>
  <c r="P391" i="14" a="1"/>
  <c r="O391" i="14"/>
  <c r="N391" i="14" a="1"/>
  <c r="N391" i="14" s="1"/>
  <c r="M391" i="14" a="1"/>
  <c r="M391" i="14" s="1"/>
  <c r="L391" i="14" a="1"/>
  <c r="L391" i="14" s="1"/>
  <c r="S390" i="14" a="1"/>
  <c r="S390" i="14" s="1"/>
  <c r="Q390" i="14" a="1"/>
  <c r="Q390" i="14" s="1"/>
  <c r="R390" i="14" s="1"/>
  <c r="P390" i="14"/>
  <c r="P390" i="14" a="1"/>
  <c r="O390" i="14"/>
  <c r="N390" i="14" a="1"/>
  <c r="N390" i="14" s="1"/>
  <c r="M390" i="14" a="1"/>
  <c r="M390" i="14" s="1"/>
  <c r="L390" i="14" a="1"/>
  <c r="L390" i="14" s="1"/>
  <c r="S389" i="14" a="1"/>
  <c r="S389" i="14" s="1"/>
  <c r="Q389" i="14"/>
  <c r="R389" i="14" s="1"/>
  <c r="Q389" i="14" a="1"/>
  <c r="P389" i="14"/>
  <c r="P389" i="14" a="1"/>
  <c r="O389" i="14"/>
  <c r="N389" i="14" a="1"/>
  <c r="N389" i="14" s="1"/>
  <c r="M389" i="14"/>
  <c r="M389" i="14" a="1"/>
  <c r="L389" i="14" a="1"/>
  <c r="L389" i="14" s="1"/>
  <c r="S388" i="14" a="1"/>
  <c r="S388" i="14" s="1"/>
  <c r="Q388" i="14"/>
  <c r="R388" i="14" s="1"/>
  <c r="Q388" i="14" a="1"/>
  <c r="P388" i="14"/>
  <c r="P388" i="14" a="1"/>
  <c r="O388" i="14"/>
  <c r="N388" i="14" a="1"/>
  <c r="N388" i="14" s="1"/>
  <c r="M388" i="14" a="1"/>
  <c r="M388" i="14" s="1"/>
  <c r="L388" i="14" a="1"/>
  <c r="L388" i="14" s="1"/>
  <c r="S387" i="14" a="1"/>
  <c r="S387" i="14" s="1"/>
  <c r="Q387" i="14"/>
  <c r="R387" i="14" s="1"/>
  <c r="Q387" i="14" a="1"/>
  <c r="P387" i="14"/>
  <c r="P387" i="14" a="1"/>
  <c r="O387" i="14"/>
  <c r="N387" i="14" a="1"/>
  <c r="N387" i="14" s="1"/>
  <c r="M387" i="14" a="1"/>
  <c r="M387" i="14" s="1"/>
  <c r="L387" i="14" a="1"/>
  <c r="L387" i="14" s="1"/>
  <c r="S386" i="14" a="1"/>
  <c r="S386" i="14" s="1"/>
  <c r="Q386" i="14"/>
  <c r="R386" i="14" s="1"/>
  <c r="Q386" i="14" a="1"/>
  <c r="P386" i="14"/>
  <c r="P386" i="14" a="1"/>
  <c r="O386" i="14"/>
  <c r="N386" i="14" a="1"/>
  <c r="N386" i="14" s="1"/>
  <c r="M386" i="14" a="1"/>
  <c r="M386" i="14" s="1"/>
  <c r="L386" i="14" a="1"/>
  <c r="L386" i="14" s="1"/>
  <c r="S385" i="14" a="1"/>
  <c r="S385" i="14" s="1"/>
  <c r="R385" i="14"/>
  <c r="Q385" i="14"/>
  <c r="Q385" i="14" a="1"/>
  <c r="P385" i="14" a="1"/>
  <c r="P385" i="14" s="1"/>
  <c r="O385" i="14"/>
  <c r="N385" i="14" a="1"/>
  <c r="N385" i="14" s="1"/>
  <c r="M385" i="14" a="1"/>
  <c r="M385" i="14" s="1"/>
  <c r="L385" i="14" a="1"/>
  <c r="L385" i="14" s="1"/>
  <c r="S384" i="14"/>
  <c r="S384" i="14" a="1"/>
  <c r="Q384" i="14"/>
  <c r="R384" i="14" s="1"/>
  <c r="Q384" i="14" a="1"/>
  <c r="P384" i="14"/>
  <c r="P384" i="14" a="1"/>
  <c r="O384" i="14"/>
  <c r="N384" i="14" a="1"/>
  <c r="N384" i="14" s="1"/>
  <c r="M384" i="14" a="1"/>
  <c r="M384" i="14" s="1"/>
  <c r="L384" i="14" a="1"/>
  <c r="L384" i="14" s="1"/>
  <c r="S383" i="14" a="1"/>
  <c r="S383" i="14" s="1"/>
  <c r="R383" i="14"/>
  <c r="Q383" i="14"/>
  <c r="Q383" i="14" a="1"/>
  <c r="P383" i="14"/>
  <c r="P383" i="14" a="1"/>
  <c r="O383" i="14"/>
  <c r="N383" i="14" a="1"/>
  <c r="N383" i="14" s="1"/>
  <c r="M383" i="14"/>
  <c r="M383" i="14" a="1"/>
  <c r="L383" i="14" a="1"/>
  <c r="L383" i="14" s="1"/>
  <c r="S382" i="14" a="1"/>
  <c r="S382" i="14" s="1"/>
  <c r="Q382" i="14"/>
  <c r="R382" i="14" s="1"/>
  <c r="Q382" i="14" a="1"/>
  <c r="P382" i="14"/>
  <c r="P382" i="14" a="1"/>
  <c r="O382" i="14"/>
  <c r="N382" i="14" a="1"/>
  <c r="N382" i="14" s="1"/>
  <c r="M382" i="14" a="1"/>
  <c r="M382" i="14" s="1"/>
  <c r="L382" i="14" a="1"/>
  <c r="L382" i="14" s="1"/>
  <c r="S381" i="14" a="1"/>
  <c r="S381" i="14" s="1"/>
  <c r="R381" i="14"/>
  <c r="Q381" i="14"/>
  <c r="Q381" i="14" a="1"/>
  <c r="P381" i="14" a="1"/>
  <c r="P381" i="14" s="1"/>
  <c r="O381" i="14"/>
  <c r="N381" i="14" a="1"/>
  <c r="N381" i="14" s="1"/>
  <c r="M381" i="14" a="1"/>
  <c r="M381" i="14" s="1"/>
  <c r="L381" i="14" a="1"/>
  <c r="L381" i="14" s="1"/>
  <c r="S380" i="14"/>
  <c r="S380" i="14" a="1"/>
  <c r="Q380" i="14"/>
  <c r="R380" i="14" s="1"/>
  <c r="Q380" i="14" a="1"/>
  <c r="P380" i="14"/>
  <c r="P380" i="14" a="1"/>
  <c r="O380" i="14"/>
  <c r="N380" i="14" a="1"/>
  <c r="N380" i="14" s="1"/>
  <c r="M380" i="14" a="1"/>
  <c r="M380" i="14" s="1"/>
  <c r="L380" i="14"/>
  <c r="L380" i="14" a="1"/>
  <c r="S379" i="14" a="1"/>
  <c r="S379" i="14" s="1"/>
  <c r="Q379" i="14"/>
  <c r="R379" i="14" s="1"/>
  <c r="Q379" i="14" a="1"/>
  <c r="P379" i="14" a="1"/>
  <c r="P379" i="14" s="1"/>
  <c r="O379" i="14"/>
  <c r="N379" i="14" a="1"/>
  <c r="N379" i="14" s="1"/>
  <c r="M379" i="14" a="1"/>
  <c r="M379" i="14" s="1"/>
  <c r="L379" i="14" a="1"/>
  <c r="L379" i="14" s="1"/>
  <c r="S378" i="14" a="1"/>
  <c r="S378" i="14" s="1"/>
  <c r="Q378" i="14" a="1"/>
  <c r="Q378" i="14" s="1"/>
  <c r="R378" i="14" s="1"/>
  <c r="P378" i="14"/>
  <c r="P378" i="14" a="1"/>
  <c r="O378" i="14"/>
  <c r="N378" i="14"/>
  <c r="N378" i="14" a="1"/>
  <c r="M378" i="14" a="1"/>
  <c r="M378" i="14" s="1"/>
  <c r="L378" i="14" a="1"/>
  <c r="L378" i="14" s="1"/>
  <c r="S377" i="14" a="1"/>
  <c r="S377" i="14" s="1"/>
  <c r="R377" i="14"/>
  <c r="Q377" i="14"/>
  <c r="Q377" i="14" a="1"/>
  <c r="P377" i="14"/>
  <c r="P377" i="14" a="1"/>
  <c r="O377" i="14"/>
  <c r="N377" i="14" a="1"/>
  <c r="N377" i="14" s="1"/>
  <c r="M377" i="14" a="1"/>
  <c r="M377" i="14" s="1"/>
  <c r="L377" i="14" a="1"/>
  <c r="L377" i="14" s="1"/>
  <c r="S376" i="14"/>
  <c r="S376" i="14" a="1"/>
  <c r="Q376" i="14"/>
  <c r="R376" i="14" s="1"/>
  <c r="Q376" i="14" a="1"/>
  <c r="P376" i="14"/>
  <c r="P376" i="14" a="1"/>
  <c r="O376" i="14"/>
  <c r="N376" i="14" a="1"/>
  <c r="N376" i="14" s="1"/>
  <c r="M376" i="14" a="1"/>
  <c r="M376" i="14" s="1"/>
  <c r="L376" i="14" a="1"/>
  <c r="L376" i="14" s="1"/>
  <c r="S375" i="14" a="1"/>
  <c r="S375" i="14" s="1"/>
  <c r="Q375" i="14"/>
  <c r="R375" i="14" s="1"/>
  <c r="Q375" i="14" a="1"/>
  <c r="P375" i="14"/>
  <c r="P375" i="14" a="1"/>
  <c r="O375" i="14"/>
  <c r="N375" i="14" a="1"/>
  <c r="N375" i="14" s="1"/>
  <c r="M375" i="14" a="1"/>
  <c r="M375" i="14" s="1"/>
  <c r="L375" i="14" a="1"/>
  <c r="L375" i="14" s="1"/>
  <c r="S374" i="14" a="1"/>
  <c r="S374" i="14" s="1"/>
  <c r="Q374" i="14" a="1"/>
  <c r="Q374" i="14" s="1"/>
  <c r="R374" i="14" s="1"/>
  <c r="P374" i="14"/>
  <c r="P374" i="14" a="1"/>
  <c r="O374" i="14"/>
  <c r="N374" i="14" a="1"/>
  <c r="N374" i="14" s="1"/>
  <c r="M374" i="14" a="1"/>
  <c r="M374" i="14" s="1"/>
  <c r="L374" i="14" a="1"/>
  <c r="L374" i="14" s="1"/>
  <c r="S373" i="14" a="1"/>
  <c r="S373" i="14" s="1"/>
  <c r="R373" i="14"/>
  <c r="Q373" i="14"/>
  <c r="Q373" i="14" a="1"/>
  <c r="P373" i="14" a="1"/>
  <c r="P373" i="14" s="1"/>
  <c r="O373" i="14"/>
  <c r="N373" i="14" a="1"/>
  <c r="N373" i="14" s="1"/>
  <c r="M373" i="14" a="1"/>
  <c r="M373" i="14" s="1"/>
  <c r="L373" i="14" a="1"/>
  <c r="L373" i="14" s="1"/>
  <c r="S372" i="14" a="1"/>
  <c r="S372" i="14" s="1"/>
  <c r="Q372" i="14" a="1"/>
  <c r="Q372" i="14" s="1"/>
  <c r="R372" i="14" s="1"/>
  <c r="P372" i="14"/>
  <c r="P372" i="14" a="1"/>
  <c r="O372" i="14"/>
  <c r="N372" i="14" a="1"/>
  <c r="N372" i="14" s="1"/>
  <c r="M372" i="14" a="1"/>
  <c r="M372" i="14" s="1"/>
  <c r="L372" i="14" a="1"/>
  <c r="L372" i="14" s="1"/>
  <c r="S371" i="14" a="1"/>
  <c r="S371" i="14" s="1"/>
  <c r="Q371" i="14"/>
  <c r="R371" i="14" s="1"/>
  <c r="Q371" i="14" a="1"/>
  <c r="P371" i="14"/>
  <c r="P371" i="14" a="1"/>
  <c r="O371" i="14"/>
  <c r="N371" i="14" a="1"/>
  <c r="N371" i="14" s="1"/>
  <c r="M371" i="14" a="1"/>
  <c r="M371" i="14" s="1"/>
  <c r="L371" i="14"/>
  <c r="L371" i="14" a="1"/>
  <c r="S370" i="14"/>
  <c r="S370" i="14" a="1"/>
  <c r="Q370" i="14"/>
  <c r="R370" i="14" s="1"/>
  <c r="Q370" i="14" a="1"/>
  <c r="P370" i="14"/>
  <c r="P370" i="14" a="1"/>
  <c r="O370" i="14"/>
  <c r="N370" i="14" a="1"/>
  <c r="N370" i="14" s="1"/>
  <c r="M370" i="14"/>
  <c r="M370" i="14" a="1"/>
  <c r="L370" i="14" a="1"/>
  <c r="L370" i="14" s="1"/>
  <c r="S369" i="14" a="1"/>
  <c r="S369" i="14" s="1"/>
  <c r="R369" i="14"/>
  <c r="Q369" i="14"/>
  <c r="Q369" i="14" a="1"/>
  <c r="P369" i="14"/>
  <c r="P369" i="14" a="1"/>
  <c r="O369" i="14"/>
  <c r="N369" i="14" a="1"/>
  <c r="N369" i="14" s="1"/>
  <c r="M369" i="14"/>
  <c r="M369" i="14" a="1"/>
  <c r="L369" i="14" a="1"/>
  <c r="L369" i="14" s="1"/>
  <c r="S368" i="14" a="1"/>
  <c r="S368" i="14" s="1"/>
  <c r="Q368" i="14" a="1"/>
  <c r="Q368" i="14" s="1"/>
  <c r="R368" i="14" s="1"/>
  <c r="P368" i="14"/>
  <c r="P368" i="14" a="1"/>
  <c r="O368" i="14"/>
  <c r="N368" i="14" a="1"/>
  <c r="N368" i="14" s="1"/>
  <c r="M368" i="14" a="1"/>
  <c r="M368" i="14" s="1"/>
  <c r="L368" i="14" a="1"/>
  <c r="L368" i="14" s="1"/>
  <c r="S367" i="14" a="1"/>
  <c r="S367" i="14" s="1"/>
  <c r="Q367" i="14" a="1"/>
  <c r="Q367" i="14" s="1"/>
  <c r="R367" i="14" s="1"/>
  <c r="P367" i="14"/>
  <c r="P367" i="14" a="1"/>
  <c r="O367" i="14"/>
  <c r="N367" i="14" a="1"/>
  <c r="N367" i="14" s="1"/>
  <c r="M367" i="14"/>
  <c r="M367" i="14" a="1"/>
  <c r="L367" i="14" a="1"/>
  <c r="L367" i="14" s="1"/>
  <c r="S366" i="14"/>
  <c r="S366" i="14" a="1"/>
  <c r="Q366" i="14" a="1"/>
  <c r="Q366" i="14" s="1"/>
  <c r="R366" i="14" s="1"/>
  <c r="P366" i="14"/>
  <c r="P366" i="14" a="1"/>
  <c r="O366" i="14"/>
  <c r="N366" i="14" a="1"/>
  <c r="N366" i="14" s="1"/>
  <c r="M366" i="14" a="1"/>
  <c r="M366" i="14" s="1"/>
  <c r="L366" i="14" a="1"/>
  <c r="L366" i="14" s="1"/>
  <c r="S365" i="14" a="1"/>
  <c r="S365" i="14" s="1"/>
  <c r="Q365" i="14"/>
  <c r="R365" i="14" s="1"/>
  <c r="Q365" i="14" a="1"/>
  <c r="P365" i="14" a="1"/>
  <c r="P365" i="14" s="1"/>
  <c r="O365" i="14"/>
  <c r="N365" i="14" a="1"/>
  <c r="N365" i="14" s="1"/>
  <c r="M365" i="14"/>
  <c r="M365" i="14" a="1"/>
  <c r="L365" i="14"/>
  <c r="L365" i="14" a="1"/>
  <c r="S364" i="14"/>
  <c r="S364" i="14" a="1"/>
  <c r="Q364" i="14"/>
  <c r="R364" i="14" s="1"/>
  <c r="Q364" i="14" a="1"/>
  <c r="P364" i="14"/>
  <c r="P364" i="14" a="1"/>
  <c r="O364" i="14"/>
  <c r="N364" i="14"/>
  <c r="N364" i="14" a="1"/>
  <c r="M364" i="14" a="1"/>
  <c r="M364" i="14" s="1"/>
  <c r="L364" i="14" a="1"/>
  <c r="L364" i="14" s="1"/>
  <c r="S363" i="14" a="1"/>
  <c r="S363" i="14" s="1"/>
  <c r="R363" i="14"/>
  <c r="Q363" i="14"/>
  <c r="Q363" i="14" a="1"/>
  <c r="P363" i="14" a="1"/>
  <c r="P363" i="14" s="1"/>
  <c r="O363" i="14"/>
  <c r="N363" i="14"/>
  <c r="N363" i="14" a="1"/>
  <c r="M363" i="14"/>
  <c r="M363" i="14" a="1"/>
  <c r="L363" i="14" a="1"/>
  <c r="L363" i="14" s="1"/>
  <c r="S362" i="14" a="1"/>
  <c r="S362" i="14" s="1"/>
  <c r="Q362" i="14"/>
  <c r="R362" i="14" s="1"/>
  <c r="Q362" i="14" a="1"/>
  <c r="P362" i="14" a="1"/>
  <c r="P362" i="14" s="1"/>
  <c r="O362" i="14"/>
  <c r="N362" i="14" a="1"/>
  <c r="N362" i="14" s="1"/>
  <c r="M362" i="14" a="1"/>
  <c r="M362" i="14" s="1"/>
  <c r="L362" i="14" a="1"/>
  <c r="L362" i="14" s="1"/>
  <c r="S361" i="14" a="1"/>
  <c r="S361" i="14" s="1"/>
  <c r="R361" i="14"/>
  <c r="Q361" i="14"/>
  <c r="Q361" i="14" a="1"/>
  <c r="P361" i="14" a="1"/>
  <c r="P361" i="14" s="1"/>
  <c r="O361" i="14"/>
  <c r="N361" i="14" a="1"/>
  <c r="N361" i="14" s="1"/>
  <c r="M361" i="14" a="1"/>
  <c r="M361" i="14" s="1"/>
  <c r="L361" i="14" a="1"/>
  <c r="L361" i="14" s="1"/>
  <c r="S360" i="14"/>
  <c r="S360" i="14" a="1"/>
  <c r="Q360" i="14" a="1"/>
  <c r="Q360" i="14" s="1"/>
  <c r="R360" i="14" s="1"/>
  <c r="P360" i="14" a="1"/>
  <c r="P360" i="14" s="1"/>
  <c r="O360" i="14"/>
  <c r="N360" i="14" a="1"/>
  <c r="N360" i="14" s="1"/>
  <c r="M360" i="14" a="1"/>
  <c r="M360" i="14" s="1"/>
  <c r="L360" i="14" a="1"/>
  <c r="L360" i="14" s="1"/>
  <c r="S359" i="14" a="1"/>
  <c r="S359" i="14" s="1"/>
  <c r="Q359" i="14" a="1"/>
  <c r="Q359" i="14" s="1"/>
  <c r="R359" i="14" s="1"/>
  <c r="P359" i="14" a="1"/>
  <c r="P359" i="14" s="1"/>
  <c r="O359" i="14"/>
  <c r="N359" i="14" a="1"/>
  <c r="N359" i="14" s="1"/>
  <c r="M359" i="14"/>
  <c r="M359" i="14" a="1"/>
  <c r="L359" i="14"/>
  <c r="L359" i="14" a="1"/>
  <c r="S358" i="14"/>
  <c r="S358" i="14" a="1"/>
  <c r="Q358" i="14" a="1"/>
  <c r="Q358" i="14" s="1"/>
  <c r="R358" i="14" s="1"/>
  <c r="P358" i="14"/>
  <c r="P358" i="14" a="1"/>
  <c r="O358" i="14"/>
  <c r="N358" i="14"/>
  <c r="N358" i="14" a="1"/>
  <c r="M358" i="14"/>
  <c r="M358" i="14" a="1"/>
  <c r="L358" i="14"/>
  <c r="L358" i="14" a="1"/>
  <c r="S357" i="14" a="1"/>
  <c r="S357" i="14" s="1"/>
  <c r="Q357" i="14" a="1"/>
  <c r="Q357" i="14" s="1"/>
  <c r="R357" i="14" s="1"/>
  <c r="P357" i="14" a="1"/>
  <c r="P357" i="14" s="1"/>
  <c r="O357" i="14"/>
  <c r="N357" i="14"/>
  <c r="N357" i="14" a="1"/>
  <c r="M357" i="14"/>
  <c r="M357" i="14" a="1"/>
  <c r="L357" i="14" a="1"/>
  <c r="L357" i="14" s="1"/>
  <c r="S356" i="14"/>
  <c r="S356" i="14" a="1"/>
  <c r="Q356" i="14" a="1"/>
  <c r="Q356" i="14" s="1"/>
  <c r="R356" i="14" s="1"/>
  <c r="P356" i="14" a="1"/>
  <c r="P356" i="14" s="1"/>
  <c r="O356" i="14"/>
  <c r="N356" i="14"/>
  <c r="N356" i="14" a="1"/>
  <c r="M356" i="14" a="1"/>
  <c r="M356" i="14" s="1"/>
  <c r="L356" i="14" a="1"/>
  <c r="L356" i="14" s="1"/>
  <c r="S355" i="14" a="1"/>
  <c r="S355" i="14" s="1"/>
  <c r="Q355" i="14" a="1"/>
  <c r="Q355" i="14" s="1"/>
  <c r="R355" i="14" s="1"/>
  <c r="P355" i="14" a="1"/>
  <c r="P355" i="14" s="1"/>
  <c r="O355" i="14"/>
  <c r="N355" i="14" a="1"/>
  <c r="N355" i="14" s="1"/>
  <c r="M355" i="14" a="1"/>
  <c r="M355" i="14" s="1"/>
  <c r="L355" i="14" a="1"/>
  <c r="L355" i="14" s="1"/>
  <c r="S354" i="14"/>
  <c r="S354" i="14" a="1"/>
  <c r="Q354" i="14" a="1"/>
  <c r="Q354" i="14" s="1"/>
  <c r="R354" i="14" s="1"/>
  <c r="P354" i="14"/>
  <c r="P354" i="14" a="1"/>
  <c r="O354" i="14"/>
  <c r="N354" i="14" a="1"/>
  <c r="N354" i="14" s="1"/>
  <c r="M354" i="14" a="1"/>
  <c r="M354" i="14" s="1"/>
  <c r="L354" i="14"/>
  <c r="L354" i="14" a="1"/>
  <c r="S353" i="14"/>
  <c r="S353" i="14" a="1"/>
  <c r="R353" i="14"/>
  <c r="Q353" i="14"/>
  <c r="Q353" i="14" a="1"/>
  <c r="P353" i="14" a="1"/>
  <c r="P353" i="14" s="1"/>
  <c r="O353" i="14"/>
  <c r="N353" i="14" a="1"/>
  <c r="N353" i="14" s="1"/>
  <c r="M353" i="14"/>
  <c r="M353" i="14" a="1"/>
  <c r="L353" i="14"/>
  <c r="L353" i="14" a="1"/>
  <c r="S352" i="14"/>
  <c r="S352" i="14" a="1"/>
  <c r="Q352" i="14" a="1"/>
  <c r="Q352" i="14" s="1"/>
  <c r="R352" i="14" s="1"/>
  <c r="P352" i="14"/>
  <c r="P352" i="14" a="1"/>
  <c r="O352" i="14"/>
  <c r="N352" i="14"/>
  <c r="N352" i="14" a="1"/>
  <c r="M352" i="14"/>
  <c r="M352" i="14" a="1"/>
  <c r="L352" i="14"/>
  <c r="L352" i="14" a="1"/>
  <c r="S351" i="14" a="1"/>
  <c r="S351" i="14" s="1"/>
  <c r="Q351" i="14"/>
  <c r="R351" i="14" s="1"/>
  <c r="Q351" i="14" a="1"/>
  <c r="P351" i="14" a="1"/>
  <c r="P351" i="14" s="1"/>
  <c r="O351" i="14"/>
  <c r="N351" i="14"/>
  <c r="N351" i="14" a="1"/>
  <c r="M351" i="14"/>
  <c r="M351" i="14" a="1"/>
  <c r="L351" i="14" a="1"/>
  <c r="L351" i="14" s="1"/>
  <c r="S350" i="14" a="1"/>
  <c r="S350" i="14" s="1"/>
  <c r="Q350" i="14" a="1"/>
  <c r="Q350" i="14" s="1"/>
  <c r="R350" i="14" s="1"/>
  <c r="P350" i="14" a="1"/>
  <c r="P350" i="14" s="1"/>
  <c r="O350" i="14"/>
  <c r="N350" i="14"/>
  <c r="N350" i="14" a="1"/>
  <c r="M350" i="14" a="1"/>
  <c r="M350" i="14" s="1"/>
  <c r="L350" i="14" a="1"/>
  <c r="L350" i="14" s="1"/>
  <c r="S349" i="14" a="1"/>
  <c r="S349" i="14" s="1"/>
  <c r="Q349" i="14" a="1"/>
  <c r="Q349" i="14" s="1"/>
  <c r="R349" i="14" s="1"/>
  <c r="P349" i="14" a="1"/>
  <c r="P349" i="14" s="1"/>
  <c r="O349" i="14"/>
  <c r="N349" i="14" a="1"/>
  <c r="N349" i="14" s="1"/>
  <c r="M349" i="14" a="1"/>
  <c r="M349" i="14" s="1"/>
  <c r="L349" i="14" a="1"/>
  <c r="L349" i="14" s="1"/>
  <c r="S348" i="14"/>
  <c r="S348" i="14" a="1"/>
  <c r="Q348" i="14" a="1"/>
  <c r="Q348" i="14" s="1"/>
  <c r="R348" i="14" s="1"/>
  <c r="P348" i="14"/>
  <c r="P348" i="14" a="1"/>
  <c r="O348" i="14"/>
  <c r="N348" i="14" a="1"/>
  <c r="N348" i="14" s="1"/>
  <c r="M348" i="14" a="1"/>
  <c r="M348" i="14" s="1"/>
  <c r="L348" i="14"/>
  <c r="L348" i="14" a="1"/>
  <c r="S347" i="14"/>
  <c r="S347" i="14" a="1"/>
  <c r="R347" i="14"/>
  <c r="Q347" i="14"/>
  <c r="Q347" i="14" a="1"/>
  <c r="P347" i="14" a="1"/>
  <c r="P347" i="14" s="1"/>
  <c r="O347" i="14"/>
  <c r="N347" i="14" a="1"/>
  <c r="N347" i="14" s="1"/>
  <c r="M347" i="14"/>
  <c r="M347" i="14" a="1"/>
  <c r="L347" i="14"/>
  <c r="L347" i="14" a="1"/>
  <c r="S346" i="14"/>
  <c r="S346" i="14" a="1"/>
  <c r="Q346" i="14" a="1"/>
  <c r="Q346" i="14" s="1"/>
  <c r="R346" i="14" s="1"/>
  <c r="P346" i="14"/>
  <c r="P346" i="14" a="1"/>
  <c r="O346" i="14"/>
  <c r="N346" i="14"/>
  <c r="N346" i="14" a="1"/>
  <c r="M346" i="14"/>
  <c r="M346" i="14" a="1"/>
  <c r="L346" i="14"/>
  <c r="L346" i="14" a="1"/>
  <c r="S345" i="14" a="1"/>
  <c r="S345" i="14" s="1"/>
  <c r="Q345" i="14"/>
  <c r="R345" i="14" s="1"/>
  <c r="Q345" i="14" a="1"/>
  <c r="P345" i="14"/>
  <c r="P345" i="14" a="1"/>
  <c r="O345" i="14"/>
  <c r="N345" i="14"/>
  <c r="N345" i="14" a="1"/>
  <c r="M345" i="14"/>
  <c r="M345" i="14" a="1"/>
  <c r="L345" i="14" a="1"/>
  <c r="L345" i="14" s="1"/>
  <c r="S344" i="14" a="1"/>
  <c r="S344" i="14" s="1"/>
  <c r="Q344" i="14" a="1"/>
  <c r="Q344" i="14" s="1"/>
  <c r="R344" i="14" s="1"/>
  <c r="P344" i="14"/>
  <c r="P344" i="14" a="1"/>
  <c r="O344" i="14"/>
  <c r="N344" i="14"/>
  <c r="N344" i="14" a="1"/>
  <c r="M344" i="14" a="1"/>
  <c r="M344" i="14" s="1"/>
  <c r="L344" i="14" a="1"/>
  <c r="L344" i="14" s="1"/>
  <c r="S343" i="14" a="1"/>
  <c r="S343" i="14" s="1"/>
  <c r="Q343" i="14" a="1"/>
  <c r="Q343" i="14" s="1"/>
  <c r="R343" i="14" s="1"/>
  <c r="P343" i="14" a="1"/>
  <c r="P343" i="14" s="1"/>
  <c r="O343" i="14"/>
  <c r="N343" i="14" a="1"/>
  <c r="N343" i="14" s="1"/>
  <c r="M343" i="14" a="1"/>
  <c r="M343" i="14" s="1"/>
  <c r="L343" i="14" a="1"/>
  <c r="L343" i="14" s="1"/>
  <c r="S342" i="14"/>
  <c r="S342" i="14" a="1"/>
  <c r="Q342" i="14" a="1"/>
  <c r="Q342" i="14" s="1"/>
  <c r="R342" i="14" s="1"/>
  <c r="P342" i="14"/>
  <c r="P342" i="14" a="1"/>
  <c r="O342" i="14"/>
  <c r="N342" i="14" a="1"/>
  <c r="N342" i="14" s="1"/>
  <c r="M342" i="14" a="1"/>
  <c r="M342" i="14" s="1"/>
  <c r="L342" i="14"/>
  <c r="L342" i="14" a="1"/>
  <c r="S341" i="14"/>
  <c r="S341" i="14" a="1"/>
  <c r="R341" i="14"/>
  <c r="Q341" i="14"/>
  <c r="Q341" i="14" a="1"/>
  <c r="P341" i="14" a="1"/>
  <c r="P341" i="14" s="1"/>
  <c r="O341" i="14"/>
  <c r="N341" i="14" a="1"/>
  <c r="N341" i="14" s="1"/>
  <c r="M341" i="14"/>
  <c r="M341" i="14" a="1"/>
  <c r="L341" i="14"/>
  <c r="L341" i="14" a="1"/>
  <c r="S340" i="14"/>
  <c r="S340" i="14" a="1"/>
  <c r="Q340" i="14" a="1"/>
  <c r="Q340" i="14" s="1"/>
  <c r="R340" i="14" s="1"/>
  <c r="P340" i="14"/>
  <c r="P340" i="14" a="1"/>
  <c r="O340" i="14"/>
  <c r="N340" i="14"/>
  <c r="N340" i="14" a="1"/>
  <c r="M340" i="14"/>
  <c r="M340" i="14" a="1"/>
  <c r="L340" i="14"/>
  <c r="L340" i="14" a="1"/>
  <c r="S339" i="14" a="1"/>
  <c r="S339" i="14" s="1"/>
  <c r="Q339" i="14"/>
  <c r="R339" i="14" s="1"/>
  <c r="Q339" i="14" a="1"/>
  <c r="P339" i="14"/>
  <c r="P339" i="14" a="1"/>
  <c r="O339" i="14"/>
  <c r="N339" i="14" a="1"/>
  <c r="N339" i="14" s="1"/>
  <c r="M339" i="14"/>
  <c r="M339" i="14" a="1"/>
  <c r="L339" i="14" a="1"/>
  <c r="L339" i="14" s="1"/>
  <c r="S338" i="14" a="1"/>
  <c r="S338" i="14" s="1"/>
  <c r="Q338" i="14" a="1"/>
  <c r="Q338" i="14" s="1"/>
  <c r="R338" i="14" s="1"/>
  <c r="P338" i="14"/>
  <c r="P338" i="14" a="1"/>
  <c r="O338" i="14"/>
  <c r="N338" i="14"/>
  <c r="N338" i="14" a="1"/>
  <c r="M338" i="14" a="1"/>
  <c r="M338" i="14" s="1"/>
  <c r="L338" i="14" a="1"/>
  <c r="L338" i="14" s="1"/>
  <c r="S337" i="14" a="1"/>
  <c r="S337" i="14" s="1"/>
  <c r="R337" i="14"/>
  <c r="Q337" i="14"/>
  <c r="Q337" i="14" a="1"/>
  <c r="P337" i="14" a="1"/>
  <c r="P337" i="14" s="1"/>
  <c r="O337" i="14"/>
  <c r="N337" i="14" a="1"/>
  <c r="N337" i="14" s="1"/>
  <c r="M337" i="14" a="1"/>
  <c r="M337" i="14" s="1"/>
  <c r="L337" i="14" a="1"/>
  <c r="L337" i="14" s="1"/>
  <c r="S336" i="14"/>
  <c r="S336" i="14" a="1"/>
  <c r="Q336" i="14" a="1"/>
  <c r="Q336" i="14" s="1"/>
  <c r="R336" i="14" s="1"/>
  <c r="P336" i="14"/>
  <c r="P336" i="14" a="1"/>
  <c r="O336" i="14"/>
  <c r="N336" i="14" a="1"/>
  <c r="N336" i="14" s="1"/>
  <c r="M336" i="14" a="1"/>
  <c r="M336" i="14" s="1"/>
  <c r="L336" i="14"/>
  <c r="L336" i="14" a="1"/>
  <c r="S335" i="14"/>
  <c r="S335" i="14" a="1"/>
  <c r="R335" i="14"/>
  <c r="Q335" i="14"/>
  <c r="Q335" i="14" a="1"/>
  <c r="P335" i="14" a="1"/>
  <c r="P335" i="14" s="1"/>
  <c r="O335" i="14"/>
  <c r="N335" i="14" a="1"/>
  <c r="N335" i="14" s="1"/>
  <c r="M335" i="14"/>
  <c r="M335" i="14" a="1"/>
  <c r="L335" i="14" a="1"/>
  <c r="L335" i="14" s="1"/>
  <c r="S334" i="14"/>
  <c r="S334" i="14" a="1"/>
  <c r="Q334" i="14" a="1"/>
  <c r="Q334" i="14" s="1"/>
  <c r="R334" i="14" s="1"/>
  <c r="P334" i="14"/>
  <c r="P334" i="14" a="1"/>
  <c r="O334" i="14"/>
  <c r="N334" i="14"/>
  <c r="N334" i="14" a="1"/>
  <c r="M334" i="14" a="1"/>
  <c r="M334" i="14" s="1"/>
  <c r="L334" i="14"/>
  <c r="L334" i="14" a="1"/>
  <c r="S333" i="14" a="1"/>
  <c r="S333" i="14" s="1"/>
  <c r="Q333" i="14"/>
  <c r="R333" i="14" s="1"/>
  <c r="Q333" i="14" a="1"/>
  <c r="P333" i="14"/>
  <c r="P333" i="14" a="1"/>
  <c r="O333" i="14"/>
  <c r="N333" i="14" a="1"/>
  <c r="N333" i="14" s="1"/>
  <c r="M333" i="14"/>
  <c r="M333" i="14" a="1"/>
  <c r="L333" i="14" a="1"/>
  <c r="L333" i="14" s="1"/>
  <c r="S332" i="14" a="1"/>
  <c r="S332" i="14" s="1"/>
  <c r="Q332" i="14"/>
  <c r="R332" i="14" s="1"/>
  <c r="Q332" i="14" a="1"/>
  <c r="P332" i="14"/>
  <c r="P332" i="14" a="1"/>
  <c r="O332" i="14"/>
  <c r="N332" i="14"/>
  <c r="N332" i="14" a="1"/>
  <c r="M332" i="14" a="1"/>
  <c r="M332" i="14" s="1"/>
  <c r="L332" i="14" a="1"/>
  <c r="L332" i="14" s="1"/>
  <c r="S331" i="14" a="1"/>
  <c r="S331" i="14" s="1"/>
  <c r="R331" i="14"/>
  <c r="Q331" i="14"/>
  <c r="Q331" i="14" a="1"/>
  <c r="P331" i="14" a="1"/>
  <c r="P331" i="14" s="1"/>
  <c r="O331" i="14"/>
  <c r="N331" i="14" a="1"/>
  <c r="N331" i="14" s="1"/>
  <c r="M331" i="14" a="1"/>
  <c r="M331" i="14" s="1"/>
  <c r="L331" i="14" a="1"/>
  <c r="L331" i="14" s="1"/>
  <c r="S330" i="14"/>
  <c r="S330" i="14" a="1"/>
  <c r="Q330" i="14" a="1"/>
  <c r="Q330" i="14" s="1"/>
  <c r="R330" i="14" s="1"/>
  <c r="P330" i="14"/>
  <c r="P330" i="14" a="1"/>
  <c r="O330" i="14"/>
  <c r="N330" i="14" a="1"/>
  <c r="N330" i="14" s="1"/>
  <c r="M330" i="14" a="1"/>
  <c r="M330" i="14" s="1"/>
  <c r="L330" i="14"/>
  <c r="L330" i="14" a="1"/>
  <c r="S329" i="14" a="1"/>
  <c r="S329" i="14" s="1"/>
  <c r="R329" i="14"/>
  <c r="Q329" i="14"/>
  <c r="Q329" i="14" a="1"/>
  <c r="P329" i="14" a="1"/>
  <c r="P329" i="14" s="1"/>
  <c r="O329" i="14"/>
  <c r="N329" i="14" a="1"/>
  <c r="N329" i="14" s="1"/>
  <c r="M329" i="14"/>
  <c r="M329" i="14" a="1"/>
  <c r="L329" i="14" a="1"/>
  <c r="L329" i="14" s="1"/>
  <c r="S328" i="14"/>
  <c r="S328" i="14" a="1"/>
  <c r="Q328" i="14" a="1"/>
  <c r="Q328" i="14" s="1"/>
  <c r="R328" i="14" s="1"/>
  <c r="P328" i="14"/>
  <c r="P328" i="14" a="1"/>
  <c r="O328" i="14"/>
  <c r="N328" i="14"/>
  <c r="N328" i="14" a="1"/>
  <c r="M328" i="14" a="1"/>
  <c r="M328" i="14" s="1"/>
  <c r="L328" i="14"/>
  <c r="L328" i="14" a="1"/>
  <c r="S327" i="14" a="1"/>
  <c r="S327" i="14" s="1"/>
  <c r="Q327" i="14"/>
  <c r="R327" i="14" s="1"/>
  <c r="Q327" i="14" a="1"/>
  <c r="P327" i="14"/>
  <c r="P327" i="14" a="1"/>
  <c r="O327" i="14"/>
  <c r="N327" i="14" a="1"/>
  <c r="N327" i="14" s="1"/>
  <c r="M327" i="14"/>
  <c r="M327" i="14" a="1"/>
  <c r="L327" i="14" a="1"/>
  <c r="L327" i="14" s="1"/>
  <c r="S326" i="14" a="1"/>
  <c r="S326" i="14" s="1"/>
  <c r="Q326" i="14"/>
  <c r="R326" i="14" s="1"/>
  <c r="Q326" i="14" a="1"/>
  <c r="P326" i="14"/>
  <c r="P326" i="14" a="1"/>
  <c r="O326" i="14"/>
  <c r="N326" i="14"/>
  <c r="N326" i="14" a="1"/>
  <c r="M326" i="14" a="1"/>
  <c r="M326" i="14" s="1"/>
  <c r="L326" i="14" a="1"/>
  <c r="L326" i="14" s="1"/>
  <c r="S325" i="14" a="1"/>
  <c r="S325" i="14" s="1"/>
  <c r="R325" i="14"/>
  <c r="Q325" i="14"/>
  <c r="Q325" i="14" a="1"/>
  <c r="P325" i="14" a="1"/>
  <c r="P325" i="14" s="1"/>
  <c r="O325" i="14"/>
  <c r="N325" i="14" a="1"/>
  <c r="N325" i="14" s="1"/>
  <c r="M325" i="14" a="1"/>
  <c r="M325" i="14" s="1"/>
  <c r="L325" i="14" a="1"/>
  <c r="L325" i="14" s="1"/>
  <c r="S324" i="14"/>
  <c r="S324" i="14" a="1"/>
  <c r="Q324" i="14" a="1"/>
  <c r="Q324" i="14" s="1"/>
  <c r="R324" i="14" s="1"/>
  <c r="P324" i="14"/>
  <c r="P324" i="14" a="1"/>
  <c r="O324" i="14"/>
  <c r="N324" i="14" a="1"/>
  <c r="N324" i="14" s="1"/>
  <c r="M324" i="14" a="1"/>
  <c r="M324" i="14" s="1"/>
  <c r="L324" i="14"/>
  <c r="L324" i="14" a="1"/>
  <c r="S323" i="14" a="1"/>
  <c r="S323" i="14" s="1"/>
  <c r="R323" i="14"/>
  <c r="Q323" i="14"/>
  <c r="Q323" i="14" a="1"/>
  <c r="P323" i="14"/>
  <c r="P323" i="14" a="1"/>
  <c r="O323" i="14"/>
  <c r="N323" i="14" a="1"/>
  <c r="N323" i="14" s="1"/>
  <c r="M323" i="14"/>
  <c r="M323" i="14" a="1"/>
  <c r="L323" i="14" a="1"/>
  <c r="L323" i="14" s="1"/>
  <c r="S322" i="14"/>
  <c r="S322" i="14" a="1"/>
  <c r="Q322" i="14"/>
  <c r="R322" i="14" s="1"/>
  <c r="Q322" i="14" a="1"/>
  <c r="P322" i="14"/>
  <c r="P322" i="14" a="1"/>
  <c r="O322" i="14"/>
  <c r="N322" i="14"/>
  <c r="N322" i="14" a="1"/>
  <c r="M322" i="14" a="1"/>
  <c r="M322" i="14" s="1"/>
  <c r="L322" i="14"/>
  <c r="L322" i="14" a="1"/>
  <c r="S321" i="14" a="1"/>
  <c r="S321" i="14" s="1"/>
  <c r="Q321" i="14"/>
  <c r="R321" i="14" s="1"/>
  <c r="Q321" i="14" a="1"/>
  <c r="P321" i="14"/>
  <c r="P321" i="14" a="1"/>
  <c r="O321" i="14"/>
  <c r="N321" i="14" a="1"/>
  <c r="N321" i="14" s="1"/>
  <c r="M321" i="14"/>
  <c r="M321" i="14" a="1"/>
  <c r="L321" i="14" a="1"/>
  <c r="L321" i="14" s="1"/>
  <c r="S320" i="14" a="1"/>
  <c r="S320" i="14" s="1"/>
  <c r="Q320" i="14"/>
  <c r="R320" i="14" s="1"/>
  <c r="Q320" i="14" a="1"/>
  <c r="P320" i="14"/>
  <c r="P320" i="14" a="1"/>
  <c r="O320" i="14"/>
  <c r="N320" i="14" a="1"/>
  <c r="N320" i="14" s="1"/>
  <c r="M320" i="14" a="1"/>
  <c r="M320" i="14" s="1"/>
  <c r="L320" i="14" a="1"/>
  <c r="L320" i="14" s="1"/>
  <c r="S319" i="14" a="1"/>
  <c r="S319" i="14" s="1"/>
  <c r="R319" i="14"/>
  <c r="Q319" i="14"/>
  <c r="Q319" i="14" a="1"/>
  <c r="P319" i="14"/>
  <c r="P319" i="14" a="1"/>
  <c r="O319" i="14"/>
  <c r="N319" i="14" a="1"/>
  <c r="N319" i="14" s="1"/>
  <c r="M319" i="14" a="1"/>
  <c r="M319" i="14" s="1"/>
  <c r="L319" i="14" a="1"/>
  <c r="L319" i="14" s="1"/>
  <c r="S318" i="14"/>
  <c r="S318" i="14" a="1"/>
  <c r="Q318" i="14" a="1"/>
  <c r="Q318" i="14" s="1"/>
  <c r="R318" i="14" s="1"/>
  <c r="P318" i="14"/>
  <c r="P318" i="14" a="1"/>
  <c r="O318" i="14"/>
  <c r="N318" i="14" a="1"/>
  <c r="N318" i="14" s="1"/>
  <c r="M318" i="14" a="1"/>
  <c r="M318" i="14" s="1"/>
  <c r="L318" i="14"/>
  <c r="L318" i="14" a="1"/>
  <c r="S317" i="14" a="1"/>
  <c r="S317" i="14" s="1"/>
  <c r="R317" i="14"/>
  <c r="Q317" i="14"/>
  <c r="Q317" i="14" a="1"/>
  <c r="P317" i="14"/>
  <c r="P317" i="14" a="1"/>
  <c r="O317" i="14"/>
  <c r="N317" i="14" a="1"/>
  <c r="N317" i="14" s="1"/>
  <c r="M317" i="14"/>
  <c r="M317" i="14" a="1"/>
  <c r="L317" i="14" a="1"/>
  <c r="L317" i="14" s="1"/>
  <c r="S316" i="14"/>
  <c r="S316" i="14" a="1"/>
  <c r="Q316" i="14"/>
  <c r="R316" i="14" s="1"/>
  <c r="Q316" i="14" a="1"/>
  <c r="P316" i="14"/>
  <c r="P316" i="14" a="1"/>
  <c r="O316" i="14"/>
  <c r="N316" i="14"/>
  <c r="N316" i="14" a="1"/>
  <c r="M316" i="14" a="1"/>
  <c r="M316" i="14" s="1"/>
  <c r="L316" i="14"/>
  <c r="L316" i="14" a="1"/>
  <c r="S315" i="14" a="1"/>
  <c r="S315" i="14" s="1"/>
  <c r="Q315" i="14"/>
  <c r="R315" i="14" s="1"/>
  <c r="Q315" i="14" a="1"/>
  <c r="P315" i="14"/>
  <c r="P315" i="14" a="1"/>
  <c r="O315" i="14"/>
  <c r="N315" i="14" a="1"/>
  <c r="N315" i="14" s="1"/>
  <c r="M315" i="14"/>
  <c r="M315" i="14" a="1"/>
  <c r="L315" i="14" a="1"/>
  <c r="L315" i="14" s="1"/>
  <c r="S314" i="14" a="1"/>
  <c r="S314" i="14" s="1"/>
  <c r="Q314" i="14"/>
  <c r="R314" i="14" s="1"/>
  <c r="Q314" i="14" a="1"/>
  <c r="P314" i="14"/>
  <c r="P314" i="14" a="1"/>
  <c r="O314" i="14"/>
  <c r="N314" i="14" a="1"/>
  <c r="N314" i="14" s="1"/>
  <c r="M314" i="14" a="1"/>
  <c r="M314" i="14" s="1"/>
  <c r="L314" i="14" a="1"/>
  <c r="L314" i="14" s="1"/>
  <c r="S313" i="14" a="1"/>
  <c r="S313" i="14" s="1"/>
  <c r="R313" i="14"/>
  <c r="Q313" i="14"/>
  <c r="Q313" i="14" a="1"/>
  <c r="P313" i="14"/>
  <c r="P313" i="14" a="1"/>
  <c r="O313" i="14"/>
  <c r="N313" i="14" a="1"/>
  <c r="N313" i="14" s="1"/>
  <c r="M313" i="14" a="1"/>
  <c r="M313" i="14" s="1"/>
  <c r="L313" i="14" a="1"/>
  <c r="L313" i="14" s="1"/>
  <c r="S312" i="14"/>
  <c r="S312" i="14" a="1"/>
  <c r="Q312" i="14"/>
  <c r="R312" i="14" s="1"/>
  <c r="Q312" i="14" a="1"/>
  <c r="P312" i="14"/>
  <c r="P312" i="14" a="1"/>
  <c r="O312" i="14"/>
  <c r="N312" i="14" a="1"/>
  <c r="N312" i="14" s="1"/>
  <c r="M312" i="14" a="1"/>
  <c r="M312" i="14" s="1"/>
  <c r="L312" i="14"/>
  <c r="L312" i="14" a="1"/>
  <c r="S311" i="14" a="1"/>
  <c r="S311" i="14" s="1"/>
  <c r="R311" i="14"/>
  <c r="Q311" i="14"/>
  <c r="Q311" i="14" a="1"/>
  <c r="P311" i="14"/>
  <c r="P311" i="14" a="1"/>
  <c r="O311" i="14"/>
  <c r="N311" i="14" a="1"/>
  <c r="N311" i="14" s="1"/>
  <c r="M311" i="14"/>
  <c r="M311" i="14" a="1"/>
  <c r="L311" i="14" a="1"/>
  <c r="L311" i="14" s="1"/>
  <c r="S310" i="14"/>
  <c r="S310" i="14" a="1"/>
  <c r="Q310" i="14"/>
  <c r="R310" i="14" s="1"/>
  <c r="Q310" i="14" a="1"/>
  <c r="P310" i="14"/>
  <c r="P310" i="14" a="1"/>
  <c r="O310" i="14"/>
  <c r="N310" i="14"/>
  <c r="N310" i="14" a="1"/>
  <c r="M310" i="14" a="1"/>
  <c r="M310" i="14" s="1"/>
  <c r="L310" i="14" a="1"/>
  <c r="L310" i="14" s="1"/>
  <c r="S309" i="14" a="1"/>
  <c r="S309" i="14" s="1"/>
  <c r="Q309" i="14"/>
  <c r="R309" i="14" s="1"/>
  <c r="Q309" i="14" a="1"/>
  <c r="P309" i="14"/>
  <c r="P309" i="14" a="1"/>
  <c r="O309" i="14"/>
  <c r="N309" i="14" a="1"/>
  <c r="N309" i="14" s="1"/>
  <c r="M309" i="14" a="1"/>
  <c r="M309" i="14" s="1"/>
  <c r="L309" i="14" a="1"/>
  <c r="L309" i="14" s="1"/>
  <c r="S308" i="14" a="1"/>
  <c r="S308" i="14" s="1"/>
  <c r="Q308" i="14"/>
  <c r="R308" i="14" s="1"/>
  <c r="Q308" i="14" a="1"/>
  <c r="P308" i="14"/>
  <c r="P308" i="14" a="1"/>
  <c r="O308" i="14"/>
  <c r="N308" i="14" a="1"/>
  <c r="N308" i="14" s="1"/>
  <c r="M308" i="14" a="1"/>
  <c r="M308" i="14" s="1"/>
  <c r="L308" i="14" a="1"/>
  <c r="L308" i="14" s="1"/>
  <c r="S307" i="14" a="1"/>
  <c r="S307" i="14" s="1"/>
  <c r="R307" i="14"/>
  <c r="Q307" i="14"/>
  <c r="Q307" i="14" a="1"/>
  <c r="P307" i="14"/>
  <c r="P307" i="14" a="1"/>
  <c r="O307" i="14"/>
  <c r="N307" i="14" a="1"/>
  <c r="N307" i="14" s="1"/>
  <c r="M307" i="14" a="1"/>
  <c r="M307" i="14" s="1"/>
  <c r="L307" i="14" a="1"/>
  <c r="L307" i="14" s="1"/>
  <c r="S306" i="14"/>
  <c r="S306" i="14" a="1"/>
  <c r="Q306" i="14"/>
  <c r="R306" i="14" s="1"/>
  <c r="Q306" i="14" a="1"/>
  <c r="P306" i="14"/>
  <c r="P306" i="14" a="1"/>
  <c r="O306" i="14"/>
  <c r="N306" i="14" a="1"/>
  <c r="N306" i="14" s="1"/>
  <c r="M306" i="14" a="1"/>
  <c r="M306" i="14" s="1"/>
  <c r="L306" i="14"/>
  <c r="L306" i="14" a="1"/>
  <c r="S305" i="14" a="1"/>
  <c r="S305" i="14" s="1"/>
  <c r="Q305" i="14"/>
  <c r="R305" i="14" s="1"/>
  <c r="Q305" i="14" a="1"/>
  <c r="P305" i="14"/>
  <c r="P305" i="14" a="1"/>
  <c r="O305" i="14"/>
  <c r="N305" i="14" a="1"/>
  <c r="N305" i="14" s="1"/>
  <c r="M305" i="14"/>
  <c r="M305" i="14" a="1"/>
  <c r="L305" i="14" a="1"/>
  <c r="L305" i="14" s="1"/>
  <c r="S304" i="14" a="1"/>
  <c r="S304" i="14" s="1"/>
  <c r="Q304" i="14"/>
  <c r="R304" i="14" s="1"/>
  <c r="Q304" i="14" a="1"/>
  <c r="P304" i="14"/>
  <c r="P304" i="14" a="1"/>
  <c r="O304" i="14"/>
  <c r="N304" i="14"/>
  <c r="N304" i="14" a="1"/>
  <c r="M304" i="14" a="1"/>
  <c r="M304" i="14" s="1"/>
  <c r="L304" i="14" a="1"/>
  <c r="L304" i="14" s="1"/>
  <c r="S303" i="14" a="1"/>
  <c r="S303" i="14" s="1"/>
  <c r="Q303" i="14"/>
  <c r="R303" i="14" s="1"/>
  <c r="Q303" i="14" a="1"/>
  <c r="P303" i="14" a="1"/>
  <c r="P303" i="14" s="1"/>
  <c r="O303" i="14"/>
  <c r="N303" i="14" a="1"/>
  <c r="N303" i="14" s="1"/>
  <c r="M303" i="14" a="1"/>
  <c r="M303" i="14" s="1"/>
  <c r="L303" i="14" a="1"/>
  <c r="L303" i="14" s="1"/>
  <c r="S302" i="14" a="1"/>
  <c r="S302" i="14" s="1"/>
  <c r="Q302" i="14" a="1"/>
  <c r="Q302" i="14" s="1"/>
  <c r="R302" i="14" s="1"/>
  <c r="P302" i="14"/>
  <c r="P302" i="14" a="1"/>
  <c r="O302" i="14"/>
  <c r="N302" i="14" a="1"/>
  <c r="N302" i="14" s="1"/>
  <c r="M302" i="14" a="1"/>
  <c r="M302" i="14" s="1"/>
  <c r="L302" i="14" a="1"/>
  <c r="L302" i="14" s="1"/>
  <c r="S301" i="14"/>
  <c r="S301" i="14" a="1"/>
  <c r="Q301" i="14"/>
  <c r="R301" i="14" s="1"/>
  <c r="Q301" i="14" a="1"/>
  <c r="P301" i="14"/>
  <c r="P301" i="14" a="1"/>
  <c r="O301" i="14"/>
  <c r="N301" i="14" a="1"/>
  <c r="N301" i="14" s="1"/>
  <c r="M301" i="14" a="1"/>
  <c r="M301" i="14" s="1"/>
  <c r="L301" i="14" a="1"/>
  <c r="L301" i="14" s="1"/>
  <c r="S300" i="14" a="1"/>
  <c r="S300" i="14" s="1"/>
  <c r="Q300" i="14"/>
  <c r="R300" i="14" s="1"/>
  <c r="Q300" i="14" a="1"/>
  <c r="P300" i="14"/>
  <c r="P300" i="14" a="1"/>
  <c r="O300" i="14"/>
  <c r="N300" i="14" a="1"/>
  <c r="N300" i="14" s="1"/>
  <c r="M300" i="14" a="1"/>
  <c r="M300" i="14" s="1"/>
  <c r="L300" i="14" a="1"/>
  <c r="L300" i="14" s="1"/>
  <c r="S299" i="14" a="1"/>
  <c r="S299" i="14" s="1"/>
  <c r="Q299" i="14"/>
  <c r="R299" i="14" s="1"/>
  <c r="Q299" i="14" a="1"/>
  <c r="P299" i="14"/>
  <c r="P299" i="14" a="1"/>
  <c r="O299" i="14"/>
  <c r="N299" i="14" a="1"/>
  <c r="N299" i="14" s="1"/>
  <c r="M299" i="14" a="1"/>
  <c r="M299" i="14" s="1"/>
  <c r="L299" i="14" a="1"/>
  <c r="L299" i="14" s="1"/>
  <c r="S298" i="14" a="1"/>
  <c r="S298" i="14" s="1"/>
  <c r="Q298" i="14"/>
  <c r="R298" i="14" s="1"/>
  <c r="Q298" i="14" a="1"/>
  <c r="P298" i="14" a="1"/>
  <c r="P298" i="14" s="1"/>
  <c r="O298" i="14"/>
  <c r="N298" i="14" a="1"/>
  <c r="N298" i="14" s="1"/>
  <c r="M298" i="14" a="1"/>
  <c r="M298" i="14" s="1"/>
  <c r="L298" i="14" a="1"/>
  <c r="L298" i="14" s="1"/>
  <c r="S297" i="14" a="1"/>
  <c r="S297" i="14" s="1"/>
  <c r="Q297" i="14" a="1"/>
  <c r="Q297" i="14" s="1"/>
  <c r="R297" i="14" s="1"/>
  <c r="P297" i="14" a="1"/>
  <c r="P297" i="14" s="1"/>
  <c r="O297" i="14"/>
  <c r="N297" i="14" a="1"/>
  <c r="N297" i="14" s="1"/>
  <c r="M297" i="14" a="1"/>
  <c r="M297" i="14" s="1"/>
  <c r="L297" i="14" a="1"/>
  <c r="L297" i="14" s="1"/>
  <c r="S296" i="14" a="1"/>
  <c r="S296" i="14" s="1"/>
  <c r="Q296" i="14" a="1"/>
  <c r="Q296" i="14" s="1"/>
  <c r="R296" i="14" s="1"/>
  <c r="P296" i="14"/>
  <c r="P296" i="14" a="1"/>
  <c r="O296" i="14"/>
  <c r="N296" i="14" a="1"/>
  <c r="N296" i="14" s="1"/>
  <c r="M296" i="14" a="1"/>
  <c r="M296" i="14" s="1"/>
  <c r="L296" i="14" a="1"/>
  <c r="L296" i="14" s="1"/>
  <c r="S295" i="14" a="1"/>
  <c r="S295" i="14" s="1"/>
  <c r="R295" i="14"/>
  <c r="Q295" i="14"/>
  <c r="Q295" i="14" a="1"/>
  <c r="P295" i="14"/>
  <c r="P295" i="14" a="1"/>
  <c r="O295" i="14"/>
  <c r="N295" i="14" a="1"/>
  <c r="N295" i="14" s="1"/>
  <c r="M295" i="14" a="1"/>
  <c r="M295" i="14" s="1"/>
  <c r="L295" i="14" a="1"/>
  <c r="L295" i="14" s="1"/>
  <c r="S294" i="14" a="1"/>
  <c r="S294" i="14" s="1"/>
  <c r="Q294" i="14"/>
  <c r="R294" i="14" s="1"/>
  <c r="Q294" i="14" a="1"/>
  <c r="P294" i="14"/>
  <c r="P294" i="14" a="1"/>
  <c r="O294" i="14"/>
  <c r="N294" i="14" a="1"/>
  <c r="N294" i="14" s="1"/>
  <c r="M294" i="14" a="1"/>
  <c r="M294" i="14" s="1"/>
  <c r="L294" i="14" a="1"/>
  <c r="L294" i="14" s="1"/>
  <c r="S293" i="14" a="1"/>
  <c r="S293" i="14" s="1"/>
  <c r="Q293" i="14"/>
  <c r="R293" i="14" s="1"/>
  <c r="Q293" i="14" a="1"/>
  <c r="P293" i="14"/>
  <c r="P293" i="14" a="1"/>
  <c r="O293" i="14"/>
  <c r="N293" i="14"/>
  <c r="N293" i="14" a="1"/>
  <c r="M293" i="14"/>
  <c r="M293" i="14" a="1"/>
  <c r="L293" i="14" a="1"/>
  <c r="L293" i="14" s="1"/>
  <c r="S292" i="14" a="1"/>
  <c r="S292" i="14" s="1"/>
  <c r="Q292" i="14"/>
  <c r="R292" i="14" s="1"/>
  <c r="Q292" i="14" a="1"/>
  <c r="P292" i="14" a="1"/>
  <c r="P292" i="14" s="1"/>
  <c r="O292" i="14"/>
  <c r="N292" i="14"/>
  <c r="N292" i="14" a="1"/>
  <c r="M292" i="14" a="1"/>
  <c r="M292" i="14" s="1"/>
  <c r="L292" i="14" a="1"/>
  <c r="L292" i="14" s="1"/>
  <c r="S291" i="14" a="1"/>
  <c r="S291" i="14" s="1"/>
  <c r="Q291" i="14" a="1"/>
  <c r="Q291" i="14" s="1"/>
  <c r="R291" i="14" s="1"/>
  <c r="P291" i="14"/>
  <c r="P291" i="14" a="1"/>
  <c r="O291" i="14"/>
  <c r="N291" i="14" a="1"/>
  <c r="N291" i="14" s="1"/>
  <c r="M291" i="14"/>
  <c r="M291" i="14" a="1"/>
  <c r="L291" i="14" a="1"/>
  <c r="L291" i="14" s="1"/>
  <c r="S290" i="14" a="1"/>
  <c r="S290" i="14" s="1"/>
  <c r="Q290" i="14" a="1"/>
  <c r="Q290" i="14" s="1"/>
  <c r="R290" i="14" s="1"/>
  <c r="P290" i="14"/>
  <c r="P290" i="14" a="1"/>
  <c r="O290" i="14"/>
  <c r="N290" i="14"/>
  <c r="N290" i="14" a="1"/>
  <c r="M290" i="14" a="1"/>
  <c r="M290" i="14" s="1"/>
  <c r="L290" i="14" a="1"/>
  <c r="L290" i="14" s="1"/>
  <c r="S289" i="14"/>
  <c r="S289" i="14" a="1"/>
  <c r="R289" i="14"/>
  <c r="Q289" i="14"/>
  <c r="Q289" i="14" a="1"/>
  <c r="P289" i="14"/>
  <c r="P289" i="14" a="1"/>
  <c r="O289" i="14"/>
  <c r="N289" i="14" a="1"/>
  <c r="N289" i="14" s="1"/>
  <c r="M289" i="14" a="1"/>
  <c r="M289" i="14" s="1"/>
  <c r="L289" i="14" a="1"/>
  <c r="L289" i="14" s="1"/>
  <c r="S288" i="14"/>
  <c r="S288" i="14" a="1"/>
  <c r="Q288" i="14"/>
  <c r="R288" i="14" s="1"/>
  <c r="Q288" i="14" a="1"/>
  <c r="P288" i="14"/>
  <c r="P288" i="14" a="1"/>
  <c r="O288" i="14"/>
  <c r="N288" i="14" a="1"/>
  <c r="N288" i="14" s="1"/>
  <c r="M288" i="14"/>
  <c r="M288" i="14" a="1"/>
  <c r="L288" i="14" a="1"/>
  <c r="L288" i="14" s="1"/>
  <c r="S287" i="14" a="1"/>
  <c r="S287" i="14" s="1"/>
  <c r="Q287" i="14"/>
  <c r="R287" i="14" s="1"/>
  <c r="Q287" i="14" a="1"/>
  <c r="P287" i="14"/>
  <c r="P287" i="14" a="1"/>
  <c r="O287" i="14"/>
  <c r="N287" i="14" a="1"/>
  <c r="N287" i="14" s="1"/>
  <c r="M287" i="14" a="1"/>
  <c r="M287" i="14" s="1"/>
  <c r="L287" i="14" a="1"/>
  <c r="L287" i="14" s="1"/>
  <c r="S286" i="14"/>
  <c r="S286" i="14" a="1"/>
  <c r="Q286" i="14"/>
  <c r="R286" i="14" s="1"/>
  <c r="Q286" i="14" a="1"/>
  <c r="P286" i="14" a="1"/>
  <c r="P286" i="14" s="1"/>
  <c r="O286" i="14"/>
  <c r="N286" i="14" a="1"/>
  <c r="N286" i="14" s="1"/>
  <c r="M286" i="14" a="1"/>
  <c r="M286" i="14" s="1"/>
  <c r="L286" i="14"/>
  <c r="L286" i="14" a="1"/>
  <c r="S285" i="14" a="1"/>
  <c r="S285" i="14" s="1"/>
  <c r="Q285" i="14" a="1"/>
  <c r="Q285" i="14" s="1"/>
  <c r="R285" i="14" s="1"/>
  <c r="P285" i="14" a="1"/>
  <c r="P285" i="14" s="1"/>
  <c r="O285" i="14"/>
  <c r="N285" i="14" a="1"/>
  <c r="N285" i="14" s="1"/>
  <c r="M285" i="14" a="1"/>
  <c r="M285" i="14" s="1"/>
  <c r="L285" i="14" a="1"/>
  <c r="L285" i="14" s="1"/>
  <c r="S284" i="14" a="1"/>
  <c r="S284" i="14" s="1"/>
  <c r="R284" i="14"/>
  <c r="Q284" i="14"/>
  <c r="Q284" i="14" a="1"/>
  <c r="P284" i="14"/>
  <c r="P284" i="14" a="1"/>
  <c r="O284" i="14"/>
  <c r="N284" i="14"/>
  <c r="N284" i="14" a="1"/>
  <c r="M284" i="14" a="1"/>
  <c r="M284" i="14" s="1"/>
  <c r="L284" i="14" a="1"/>
  <c r="L284" i="14" s="1"/>
  <c r="S283" i="14" a="1"/>
  <c r="S283" i="14" s="1"/>
  <c r="R283" i="14"/>
  <c r="Q283" i="14"/>
  <c r="Q283" i="14" a="1"/>
  <c r="P283" i="14"/>
  <c r="P283" i="14" a="1"/>
  <c r="O283" i="14"/>
  <c r="N283" i="14" a="1"/>
  <c r="N283" i="14" s="1"/>
  <c r="M283" i="14" a="1"/>
  <c r="M283" i="14" s="1"/>
  <c r="L283" i="14" a="1"/>
  <c r="L283" i="14" s="1"/>
  <c r="S282" i="14" a="1"/>
  <c r="S282" i="14" s="1"/>
  <c r="Q282" i="14" a="1"/>
  <c r="Q282" i="14" s="1"/>
  <c r="R282" i="14" s="1"/>
  <c r="P282" i="14"/>
  <c r="P282" i="14" a="1"/>
  <c r="O282" i="14"/>
  <c r="N282" i="14" a="1"/>
  <c r="N282" i="14" s="1"/>
  <c r="M282" i="14"/>
  <c r="M282" i="14" a="1"/>
  <c r="L282" i="14" a="1"/>
  <c r="L282" i="14" s="1"/>
  <c r="S281" i="14" a="1"/>
  <c r="S281" i="14" s="1"/>
  <c r="R281" i="14"/>
  <c r="Q281" i="14"/>
  <c r="Q281" i="14" a="1"/>
  <c r="P281" i="14"/>
  <c r="P281" i="14" a="1"/>
  <c r="O281" i="14"/>
  <c r="N281" i="14" a="1"/>
  <c r="N281" i="14" s="1"/>
  <c r="M281" i="14"/>
  <c r="M281" i="14" a="1"/>
  <c r="L281" i="14" a="1"/>
  <c r="L281" i="14" s="1"/>
  <c r="S280" i="14" a="1"/>
  <c r="S280" i="14" s="1"/>
  <c r="Q280" i="14"/>
  <c r="R280" i="14" s="1"/>
  <c r="Q280" i="14" a="1"/>
  <c r="P280" i="14" a="1"/>
  <c r="P280" i="14" s="1"/>
  <c r="O280" i="14"/>
  <c r="N280" i="14" a="1"/>
  <c r="N280" i="14" s="1"/>
  <c r="M280" i="14" a="1"/>
  <c r="M280" i="14" s="1"/>
  <c r="L280" i="14" a="1"/>
  <c r="L280" i="14" s="1"/>
  <c r="S279" i="14" a="1"/>
  <c r="S279" i="14" s="1"/>
  <c r="Q279" i="14"/>
  <c r="R279" i="14" s="1"/>
  <c r="Q279" i="14" a="1"/>
  <c r="P279" i="14"/>
  <c r="P279" i="14" a="1"/>
  <c r="O279" i="14"/>
  <c r="N279" i="14" a="1"/>
  <c r="N279" i="14" s="1"/>
  <c r="M279" i="14" a="1"/>
  <c r="M279" i="14" s="1"/>
  <c r="L279" i="14" a="1"/>
  <c r="L279" i="14" s="1"/>
  <c r="S278" i="14" a="1"/>
  <c r="S278" i="14" s="1"/>
  <c r="Q278" i="14" a="1"/>
  <c r="Q278" i="14" s="1"/>
  <c r="R278" i="14" s="1"/>
  <c r="P278" i="14"/>
  <c r="P278" i="14" a="1"/>
  <c r="O278" i="14"/>
  <c r="N278" i="14"/>
  <c r="N278" i="14" a="1"/>
  <c r="M278" i="14" a="1"/>
  <c r="M278" i="14" s="1"/>
  <c r="L278" i="14" a="1"/>
  <c r="L278" i="14" s="1"/>
  <c r="S277" i="14"/>
  <c r="S277" i="14" a="1"/>
  <c r="R277" i="14"/>
  <c r="Q277" i="14"/>
  <c r="Q277" i="14" a="1"/>
  <c r="P277" i="14" a="1"/>
  <c r="P277" i="14" s="1"/>
  <c r="O277" i="14"/>
  <c r="N277" i="14" a="1"/>
  <c r="N277" i="14" s="1"/>
  <c r="M277" i="14" a="1"/>
  <c r="M277" i="14" s="1"/>
  <c r="L277" i="14" a="1"/>
  <c r="L277" i="14" s="1"/>
  <c r="S276" i="14"/>
  <c r="S276" i="14" a="1"/>
  <c r="Q276" i="14"/>
  <c r="R276" i="14" s="1"/>
  <c r="Q276" i="14" a="1"/>
  <c r="P276" i="14"/>
  <c r="P276" i="14" a="1"/>
  <c r="O276" i="14"/>
  <c r="N276" i="14" a="1"/>
  <c r="N276" i="14" s="1"/>
  <c r="M276" i="14"/>
  <c r="M276" i="14" a="1"/>
  <c r="L276" i="14" a="1"/>
  <c r="L276" i="14" s="1"/>
  <c r="S275" i="14" a="1"/>
  <c r="S275" i="14" s="1"/>
  <c r="Q275" i="14"/>
  <c r="R275" i="14" s="1"/>
  <c r="Q275" i="14" a="1"/>
  <c r="P275" i="14"/>
  <c r="P275" i="14" a="1"/>
  <c r="O275" i="14"/>
  <c r="N275" i="14" a="1"/>
  <c r="N275" i="14" s="1"/>
  <c r="M275" i="14"/>
  <c r="M275" i="14" a="1"/>
  <c r="L275" i="14" a="1"/>
  <c r="L275" i="14" s="1"/>
  <c r="S274" i="14"/>
  <c r="S274" i="14" a="1"/>
  <c r="Q274" i="14"/>
  <c r="R274" i="14" s="1"/>
  <c r="Q274" i="14" a="1"/>
  <c r="P274" i="14"/>
  <c r="P274" i="14" a="1"/>
  <c r="O274" i="14"/>
  <c r="N274" i="14" a="1"/>
  <c r="N274" i="14" s="1"/>
  <c r="M274" i="14" a="1"/>
  <c r="M274" i="14" s="1"/>
  <c r="L274" i="14" a="1"/>
  <c r="L274" i="14" s="1"/>
  <c r="S273" i="14" a="1"/>
  <c r="S273" i="14" s="1"/>
  <c r="Q273" i="14"/>
  <c r="R273" i="14" s="1"/>
  <c r="Q273" i="14" a="1"/>
  <c r="P273" i="14"/>
  <c r="P273" i="14" a="1"/>
  <c r="O273" i="14"/>
  <c r="N273" i="14" a="1"/>
  <c r="N273" i="14" s="1"/>
  <c r="M273" i="14"/>
  <c r="M273" i="14" a="1"/>
  <c r="L273" i="14" a="1"/>
  <c r="L273" i="14" s="1"/>
  <c r="S272" i="14"/>
  <c r="S272" i="14" a="1"/>
  <c r="Q272" i="14"/>
  <c r="R272" i="14" s="1"/>
  <c r="Q272" i="14" a="1"/>
  <c r="P272" i="14"/>
  <c r="P272" i="14" a="1"/>
  <c r="O272" i="14"/>
  <c r="N272" i="14" a="1"/>
  <c r="N272" i="14" s="1"/>
  <c r="M272" i="14" a="1"/>
  <c r="M272" i="14" s="1"/>
  <c r="L272" i="14" a="1"/>
  <c r="L272" i="14" s="1"/>
  <c r="S271" i="14"/>
  <c r="S271" i="14" a="1"/>
  <c r="R271" i="14"/>
  <c r="Q271" i="14"/>
  <c r="Q271" i="14" a="1"/>
  <c r="P271" i="14" a="1"/>
  <c r="P271" i="14" s="1"/>
  <c r="O271" i="14"/>
  <c r="N271" i="14" a="1"/>
  <c r="N271" i="14" s="1"/>
  <c r="M271" i="14"/>
  <c r="M271" i="14" a="1"/>
  <c r="L271" i="14"/>
  <c r="L271" i="14" a="1"/>
  <c r="S270" i="14" a="1"/>
  <c r="S270" i="14" s="1"/>
  <c r="Q270" i="14" a="1"/>
  <c r="Q270" i="14" s="1"/>
  <c r="R270" i="14" s="1"/>
  <c r="P270" i="14"/>
  <c r="P270" i="14" a="1"/>
  <c r="O270" i="14"/>
  <c r="N270" i="14"/>
  <c r="N270" i="14" a="1"/>
  <c r="M270" i="14" a="1"/>
  <c r="M270" i="14" s="1"/>
  <c r="L270" i="14"/>
  <c r="L270" i="14" a="1"/>
  <c r="S269" i="14" a="1"/>
  <c r="S269" i="14" s="1"/>
  <c r="Q269" i="14"/>
  <c r="R269" i="14" s="1"/>
  <c r="Q269" i="14" a="1"/>
  <c r="P269" i="14" a="1"/>
  <c r="P269" i="14" s="1"/>
  <c r="O269" i="14"/>
  <c r="N269" i="14"/>
  <c r="N269" i="14" a="1"/>
  <c r="M269" i="14"/>
  <c r="M269" i="14" a="1"/>
  <c r="L269" i="14" a="1"/>
  <c r="L269" i="14" s="1"/>
  <c r="S268" i="14"/>
  <c r="S268" i="14" a="1"/>
  <c r="Q268" i="14"/>
  <c r="R268" i="14" s="1"/>
  <c r="Q268" i="14" a="1"/>
  <c r="P268" i="14" a="1"/>
  <c r="P268" i="14" s="1"/>
  <c r="O268" i="14"/>
  <c r="N268" i="14"/>
  <c r="N268" i="14" a="1"/>
  <c r="M268" i="14" a="1"/>
  <c r="M268" i="14" s="1"/>
  <c r="L268" i="14"/>
  <c r="L268" i="14" a="1"/>
  <c r="S267" i="14" a="1"/>
  <c r="S267" i="14" s="1"/>
  <c r="Q267" i="14"/>
  <c r="R267" i="14" s="1"/>
  <c r="Q267" i="14" a="1"/>
  <c r="P267" i="14" a="1"/>
  <c r="P267" i="14" s="1"/>
  <c r="O267" i="14"/>
  <c r="N267" i="14" a="1"/>
  <c r="N267" i="14" s="1"/>
  <c r="M267" i="14" a="1"/>
  <c r="M267" i="14" s="1"/>
  <c r="L267" i="14"/>
  <c r="L267" i="14" a="1"/>
  <c r="S266" i="14"/>
  <c r="S266" i="14" a="1"/>
  <c r="R266" i="14"/>
  <c r="Q266" i="14"/>
  <c r="Q266" i="14" a="1"/>
  <c r="P266" i="14"/>
  <c r="P266" i="14" a="1"/>
  <c r="O266" i="14"/>
  <c r="N266" i="14" a="1"/>
  <c r="N266" i="14" s="1"/>
  <c r="M266" i="14"/>
  <c r="M266" i="14" a="1"/>
  <c r="L266" i="14"/>
  <c r="L266" i="14" a="1"/>
  <c r="S265" i="14"/>
  <c r="S265" i="14" a="1"/>
  <c r="Q265" i="14" a="1"/>
  <c r="Q265" i="14" s="1"/>
  <c r="R265" i="14" s="1"/>
  <c r="P265" i="14"/>
  <c r="P265" i="14" a="1"/>
  <c r="O265" i="14"/>
  <c r="N265" i="14"/>
  <c r="N265" i="14" a="1"/>
  <c r="M265" i="14"/>
  <c r="M265" i="14" a="1"/>
  <c r="L265" i="14"/>
  <c r="L265" i="14" a="1"/>
  <c r="S264" i="14" a="1"/>
  <c r="S264" i="14" s="1"/>
  <c r="R264" i="14"/>
  <c r="Q264" i="14"/>
  <c r="Q264" i="14" a="1"/>
  <c r="P264" i="14"/>
  <c r="P264" i="14" a="1"/>
  <c r="O264" i="14"/>
  <c r="N264" i="14"/>
  <c r="N264" i="14" a="1"/>
  <c r="M264" i="14"/>
  <c r="M264" i="14" a="1"/>
  <c r="L264" i="14" a="1"/>
  <c r="L264" i="14" s="1"/>
  <c r="S263" i="14"/>
  <c r="S263" i="14" a="1"/>
  <c r="Q263" i="14"/>
  <c r="R263" i="14" s="1"/>
  <c r="Q263" i="14" a="1"/>
  <c r="P263" i="14" a="1"/>
  <c r="P263" i="14" s="1"/>
  <c r="O263" i="14"/>
  <c r="N263" i="14" a="1"/>
  <c r="N263" i="14" s="1"/>
  <c r="M263" i="14" a="1"/>
  <c r="M263" i="14" s="1"/>
  <c r="L263" i="14"/>
  <c r="L263" i="14" a="1"/>
  <c r="S262" i="14" a="1"/>
  <c r="S262" i="14" s="1"/>
  <c r="Q262" i="14" a="1"/>
  <c r="Q262" i="14" s="1"/>
  <c r="R262" i="14" s="1"/>
  <c r="P262" i="14" a="1"/>
  <c r="P262" i="14" s="1"/>
  <c r="O262" i="14"/>
  <c r="N262" i="14" a="1"/>
  <c r="N262" i="14" s="1"/>
  <c r="M262" i="14"/>
  <c r="M262" i="14" a="1"/>
  <c r="L262" i="14" a="1"/>
  <c r="L262" i="14" s="1"/>
  <c r="S261" i="14"/>
  <c r="S261" i="14" a="1"/>
  <c r="Q261" i="14" a="1"/>
  <c r="Q261" i="14" s="1"/>
  <c r="R261" i="14" s="1"/>
  <c r="P261" i="14"/>
  <c r="P261" i="14" a="1"/>
  <c r="O261" i="14"/>
  <c r="N261" i="14" a="1"/>
  <c r="N261" i="14" s="1"/>
  <c r="M261" i="14" a="1"/>
  <c r="M261" i="14" s="1"/>
  <c r="L261" i="14"/>
  <c r="L261" i="14" a="1"/>
  <c r="S260" i="14"/>
  <c r="S260" i="14" a="1"/>
  <c r="Q260" i="14" a="1"/>
  <c r="Q260" i="14" s="1"/>
  <c r="R260" i="14" s="1"/>
  <c r="P260" i="14" a="1"/>
  <c r="P260" i="14" s="1"/>
  <c r="O260" i="14"/>
  <c r="N260" i="14" a="1"/>
  <c r="N260" i="14" s="1"/>
  <c r="M260" i="14"/>
  <c r="M260" i="14" a="1"/>
  <c r="L260" i="14"/>
  <c r="L260" i="14" a="1"/>
  <c r="S259" i="14"/>
  <c r="S259" i="14" a="1"/>
  <c r="Q259" i="14" a="1"/>
  <c r="Q259" i="14" s="1"/>
  <c r="R259" i="14" s="1"/>
  <c r="P259" i="14"/>
  <c r="P259" i="14" a="1"/>
  <c r="O259" i="14"/>
  <c r="N259" i="14"/>
  <c r="N259" i="14" a="1"/>
  <c r="M259" i="14"/>
  <c r="M259" i="14" a="1"/>
  <c r="L259" i="14"/>
  <c r="L259" i="14" a="1"/>
  <c r="S258" i="14"/>
  <c r="S258" i="14" a="1"/>
  <c r="Q258" i="14"/>
  <c r="R258" i="14" s="1"/>
  <c r="Q258" i="14" a="1"/>
  <c r="P258" i="14"/>
  <c r="P258" i="14" a="1"/>
  <c r="O258" i="14"/>
  <c r="N258" i="14"/>
  <c r="N258" i="14" a="1"/>
  <c r="M258" i="14" a="1"/>
  <c r="M258" i="14" s="1"/>
  <c r="L258" i="14"/>
  <c r="L258" i="14" a="1"/>
  <c r="S257" i="14" a="1"/>
  <c r="S257" i="14" s="1"/>
  <c r="Q257" i="14"/>
  <c r="R257" i="14" s="1"/>
  <c r="Q257" i="14" a="1"/>
  <c r="P257" i="14" a="1"/>
  <c r="P257" i="14" s="1"/>
  <c r="O257" i="14"/>
  <c r="N257" i="14" a="1"/>
  <c r="N257" i="14" s="1"/>
  <c r="M257" i="14"/>
  <c r="M257" i="14" a="1"/>
  <c r="L257" i="14" a="1"/>
  <c r="L257" i="14" s="1"/>
  <c r="S256" i="14" a="1"/>
  <c r="S256" i="14" s="1"/>
  <c r="Q256" i="14" a="1"/>
  <c r="Q256" i="14" s="1"/>
  <c r="R256" i="14" s="1"/>
  <c r="P256" i="14" a="1"/>
  <c r="P256" i="14" s="1"/>
  <c r="O256" i="14"/>
  <c r="N256" i="14" a="1"/>
  <c r="N256" i="14" s="1"/>
  <c r="M256" i="14" a="1"/>
  <c r="M256" i="14" s="1"/>
  <c r="L256" i="14" a="1"/>
  <c r="L256" i="14" s="1"/>
  <c r="S255" i="14"/>
  <c r="S255" i="14" a="1"/>
  <c r="Q255" i="14" a="1"/>
  <c r="Q255" i="14" s="1"/>
  <c r="R255" i="14" s="1"/>
  <c r="P255" i="14" a="1"/>
  <c r="P255" i="14" s="1"/>
  <c r="O255" i="14"/>
  <c r="N255" i="14" a="1"/>
  <c r="N255" i="14" s="1"/>
  <c r="M255" i="14" a="1"/>
  <c r="M255" i="14" s="1"/>
  <c r="L255" i="14"/>
  <c r="L255" i="14" a="1"/>
  <c r="S254" i="14"/>
  <c r="S254" i="14" a="1"/>
  <c r="Q254" i="14" a="1"/>
  <c r="Q254" i="14" s="1"/>
  <c r="R254" i="14" s="1"/>
  <c r="P254" i="14" a="1"/>
  <c r="P254" i="14" s="1"/>
  <c r="O254" i="14"/>
  <c r="N254" i="14" a="1"/>
  <c r="N254" i="14" s="1"/>
  <c r="M254" i="14"/>
  <c r="M254" i="14" a="1"/>
  <c r="L254" i="14"/>
  <c r="L254" i="14" a="1"/>
  <c r="S253" i="14"/>
  <c r="S253" i="14" a="1"/>
  <c r="Q253" i="14" a="1"/>
  <c r="Q253" i="14" s="1"/>
  <c r="R253" i="14" s="1"/>
  <c r="P253" i="14"/>
  <c r="P253" i="14" a="1"/>
  <c r="O253" i="14"/>
  <c r="N253" i="14" a="1"/>
  <c r="N253" i="14" s="1"/>
  <c r="M253" i="14"/>
  <c r="M253" i="14" a="1"/>
  <c r="L253" i="14"/>
  <c r="L253" i="14" a="1"/>
  <c r="S252" i="14"/>
  <c r="S252" i="14" a="1"/>
  <c r="Q252" i="14"/>
  <c r="R252" i="14" s="1"/>
  <c r="Q252" i="14" a="1"/>
  <c r="P252" i="14"/>
  <c r="P252" i="14" a="1"/>
  <c r="O252" i="14"/>
  <c r="N252" i="14"/>
  <c r="N252" i="14" a="1"/>
  <c r="M252" i="14"/>
  <c r="M252" i="14" a="1"/>
  <c r="L252" i="14"/>
  <c r="L252" i="14" a="1"/>
  <c r="S251" i="14" a="1"/>
  <c r="S251" i="14" s="1"/>
  <c r="Q251" i="14"/>
  <c r="R251" i="14" s="1"/>
  <c r="Q251" i="14" a="1"/>
  <c r="P251" i="14" a="1"/>
  <c r="P251" i="14" s="1"/>
  <c r="O251" i="14"/>
  <c r="N251" i="14" a="1"/>
  <c r="N251" i="14" s="1"/>
  <c r="M251" i="14" a="1"/>
  <c r="M251" i="14" s="1"/>
  <c r="L251" i="14" a="1"/>
  <c r="L251" i="14" s="1"/>
  <c r="S250" i="14" a="1"/>
  <c r="S250" i="14" s="1"/>
  <c r="Q250" i="14" a="1"/>
  <c r="Q250" i="14" s="1"/>
  <c r="R250" i="14" s="1"/>
  <c r="P250" i="14" a="1"/>
  <c r="P250" i="14" s="1"/>
  <c r="O250" i="14"/>
  <c r="N250" i="14" a="1"/>
  <c r="N250" i="14" s="1"/>
  <c r="M250" i="14" a="1"/>
  <c r="M250" i="14" s="1"/>
  <c r="L250" i="14" a="1"/>
  <c r="L250" i="14" s="1"/>
  <c r="S249" i="14" a="1"/>
  <c r="S249" i="14" s="1"/>
  <c r="Q249" i="14" a="1"/>
  <c r="Q249" i="14" s="1"/>
  <c r="R249" i="14" s="1"/>
  <c r="P249" i="14" a="1"/>
  <c r="P249" i="14" s="1"/>
  <c r="O249" i="14"/>
  <c r="N249" i="14" a="1"/>
  <c r="N249" i="14" s="1"/>
  <c r="M249" i="14" a="1"/>
  <c r="M249" i="14" s="1"/>
  <c r="L249" i="14" a="1"/>
  <c r="L249" i="14" s="1"/>
  <c r="S248" i="14"/>
  <c r="S248" i="14" a="1"/>
  <c r="Q248" i="14" a="1"/>
  <c r="Q248" i="14" s="1"/>
  <c r="R248" i="14" s="1"/>
  <c r="P248" i="14" a="1"/>
  <c r="P248" i="14" s="1"/>
  <c r="O248" i="14"/>
  <c r="N248" i="14" a="1"/>
  <c r="N248" i="14" s="1"/>
  <c r="M248" i="14" a="1"/>
  <c r="M248" i="14" s="1"/>
  <c r="L248" i="14"/>
  <c r="L248" i="14" a="1"/>
  <c r="S247" i="14"/>
  <c r="S247" i="14" a="1"/>
  <c r="Q247" i="14" a="1"/>
  <c r="Q247" i="14" s="1"/>
  <c r="R247" i="14" s="1"/>
  <c r="P247" i="14"/>
  <c r="P247" i="14" a="1"/>
  <c r="O247" i="14"/>
  <c r="N247" i="14" a="1"/>
  <c r="N247" i="14" s="1"/>
  <c r="M247" i="14"/>
  <c r="M247" i="14" a="1"/>
  <c r="L247" i="14" a="1"/>
  <c r="L247" i="14" s="1"/>
  <c r="S246" i="14"/>
  <c r="S246" i="14" a="1"/>
  <c r="Q246" i="14"/>
  <c r="R246" i="14" s="1"/>
  <c r="Q246" i="14" a="1"/>
  <c r="P246" i="14"/>
  <c r="P246" i="14" a="1"/>
  <c r="O246" i="14"/>
  <c r="N246" i="14"/>
  <c r="N246" i="14" a="1"/>
  <c r="M246" i="14" a="1"/>
  <c r="M246" i="14" s="1"/>
  <c r="L246" i="14"/>
  <c r="L246" i="14" a="1"/>
  <c r="S245" i="14" a="1"/>
  <c r="S245" i="14" s="1"/>
  <c r="Q245" i="14"/>
  <c r="R245" i="14" s="1"/>
  <c r="Q245" i="14" a="1"/>
  <c r="P245" i="14" a="1"/>
  <c r="P245" i="14" s="1"/>
  <c r="O245" i="14"/>
  <c r="N245" i="14" a="1"/>
  <c r="N245" i="14" s="1"/>
  <c r="M245" i="14" a="1"/>
  <c r="M245" i="14" s="1"/>
  <c r="L245" i="14" a="1"/>
  <c r="L245" i="14" s="1"/>
  <c r="S244" i="14" a="1"/>
  <c r="S244" i="14" s="1"/>
  <c r="Q244" i="14" a="1"/>
  <c r="Q244" i="14" s="1"/>
  <c r="R244" i="14" s="1"/>
  <c r="P244" i="14" a="1"/>
  <c r="P244" i="14" s="1"/>
  <c r="O244" i="14"/>
  <c r="N244" i="14" a="1"/>
  <c r="N244" i="14" s="1"/>
  <c r="M244" i="14" a="1"/>
  <c r="M244" i="14" s="1"/>
  <c r="L244" i="14" a="1"/>
  <c r="L244" i="14" s="1"/>
  <c r="S243" i="14" a="1"/>
  <c r="S243" i="14" s="1"/>
  <c r="Q243" i="14" a="1"/>
  <c r="Q243" i="14" s="1"/>
  <c r="R243" i="14" s="1"/>
  <c r="P243" i="14" a="1"/>
  <c r="P243" i="14" s="1"/>
  <c r="O243" i="14"/>
  <c r="N243" i="14" a="1"/>
  <c r="N243" i="14" s="1"/>
  <c r="M243" i="14" a="1"/>
  <c r="M243" i="14" s="1"/>
  <c r="L243" i="14" a="1"/>
  <c r="L243" i="14" s="1"/>
  <c r="S242" i="14"/>
  <c r="S242" i="14" a="1"/>
  <c r="Q242" i="14" a="1"/>
  <c r="Q242" i="14" s="1"/>
  <c r="R242" i="14" s="1"/>
  <c r="P242" i="14" a="1"/>
  <c r="P242" i="14" s="1"/>
  <c r="O242" i="14"/>
  <c r="N242" i="14" a="1"/>
  <c r="N242" i="14" s="1"/>
  <c r="M242" i="14" a="1"/>
  <c r="M242" i="14" s="1"/>
  <c r="L242" i="14"/>
  <c r="L242" i="14" a="1"/>
  <c r="S241" i="14" a="1"/>
  <c r="S241" i="14" s="1"/>
  <c r="Q241" i="14" a="1"/>
  <c r="Q241" i="14" s="1"/>
  <c r="R241" i="14" s="1"/>
  <c r="P241" i="14"/>
  <c r="P241" i="14" a="1"/>
  <c r="O241" i="14"/>
  <c r="N241" i="14" a="1"/>
  <c r="N241" i="14" s="1"/>
  <c r="M241" i="14"/>
  <c r="M241" i="14" a="1"/>
  <c r="L241" i="14" a="1"/>
  <c r="L241" i="14" s="1"/>
  <c r="S240" i="14"/>
  <c r="S240" i="14" a="1"/>
  <c r="Q240" i="14"/>
  <c r="R240" i="14" s="1"/>
  <c r="Q240" i="14" a="1"/>
  <c r="P240" i="14"/>
  <c r="P240" i="14" a="1"/>
  <c r="O240" i="14"/>
  <c r="N240" i="14"/>
  <c r="N240" i="14" a="1"/>
  <c r="M240" i="14" a="1"/>
  <c r="M240" i="14" s="1"/>
  <c r="L240" i="14"/>
  <c r="L240" i="14" a="1"/>
  <c r="S239" i="14" a="1"/>
  <c r="S239" i="14" s="1"/>
  <c r="Q239" i="14"/>
  <c r="R239" i="14" s="1"/>
  <c r="Q239" i="14" a="1"/>
  <c r="P239" i="14" a="1"/>
  <c r="P239" i="14" s="1"/>
  <c r="O239" i="14"/>
  <c r="N239" i="14" a="1"/>
  <c r="N239" i="14" s="1"/>
  <c r="M239" i="14"/>
  <c r="M239" i="14" a="1"/>
  <c r="L239" i="14" a="1"/>
  <c r="L239" i="14" s="1"/>
  <c r="S238" i="14" a="1"/>
  <c r="S238" i="14" s="1"/>
  <c r="Q238" i="14" a="1"/>
  <c r="Q238" i="14" s="1"/>
  <c r="R238" i="14" s="1"/>
  <c r="P238" i="14" a="1"/>
  <c r="P238" i="14" s="1"/>
  <c r="O238" i="14"/>
  <c r="N238" i="14"/>
  <c r="N238" i="14" a="1"/>
  <c r="M238" i="14" a="1"/>
  <c r="M238" i="14" s="1"/>
  <c r="L238" i="14" a="1"/>
  <c r="L238" i="14" s="1"/>
  <c r="S237" i="14" a="1"/>
  <c r="S237" i="14" s="1"/>
  <c r="Q237" i="14" a="1"/>
  <c r="Q237" i="14" s="1"/>
  <c r="R237" i="14" s="1"/>
  <c r="P237" i="14" a="1"/>
  <c r="P237" i="14" s="1"/>
  <c r="O237" i="14"/>
  <c r="N237" i="14" a="1"/>
  <c r="N237" i="14" s="1"/>
  <c r="M237" i="14" a="1"/>
  <c r="M237" i="14" s="1"/>
  <c r="L237" i="14" a="1"/>
  <c r="L237" i="14" s="1"/>
  <c r="S236" i="14"/>
  <c r="S236" i="14" a="1"/>
  <c r="Q236" i="14" a="1"/>
  <c r="Q236" i="14" s="1"/>
  <c r="R236" i="14" s="1"/>
  <c r="P236" i="14" a="1"/>
  <c r="P236" i="14" s="1"/>
  <c r="O236" i="14"/>
  <c r="N236" i="14" a="1"/>
  <c r="N236" i="14" s="1"/>
  <c r="M236" i="14" a="1"/>
  <c r="M236" i="14" s="1"/>
  <c r="L236" i="14"/>
  <c r="L236" i="14" a="1"/>
  <c r="S235" i="14" a="1"/>
  <c r="S235" i="14" s="1"/>
  <c r="Q235" i="14" a="1"/>
  <c r="Q235" i="14" s="1"/>
  <c r="R235" i="14" s="1"/>
  <c r="P235" i="14"/>
  <c r="P235" i="14" a="1"/>
  <c r="O235" i="14"/>
  <c r="N235" i="14" a="1"/>
  <c r="N235" i="14" s="1"/>
  <c r="M235" i="14"/>
  <c r="M235" i="14" a="1"/>
  <c r="L235" i="14" a="1"/>
  <c r="L235" i="14" s="1"/>
  <c r="S234" i="14"/>
  <c r="S234" i="14" a="1"/>
  <c r="Q234" i="14"/>
  <c r="R234" i="14" s="1"/>
  <c r="Q234" i="14" a="1"/>
  <c r="P234" i="14"/>
  <c r="P234" i="14" a="1"/>
  <c r="O234" i="14"/>
  <c r="N234" i="14"/>
  <c r="N234" i="14" a="1"/>
  <c r="M234" i="14" a="1"/>
  <c r="M234" i="14" s="1"/>
  <c r="L234" i="14" a="1"/>
  <c r="L234" i="14" s="1"/>
  <c r="S233" i="14" a="1"/>
  <c r="S233" i="14" s="1"/>
  <c r="Q233" i="14"/>
  <c r="R233" i="14" s="1"/>
  <c r="Q233" i="14" a="1"/>
  <c r="P233" i="14" a="1"/>
  <c r="P233" i="14" s="1"/>
  <c r="O233" i="14"/>
  <c r="N233" i="14" a="1"/>
  <c r="N233" i="14" s="1"/>
  <c r="M233" i="14" a="1"/>
  <c r="M233" i="14" s="1"/>
  <c r="L233" i="14" a="1"/>
  <c r="L233" i="14" s="1"/>
  <c r="S232" i="14" a="1"/>
  <c r="S232" i="14" s="1"/>
  <c r="Q232" i="14" a="1"/>
  <c r="Q232" i="14" s="1"/>
  <c r="R232" i="14" s="1"/>
  <c r="P232" i="14" a="1"/>
  <c r="P232" i="14" s="1"/>
  <c r="O232" i="14"/>
  <c r="N232" i="14" a="1"/>
  <c r="N232" i="14" s="1"/>
  <c r="M232" i="14" a="1"/>
  <c r="M232" i="14" s="1"/>
  <c r="L232" i="14" a="1"/>
  <c r="L232" i="14" s="1"/>
  <c r="S231" i="14" a="1"/>
  <c r="S231" i="14" s="1"/>
  <c r="Q231" i="14" a="1"/>
  <c r="Q231" i="14" s="1"/>
  <c r="R231" i="14" s="1"/>
  <c r="P231" i="14"/>
  <c r="P231" i="14" a="1"/>
  <c r="O231" i="14"/>
  <c r="N231" i="14" a="1"/>
  <c r="N231" i="14" s="1"/>
  <c r="M231" i="14" a="1"/>
  <c r="M231" i="14" s="1"/>
  <c r="L231" i="14" a="1"/>
  <c r="L231" i="14" s="1"/>
  <c r="S230" i="14"/>
  <c r="S230" i="14" a="1"/>
  <c r="Q230" i="14"/>
  <c r="R230" i="14" s="1"/>
  <c r="Q230" i="14" a="1"/>
  <c r="P230" i="14"/>
  <c r="P230" i="14" a="1"/>
  <c r="O230" i="14"/>
  <c r="N230" i="14" a="1"/>
  <c r="N230" i="14" s="1"/>
  <c r="M230" i="14" a="1"/>
  <c r="M230" i="14" s="1"/>
  <c r="L230" i="14"/>
  <c r="L230" i="14" a="1"/>
  <c r="S229" i="14" a="1"/>
  <c r="S229" i="14" s="1"/>
  <c r="Q229" i="14"/>
  <c r="R229" i="14" s="1"/>
  <c r="Q229" i="14" a="1"/>
  <c r="P229" i="14"/>
  <c r="P229" i="14" a="1"/>
  <c r="O229" i="14"/>
  <c r="N229" i="14" a="1"/>
  <c r="N229" i="14" s="1"/>
  <c r="M229" i="14"/>
  <c r="M229" i="14" a="1"/>
  <c r="L229" i="14" a="1"/>
  <c r="L229" i="14" s="1"/>
  <c r="S228" i="14" a="1"/>
  <c r="S228" i="14" s="1"/>
  <c r="Q228" i="14"/>
  <c r="R228" i="14" s="1"/>
  <c r="Q228" i="14" a="1"/>
  <c r="P228" i="14"/>
  <c r="P228" i="14" a="1"/>
  <c r="O228" i="14"/>
  <c r="N228" i="14"/>
  <c r="N228" i="14" a="1"/>
  <c r="M228" i="14" a="1"/>
  <c r="M228" i="14" s="1"/>
  <c r="L228" i="14" a="1"/>
  <c r="L228" i="14" s="1"/>
  <c r="S227" i="14" a="1"/>
  <c r="S227" i="14" s="1"/>
  <c r="Q227" i="14"/>
  <c r="R227" i="14" s="1"/>
  <c r="Q227" i="14" a="1"/>
  <c r="P227" i="14"/>
  <c r="P227" i="14" a="1"/>
  <c r="O227" i="14"/>
  <c r="N227" i="14" a="1"/>
  <c r="N227" i="14" s="1"/>
  <c r="M227" i="14" a="1"/>
  <c r="M227" i="14" s="1"/>
  <c r="L227" i="14" a="1"/>
  <c r="L227" i="14" s="1"/>
  <c r="S226" i="14" a="1"/>
  <c r="S226" i="14" s="1"/>
  <c r="Q226" i="14"/>
  <c r="R226" i="14" s="1"/>
  <c r="Q226" i="14" a="1"/>
  <c r="P226" i="14"/>
  <c r="P226" i="14" a="1"/>
  <c r="O226" i="14"/>
  <c r="N226" i="14" a="1"/>
  <c r="N226" i="14" s="1"/>
  <c r="M226" i="14" a="1"/>
  <c r="M226" i="14" s="1"/>
  <c r="L226" i="14" a="1"/>
  <c r="L226" i="14" s="1"/>
  <c r="S225" i="14" a="1"/>
  <c r="S225" i="14" s="1"/>
  <c r="R225" i="14"/>
  <c r="Q225" i="14"/>
  <c r="Q225" i="14" a="1"/>
  <c r="P225" i="14" a="1"/>
  <c r="P225" i="14" s="1"/>
  <c r="O225" i="14"/>
  <c r="N225" i="14" a="1"/>
  <c r="N225" i="14" s="1"/>
  <c r="M225" i="14" a="1"/>
  <c r="M225" i="14" s="1"/>
  <c r="L225" i="14" a="1"/>
  <c r="L225" i="14" s="1"/>
  <c r="S224" i="14"/>
  <c r="S224" i="14" a="1"/>
  <c r="Q224" i="14" a="1"/>
  <c r="Q224" i="14" s="1"/>
  <c r="R224" i="14" s="1"/>
  <c r="P224" i="14"/>
  <c r="P224" i="14" a="1"/>
  <c r="O224" i="14"/>
  <c r="N224" i="14" a="1"/>
  <c r="N224" i="14" s="1"/>
  <c r="M224" i="14" a="1"/>
  <c r="M224" i="14" s="1"/>
  <c r="L224" i="14" a="1"/>
  <c r="L224" i="14" s="1"/>
  <c r="S223" i="14" a="1"/>
  <c r="S223" i="14" s="1"/>
  <c r="R223" i="14"/>
  <c r="Q223" i="14"/>
  <c r="Q223" i="14" a="1"/>
  <c r="P223" i="14"/>
  <c r="P223" i="14" a="1"/>
  <c r="O223" i="14"/>
  <c r="N223" i="14" a="1"/>
  <c r="N223" i="14" s="1"/>
  <c r="M223" i="14" a="1"/>
  <c r="M223" i="14" s="1"/>
  <c r="L223" i="14" a="1"/>
  <c r="L223" i="14" s="1"/>
  <c r="S222" i="14"/>
  <c r="S222" i="14" a="1"/>
  <c r="Q222" i="14"/>
  <c r="R222" i="14" s="1"/>
  <c r="Q222" i="14" a="1"/>
  <c r="P222" i="14"/>
  <c r="P222" i="14" a="1"/>
  <c r="O222" i="14"/>
  <c r="N222" i="14" a="1"/>
  <c r="N222" i="14" s="1"/>
  <c r="M222" i="14" a="1"/>
  <c r="M222" i="14" s="1"/>
  <c r="L222" i="14" a="1"/>
  <c r="L222" i="14" s="1"/>
  <c r="S221" i="14" a="1"/>
  <c r="S221" i="14" s="1"/>
  <c r="Q221" i="14"/>
  <c r="R221" i="14" s="1"/>
  <c r="Q221" i="14" a="1"/>
  <c r="P221" i="14"/>
  <c r="P221" i="14" a="1"/>
  <c r="O221" i="14"/>
  <c r="N221" i="14" a="1"/>
  <c r="N221" i="14" s="1"/>
  <c r="M221" i="14" a="1"/>
  <c r="M221" i="14" s="1"/>
  <c r="L221" i="14" a="1"/>
  <c r="L221" i="14" s="1"/>
  <c r="S220" i="14" a="1"/>
  <c r="S220" i="14" s="1"/>
  <c r="Q220" i="14"/>
  <c r="R220" i="14" s="1"/>
  <c r="Q220" i="14" a="1"/>
  <c r="P220" i="14"/>
  <c r="P220" i="14" a="1"/>
  <c r="O220" i="14"/>
  <c r="N220" i="14" a="1"/>
  <c r="N220" i="14" s="1"/>
  <c r="M220" i="14" a="1"/>
  <c r="M220" i="14" s="1"/>
  <c r="L220" i="14" a="1"/>
  <c r="L220" i="14" s="1"/>
  <c r="S219" i="14" a="1"/>
  <c r="S219" i="14" s="1"/>
  <c r="R219" i="14"/>
  <c r="Q219" i="14"/>
  <c r="Q219" i="14" a="1"/>
  <c r="P219" i="14"/>
  <c r="P219" i="14" a="1"/>
  <c r="O219" i="14"/>
  <c r="N219" i="14" a="1"/>
  <c r="N219" i="14" s="1"/>
  <c r="M219" i="14" a="1"/>
  <c r="M219" i="14" s="1"/>
  <c r="L219" i="14" a="1"/>
  <c r="L219" i="14" s="1"/>
  <c r="S218" i="14"/>
  <c r="S218" i="14" a="1"/>
  <c r="Q218" i="14"/>
  <c r="R218" i="14" s="1"/>
  <c r="Q218" i="14" a="1"/>
  <c r="P218" i="14"/>
  <c r="P218" i="14" a="1"/>
  <c r="O218" i="14"/>
  <c r="N218" i="14" a="1"/>
  <c r="N218" i="14" s="1"/>
  <c r="M218" i="14" a="1"/>
  <c r="M218" i="14" s="1"/>
  <c r="L218" i="14"/>
  <c r="L218" i="14" a="1"/>
  <c r="S217" i="14" a="1"/>
  <c r="S217" i="14" s="1"/>
  <c r="Q217" i="14"/>
  <c r="R217" i="14" s="1"/>
  <c r="Q217" i="14" a="1"/>
  <c r="P217" i="14"/>
  <c r="P217" i="14" a="1"/>
  <c r="O217" i="14"/>
  <c r="N217" i="14" a="1"/>
  <c r="N217" i="14" s="1"/>
  <c r="M217" i="14" a="1"/>
  <c r="M217" i="14" s="1"/>
  <c r="L217" i="14" a="1"/>
  <c r="L217" i="14" s="1"/>
  <c r="S216" i="14" a="1"/>
  <c r="S216" i="14" s="1"/>
  <c r="Q216" i="14"/>
  <c r="R216" i="14" s="1"/>
  <c r="Q216" i="14" a="1"/>
  <c r="P216" i="14"/>
  <c r="P216" i="14" a="1"/>
  <c r="O216" i="14"/>
  <c r="N216" i="14" a="1"/>
  <c r="N216" i="14" s="1"/>
  <c r="M216" i="14" a="1"/>
  <c r="M216" i="14" s="1"/>
  <c r="L216" i="14" a="1"/>
  <c r="L216" i="14" s="1"/>
  <c r="S215" i="14" a="1"/>
  <c r="S215" i="14" s="1"/>
  <c r="Q215" i="14"/>
  <c r="R215" i="14" s="1"/>
  <c r="Q215" i="14" a="1"/>
  <c r="P215" i="14"/>
  <c r="P215" i="14" a="1"/>
  <c r="O215" i="14"/>
  <c r="N215" i="14" a="1"/>
  <c r="N215" i="14" s="1"/>
  <c r="M215" i="14" a="1"/>
  <c r="M215" i="14" s="1"/>
  <c r="L215" i="14" a="1"/>
  <c r="L215" i="14" s="1"/>
  <c r="S214" i="14" a="1"/>
  <c r="S214" i="14" s="1"/>
  <c r="Q214" i="14"/>
  <c r="R214" i="14" s="1"/>
  <c r="Q214" i="14" a="1"/>
  <c r="P214" i="14"/>
  <c r="P214" i="14" a="1"/>
  <c r="O214" i="14"/>
  <c r="N214" i="14" a="1"/>
  <c r="N214" i="14" s="1"/>
  <c r="M214" i="14" a="1"/>
  <c r="M214" i="14" s="1"/>
  <c r="L214" i="14" a="1"/>
  <c r="L214" i="14" s="1"/>
  <c r="S213" i="14" a="1"/>
  <c r="S213" i="14" s="1"/>
  <c r="R213" i="14"/>
  <c r="Q213" i="14"/>
  <c r="Q213" i="14" a="1"/>
  <c r="P213" i="14"/>
  <c r="P213" i="14" a="1"/>
  <c r="O213" i="14"/>
  <c r="N213" i="14" a="1"/>
  <c r="N213" i="14" s="1"/>
  <c r="M213" i="14" a="1"/>
  <c r="M213" i="14" s="1"/>
  <c r="L213" i="14" a="1"/>
  <c r="L213" i="14" s="1"/>
  <c r="S212" i="14"/>
  <c r="S212" i="14" a="1"/>
  <c r="Q212" i="14"/>
  <c r="R212" i="14" s="1"/>
  <c r="Q212" i="14" a="1"/>
  <c r="P212" i="14"/>
  <c r="P212" i="14" a="1"/>
  <c r="O212" i="14"/>
  <c r="N212" i="14" a="1"/>
  <c r="N212" i="14" s="1"/>
  <c r="M212" i="14" a="1"/>
  <c r="M212" i="14" s="1"/>
  <c r="L212" i="14" a="1"/>
  <c r="L212" i="14" s="1"/>
  <c r="S211" i="14" a="1"/>
  <c r="S211" i="14" s="1"/>
  <c r="Q211" i="14"/>
  <c r="R211" i="14" s="1"/>
  <c r="Q211" i="14" a="1"/>
  <c r="P211" i="14"/>
  <c r="P211" i="14" a="1"/>
  <c r="O211" i="14"/>
  <c r="N211" i="14" a="1"/>
  <c r="N211" i="14" s="1"/>
  <c r="M211" i="14" a="1"/>
  <c r="M211" i="14" s="1"/>
  <c r="L211" i="14" a="1"/>
  <c r="L211" i="14" s="1"/>
  <c r="S210" i="14" a="1"/>
  <c r="S210" i="14" s="1"/>
  <c r="Q210" i="14"/>
  <c r="R210" i="14" s="1"/>
  <c r="Q210" i="14" a="1"/>
  <c r="P210" i="14"/>
  <c r="P210" i="14" a="1"/>
  <c r="O210" i="14"/>
  <c r="N210" i="14" a="1"/>
  <c r="N210" i="14" s="1"/>
  <c r="M210" i="14" a="1"/>
  <c r="M210" i="14" s="1"/>
  <c r="L210" i="14" a="1"/>
  <c r="L210" i="14" s="1"/>
  <c r="S209" i="14" a="1"/>
  <c r="S209" i="14" s="1"/>
  <c r="Q209" i="14"/>
  <c r="R209" i="14" s="1"/>
  <c r="Q209" i="14" a="1"/>
  <c r="P209" i="14"/>
  <c r="P209" i="14" a="1"/>
  <c r="O209" i="14"/>
  <c r="N209" i="14" a="1"/>
  <c r="N209" i="14" s="1"/>
  <c r="M209" i="14" a="1"/>
  <c r="M209" i="14" s="1"/>
  <c r="L209" i="14" a="1"/>
  <c r="L209" i="14" s="1"/>
  <c r="S208" i="14" a="1"/>
  <c r="S208" i="14" s="1"/>
  <c r="Q208" i="14"/>
  <c r="R208" i="14" s="1"/>
  <c r="Q208" i="14" a="1"/>
  <c r="P208" i="14"/>
  <c r="P208" i="14" a="1"/>
  <c r="O208" i="14"/>
  <c r="N208" i="14" a="1"/>
  <c r="N208" i="14" s="1"/>
  <c r="M208" i="14" a="1"/>
  <c r="M208" i="14" s="1"/>
  <c r="L208" i="14" a="1"/>
  <c r="L208" i="14" s="1"/>
  <c r="S207" i="14" a="1"/>
  <c r="S207" i="14" s="1"/>
  <c r="R207" i="14"/>
  <c r="Q207" i="14"/>
  <c r="Q207" i="14" a="1"/>
  <c r="P207" i="14"/>
  <c r="P207" i="14" a="1"/>
  <c r="O207" i="14"/>
  <c r="N207" i="14" a="1"/>
  <c r="N207" i="14" s="1"/>
  <c r="M207" i="14" a="1"/>
  <c r="M207" i="14" s="1"/>
  <c r="L207" i="14" a="1"/>
  <c r="L207" i="14" s="1"/>
  <c r="S206" i="14"/>
  <c r="S206" i="14" a="1"/>
  <c r="Q206" i="14"/>
  <c r="R206" i="14" s="1"/>
  <c r="Q206" i="14" a="1"/>
  <c r="P206" i="14"/>
  <c r="P206" i="14" a="1"/>
  <c r="O206" i="14"/>
  <c r="N206" i="14" a="1"/>
  <c r="N206" i="14" s="1"/>
  <c r="M206" i="14" a="1"/>
  <c r="M206" i="14" s="1"/>
  <c r="L206" i="14"/>
  <c r="L206" i="14" a="1"/>
  <c r="S205" i="14" a="1"/>
  <c r="S205" i="14" s="1"/>
  <c r="Q205" i="14"/>
  <c r="R205" i="14" s="1"/>
  <c r="Q205" i="14" a="1"/>
  <c r="P205" i="14"/>
  <c r="P205" i="14" a="1"/>
  <c r="O205" i="14"/>
  <c r="N205" i="14" a="1"/>
  <c r="N205" i="14" s="1"/>
  <c r="M205" i="14"/>
  <c r="M205" i="14" a="1"/>
  <c r="L205" i="14" a="1"/>
  <c r="L205" i="14" s="1"/>
  <c r="S204" i="14" a="1"/>
  <c r="S204" i="14" s="1"/>
  <c r="Q204" i="14"/>
  <c r="R204" i="14" s="1"/>
  <c r="Q204" i="14" a="1"/>
  <c r="P204" i="14"/>
  <c r="P204" i="14" a="1"/>
  <c r="O204" i="14"/>
  <c r="N204" i="14"/>
  <c r="N204" i="14" a="1"/>
  <c r="M204" i="14" a="1"/>
  <c r="M204" i="14" s="1"/>
  <c r="L204" i="14" a="1"/>
  <c r="L204" i="14" s="1"/>
  <c r="S203" i="14" a="1"/>
  <c r="S203" i="14" s="1"/>
  <c r="Q203" i="14"/>
  <c r="R203" i="14" s="1"/>
  <c r="Q203" i="14" a="1"/>
  <c r="P203" i="14"/>
  <c r="P203" i="14" a="1"/>
  <c r="O203" i="14"/>
  <c r="N203" i="14" a="1"/>
  <c r="N203" i="14" s="1"/>
  <c r="M203" i="14" a="1"/>
  <c r="M203" i="14" s="1"/>
  <c r="L203" i="14" a="1"/>
  <c r="L203" i="14" s="1"/>
  <c r="S202" i="14" a="1"/>
  <c r="S202" i="14" s="1"/>
  <c r="Q202" i="14"/>
  <c r="R202" i="14" s="1"/>
  <c r="Q202" i="14" a="1"/>
  <c r="P202" i="14"/>
  <c r="P202" i="14" a="1"/>
  <c r="O202" i="14"/>
  <c r="N202" i="14" a="1"/>
  <c r="N202" i="14" s="1"/>
  <c r="M202" i="14" a="1"/>
  <c r="M202" i="14" s="1"/>
  <c r="L202" i="14" a="1"/>
  <c r="L202" i="14" s="1"/>
  <c r="S201" i="14" a="1"/>
  <c r="S201" i="14" s="1"/>
  <c r="R201" i="14"/>
  <c r="Q201" i="14"/>
  <c r="Q201" i="14" a="1"/>
  <c r="P201" i="14"/>
  <c r="P201" i="14" a="1"/>
  <c r="O201" i="14"/>
  <c r="N201" i="14" a="1"/>
  <c r="N201" i="14" s="1"/>
  <c r="M201" i="14" a="1"/>
  <c r="M201" i="14" s="1"/>
  <c r="L201" i="14" a="1"/>
  <c r="L201" i="14" s="1"/>
  <c r="S200" i="14"/>
  <c r="S200" i="14" a="1"/>
  <c r="Q200" i="14"/>
  <c r="R200" i="14" s="1"/>
  <c r="Q200" i="14" a="1"/>
  <c r="P200" i="14"/>
  <c r="P200" i="14" a="1"/>
  <c r="O200" i="14"/>
  <c r="N200" i="14" a="1"/>
  <c r="N200" i="14" s="1"/>
  <c r="M200" i="14" a="1"/>
  <c r="M200" i="14" s="1"/>
  <c r="L200" i="14" a="1"/>
  <c r="L200" i="14" s="1"/>
  <c r="S199" i="14" a="1"/>
  <c r="S199" i="14" s="1"/>
  <c r="Q199" i="14"/>
  <c r="R199" i="14" s="1"/>
  <c r="Q199" i="14" a="1"/>
  <c r="P199" i="14"/>
  <c r="P199" i="14" a="1"/>
  <c r="O199" i="14"/>
  <c r="N199" i="14" a="1"/>
  <c r="N199" i="14" s="1"/>
  <c r="M199" i="14" a="1"/>
  <c r="M199" i="14" s="1"/>
  <c r="L199" i="14" a="1"/>
  <c r="L199" i="14" s="1"/>
  <c r="S198" i="14" a="1"/>
  <c r="S198" i="14" s="1"/>
  <c r="Q198" i="14"/>
  <c r="R198" i="14" s="1"/>
  <c r="Q198" i="14" a="1"/>
  <c r="P198" i="14"/>
  <c r="P198" i="14" a="1"/>
  <c r="O198" i="14"/>
  <c r="N198" i="14" a="1"/>
  <c r="N198" i="14" s="1"/>
  <c r="M198" i="14" a="1"/>
  <c r="M198" i="14" s="1"/>
  <c r="L198" i="14" a="1"/>
  <c r="L198" i="14" s="1"/>
  <c r="S197" i="14" a="1"/>
  <c r="S197" i="14" s="1"/>
  <c r="Q197" i="14"/>
  <c r="R197" i="14" s="1"/>
  <c r="Q197" i="14" a="1"/>
  <c r="P197" i="14"/>
  <c r="P197" i="14" a="1"/>
  <c r="O197" i="14"/>
  <c r="N197" i="14" a="1"/>
  <c r="N197" i="14" s="1"/>
  <c r="M197" i="14" a="1"/>
  <c r="M197" i="14" s="1"/>
  <c r="L197" i="14" a="1"/>
  <c r="L197" i="14" s="1"/>
  <c r="S196" i="14" a="1"/>
  <c r="S196" i="14" s="1"/>
  <c r="Q196" i="14"/>
  <c r="R196" i="14" s="1"/>
  <c r="Q196" i="14" a="1"/>
  <c r="P196" i="14"/>
  <c r="P196" i="14" a="1"/>
  <c r="O196" i="14"/>
  <c r="N196" i="14" a="1"/>
  <c r="N196" i="14" s="1"/>
  <c r="M196" i="14" a="1"/>
  <c r="M196" i="14" s="1"/>
  <c r="L196" i="14" a="1"/>
  <c r="L196" i="14" s="1"/>
  <c r="S195" i="14" a="1"/>
  <c r="S195" i="14" s="1"/>
  <c r="R195" i="14"/>
  <c r="Q195" i="14"/>
  <c r="Q195" i="14" a="1"/>
  <c r="P195" i="14"/>
  <c r="P195" i="14" a="1"/>
  <c r="O195" i="14"/>
  <c r="N195" i="14" a="1"/>
  <c r="N195" i="14" s="1"/>
  <c r="M195" i="14" a="1"/>
  <c r="M195" i="14" s="1"/>
  <c r="L195" i="14" a="1"/>
  <c r="L195" i="14" s="1"/>
  <c r="S194" i="14"/>
  <c r="S194" i="14" a="1"/>
  <c r="Q194" i="14"/>
  <c r="R194" i="14" s="1"/>
  <c r="Q194" i="14" a="1"/>
  <c r="P194" i="14"/>
  <c r="P194" i="14" a="1"/>
  <c r="O194" i="14"/>
  <c r="N194" i="14" a="1"/>
  <c r="N194" i="14" s="1"/>
  <c r="M194" i="14" a="1"/>
  <c r="M194" i="14" s="1"/>
  <c r="L194" i="14" a="1"/>
  <c r="L194" i="14" s="1"/>
  <c r="S193" i="14" a="1"/>
  <c r="S193" i="14" s="1"/>
  <c r="Q193" i="14"/>
  <c r="R193" i="14" s="1"/>
  <c r="Q193" i="14" a="1"/>
  <c r="P193" i="14"/>
  <c r="P193" i="14" a="1"/>
  <c r="O193" i="14"/>
  <c r="N193" i="14" a="1"/>
  <c r="N193" i="14" s="1"/>
  <c r="M193" i="14" a="1"/>
  <c r="M193" i="14" s="1"/>
  <c r="L193" i="14" a="1"/>
  <c r="L193" i="14" s="1"/>
  <c r="S192" i="14" a="1"/>
  <c r="S192" i="14" s="1"/>
  <c r="Q192" i="14"/>
  <c r="R192" i="14" s="1"/>
  <c r="Q192" i="14" a="1"/>
  <c r="P192" i="14"/>
  <c r="P192" i="14" a="1"/>
  <c r="O192" i="14"/>
  <c r="N192" i="14" a="1"/>
  <c r="N192" i="14" s="1"/>
  <c r="M192" i="14" a="1"/>
  <c r="M192" i="14" s="1"/>
  <c r="L192" i="14" a="1"/>
  <c r="L192" i="14" s="1"/>
  <c r="S191" i="14" a="1"/>
  <c r="S191" i="14" s="1"/>
  <c r="Q191" i="14"/>
  <c r="R191" i="14" s="1"/>
  <c r="Q191" i="14" a="1"/>
  <c r="P191" i="14"/>
  <c r="P191" i="14" a="1"/>
  <c r="O191" i="14"/>
  <c r="N191" i="14" a="1"/>
  <c r="N191" i="14" s="1"/>
  <c r="M191" i="14" a="1"/>
  <c r="M191" i="14" s="1"/>
  <c r="L191" i="14" a="1"/>
  <c r="L191" i="14" s="1"/>
  <c r="S190" i="14" a="1"/>
  <c r="S190" i="14" s="1"/>
  <c r="Q190" i="14"/>
  <c r="R190" i="14" s="1"/>
  <c r="Q190" i="14" a="1"/>
  <c r="P190" i="14"/>
  <c r="P190" i="14" a="1"/>
  <c r="O190" i="14"/>
  <c r="N190" i="14" a="1"/>
  <c r="N190" i="14" s="1"/>
  <c r="M190" i="14" a="1"/>
  <c r="M190" i="14" s="1"/>
  <c r="L190" i="14" a="1"/>
  <c r="L190" i="14" s="1"/>
  <c r="S189" i="14" a="1"/>
  <c r="S189" i="14" s="1"/>
  <c r="R189" i="14"/>
  <c r="Q189" i="14"/>
  <c r="Q189" i="14" a="1"/>
  <c r="P189" i="14"/>
  <c r="P189" i="14" a="1"/>
  <c r="O189" i="14"/>
  <c r="N189" i="14" a="1"/>
  <c r="N189" i="14" s="1"/>
  <c r="M189" i="14" a="1"/>
  <c r="M189" i="14" s="1"/>
  <c r="L189" i="14" a="1"/>
  <c r="L189" i="14" s="1"/>
  <c r="S188" i="14"/>
  <c r="S188" i="14" a="1"/>
  <c r="Q188" i="14"/>
  <c r="R188" i="14" s="1"/>
  <c r="Q188" i="14" a="1"/>
  <c r="P188" i="14"/>
  <c r="P188" i="14" a="1"/>
  <c r="O188" i="14"/>
  <c r="N188" i="14" a="1"/>
  <c r="N188" i="14" s="1"/>
  <c r="M188" i="14" a="1"/>
  <c r="M188" i="14" s="1"/>
  <c r="L188" i="14"/>
  <c r="L188" i="14" a="1"/>
  <c r="S187" i="14" a="1"/>
  <c r="S187" i="14" s="1"/>
  <c r="Q187" i="14"/>
  <c r="R187" i="14" s="1"/>
  <c r="Q187" i="14" a="1"/>
  <c r="P187" i="14"/>
  <c r="P187" i="14" a="1"/>
  <c r="O187" i="14"/>
  <c r="N187" i="14" a="1"/>
  <c r="N187" i="14" s="1"/>
  <c r="M187" i="14" a="1"/>
  <c r="M187" i="14" s="1"/>
  <c r="L187" i="14" a="1"/>
  <c r="L187" i="14" s="1"/>
  <c r="S186" i="14" a="1"/>
  <c r="S186" i="14" s="1"/>
  <c r="Q186" i="14"/>
  <c r="R186" i="14" s="1"/>
  <c r="Q186" i="14" a="1"/>
  <c r="P186" i="14"/>
  <c r="P186" i="14" a="1"/>
  <c r="O186" i="14"/>
  <c r="N186" i="14"/>
  <c r="N186" i="14" a="1"/>
  <c r="M186" i="14" a="1"/>
  <c r="M186" i="14" s="1"/>
  <c r="L186" i="14" a="1"/>
  <c r="L186" i="14" s="1"/>
  <c r="S185" i="14" a="1"/>
  <c r="S185" i="14" s="1"/>
  <c r="Q185" i="14"/>
  <c r="R185" i="14" s="1"/>
  <c r="Q185" i="14" a="1"/>
  <c r="P185" i="14" a="1"/>
  <c r="P185" i="14" s="1"/>
  <c r="O185" i="14"/>
  <c r="N185" i="14" a="1"/>
  <c r="N185" i="14" s="1"/>
  <c r="M185" i="14" a="1"/>
  <c r="M185" i="14" s="1"/>
  <c r="L185" i="14" a="1"/>
  <c r="L185" i="14" s="1"/>
  <c r="S184" i="14" a="1"/>
  <c r="S184" i="14" s="1"/>
  <c r="Q184" i="14" a="1"/>
  <c r="Q184" i="14" s="1"/>
  <c r="R184" i="14" s="1"/>
  <c r="P184" i="14"/>
  <c r="P184" i="14" a="1"/>
  <c r="O184" i="14"/>
  <c r="N184" i="14" a="1"/>
  <c r="N184" i="14" s="1"/>
  <c r="M184" i="14" a="1"/>
  <c r="M184" i="14" s="1"/>
  <c r="L184" i="14" a="1"/>
  <c r="L184" i="14" s="1"/>
  <c r="S183" i="14" a="1"/>
  <c r="S183" i="14" s="1"/>
  <c r="R183" i="14"/>
  <c r="Q183" i="14"/>
  <c r="Q183" i="14" a="1"/>
  <c r="P183" i="14"/>
  <c r="P183" i="14" a="1"/>
  <c r="O183" i="14"/>
  <c r="N183" i="14" a="1"/>
  <c r="N183" i="14" s="1"/>
  <c r="M183" i="14" a="1"/>
  <c r="M183" i="14" s="1"/>
  <c r="L183" i="14" a="1"/>
  <c r="L183" i="14" s="1"/>
  <c r="S182" i="14"/>
  <c r="S182" i="14" a="1"/>
  <c r="Q182" i="14"/>
  <c r="R182" i="14" s="1"/>
  <c r="Q182" i="14" a="1"/>
  <c r="P182" i="14"/>
  <c r="P182" i="14" a="1"/>
  <c r="O182" i="14"/>
  <c r="N182" i="14" a="1"/>
  <c r="N182" i="14" s="1"/>
  <c r="M182" i="14" a="1"/>
  <c r="M182" i="14" s="1"/>
  <c r="L182" i="14"/>
  <c r="L182" i="14" a="1"/>
  <c r="S181" i="14" a="1"/>
  <c r="S181" i="14" s="1"/>
  <c r="Q181" i="14"/>
  <c r="R181" i="14" s="1"/>
  <c r="Q181" i="14" a="1"/>
  <c r="P181" i="14"/>
  <c r="P181" i="14" a="1"/>
  <c r="O181" i="14"/>
  <c r="N181" i="14" a="1"/>
  <c r="N181" i="14" s="1"/>
  <c r="M181" i="14" a="1"/>
  <c r="M181" i="14" s="1"/>
  <c r="L181" i="14" a="1"/>
  <c r="L181" i="14" s="1"/>
  <c r="S180" i="14" a="1"/>
  <c r="S180" i="14" s="1"/>
  <c r="Q180" i="14"/>
  <c r="R180" i="14" s="1"/>
  <c r="Q180" i="14" a="1"/>
  <c r="P180" i="14"/>
  <c r="P180" i="14" a="1"/>
  <c r="O180" i="14"/>
  <c r="N180" i="14"/>
  <c r="N180" i="14" a="1"/>
  <c r="M180" i="14" a="1"/>
  <c r="M180" i="14" s="1"/>
  <c r="L180" i="14" a="1"/>
  <c r="L180" i="14" s="1"/>
  <c r="S179" i="14" a="1"/>
  <c r="S179" i="14" s="1"/>
  <c r="Q179" i="14"/>
  <c r="R179" i="14" s="1"/>
  <c r="Q179" i="14" a="1"/>
  <c r="P179" i="14" a="1"/>
  <c r="P179" i="14" s="1"/>
  <c r="O179" i="14"/>
  <c r="N179" i="14" a="1"/>
  <c r="N179" i="14" s="1"/>
  <c r="M179" i="14" a="1"/>
  <c r="M179" i="14" s="1"/>
  <c r="L179" i="14" a="1"/>
  <c r="L179" i="14" s="1"/>
  <c r="S178" i="14"/>
  <c r="S178" i="14" a="1"/>
  <c r="Q178" i="14" a="1"/>
  <c r="Q178" i="14" s="1"/>
  <c r="R178" i="14" s="1"/>
  <c r="P178" i="14"/>
  <c r="P178" i="14" a="1"/>
  <c r="O178" i="14"/>
  <c r="N178" i="14" a="1"/>
  <c r="N178" i="14" s="1"/>
  <c r="M178" i="14" a="1"/>
  <c r="M178" i="14" s="1"/>
  <c r="L178" i="14"/>
  <c r="L178" i="14" a="1"/>
  <c r="S177" i="14" a="1"/>
  <c r="S177" i="14" s="1"/>
  <c r="R177" i="14"/>
  <c r="Q177" i="14"/>
  <c r="Q177" i="14" a="1"/>
  <c r="P177" i="14"/>
  <c r="P177" i="14" a="1"/>
  <c r="O177" i="14"/>
  <c r="N177" i="14" a="1"/>
  <c r="N177" i="14" s="1"/>
  <c r="M177" i="14" a="1"/>
  <c r="M177" i="14" s="1"/>
  <c r="L177" i="14" a="1"/>
  <c r="L177" i="14" s="1"/>
  <c r="S176" i="14"/>
  <c r="S176" i="14" a="1"/>
  <c r="Q176" i="14"/>
  <c r="R176" i="14" s="1"/>
  <c r="Q176" i="14" a="1"/>
  <c r="P176" i="14"/>
  <c r="P176" i="14" a="1"/>
  <c r="O176" i="14"/>
  <c r="N176" i="14" a="1"/>
  <c r="N176" i="14" s="1"/>
  <c r="M176" i="14" a="1"/>
  <c r="M176" i="14" s="1"/>
  <c r="L176" i="14"/>
  <c r="L176" i="14" a="1"/>
  <c r="S175" i="14" a="1"/>
  <c r="S175" i="14" s="1"/>
  <c r="Q175" i="14"/>
  <c r="R175" i="14" s="1"/>
  <c r="Q175" i="14" a="1"/>
  <c r="P175" i="14" a="1"/>
  <c r="P175" i="14" s="1"/>
  <c r="O175" i="14"/>
  <c r="N175" i="14" a="1"/>
  <c r="N175" i="14" s="1"/>
  <c r="M175" i="14" a="1"/>
  <c r="M175" i="14" s="1"/>
  <c r="L175" i="14" a="1"/>
  <c r="L175" i="14" s="1"/>
  <c r="S174" i="14" a="1"/>
  <c r="S174" i="14" s="1"/>
  <c r="R174" i="14"/>
  <c r="Q174" i="14"/>
  <c r="Q174" i="14" a="1"/>
  <c r="P174" i="14"/>
  <c r="P174" i="14" a="1"/>
  <c r="O174" i="14"/>
  <c r="N174" i="14" a="1"/>
  <c r="N174" i="14" s="1"/>
  <c r="M174" i="14" a="1"/>
  <c r="M174" i="14" s="1"/>
  <c r="L174" i="14" a="1"/>
  <c r="L174" i="14" s="1"/>
  <c r="S173" i="14" a="1"/>
  <c r="S173" i="14" s="1"/>
  <c r="R173" i="14"/>
  <c r="Q173" i="14"/>
  <c r="Q173" i="14" a="1"/>
  <c r="P173" i="14" a="1"/>
  <c r="P173" i="14" s="1"/>
  <c r="O173" i="14"/>
  <c r="N173" i="14" a="1"/>
  <c r="N173" i="14" s="1"/>
  <c r="M173" i="14" a="1"/>
  <c r="M173" i="14" s="1"/>
  <c r="L173" i="14" a="1"/>
  <c r="L173" i="14" s="1"/>
  <c r="S172" i="14" a="1"/>
  <c r="S172" i="14" s="1"/>
  <c r="Q172" i="14"/>
  <c r="R172" i="14" s="1"/>
  <c r="Q172" i="14" a="1"/>
  <c r="P172" i="14"/>
  <c r="P172" i="14" a="1"/>
  <c r="O172" i="14"/>
  <c r="N172" i="14" a="1"/>
  <c r="N172" i="14" s="1"/>
  <c r="M172" i="14" a="1"/>
  <c r="M172" i="14" s="1"/>
  <c r="L172" i="14" a="1"/>
  <c r="L172" i="14" s="1"/>
  <c r="S171" i="14" a="1"/>
  <c r="S171" i="14" s="1"/>
  <c r="R171" i="14"/>
  <c r="Q171" i="14"/>
  <c r="Q171" i="14" a="1"/>
  <c r="P171" i="14"/>
  <c r="P171" i="14" a="1"/>
  <c r="O171" i="14"/>
  <c r="N171" i="14" a="1"/>
  <c r="N171" i="14" s="1"/>
  <c r="M171" i="14"/>
  <c r="M171" i="14" a="1"/>
  <c r="L171" i="14" a="1"/>
  <c r="L171" i="14" s="1"/>
  <c r="S170" i="14" a="1"/>
  <c r="S170" i="14" s="1"/>
  <c r="R170" i="14"/>
  <c r="Q170" i="14"/>
  <c r="Q170" i="14" a="1"/>
  <c r="P170" i="14" a="1"/>
  <c r="P170" i="14" s="1"/>
  <c r="O170" i="14"/>
  <c r="N170" i="14"/>
  <c r="N170" i="14" a="1"/>
  <c r="M170" i="14" a="1"/>
  <c r="M170" i="14" s="1"/>
  <c r="L170" i="14" a="1"/>
  <c r="L170" i="14" s="1"/>
  <c r="S169" i="14"/>
  <c r="S169" i="14" a="1"/>
  <c r="Q169" i="14"/>
  <c r="R169" i="14" s="1"/>
  <c r="Q169" i="14" a="1"/>
  <c r="P169" i="14" a="1"/>
  <c r="P169" i="14" s="1"/>
  <c r="O169" i="14"/>
  <c r="N169" i="14" a="1"/>
  <c r="N169" i="14" s="1"/>
  <c r="M169" i="14"/>
  <c r="M169" i="14" a="1"/>
  <c r="L169" i="14" a="1"/>
  <c r="L169" i="14" s="1"/>
  <c r="S168" i="14" a="1"/>
  <c r="S168" i="14" s="1"/>
  <c r="Q168" i="14" a="1"/>
  <c r="Q168" i="14" s="1"/>
  <c r="R168" i="14" s="1"/>
  <c r="P168" i="14"/>
  <c r="P168" i="14" a="1"/>
  <c r="O168" i="14"/>
  <c r="N168" i="14"/>
  <c r="N168" i="14" a="1"/>
  <c r="M168" i="14" a="1"/>
  <c r="M168" i="14" s="1"/>
  <c r="L168" i="14" a="1"/>
  <c r="L168" i="14" s="1"/>
  <c r="S167" i="14"/>
  <c r="S167" i="14" a="1"/>
  <c r="Q167" i="14"/>
  <c r="R167" i="14" s="1"/>
  <c r="Q167" i="14" a="1"/>
  <c r="P167" i="14"/>
  <c r="P167" i="14" a="1"/>
  <c r="O167" i="14"/>
  <c r="N167" i="14"/>
  <c r="N167" i="14" a="1"/>
  <c r="M167" i="14" a="1"/>
  <c r="M167" i="14" s="1"/>
  <c r="L167" i="14" a="1"/>
  <c r="L167" i="14" s="1"/>
  <c r="S166" i="14"/>
  <c r="S166" i="14" a="1"/>
  <c r="Q166" i="14" a="1"/>
  <c r="Q166" i="14" s="1"/>
  <c r="R166" i="14" s="1"/>
  <c r="P166" i="14" a="1"/>
  <c r="P166" i="14" s="1"/>
  <c r="O166" i="14"/>
  <c r="N166" i="14" a="1"/>
  <c r="N166" i="14" s="1"/>
  <c r="M166" i="14" a="1"/>
  <c r="M166" i="14" s="1"/>
  <c r="L166" i="14"/>
  <c r="L166" i="14" a="1"/>
  <c r="S165" i="14" a="1"/>
  <c r="S165" i="14" s="1"/>
  <c r="Q165" i="14"/>
  <c r="R165" i="14" s="1"/>
  <c r="Q165" i="14" a="1"/>
  <c r="P165" i="14"/>
  <c r="P165" i="14" a="1"/>
  <c r="O165" i="14"/>
  <c r="N165" i="14" a="1"/>
  <c r="N165" i="14" s="1"/>
  <c r="M165" i="14"/>
  <c r="M165" i="14" a="1"/>
  <c r="L165" i="14" a="1"/>
  <c r="L165" i="14" s="1"/>
  <c r="S164" i="14" a="1"/>
  <c r="S164" i="14" s="1"/>
  <c r="Q164" i="14"/>
  <c r="R164" i="14" s="1"/>
  <c r="Q164" i="14" a="1"/>
  <c r="P164" i="14" a="1"/>
  <c r="P164" i="14" s="1"/>
  <c r="O164" i="14"/>
  <c r="N164" i="14"/>
  <c r="N164" i="14" a="1"/>
  <c r="M164" i="14" a="1"/>
  <c r="M164" i="14" s="1"/>
  <c r="L164" i="14" a="1"/>
  <c r="L164" i="14" s="1"/>
  <c r="S163" i="14" a="1"/>
  <c r="S163" i="14" s="1"/>
  <c r="Q163" i="14"/>
  <c r="R163" i="14" s="1"/>
  <c r="Q163" i="14" a="1"/>
  <c r="P163" i="14" a="1"/>
  <c r="P163" i="14" s="1"/>
  <c r="O163" i="14"/>
  <c r="N163" i="14"/>
  <c r="N163" i="14" a="1"/>
  <c r="M163" i="14"/>
  <c r="M163" i="14" a="1"/>
  <c r="L163" i="14"/>
  <c r="L163" i="14" a="1"/>
  <c r="S162" i="14" a="1"/>
  <c r="S162" i="14" s="1"/>
  <c r="Q162" i="14" a="1"/>
  <c r="Q162" i="14" s="1"/>
  <c r="R162" i="14" s="1"/>
  <c r="P162" i="14" a="1"/>
  <c r="P162" i="14" s="1"/>
  <c r="O162" i="14"/>
  <c r="N162" i="14" a="1"/>
  <c r="N162" i="14" s="1"/>
  <c r="M162" i="14" a="1"/>
  <c r="M162" i="14" s="1"/>
  <c r="L162" i="14" a="1"/>
  <c r="L162" i="14" s="1"/>
  <c r="S161" i="14"/>
  <c r="S161" i="14" a="1"/>
  <c r="Q161" i="14"/>
  <c r="R161" i="14" s="1"/>
  <c r="Q161" i="14" a="1"/>
  <c r="P161" i="14"/>
  <c r="P161" i="14" a="1"/>
  <c r="O161" i="14"/>
  <c r="N161" i="14"/>
  <c r="N161" i="14" a="1"/>
  <c r="M161" i="14" a="1"/>
  <c r="M161" i="14" s="1"/>
  <c r="L161" i="14" a="1"/>
  <c r="L161" i="14" s="1"/>
  <c r="S160" i="14"/>
  <c r="S160" i="14" a="1"/>
  <c r="Q160" i="14" a="1"/>
  <c r="Q160" i="14" s="1"/>
  <c r="R160" i="14" s="1"/>
  <c r="P160" i="14"/>
  <c r="P160" i="14" a="1"/>
  <c r="O160" i="14"/>
  <c r="N160" i="14" a="1"/>
  <c r="N160" i="14" s="1"/>
  <c r="M160" i="14"/>
  <c r="M160" i="14" a="1"/>
  <c r="L160" i="14"/>
  <c r="L160" i="14" a="1"/>
  <c r="S159" i="14" a="1"/>
  <c r="S159" i="14" s="1"/>
  <c r="Q159" i="14"/>
  <c r="R159" i="14" s="1"/>
  <c r="Q159" i="14" a="1"/>
  <c r="P159" i="14"/>
  <c r="P159" i="14" a="1"/>
  <c r="O159" i="14"/>
  <c r="N159" i="14" a="1"/>
  <c r="N159" i="14" s="1"/>
  <c r="M159" i="14"/>
  <c r="M159" i="14" a="1"/>
  <c r="L159" i="14" a="1"/>
  <c r="L159" i="14" s="1"/>
  <c r="S158" i="14" a="1"/>
  <c r="S158" i="14" s="1"/>
  <c r="Q158" i="14" a="1"/>
  <c r="Q158" i="14" s="1"/>
  <c r="R158" i="14" s="1"/>
  <c r="P158" i="14" a="1"/>
  <c r="P158" i="14" s="1"/>
  <c r="O158" i="14"/>
  <c r="N158" i="14"/>
  <c r="N158" i="14" a="1"/>
  <c r="M158" i="14" a="1"/>
  <c r="M158" i="14" s="1"/>
  <c r="L158" i="14" a="1"/>
  <c r="L158" i="14" s="1"/>
  <c r="S157" i="14"/>
  <c r="S157" i="14" a="1"/>
  <c r="Q157" i="14" a="1"/>
  <c r="Q157" i="14" s="1"/>
  <c r="R157" i="14" s="1"/>
  <c r="P157" i="14" a="1"/>
  <c r="P157" i="14" s="1"/>
  <c r="O157" i="14"/>
  <c r="N157" i="14" a="1"/>
  <c r="N157" i="14" s="1"/>
  <c r="M157" i="14" a="1"/>
  <c r="M157" i="14" s="1"/>
  <c r="L157" i="14"/>
  <c r="L157" i="14" a="1"/>
  <c r="S156" i="14"/>
  <c r="S156" i="14" a="1"/>
  <c r="Q156" i="14" a="1"/>
  <c r="Q156" i="14" s="1"/>
  <c r="R156" i="14" s="1"/>
  <c r="P156" i="14"/>
  <c r="P156" i="14" a="1"/>
  <c r="O156" i="14"/>
  <c r="N156" i="14" a="1"/>
  <c r="N156" i="14" s="1"/>
  <c r="M156" i="14"/>
  <c r="M156" i="14" a="1"/>
  <c r="L156" i="14"/>
  <c r="L156" i="14" a="1"/>
  <c r="S155" i="14"/>
  <c r="S155" i="14" a="1"/>
  <c r="R155" i="14"/>
  <c r="Q155" i="14"/>
  <c r="Q155" i="14" a="1"/>
  <c r="P155" i="14"/>
  <c r="P155" i="14" a="1"/>
  <c r="O155" i="14"/>
  <c r="N155" i="14"/>
  <c r="N155" i="14" a="1"/>
  <c r="M155" i="14"/>
  <c r="M155" i="14" a="1"/>
  <c r="L155" i="14"/>
  <c r="L155" i="14" a="1"/>
  <c r="S154" i="14"/>
  <c r="S154" i="14" a="1"/>
  <c r="Q154" i="14"/>
  <c r="R154" i="14" s="1"/>
  <c r="Q154" i="14" a="1"/>
  <c r="P154" i="14"/>
  <c r="P154" i="14" a="1"/>
  <c r="O154" i="14"/>
  <c r="N154" i="14"/>
  <c r="N154" i="14" a="1"/>
  <c r="M154" i="14" a="1"/>
  <c r="M154" i="14" s="1"/>
  <c r="L154" i="14"/>
  <c r="L154" i="14" a="1"/>
  <c r="S153" i="14" a="1"/>
  <c r="S153" i="14" s="1"/>
  <c r="Q153" i="14"/>
  <c r="R153" i="14" s="1"/>
  <c r="Q153" i="14" a="1"/>
  <c r="P153" i="14" a="1"/>
  <c r="P153" i="14" s="1"/>
  <c r="O153" i="14"/>
  <c r="N153" i="14" a="1"/>
  <c r="N153" i="14" s="1"/>
  <c r="M153" i="14" a="1"/>
  <c r="M153" i="14" s="1"/>
  <c r="L153" i="14" a="1"/>
  <c r="L153" i="14" s="1"/>
  <c r="S152" i="14" a="1"/>
  <c r="S152" i="14" s="1"/>
  <c r="Q152" i="14" a="1"/>
  <c r="Q152" i="14" s="1"/>
  <c r="R152" i="14" s="1"/>
  <c r="P152" i="14" a="1"/>
  <c r="P152" i="14" s="1"/>
  <c r="O152" i="14"/>
  <c r="N152" i="14" a="1"/>
  <c r="N152" i="14" s="1"/>
  <c r="M152" i="14" a="1"/>
  <c r="M152" i="14" s="1"/>
  <c r="L152" i="14" a="1"/>
  <c r="L152" i="14" s="1"/>
  <c r="S151" i="14"/>
  <c r="S151" i="14" a="1"/>
  <c r="Q151" i="14" a="1"/>
  <c r="Q151" i="14" s="1"/>
  <c r="R151" i="14" s="1"/>
  <c r="P151" i="14"/>
  <c r="P151" i="14" a="1"/>
  <c r="O151" i="14"/>
  <c r="N151" i="14" a="1"/>
  <c r="N151" i="14" s="1"/>
  <c r="M151" i="14" a="1"/>
  <c r="M151" i="14" s="1"/>
  <c r="L151" i="14"/>
  <c r="L151" i="14" a="1"/>
  <c r="S150" i="14"/>
  <c r="S150" i="14" a="1"/>
  <c r="Q150" i="14"/>
  <c r="R150" i="14" s="1"/>
  <c r="Q150" i="14" a="1"/>
  <c r="P150" i="14"/>
  <c r="P150" i="14" a="1"/>
  <c r="O150" i="14"/>
  <c r="N150" i="14" a="1"/>
  <c r="N150" i="14" s="1"/>
  <c r="M150" i="14"/>
  <c r="M150" i="14" a="1"/>
  <c r="L150" i="14"/>
  <c r="L150" i="14" a="1"/>
  <c r="S149" i="14" a="1"/>
  <c r="S149" i="14" s="1"/>
  <c r="R149" i="14"/>
  <c r="Q149" i="14"/>
  <c r="Q149" i="14" a="1"/>
  <c r="P149" i="14"/>
  <c r="P149" i="14" a="1"/>
  <c r="O149" i="14"/>
  <c r="N149" i="14"/>
  <c r="N149" i="14" a="1"/>
  <c r="M149" i="14"/>
  <c r="M149" i="14" a="1"/>
  <c r="L149" i="14" a="1"/>
  <c r="L149" i="14" s="1"/>
  <c r="S148" i="14"/>
  <c r="S148" i="14" a="1"/>
  <c r="Q148" i="14"/>
  <c r="R148" i="14" s="1"/>
  <c r="Q148" i="14" a="1"/>
  <c r="P148" i="14"/>
  <c r="P148" i="14" a="1"/>
  <c r="O148" i="14"/>
  <c r="N148" i="14"/>
  <c r="N148" i="14" a="1"/>
  <c r="M148" i="14" a="1"/>
  <c r="M148" i="14" s="1"/>
  <c r="L148" i="14" a="1"/>
  <c r="L148" i="14" s="1"/>
  <c r="S147" i="14" a="1"/>
  <c r="S147" i="14" s="1"/>
  <c r="Q147" i="14"/>
  <c r="R147" i="14" s="1"/>
  <c r="Q147" i="14" a="1"/>
  <c r="P147" i="14"/>
  <c r="P147" i="14" a="1"/>
  <c r="O147" i="14"/>
  <c r="N147" i="14" a="1"/>
  <c r="N147" i="14" s="1"/>
  <c r="M147" i="14" a="1"/>
  <c r="M147" i="14" s="1"/>
  <c r="L147" i="14" a="1"/>
  <c r="L147" i="14" s="1"/>
  <c r="S146" i="14" a="1"/>
  <c r="S146" i="14" s="1"/>
  <c r="R146" i="14"/>
  <c r="Q146" i="14"/>
  <c r="Q146" i="14" a="1"/>
  <c r="P146" i="14" a="1"/>
  <c r="P146" i="14" s="1"/>
  <c r="O146" i="14"/>
  <c r="N146" i="14" a="1"/>
  <c r="N146" i="14" s="1"/>
  <c r="M146" i="14" a="1"/>
  <c r="M146" i="14" s="1"/>
  <c r="L146" i="14" a="1"/>
  <c r="L146" i="14" s="1"/>
  <c r="S145" i="14"/>
  <c r="S145" i="14" a="1"/>
  <c r="Q145" i="14" a="1"/>
  <c r="Q145" i="14" s="1"/>
  <c r="R145" i="14" s="1"/>
  <c r="P145" i="14"/>
  <c r="P145" i="14" a="1"/>
  <c r="O145" i="14"/>
  <c r="N145" i="14" a="1"/>
  <c r="N145" i="14" s="1"/>
  <c r="M145" i="14" a="1"/>
  <c r="M145" i="14" s="1"/>
  <c r="L145" i="14"/>
  <c r="L145" i="14" a="1"/>
  <c r="S144" i="14"/>
  <c r="S144" i="14" a="1"/>
  <c r="Q144" i="14"/>
  <c r="R144" i="14" s="1"/>
  <c r="Q144" i="14" a="1"/>
  <c r="P144" i="14"/>
  <c r="P144" i="14" a="1"/>
  <c r="O144" i="14"/>
  <c r="N144" i="14" a="1"/>
  <c r="N144" i="14" s="1"/>
  <c r="M144" i="14"/>
  <c r="M144" i="14" a="1"/>
  <c r="L144" i="14" a="1"/>
  <c r="L144" i="14" s="1"/>
  <c r="S143" i="14" a="1"/>
  <c r="S143" i="14" s="1"/>
  <c r="Q143" i="14" a="1"/>
  <c r="Q143" i="14" s="1"/>
  <c r="R143" i="14" s="1"/>
  <c r="P143" i="14"/>
  <c r="P143" i="14" a="1"/>
  <c r="O143" i="14"/>
  <c r="N143" i="14"/>
  <c r="N143" i="14" a="1"/>
  <c r="M143" i="14" a="1"/>
  <c r="M143" i="14" s="1"/>
  <c r="L143" i="14" a="1"/>
  <c r="L143" i="14" s="1"/>
  <c r="S142" i="14" a="1"/>
  <c r="S142" i="14" s="1"/>
  <c r="Q142" i="14"/>
  <c r="R142" i="14" s="1"/>
  <c r="Q142" i="14" a="1"/>
  <c r="P142" i="14"/>
  <c r="P142" i="14" a="1"/>
  <c r="O142" i="14"/>
  <c r="N142" i="14" a="1"/>
  <c r="N142" i="14" s="1"/>
  <c r="M142" i="14" a="1"/>
  <c r="M142" i="14" s="1"/>
  <c r="L142" i="14" a="1"/>
  <c r="L142" i="14" s="1"/>
  <c r="S141" i="14" a="1"/>
  <c r="S141" i="14" s="1"/>
  <c r="Q141" i="14" a="1"/>
  <c r="Q141" i="14" s="1"/>
  <c r="R141" i="14" s="1"/>
  <c r="P141" i="14"/>
  <c r="P141" i="14" a="1"/>
  <c r="O141" i="14"/>
  <c r="N141" i="14" a="1"/>
  <c r="N141" i="14" s="1"/>
  <c r="M141" i="14" a="1"/>
  <c r="M141" i="14" s="1"/>
  <c r="L141" i="14" a="1"/>
  <c r="L141" i="14" s="1"/>
  <c r="S140" i="14" a="1"/>
  <c r="S140" i="14" s="1"/>
  <c r="R140" i="14"/>
  <c r="Q140" i="14"/>
  <c r="Q140" i="14" a="1"/>
  <c r="P140" i="14" a="1"/>
  <c r="P140" i="14" s="1"/>
  <c r="O140" i="14"/>
  <c r="N140" i="14" a="1"/>
  <c r="N140" i="14" s="1"/>
  <c r="M140" i="14" a="1"/>
  <c r="M140" i="14" s="1"/>
  <c r="L140" i="14" a="1"/>
  <c r="L140" i="14" s="1"/>
  <c r="S139" i="14"/>
  <c r="S139" i="14" a="1"/>
  <c r="Q139" i="14" a="1"/>
  <c r="Q139" i="14" s="1"/>
  <c r="R139" i="14" s="1"/>
  <c r="P139" i="14"/>
  <c r="P139" i="14" a="1"/>
  <c r="O139" i="14"/>
  <c r="N139" i="14" a="1"/>
  <c r="N139" i="14" s="1"/>
  <c r="M139" i="14" a="1"/>
  <c r="M139" i="14" s="1"/>
  <c r="L139" i="14"/>
  <c r="L139" i="14" a="1"/>
  <c r="S138" i="14" a="1"/>
  <c r="S138" i="14" s="1"/>
  <c r="R138" i="14"/>
  <c r="Q138" i="14"/>
  <c r="Q138" i="14" a="1"/>
  <c r="P138" i="14"/>
  <c r="P138" i="14" a="1"/>
  <c r="O138" i="14"/>
  <c r="N138" i="14" a="1"/>
  <c r="N138" i="14" s="1"/>
  <c r="M138" i="14"/>
  <c r="M138" i="14" a="1"/>
  <c r="L138" i="14" a="1"/>
  <c r="L138" i="14" s="1"/>
  <c r="S137" i="14"/>
  <c r="S137" i="14" a="1"/>
  <c r="Q137" i="14"/>
  <c r="R137" i="14" s="1"/>
  <c r="Q137" i="14" a="1"/>
  <c r="P137" i="14"/>
  <c r="P137" i="14" a="1"/>
  <c r="O137" i="14"/>
  <c r="N137" i="14"/>
  <c r="N137" i="14" a="1"/>
  <c r="M137" i="14" a="1"/>
  <c r="M137" i="14" s="1"/>
  <c r="L137" i="14" a="1"/>
  <c r="L137" i="14" s="1"/>
  <c r="S136" i="14" a="1"/>
  <c r="S136" i="14" s="1"/>
  <c r="Q136" i="14"/>
  <c r="R136" i="14" s="1"/>
  <c r="Q136" i="14" a="1"/>
  <c r="P136" i="14"/>
  <c r="P136" i="14" a="1"/>
  <c r="O136" i="14"/>
  <c r="N136" i="14" a="1"/>
  <c r="N136" i="14" s="1"/>
  <c r="M136" i="14" a="1"/>
  <c r="M136" i="14" s="1"/>
  <c r="L136" i="14" a="1"/>
  <c r="L136" i="14" s="1"/>
  <c r="S135" i="14" a="1"/>
  <c r="S135" i="14" s="1"/>
  <c r="Q135" i="14"/>
  <c r="R135" i="14" s="1"/>
  <c r="Q135" i="14" a="1"/>
  <c r="P135" i="14"/>
  <c r="P135" i="14" a="1"/>
  <c r="O135" i="14"/>
  <c r="N135" i="14" a="1"/>
  <c r="N135" i="14" s="1"/>
  <c r="M135" i="14" a="1"/>
  <c r="M135" i="14" s="1"/>
  <c r="L135" i="14" a="1"/>
  <c r="L135" i="14" s="1"/>
  <c r="S134" i="14" a="1"/>
  <c r="S134" i="14" s="1"/>
  <c r="R134" i="14"/>
  <c r="Q134" i="14"/>
  <c r="Q134" i="14" a="1"/>
  <c r="P134" i="14" a="1"/>
  <c r="P134" i="14" s="1"/>
  <c r="O134" i="14"/>
  <c r="N134" i="14" a="1"/>
  <c r="N134" i="14" s="1"/>
  <c r="M134" i="14" a="1"/>
  <c r="M134" i="14" s="1"/>
  <c r="L134" i="14" a="1"/>
  <c r="L134" i="14" s="1"/>
  <c r="S133" i="14"/>
  <c r="S133" i="14" a="1"/>
  <c r="Q133" i="14" a="1"/>
  <c r="Q133" i="14" s="1"/>
  <c r="R133" i="14" s="1"/>
  <c r="P133" i="14"/>
  <c r="P133" i="14" a="1"/>
  <c r="O133" i="14"/>
  <c r="N133" i="14" a="1"/>
  <c r="N133" i="14" s="1"/>
  <c r="M133" i="14" a="1"/>
  <c r="M133" i="14" s="1"/>
  <c r="L133" i="14"/>
  <c r="L133" i="14" a="1"/>
  <c r="S132" i="14" a="1"/>
  <c r="S132" i="14" s="1"/>
  <c r="R132" i="14"/>
  <c r="Q132" i="14"/>
  <c r="Q132" i="14" a="1"/>
  <c r="P132" i="14"/>
  <c r="P132" i="14" a="1"/>
  <c r="O132" i="14"/>
  <c r="N132" i="14" a="1"/>
  <c r="N132" i="14" s="1"/>
  <c r="M132" i="14" a="1"/>
  <c r="M132" i="14" s="1"/>
  <c r="L132" i="14" a="1"/>
  <c r="L132" i="14" s="1"/>
  <c r="S131" i="14" a="1"/>
  <c r="S131" i="14" s="1"/>
  <c r="Q131" i="14"/>
  <c r="R131" i="14" s="1"/>
  <c r="Q131" i="14" a="1"/>
  <c r="P131" i="14"/>
  <c r="P131" i="14" a="1"/>
  <c r="O131" i="14"/>
  <c r="N131" i="14" a="1"/>
  <c r="N131" i="14" s="1"/>
  <c r="M131" i="14" a="1"/>
  <c r="M131" i="14" s="1"/>
  <c r="L131" i="14" a="1"/>
  <c r="L131" i="14" s="1"/>
  <c r="S130" i="14" a="1"/>
  <c r="S130" i="14" s="1"/>
  <c r="Q130" i="14"/>
  <c r="R130" i="14" s="1"/>
  <c r="Q130" i="14" a="1"/>
  <c r="P130" i="14"/>
  <c r="P130" i="14" a="1"/>
  <c r="O130" i="14"/>
  <c r="N130" i="14" a="1"/>
  <c r="N130" i="14" s="1"/>
  <c r="M130" i="14" a="1"/>
  <c r="M130" i="14" s="1"/>
  <c r="L130" i="14" a="1"/>
  <c r="L130" i="14" s="1"/>
  <c r="S129" i="14" a="1"/>
  <c r="S129" i="14" s="1"/>
  <c r="Q129" i="14"/>
  <c r="R129" i="14" s="1"/>
  <c r="Q129" i="14" a="1"/>
  <c r="P129" i="14"/>
  <c r="P129" i="14" a="1"/>
  <c r="O129" i="14"/>
  <c r="N129" i="14" a="1"/>
  <c r="N129" i="14" s="1"/>
  <c r="M129" i="14" a="1"/>
  <c r="M129" i="14" s="1"/>
  <c r="L129" i="14" a="1"/>
  <c r="L129" i="14" s="1"/>
  <c r="S128" i="14" a="1"/>
  <c r="S128" i="14" s="1"/>
  <c r="Q128" i="14"/>
  <c r="R128" i="14" s="1"/>
  <c r="Q128" i="14" a="1"/>
  <c r="P128" i="14" a="1"/>
  <c r="P128" i="14" s="1"/>
  <c r="O128" i="14"/>
  <c r="N128" i="14" a="1"/>
  <c r="N128" i="14" s="1"/>
  <c r="M128" i="14" a="1"/>
  <c r="M128" i="14" s="1"/>
  <c r="L128" i="14" a="1"/>
  <c r="L128" i="14" s="1"/>
  <c r="S127" i="14" a="1"/>
  <c r="S127" i="14" s="1"/>
  <c r="Q127" i="14" a="1"/>
  <c r="Q127" i="14" s="1"/>
  <c r="R127" i="14" s="1"/>
  <c r="P127" i="14"/>
  <c r="P127" i="14" a="1"/>
  <c r="O127" i="14"/>
  <c r="N127" i="14" a="1"/>
  <c r="N127" i="14" s="1"/>
  <c r="M127" i="14" a="1"/>
  <c r="M127" i="14" s="1"/>
  <c r="L127" i="14" a="1"/>
  <c r="L127" i="14" s="1"/>
  <c r="S126" i="14" a="1"/>
  <c r="S126" i="14" s="1"/>
  <c r="Q126" i="14"/>
  <c r="R126" i="14" s="1"/>
  <c r="Q126" i="14" a="1"/>
  <c r="P126" i="14"/>
  <c r="P126" i="14" a="1"/>
  <c r="O126" i="14"/>
  <c r="N126" i="14" a="1"/>
  <c r="N126" i="14" s="1"/>
  <c r="M126" i="14" a="1"/>
  <c r="M126" i="14" s="1"/>
  <c r="L126" i="14" a="1"/>
  <c r="L126" i="14" s="1"/>
  <c r="S125" i="14" a="1"/>
  <c r="S125" i="14" s="1"/>
  <c r="Q125" i="14"/>
  <c r="R125" i="14" s="1"/>
  <c r="Q125" i="14" a="1"/>
  <c r="P125" i="14"/>
  <c r="P125" i="14" a="1"/>
  <c r="O125" i="14"/>
  <c r="N125" i="14" a="1"/>
  <c r="N125" i="14" s="1"/>
  <c r="M125" i="14" a="1"/>
  <c r="M125" i="14" s="1"/>
  <c r="L125" i="14" a="1"/>
  <c r="L125" i="14" s="1"/>
  <c r="S124" i="14" a="1"/>
  <c r="S124" i="14" s="1"/>
  <c r="Q124" i="14"/>
  <c r="R124" i="14" s="1"/>
  <c r="Q124" i="14" a="1"/>
  <c r="P124" i="14"/>
  <c r="P124" i="14" a="1"/>
  <c r="O124" i="14"/>
  <c r="N124" i="14" a="1"/>
  <c r="N124" i="14" s="1"/>
  <c r="M124" i="14" a="1"/>
  <c r="M124" i="14" s="1"/>
  <c r="L124" i="14" a="1"/>
  <c r="L124" i="14" s="1"/>
  <c r="S123" i="14" a="1"/>
  <c r="S123" i="14" s="1"/>
  <c r="Q123" i="14"/>
  <c r="R123" i="14" s="1"/>
  <c r="Q123" i="14" a="1"/>
  <c r="P123" i="14"/>
  <c r="P123" i="14" a="1"/>
  <c r="O123" i="14"/>
  <c r="N123" i="14" a="1"/>
  <c r="N123" i="14" s="1"/>
  <c r="M123" i="14" a="1"/>
  <c r="M123" i="14" s="1"/>
  <c r="L123" i="14" a="1"/>
  <c r="L123" i="14" s="1"/>
  <c r="S122" i="14" a="1"/>
  <c r="S122" i="14" s="1"/>
  <c r="Q122" i="14"/>
  <c r="R122" i="14" s="1"/>
  <c r="Q122" i="14" a="1"/>
  <c r="P122" i="14" a="1"/>
  <c r="P122" i="14" s="1"/>
  <c r="O122" i="14"/>
  <c r="N122" i="14" a="1"/>
  <c r="N122" i="14" s="1"/>
  <c r="M122" i="14" a="1"/>
  <c r="M122" i="14" s="1"/>
  <c r="L122" i="14" a="1"/>
  <c r="L122" i="14" s="1"/>
  <c r="S121" i="14" a="1"/>
  <c r="S121" i="14" s="1"/>
  <c r="Q121" i="14" a="1"/>
  <c r="Q121" i="14" s="1"/>
  <c r="R121" i="14" s="1"/>
  <c r="P121" i="14"/>
  <c r="P121" i="14" a="1"/>
  <c r="O121" i="14"/>
  <c r="N121" i="14" a="1"/>
  <c r="N121" i="14" s="1"/>
  <c r="M121" i="14" a="1"/>
  <c r="M121" i="14" s="1"/>
  <c r="L121" i="14" a="1"/>
  <c r="L121" i="14" s="1"/>
  <c r="S120" i="14" a="1"/>
  <c r="S120" i="14" s="1"/>
  <c r="Q120" i="14"/>
  <c r="R120" i="14" s="1"/>
  <c r="Q120" i="14" a="1"/>
  <c r="P120" i="14"/>
  <c r="P120" i="14" a="1"/>
  <c r="O120" i="14"/>
  <c r="N120" i="14" a="1"/>
  <c r="N120" i="14" s="1"/>
  <c r="M120" i="14" a="1"/>
  <c r="M120" i="14" s="1"/>
  <c r="L120" i="14" a="1"/>
  <c r="L120" i="14" s="1"/>
  <c r="S119" i="14" a="1"/>
  <c r="S119" i="14" s="1"/>
  <c r="Q119" i="14"/>
  <c r="R119" i="14" s="1"/>
  <c r="Q119" i="14" a="1"/>
  <c r="P119" i="14"/>
  <c r="P119" i="14" a="1"/>
  <c r="O119" i="14"/>
  <c r="N119" i="14" a="1"/>
  <c r="N119" i="14" s="1"/>
  <c r="M119" i="14" a="1"/>
  <c r="M119" i="14" s="1"/>
  <c r="L119" i="14" a="1"/>
  <c r="L119" i="14" s="1"/>
  <c r="S118" i="14" a="1"/>
  <c r="S118" i="14" s="1"/>
  <c r="Q118" i="14"/>
  <c r="R118" i="14" s="1"/>
  <c r="Q118" i="14" a="1"/>
  <c r="P118" i="14"/>
  <c r="P118" i="14" a="1"/>
  <c r="O118" i="14"/>
  <c r="N118" i="14" a="1"/>
  <c r="N118" i="14" s="1"/>
  <c r="M118" i="14" a="1"/>
  <c r="M118" i="14" s="1"/>
  <c r="L118" i="14" a="1"/>
  <c r="L118" i="14" s="1"/>
  <c r="S117" i="14" a="1"/>
  <c r="S117" i="14" s="1"/>
  <c r="Q117" i="14"/>
  <c r="R117" i="14" s="1"/>
  <c r="Q117" i="14" a="1"/>
  <c r="P117" i="14"/>
  <c r="P117" i="14" a="1"/>
  <c r="O117" i="14"/>
  <c r="N117" i="14" a="1"/>
  <c r="N117" i="14" s="1"/>
  <c r="M117" i="14" a="1"/>
  <c r="M117" i="14" s="1"/>
  <c r="L117" i="14" a="1"/>
  <c r="L117" i="14" s="1"/>
  <c r="S116" i="14" a="1"/>
  <c r="S116" i="14" s="1"/>
  <c r="Q116" i="14"/>
  <c r="R116" i="14" s="1"/>
  <c r="Q116" i="14" a="1"/>
  <c r="P116" i="14" a="1"/>
  <c r="P116" i="14" s="1"/>
  <c r="O116" i="14"/>
  <c r="N116" i="14" a="1"/>
  <c r="N116" i="14" s="1"/>
  <c r="M116" i="14" a="1"/>
  <c r="M116" i="14" s="1"/>
  <c r="L116" i="14" a="1"/>
  <c r="L116" i="14" s="1"/>
  <c r="S115" i="14" a="1"/>
  <c r="S115" i="14" s="1"/>
  <c r="Q115" i="14" a="1"/>
  <c r="Q115" i="14" s="1"/>
  <c r="R115" i="14" s="1"/>
  <c r="P115" i="14"/>
  <c r="P115" i="14" a="1"/>
  <c r="O115" i="14"/>
  <c r="N115" i="14" a="1"/>
  <c r="N115" i="14" s="1"/>
  <c r="M115" i="14" a="1"/>
  <c r="M115" i="14" s="1"/>
  <c r="L115" i="14" a="1"/>
  <c r="L115" i="14" s="1"/>
  <c r="S114" i="14" a="1"/>
  <c r="S114" i="14" s="1"/>
  <c r="Q114" i="14"/>
  <c r="R114" i="14" s="1"/>
  <c r="Q114" i="14" a="1"/>
  <c r="P114" i="14"/>
  <c r="P114" i="14" a="1"/>
  <c r="O114" i="14"/>
  <c r="N114" i="14" a="1"/>
  <c r="N114" i="14" s="1"/>
  <c r="M114" i="14" a="1"/>
  <c r="M114" i="14" s="1"/>
  <c r="L114" i="14" a="1"/>
  <c r="L114" i="14" s="1"/>
  <c r="S113" i="14" a="1"/>
  <c r="S113" i="14" s="1"/>
  <c r="Q113" i="14"/>
  <c r="R113" i="14" s="1"/>
  <c r="Q113" i="14" a="1"/>
  <c r="P113" i="14"/>
  <c r="P113" i="14" a="1"/>
  <c r="O113" i="14"/>
  <c r="N113" i="14" a="1"/>
  <c r="N113" i="14" s="1"/>
  <c r="M113" i="14" a="1"/>
  <c r="M113" i="14" s="1"/>
  <c r="L113" i="14" a="1"/>
  <c r="L113" i="14" s="1"/>
  <c r="S112" i="14" a="1"/>
  <c r="S112" i="14" s="1"/>
  <c r="Q112" i="14"/>
  <c r="R112" i="14" s="1"/>
  <c r="Q112" i="14" a="1"/>
  <c r="P112" i="14"/>
  <c r="P112" i="14" a="1"/>
  <c r="O112" i="14"/>
  <c r="N112" i="14" a="1"/>
  <c r="N112" i="14" s="1"/>
  <c r="M112" i="14" a="1"/>
  <c r="M112" i="14" s="1"/>
  <c r="L112" i="14" a="1"/>
  <c r="L112" i="14" s="1"/>
  <c r="S111" i="14" a="1"/>
  <c r="S111" i="14" s="1"/>
  <c r="Q111" i="14"/>
  <c r="R111" i="14" s="1"/>
  <c r="Q111" i="14" a="1"/>
  <c r="P111" i="14"/>
  <c r="P111" i="14" a="1"/>
  <c r="O111" i="14"/>
  <c r="N111" i="14" a="1"/>
  <c r="N111" i="14" s="1"/>
  <c r="M111" i="14" a="1"/>
  <c r="M111" i="14" s="1"/>
  <c r="L111" i="14" a="1"/>
  <c r="L111" i="14" s="1"/>
  <c r="S110" i="14" a="1"/>
  <c r="S110" i="14" s="1"/>
  <c r="Q110" i="14"/>
  <c r="R110" i="14" s="1"/>
  <c r="Q110" i="14" a="1"/>
  <c r="P110" i="14"/>
  <c r="P110" i="14" a="1"/>
  <c r="O110" i="14"/>
  <c r="N110" i="14" a="1"/>
  <c r="N110" i="14" s="1"/>
  <c r="M110" i="14" a="1"/>
  <c r="M110" i="14" s="1"/>
  <c r="L110" i="14" a="1"/>
  <c r="L110" i="14" s="1"/>
  <c r="S109" i="14" a="1"/>
  <c r="S109" i="14" s="1"/>
  <c r="Q109" i="14"/>
  <c r="R109" i="14" s="1"/>
  <c r="Q109" i="14" a="1"/>
  <c r="P109" i="14"/>
  <c r="P109" i="14" a="1"/>
  <c r="O109" i="14"/>
  <c r="N109" i="14" a="1"/>
  <c r="N109" i="14" s="1"/>
  <c r="M109" i="14" a="1"/>
  <c r="M109" i="14" s="1"/>
  <c r="L109" i="14" a="1"/>
  <c r="L109" i="14" s="1"/>
  <c r="S108" i="14" a="1"/>
  <c r="S108" i="14" s="1"/>
  <c r="Q108" i="14"/>
  <c r="R108" i="14" s="1"/>
  <c r="Q108" i="14" a="1"/>
  <c r="P108" i="14"/>
  <c r="P108" i="14" a="1"/>
  <c r="O108" i="14"/>
  <c r="N108" i="14" a="1"/>
  <c r="N108" i="14" s="1"/>
  <c r="M108" i="14" a="1"/>
  <c r="M108" i="14" s="1"/>
  <c r="L108" i="14" a="1"/>
  <c r="L108" i="14" s="1"/>
  <c r="S107" i="14" a="1"/>
  <c r="S107" i="14" s="1"/>
  <c r="Q107" i="14"/>
  <c r="R107" i="14" s="1"/>
  <c r="Q107" i="14" a="1"/>
  <c r="P107" i="14"/>
  <c r="P107" i="14" a="1"/>
  <c r="O107" i="14"/>
  <c r="N107" i="14" a="1"/>
  <c r="N107" i="14" s="1"/>
  <c r="M107" i="14" a="1"/>
  <c r="M107" i="14" s="1"/>
  <c r="L107" i="14" a="1"/>
  <c r="L107" i="14" s="1"/>
  <c r="S106" i="14" a="1"/>
  <c r="S106" i="14" s="1"/>
  <c r="Q106" i="14"/>
  <c r="R106" i="14" s="1"/>
  <c r="Q106" i="14" a="1"/>
  <c r="P106" i="14"/>
  <c r="P106" i="14" a="1"/>
  <c r="O106" i="14"/>
  <c r="N106" i="14" a="1"/>
  <c r="N106" i="14" s="1"/>
  <c r="M106" i="14" a="1"/>
  <c r="M106" i="14" s="1"/>
  <c r="L106" i="14" a="1"/>
  <c r="L106" i="14" s="1"/>
  <c r="S105" i="14" a="1"/>
  <c r="S105" i="14" s="1"/>
  <c r="Q105" i="14"/>
  <c r="R105" i="14" s="1"/>
  <c r="Q105" i="14" a="1"/>
  <c r="P105" i="14"/>
  <c r="P105" i="14" a="1"/>
  <c r="O105" i="14"/>
  <c r="N105" i="14" a="1"/>
  <c r="N105" i="14" s="1"/>
  <c r="M105" i="14" a="1"/>
  <c r="M105" i="14" s="1"/>
  <c r="L105" i="14" a="1"/>
  <c r="L105" i="14" s="1"/>
  <c r="S104" i="14" a="1"/>
  <c r="S104" i="14" s="1"/>
  <c r="Q104" i="14"/>
  <c r="R104" i="14" s="1"/>
  <c r="Q104" i="14" a="1"/>
  <c r="P104" i="14"/>
  <c r="P104" i="14" a="1"/>
  <c r="O104" i="14"/>
  <c r="N104" i="14" a="1"/>
  <c r="N104" i="14" s="1"/>
  <c r="M104" i="14" a="1"/>
  <c r="M104" i="14" s="1"/>
  <c r="L104" i="14" a="1"/>
  <c r="L104" i="14" s="1"/>
  <c r="S103" i="14" a="1"/>
  <c r="S103" i="14" s="1"/>
  <c r="Q103" i="14"/>
  <c r="R103" i="14" s="1"/>
  <c r="Q103" i="14" a="1"/>
  <c r="P103" i="14"/>
  <c r="P103" i="14" a="1"/>
  <c r="O103" i="14"/>
  <c r="N103" i="14" a="1"/>
  <c r="N103" i="14" s="1"/>
  <c r="M103" i="14" a="1"/>
  <c r="M103" i="14" s="1"/>
  <c r="L103" i="14" a="1"/>
  <c r="L103" i="14" s="1"/>
  <c r="S102" i="14" a="1"/>
  <c r="S102" i="14" s="1"/>
  <c r="Q102" i="14"/>
  <c r="R102" i="14" s="1"/>
  <c r="Q102" i="14" a="1"/>
  <c r="P102" i="14"/>
  <c r="P102" i="14" a="1"/>
  <c r="O102" i="14"/>
  <c r="N102" i="14" a="1"/>
  <c r="N102" i="14" s="1"/>
  <c r="M102" i="14" a="1"/>
  <c r="M102" i="14" s="1"/>
  <c r="L102" i="14" a="1"/>
  <c r="L102" i="14" s="1"/>
  <c r="S101" i="14" a="1"/>
  <c r="S101" i="14" s="1"/>
  <c r="Q101" i="14"/>
  <c r="R101" i="14" s="1"/>
  <c r="Q101" i="14" a="1"/>
  <c r="P101" i="14"/>
  <c r="P101" i="14" a="1"/>
  <c r="O101" i="14"/>
  <c r="N101" i="14" a="1"/>
  <c r="N101" i="14" s="1"/>
  <c r="M101" i="14" a="1"/>
  <c r="M101" i="14" s="1"/>
  <c r="L101" i="14" a="1"/>
  <c r="L101" i="14" s="1"/>
  <c r="S100" i="14" a="1"/>
  <c r="S100" i="14" s="1"/>
  <c r="Q100" i="14"/>
  <c r="R100" i="14" s="1"/>
  <c r="Q100" i="14" a="1"/>
  <c r="P100" i="14"/>
  <c r="P100" i="14" a="1"/>
  <c r="O100" i="14"/>
  <c r="N100" i="14" a="1"/>
  <c r="N100" i="14" s="1"/>
  <c r="M100" i="14" a="1"/>
  <c r="M100" i="14" s="1"/>
  <c r="L100" i="14" a="1"/>
  <c r="L100" i="14" s="1"/>
  <c r="S99" i="14" a="1"/>
  <c r="S99" i="14" s="1"/>
  <c r="Q99" i="14"/>
  <c r="R99" i="14" s="1"/>
  <c r="Q99" i="14" a="1"/>
  <c r="P99" i="14"/>
  <c r="P99" i="14" a="1"/>
  <c r="O99" i="14"/>
  <c r="N99" i="14" a="1"/>
  <c r="N99" i="14" s="1"/>
  <c r="M99" i="14" a="1"/>
  <c r="M99" i="14" s="1"/>
  <c r="L99" i="14" a="1"/>
  <c r="L99" i="14" s="1"/>
  <c r="S98" i="14" a="1"/>
  <c r="S98" i="14" s="1"/>
  <c r="Q98" i="14"/>
  <c r="R98" i="14" s="1"/>
  <c r="Q98" i="14" a="1"/>
  <c r="P98" i="14"/>
  <c r="P98" i="14" a="1"/>
  <c r="O98" i="14"/>
  <c r="N98" i="14" a="1"/>
  <c r="N98" i="14" s="1"/>
  <c r="M98" i="14" a="1"/>
  <c r="M98" i="14" s="1"/>
  <c r="L98" i="14" a="1"/>
  <c r="L98" i="14" s="1"/>
  <c r="S97" i="14" a="1"/>
  <c r="S97" i="14" s="1"/>
  <c r="Q97" i="14"/>
  <c r="R97" i="14" s="1"/>
  <c r="Q97" i="14" a="1"/>
  <c r="P97" i="14"/>
  <c r="P97" i="14" a="1"/>
  <c r="O97" i="14"/>
  <c r="N97" i="14" a="1"/>
  <c r="N97" i="14" s="1"/>
  <c r="M97" i="14" a="1"/>
  <c r="M97" i="14" s="1"/>
  <c r="L97" i="14" a="1"/>
  <c r="L97" i="14" s="1"/>
  <c r="S96" i="14" a="1"/>
  <c r="S96" i="14" s="1"/>
  <c r="Q96" i="14"/>
  <c r="R96" i="14" s="1"/>
  <c r="Q96" i="14" a="1"/>
  <c r="P96" i="14"/>
  <c r="P96" i="14" a="1"/>
  <c r="O96" i="14"/>
  <c r="N96" i="14" a="1"/>
  <c r="N96" i="14" s="1"/>
  <c r="M96" i="14" a="1"/>
  <c r="M96" i="14" s="1"/>
  <c r="L96" i="14" a="1"/>
  <c r="L96" i="14" s="1"/>
  <c r="S95" i="14" a="1"/>
  <c r="S95" i="14" s="1"/>
  <c r="Q95" i="14"/>
  <c r="R95" i="14" s="1"/>
  <c r="Q95" i="14" a="1"/>
  <c r="P95" i="14"/>
  <c r="P95" i="14" a="1"/>
  <c r="O95" i="14"/>
  <c r="N95" i="14" a="1"/>
  <c r="N95" i="14" s="1"/>
  <c r="M95" i="14" a="1"/>
  <c r="M95" i="14" s="1"/>
  <c r="L95" i="14" a="1"/>
  <c r="L95" i="14" s="1"/>
  <c r="S94" i="14" a="1"/>
  <c r="S94" i="14" s="1"/>
  <c r="Q94" i="14" a="1"/>
  <c r="Q94" i="14" s="1"/>
  <c r="R94" i="14" s="1"/>
  <c r="P94" i="14"/>
  <c r="P94" i="14" a="1"/>
  <c r="O94" i="14"/>
  <c r="N94" i="14" a="1"/>
  <c r="N94" i="14" s="1"/>
  <c r="M94" i="14" a="1"/>
  <c r="M94" i="14" s="1"/>
  <c r="L94" i="14" a="1"/>
  <c r="L94" i="14" s="1"/>
  <c r="S93" i="14" a="1"/>
  <c r="S93" i="14" s="1"/>
  <c r="Q93" i="14"/>
  <c r="R93" i="14" s="1"/>
  <c r="Q93" i="14" a="1"/>
  <c r="P93" i="14"/>
  <c r="P93" i="14" a="1"/>
  <c r="O93" i="14"/>
  <c r="N93" i="14" a="1"/>
  <c r="N93" i="14" s="1"/>
  <c r="M93" i="14" a="1"/>
  <c r="M93" i="14" s="1"/>
  <c r="L93" i="14" a="1"/>
  <c r="L93" i="14" s="1"/>
  <c r="S92" i="14"/>
  <c r="S92" i="14" a="1"/>
  <c r="Q92" i="14"/>
  <c r="R92" i="14" s="1"/>
  <c r="Q92" i="14" a="1"/>
  <c r="P92" i="14"/>
  <c r="P92" i="14" a="1"/>
  <c r="O92" i="14"/>
  <c r="N92" i="14" a="1"/>
  <c r="N92" i="14" s="1"/>
  <c r="M92" i="14" a="1"/>
  <c r="M92" i="14" s="1"/>
  <c r="L92" i="14" a="1"/>
  <c r="L92" i="14" s="1"/>
  <c r="S91" i="14" a="1"/>
  <c r="S91" i="14" s="1"/>
  <c r="Q91" i="14"/>
  <c r="R91" i="14" s="1"/>
  <c r="Q91" i="14" a="1"/>
  <c r="P91" i="14"/>
  <c r="P91" i="14" a="1"/>
  <c r="O91" i="14"/>
  <c r="N91" i="14" a="1"/>
  <c r="N91" i="14" s="1"/>
  <c r="M91" i="14" a="1"/>
  <c r="M91" i="14" s="1"/>
  <c r="L91" i="14" a="1"/>
  <c r="L91" i="14" s="1"/>
  <c r="S90" i="14" a="1"/>
  <c r="S90" i="14" s="1"/>
  <c r="Q90" i="14"/>
  <c r="R90" i="14" s="1"/>
  <c r="Q90" i="14" a="1"/>
  <c r="P90" i="14"/>
  <c r="P90" i="14" a="1"/>
  <c r="O90" i="14"/>
  <c r="N90" i="14" a="1"/>
  <c r="N90" i="14" s="1"/>
  <c r="M90" i="14" a="1"/>
  <c r="M90" i="14" s="1"/>
  <c r="L90" i="14" a="1"/>
  <c r="L90" i="14" s="1"/>
  <c r="S89" i="14" a="1"/>
  <c r="S89" i="14" s="1"/>
  <c r="R89" i="14"/>
  <c r="Q89" i="14"/>
  <c r="Q89" i="14" a="1"/>
  <c r="P89" i="14" a="1"/>
  <c r="P89" i="14" s="1"/>
  <c r="O89" i="14"/>
  <c r="N89" i="14" a="1"/>
  <c r="N89" i="14" s="1"/>
  <c r="M89" i="14" a="1"/>
  <c r="M89" i="14" s="1"/>
  <c r="L89" i="14" a="1"/>
  <c r="L89" i="14" s="1"/>
  <c r="S88" i="14"/>
  <c r="S88" i="14" a="1"/>
  <c r="Q88" i="14"/>
  <c r="R88" i="14" s="1"/>
  <c r="Q88" i="14" a="1"/>
  <c r="P88" i="14"/>
  <c r="P88" i="14" a="1"/>
  <c r="O88" i="14"/>
  <c r="N88" i="14" a="1"/>
  <c r="N88" i="14" s="1"/>
  <c r="M88" i="14" a="1"/>
  <c r="M88" i="14" s="1"/>
  <c r="L88" i="14"/>
  <c r="L88" i="14" a="1"/>
  <c r="S87" i="14" a="1"/>
  <c r="S87" i="14" s="1"/>
  <c r="Q87" i="14" a="1"/>
  <c r="Q87" i="14" s="1"/>
  <c r="R87" i="14" s="1"/>
  <c r="P87" i="14"/>
  <c r="P87" i="14" a="1"/>
  <c r="O87" i="14"/>
  <c r="N87" i="14" a="1"/>
  <c r="N87" i="14" s="1"/>
  <c r="M87" i="14"/>
  <c r="M87" i="14" a="1"/>
  <c r="L87" i="14" a="1"/>
  <c r="L87" i="14" s="1"/>
  <c r="S86" i="14" a="1"/>
  <c r="S86" i="14" s="1"/>
  <c r="R86" i="14"/>
  <c r="Q86" i="14"/>
  <c r="Q86" i="14" a="1"/>
  <c r="P86" i="14"/>
  <c r="P86" i="14" a="1"/>
  <c r="O86" i="14"/>
  <c r="N86" i="14" a="1"/>
  <c r="N86" i="14" s="1"/>
  <c r="M86" i="14" a="1"/>
  <c r="M86" i="14" s="1"/>
  <c r="L86" i="14"/>
  <c r="L86" i="14" a="1"/>
  <c r="S85" i="14" a="1"/>
  <c r="S85" i="14" s="1"/>
  <c r="Q85" i="14" a="1"/>
  <c r="Q85" i="14" s="1"/>
  <c r="R85" i="14" s="1"/>
  <c r="P85" i="14"/>
  <c r="P85" i="14" a="1"/>
  <c r="O85" i="14"/>
  <c r="N85" i="14" a="1"/>
  <c r="N85" i="14" s="1"/>
  <c r="M85" i="14"/>
  <c r="M85" i="14" a="1"/>
  <c r="L85" i="14" a="1"/>
  <c r="L85" i="14" s="1"/>
  <c r="S84" i="14" a="1"/>
  <c r="S84" i="14" s="1"/>
  <c r="Q84" i="14" a="1"/>
  <c r="Q84" i="14" s="1"/>
  <c r="R84" i="14" s="1"/>
  <c r="P84" i="14"/>
  <c r="P84" i="14" a="1"/>
  <c r="O84" i="14"/>
  <c r="N84" i="14" a="1"/>
  <c r="N84" i="14" s="1"/>
  <c r="M84" i="14" a="1"/>
  <c r="M84" i="14" s="1"/>
  <c r="L84" i="14" a="1"/>
  <c r="L84" i="14" s="1"/>
  <c r="S83" i="14" a="1"/>
  <c r="S83" i="14" s="1"/>
  <c r="Q83" i="14"/>
  <c r="R83" i="14" s="1"/>
  <c r="Q83" i="14" a="1"/>
  <c r="P83" i="14"/>
  <c r="P83" i="14" a="1"/>
  <c r="O83" i="14"/>
  <c r="N83" i="14"/>
  <c r="N83" i="14" a="1"/>
  <c r="M83" i="14" a="1"/>
  <c r="M83" i="14" s="1"/>
  <c r="L83" i="14"/>
  <c r="L83" i="14" a="1"/>
  <c r="S82" i="14"/>
  <c r="S82" i="14" a="1"/>
  <c r="Q82" i="14"/>
  <c r="R82" i="14" s="1"/>
  <c r="Q82" i="14" a="1"/>
  <c r="P82" i="14"/>
  <c r="P82" i="14" a="1"/>
  <c r="O82" i="14"/>
  <c r="N82" i="14" a="1"/>
  <c r="N82" i="14" s="1"/>
  <c r="M82" i="14" a="1"/>
  <c r="M82" i="14" s="1"/>
  <c r="L82" i="14"/>
  <c r="L82" i="14" a="1"/>
  <c r="S81" i="14" a="1"/>
  <c r="S81" i="14" s="1"/>
  <c r="Q81" i="14"/>
  <c r="R81" i="14" s="1"/>
  <c r="Q81" i="14" a="1"/>
  <c r="P81" i="14"/>
  <c r="P81" i="14" a="1"/>
  <c r="O81" i="14"/>
  <c r="N81" i="14"/>
  <c r="N81" i="14" a="1"/>
  <c r="M81" i="14"/>
  <c r="M81" i="14" a="1"/>
  <c r="L81" i="14" a="1"/>
  <c r="L81" i="14" s="1"/>
  <c r="S80" i="14"/>
  <c r="S80" i="14" a="1"/>
  <c r="R80" i="14"/>
  <c r="Q80" i="14"/>
  <c r="Q80" i="14" a="1"/>
  <c r="P80" i="14" a="1"/>
  <c r="P80" i="14" s="1"/>
  <c r="O80" i="14"/>
  <c r="N80" i="14" a="1"/>
  <c r="N80" i="14" s="1"/>
  <c r="M80" i="14" a="1"/>
  <c r="M80" i="14" s="1"/>
  <c r="L80" i="14"/>
  <c r="L80" i="14" a="1"/>
  <c r="S79" i="14" a="1"/>
  <c r="S79" i="14" s="1"/>
  <c r="Q79" i="14"/>
  <c r="R79" i="14" s="1"/>
  <c r="Q79" i="14" a="1"/>
  <c r="P79" i="14" a="1"/>
  <c r="P79" i="14" s="1"/>
  <c r="O79" i="14"/>
  <c r="N79" i="14" a="1"/>
  <c r="N79" i="14" s="1"/>
  <c r="M79" i="14"/>
  <c r="M79" i="14" a="1"/>
  <c r="L79" i="14" a="1"/>
  <c r="L79" i="14" s="1"/>
  <c r="S78" i="14" a="1"/>
  <c r="S78" i="14" s="1"/>
  <c r="R78" i="14"/>
  <c r="Q78" i="14"/>
  <c r="Q78" i="14" a="1"/>
  <c r="P78" i="14"/>
  <c r="P78" i="14" a="1"/>
  <c r="O78" i="14"/>
  <c r="N78" i="14" a="1"/>
  <c r="N78" i="14" s="1"/>
  <c r="M78" i="14" a="1"/>
  <c r="M78" i="14" s="1"/>
  <c r="L78" i="14" a="1"/>
  <c r="L78" i="14" s="1"/>
  <c r="S77" i="14" a="1"/>
  <c r="S77" i="14" s="1"/>
  <c r="R77" i="14"/>
  <c r="Q77" i="14"/>
  <c r="Q77" i="14" a="1"/>
  <c r="P77" i="14" a="1"/>
  <c r="P77" i="14" s="1"/>
  <c r="O77" i="14"/>
  <c r="N77" i="14"/>
  <c r="N77" i="14" a="1"/>
  <c r="M77" i="14" a="1"/>
  <c r="M77" i="14" s="1"/>
  <c r="L77" i="14"/>
  <c r="L77" i="14" a="1"/>
  <c r="S76" i="14"/>
  <c r="S76" i="14" a="1"/>
  <c r="Q76" i="14"/>
  <c r="R76" i="14" s="1"/>
  <c r="Q76" i="14" a="1"/>
  <c r="P76" i="14" a="1"/>
  <c r="P76" i="14" s="1"/>
  <c r="O76" i="14"/>
  <c r="N76" i="14" a="1"/>
  <c r="N76" i="14" s="1"/>
  <c r="M76" i="14"/>
  <c r="M76" i="14" a="1"/>
  <c r="L76" i="14"/>
  <c r="L76" i="14" a="1"/>
  <c r="S75" i="14" a="1"/>
  <c r="S75" i="14" s="1"/>
  <c r="R75" i="14"/>
  <c r="Q75" i="14"/>
  <c r="Q75" i="14" a="1"/>
  <c r="P75" i="14"/>
  <c r="P75" i="14" a="1"/>
  <c r="O75" i="14"/>
  <c r="N75" i="14"/>
  <c r="N75" i="14" a="1"/>
  <c r="M75" i="14"/>
  <c r="M75" i="14" a="1"/>
  <c r="L75" i="14" a="1"/>
  <c r="L75" i="14" s="1"/>
  <c r="S74" i="14"/>
  <c r="S74" i="14" a="1"/>
  <c r="R74" i="14"/>
  <c r="Q74" i="14"/>
  <c r="Q74" i="14" a="1"/>
  <c r="P74" i="14"/>
  <c r="P74" i="14" a="1"/>
  <c r="O74" i="14"/>
  <c r="N74" i="14"/>
  <c r="N74" i="14" a="1"/>
  <c r="M74" i="14" a="1"/>
  <c r="M74" i="14" s="1"/>
  <c r="L74" i="14" a="1"/>
  <c r="L74" i="14" s="1"/>
  <c r="S73" i="14" a="1"/>
  <c r="S73" i="14" s="1"/>
  <c r="Q73" i="14" a="1"/>
  <c r="Q73" i="14" s="1"/>
  <c r="R73" i="14" s="1"/>
  <c r="P73" i="14"/>
  <c r="P73" i="14" a="1"/>
  <c r="O73" i="14"/>
  <c r="N73" i="14" a="1"/>
  <c r="N73" i="14" s="1"/>
  <c r="M73" i="14" a="1"/>
  <c r="M73" i="14" s="1"/>
  <c r="L73" i="14" a="1"/>
  <c r="L73" i="14" s="1"/>
  <c r="T73" i="14" s="1"/>
  <c r="S72" i="14" a="1"/>
  <c r="S72" i="14" s="1"/>
  <c r="Q72" i="14" a="1"/>
  <c r="Q72" i="14" s="1"/>
  <c r="R72" i="14" s="1"/>
  <c r="P72" i="14"/>
  <c r="P72" i="14" a="1"/>
  <c r="O72" i="14"/>
  <c r="N72" i="14" a="1"/>
  <c r="N72" i="14" s="1"/>
  <c r="M72" i="14"/>
  <c r="M72" i="14" a="1"/>
  <c r="L72" i="14" a="1"/>
  <c r="L72" i="14" s="1"/>
  <c r="S71" i="14" a="1"/>
  <c r="S71" i="14" s="1"/>
  <c r="Q71" i="14"/>
  <c r="R71" i="14" s="1"/>
  <c r="Q71" i="14" a="1"/>
  <c r="P71" i="14" a="1"/>
  <c r="P71" i="14" s="1"/>
  <c r="O71" i="14"/>
  <c r="N71" i="14"/>
  <c r="N71" i="14" a="1"/>
  <c r="M71" i="14" a="1"/>
  <c r="M71" i="14" s="1"/>
  <c r="L71" i="14"/>
  <c r="L71" i="14" a="1"/>
  <c r="S70" i="14"/>
  <c r="S70" i="14" a="1"/>
  <c r="Q70" i="14" a="1"/>
  <c r="Q70" i="14" s="1"/>
  <c r="R70" i="14" s="1"/>
  <c r="P70" i="14" a="1"/>
  <c r="P70" i="14" s="1"/>
  <c r="O70" i="14"/>
  <c r="N70" i="14" a="1"/>
  <c r="N70" i="14" s="1"/>
  <c r="M70" i="14"/>
  <c r="M70" i="14" a="1"/>
  <c r="L70" i="14"/>
  <c r="L70" i="14" a="1"/>
  <c r="S69" i="14" a="1"/>
  <c r="S69" i="14" s="1"/>
  <c r="Q69" i="14" a="1"/>
  <c r="Q69" i="14" s="1"/>
  <c r="R69" i="14" s="1"/>
  <c r="P69" i="14"/>
  <c r="P69" i="14" a="1"/>
  <c r="O69" i="14"/>
  <c r="N69" i="14"/>
  <c r="N69" i="14" a="1"/>
  <c r="M69" i="14" a="1"/>
  <c r="M69" i="14" s="1"/>
  <c r="L69" i="14" a="1"/>
  <c r="L69" i="14" s="1"/>
  <c r="S68" i="14"/>
  <c r="S68" i="14" a="1"/>
  <c r="Q68" i="14"/>
  <c r="R68" i="14" s="1"/>
  <c r="Q68" i="14" a="1"/>
  <c r="P68" i="14"/>
  <c r="P68" i="14" a="1"/>
  <c r="O68" i="14"/>
  <c r="N68" i="14"/>
  <c r="N68" i="14" a="1"/>
  <c r="M68" i="14"/>
  <c r="M68" i="14" a="1"/>
  <c r="L68" i="14"/>
  <c r="L68" i="14" a="1"/>
  <c r="S67" i="14" a="1"/>
  <c r="S67" i="14" s="1"/>
  <c r="Q67" i="14" a="1"/>
  <c r="Q67" i="14" s="1"/>
  <c r="R67" i="14" s="1"/>
  <c r="P67" i="14" a="1"/>
  <c r="P67" i="14" s="1"/>
  <c r="O67" i="14"/>
  <c r="N67" i="14" a="1"/>
  <c r="N67" i="14" s="1"/>
  <c r="M67" i="14"/>
  <c r="M67" i="14" a="1"/>
  <c r="L67" i="14" a="1"/>
  <c r="L67" i="14" s="1"/>
  <c r="S66" i="14" a="1"/>
  <c r="S66" i="14" s="1"/>
  <c r="Q66" i="14"/>
  <c r="R66" i="14" s="1"/>
  <c r="Q66" i="14" a="1"/>
  <c r="P66" i="14"/>
  <c r="P66" i="14" a="1"/>
  <c r="O66" i="14"/>
  <c r="N66" i="14"/>
  <c r="N66" i="14" a="1"/>
  <c r="M66" i="14"/>
  <c r="M66" i="14" a="1"/>
  <c r="L66" i="14" a="1"/>
  <c r="L66" i="14" s="1"/>
  <c r="S65" i="14"/>
  <c r="S65" i="14" a="1"/>
  <c r="Q65" i="14" a="1"/>
  <c r="Q65" i="14" s="1"/>
  <c r="R65" i="14" s="1"/>
  <c r="P65" i="14"/>
  <c r="P65" i="14" a="1"/>
  <c r="O65" i="14"/>
  <c r="N65" i="14"/>
  <c r="N65" i="14" a="1"/>
  <c r="M65" i="14" a="1"/>
  <c r="M65" i="14" s="1"/>
  <c r="L65" i="14" a="1"/>
  <c r="L65" i="14" s="1"/>
  <c r="S64" i="14" a="1"/>
  <c r="S64" i="14" s="1"/>
  <c r="Q64" i="14"/>
  <c r="R64" i="14" s="1"/>
  <c r="Q64" i="14" a="1"/>
  <c r="P64" i="14" a="1"/>
  <c r="P64" i="14" s="1"/>
  <c r="O64" i="14"/>
  <c r="N64" i="14" a="1"/>
  <c r="N64" i="14" s="1"/>
  <c r="M64" i="14" a="1"/>
  <c r="M64" i="14" s="1"/>
  <c r="L64" i="14"/>
  <c r="L64" i="14" a="1"/>
  <c r="S63" i="14"/>
  <c r="S63" i="14" a="1"/>
  <c r="R63" i="14"/>
  <c r="Q63" i="14"/>
  <c r="Q63" i="14" a="1"/>
  <c r="P63" i="14"/>
  <c r="P63" i="14" a="1"/>
  <c r="O63" i="14"/>
  <c r="N63" i="14" a="1"/>
  <c r="N63" i="14" s="1"/>
  <c r="M63" i="14"/>
  <c r="M63" i="14" a="1"/>
  <c r="L63" i="14"/>
  <c r="L63" i="14" a="1"/>
  <c r="S62" i="14"/>
  <c r="S62" i="14" a="1"/>
  <c r="Q62" i="14"/>
  <c r="R62" i="14" s="1"/>
  <c r="Q62" i="14" a="1"/>
  <c r="P62" i="14" a="1"/>
  <c r="P62" i="14" s="1"/>
  <c r="O62" i="14"/>
  <c r="N62" i="14"/>
  <c r="N62" i="14" a="1"/>
  <c r="M62" i="14"/>
  <c r="M62" i="14" a="1"/>
  <c r="L62" i="14"/>
  <c r="L62" i="14" a="1"/>
  <c r="S61" i="14" a="1"/>
  <c r="S61" i="14" s="1"/>
  <c r="Q61" i="14" a="1"/>
  <c r="Q61" i="14" s="1"/>
  <c r="R61" i="14" s="1"/>
  <c r="P61" i="14" a="1"/>
  <c r="P61" i="14" s="1"/>
  <c r="O61" i="14"/>
  <c r="N61" i="14"/>
  <c r="N61" i="14" a="1"/>
  <c r="M61" i="14"/>
  <c r="M61" i="14" a="1"/>
  <c r="L61" i="14" a="1"/>
  <c r="L61" i="14" s="1"/>
  <c r="S60" i="14"/>
  <c r="S60" i="14" a="1"/>
  <c r="Q60" i="14" a="1"/>
  <c r="Q60" i="14" s="1"/>
  <c r="R60" i="14" s="1"/>
  <c r="P60" i="14" a="1"/>
  <c r="P60" i="14" s="1"/>
  <c r="O60" i="14"/>
  <c r="N60" i="14"/>
  <c r="N60" i="14" a="1"/>
  <c r="M60" i="14" a="1"/>
  <c r="M60" i="14" s="1"/>
  <c r="L60" i="14"/>
  <c r="L60" i="14" a="1"/>
  <c r="S59" i="14"/>
  <c r="S59" i="14" a="1"/>
  <c r="Q59" i="14" a="1"/>
  <c r="Q59" i="14" s="1"/>
  <c r="R59" i="14" s="1"/>
  <c r="P59" i="14" a="1"/>
  <c r="P59" i="14" s="1"/>
  <c r="O59" i="14"/>
  <c r="N59" i="14" a="1"/>
  <c r="N59" i="14" s="1"/>
  <c r="M59" i="14" a="1"/>
  <c r="M59" i="14" s="1"/>
  <c r="L59" i="14"/>
  <c r="L59" i="14" a="1"/>
  <c r="S58" i="14"/>
  <c r="S58" i="14" a="1"/>
  <c r="Q58" i="14" a="1"/>
  <c r="Q58" i="14" s="1"/>
  <c r="R58" i="14" s="1"/>
  <c r="P58" i="14"/>
  <c r="P58" i="14" a="1"/>
  <c r="O58" i="14"/>
  <c r="N58" i="14" a="1"/>
  <c r="N58" i="14" s="1"/>
  <c r="M58" i="14" a="1"/>
  <c r="M58" i="14" s="1"/>
  <c r="L58" i="14"/>
  <c r="L58" i="14" a="1"/>
  <c r="S57" i="14"/>
  <c r="S57" i="14" a="1"/>
  <c r="R57" i="14"/>
  <c r="Q57" i="14"/>
  <c r="Q57" i="14" a="1"/>
  <c r="P57" i="14"/>
  <c r="P57" i="14" a="1"/>
  <c r="O57" i="14"/>
  <c r="N57" i="14" a="1"/>
  <c r="N57" i="14" s="1"/>
  <c r="M57" i="14"/>
  <c r="M57" i="14" a="1"/>
  <c r="L57" i="14"/>
  <c r="L57" i="14" a="1"/>
  <c r="S56" i="14" a="1"/>
  <c r="S56" i="14" s="1"/>
  <c r="Q56" i="14"/>
  <c r="R56" i="14" s="1"/>
  <c r="Q56" i="14" a="1"/>
  <c r="P56" i="14" a="1"/>
  <c r="P56" i="14" s="1"/>
  <c r="O56" i="14"/>
  <c r="N56" i="14"/>
  <c r="N56" i="14" a="1"/>
  <c r="M56" i="14"/>
  <c r="M56" i="14" a="1"/>
  <c r="L56" i="14" a="1"/>
  <c r="L56" i="14" s="1"/>
  <c r="S55" i="14" a="1"/>
  <c r="S55" i="14" s="1"/>
  <c r="Q55" i="14" a="1"/>
  <c r="Q55" i="14" s="1"/>
  <c r="R55" i="14" s="1"/>
  <c r="P55" i="14" a="1"/>
  <c r="P55" i="14" s="1"/>
  <c r="O55" i="14"/>
  <c r="N55" i="14"/>
  <c r="N55" i="14" a="1"/>
  <c r="M55" i="14" a="1"/>
  <c r="M55" i="14" s="1"/>
  <c r="L55" i="14" a="1"/>
  <c r="L55" i="14" s="1"/>
  <c r="S54" i="14" a="1"/>
  <c r="S54" i="14" s="1"/>
  <c r="Q54" i="14" a="1"/>
  <c r="Q54" i="14" s="1"/>
  <c r="R54" i="14" s="1"/>
  <c r="P54" i="14" a="1"/>
  <c r="P54" i="14" s="1"/>
  <c r="O54" i="14"/>
  <c r="N54" i="14" a="1"/>
  <c r="N54" i="14" s="1"/>
  <c r="M54" i="14" a="1"/>
  <c r="M54" i="14" s="1"/>
  <c r="L54" i="14" a="1"/>
  <c r="L54" i="14" s="1"/>
  <c r="S53" i="14"/>
  <c r="S53" i="14" a="1"/>
  <c r="Q53" i="14" a="1"/>
  <c r="Q53" i="14" s="1"/>
  <c r="R53" i="14" s="1"/>
  <c r="P53" i="14"/>
  <c r="P53" i="14" a="1"/>
  <c r="O53" i="14"/>
  <c r="N53" i="14" a="1"/>
  <c r="N53" i="14" s="1"/>
  <c r="M53" i="14" a="1"/>
  <c r="M53" i="14" s="1"/>
  <c r="L53" i="14"/>
  <c r="L53" i="14" a="1"/>
  <c r="S52" i="14"/>
  <c r="S52" i="14" a="1"/>
  <c r="R52" i="14"/>
  <c r="Q52" i="14"/>
  <c r="Q52" i="14" a="1"/>
  <c r="P52" i="14"/>
  <c r="P52" i="14" a="1"/>
  <c r="O52" i="14"/>
  <c r="N52" i="14" a="1"/>
  <c r="N52" i="14" s="1"/>
  <c r="M52" i="14" a="1"/>
  <c r="M52" i="14" s="1"/>
  <c r="L52" i="14"/>
  <c r="L52" i="14" a="1"/>
  <c r="S51" i="14"/>
  <c r="S51" i="14" a="1"/>
  <c r="Q51" i="14"/>
  <c r="R51" i="14" s="1"/>
  <c r="Q51" i="14" a="1"/>
  <c r="P51" i="14"/>
  <c r="P51" i="14" a="1"/>
  <c r="O51" i="14"/>
  <c r="N51" i="14" a="1"/>
  <c r="N51" i="14" s="1"/>
  <c r="M51" i="14"/>
  <c r="M51" i="14" a="1"/>
  <c r="L51" i="14"/>
  <c r="L51" i="14" a="1"/>
  <c r="S50" i="14" a="1"/>
  <c r="S50" i="14" s="1"/>
  <c r="Q50" i="14"/>
  <c r="R50" i="14" s="1"/>
  <c r="Q50" i="14" a="1"/>
  <c r="P50" i="14"/>
  <c r="P50" i="14" a="1"/>
  <c r="O50" i="14"/>
  <c r="N50" i="14"/>
  <c r="N50" i="14" a="1"/>
  <c r="M50" i="14"/>
  <c r="M50" i="14" a="1"/>
  <c r="L50" i="14" a="1"/>
  <c r="L50" i="14" s="1"/>
  <c r="S49" i="14" a="1"/>
  <c r="S49" i="14" s="1"/>
  <c r="Q49" i="14" a="1"/>
  <c r="Q49" i="14" s="1"/>
  <c r="R49" i="14" s="1"/>
  <c r="P49" i="14" a="1"/>
  <c r="P49" i="14" s="1"/>
  <c r="O49" i="14"/>
  <c r="N49" i="14"/>
  <c r="N49" i="14" a="1"/>
  <c r="M49" i="14" a="1"/>
  <c r="M49" i="14" s="1"/>
  <c r="L49" i="14" a="1"/>
  <c r="L49" i="14" s="1"/>
  <c r="S48" i="14" a="1"/>
  <c r="S48" i="14" s="1"/>
  <c r="Q48" i="14" a="1"/>
  <c r="Q48" i="14" s="1"/>
  <c r="R48" i="14" s="1"/>
  <c r="P48" i="14" a="1"/>
  <c r="P48" i="14" s="1"/>
  <c r="O48" i="14"/>
  <c r="N48" i="14" a="1"/>
  <c r="N48" i="14" s="1"/>
  <c r="M48" i="14" a="1"/>
  <c r="M48" i="14" s="1"/>
  <c r="L48" i="14" a="1"/>
  <c r="L48" i="14" s="1"/>
  <c r="S47" i="14"/>
  <c r="S47" i="14" a="1"/>
  <c r="Q47" i="14" a="1"/>
  <c r="Q47" i="14" s="1"/>
  <c r="R47" i="14" s="1"/>
  <c r="P47" i="14" a="1"/>
  <c r="P47" i="14" s="1"/>
  <c r="O47" i="14"/>
  <c r="N47" i="14" a="1"/>
  <c r="N47" i="14" s="1"/>
  <c r="M47" i="14" a="1"/>
  <c r="M47" i="14" s="1"/>
  <c r="L47" i="14"/>
  <c r="L47" i="14" a="1"/>
  <c r="S46" i="14"/>
  <c r="S46" i="14" a="1"/>
  <c r="Q46" i="14" a="1"/>
  <c r="Q46" i="14" s="1"/>
  <c r="R46" i="14" s="1"/>
  <c r="P46" i="14"/>
  <c r="P46" i="14" a="1"/>
  <c r="O46" i="14"/>
  <c r="N46" i="14" a="1"/>
  <c r="N46" i="14" s="1"/>
  <c r="M46" i="14" a="1"/>
  <c r="M46" i="14" s="1"/>
  <c r="L46" i="14"/>
  <c r="L46" i="14" a="1"/>
  <c r="S45" i="14"/>
  <c r="S45" i="14" a="1"/>
  <c r="Q45" i="14"/>
  <c r="R45" i="14" s="1"/>
  <c r="Q45" i="14" a="1"/>
  <c r="P45" i="14"/>
  <c r="P45" i="14" a="1"/>
  <c r="O45" i="14"/>
  <c r="N45" i="14" a="1"/>
  <c r="N45" i="14" s="1"/>
  <c r="M45" i="14"/>
  <c r="M45" i="14" a="1"/>
  <c r="L45" i="14"/>
  <c r="L45" i="14" a="1"/>
  <c r="S44" i="14" a="1"/>
  <c r="S44" i="14" s="1"/>
  <c r="Q44" i="14"/>
  <c r="R44" i="14" s="1"/>
  <c r="Q44" i="14" a="1"/>
  <c r="P44" i="14"/>
  <c r="P44" i="14" a="1"/>
  <c r="O44" i="14"/>
  <c r="N44" i="14"/>
  <c r="N44" i="14" a="1"/>
  <c r="M44" i="14"/>
  <c r="M44" i="14" a="1"/>
  <c r="L44" i="14" a="1"/>
  <c r="L44" i="14" s="1"/>
  <c r="S43" i="14" a="1"/>
  <c r="S43" i="14" s="1"/>
  <c r="Q43" i="14"/>
  <c r="R43" i="14" s="1"/>
  <c r="Q43" i="14" a="1"/>
  <c r="P43" i="14" a="1"/>
  <c r="P43" i="14" s="1"/>
  <c r="O43" i="14"/>
  <c r="N43" i="14"/>
  <c r="N43" i="14" a="1"/>
  <c r="M43" i="14" a="1"/>
  <c r="M43" i="14" s="1"/>
  <c r="L43" i="14" a="1"/>
  <c r="L43" i="14" s="1"/>
  <c r="S42" i="14" a="1"/>
  <c r="S42" i="14" s="1"/>
  <c r="Q42" i="14" a="1"/>
  <c r="Q42" i="14" s="1"/>
  <c r="R42" i="14" s="1"/>
  <c r="P42" i="14" a="1"/>
  <c r="P42" i="14" s="1"/>
  <c r="O42" i="14"/>
  <c r="N42" i="14" a="1"/>
  <c r="N42" i="14" s="1"/>
  <c r="M42" i="14" a="1"/>
  <c r="M42" i="14" s="1"/>
  <c r="L42" i="14" a="1"/>
  <c r="L42" i="14" s="1"/>
  <c r="S41" i="14" a="1"/>
  <c r="S41" i="14" s="1"/>
  <c r="Q41" i="14" a="1"/>
  <c r="Q41" i="14" s="1"/>
  <c r="R41" i="14" s="1"/>
  <c r="P41" i="14"/>
  <c r="P41" i="14" a="1"/>
  <c r="O41" i="14"/>
  <c r="N41" i="14" a="1"/>
  <c r="N41" i="14" s="1"/>
  <c r="M41" i="14" a="1"/>
  <c r="M41" i="14" s="1"/>
  <c r="L41" i="14" a="1"/>
  <c r="L41" i="14" s="1"/>
  <c r="S40" i="14"/>
  <c r="S40" i="14" a="1"/>
  <c r="R40" i="14"/>
  <c r="Q40" i="14"/>
  <c r="Q40" i="14" a="1"/>
  <c r="P40" i="14"/>
  <c r="P40" i="14" a="1"/>
  <c r="O40" i="14"/>
  <c r="N40" i="14" a="1"/>
  <c r="N40" i="14" s="1"/>
  <c r="M40" i="14" a="1"/>
  <c r="M40" i="14" s="1"/>
  <c r="L40" i="14"/>
  <c r="L40" i="14" a="1"/>
  <c r="S39" i="14"/>
  <c r="S39" i="14" a="1"/>
  <c r="Q39" i="14"/>
  <c r="R39" i="14" s="1"/>
  <c r="Q39" i="14" a="1"/>
  <c r="P39" i="14"/>
  <c r="P39" i="14" a="1"/>
  <c r="O39" i="14"/>
  <c r="N39" i="14" a="1"/>
  <c r="N39" i="14" s="1"/>
  <c r="M39" i="14"/>
  <c r="M39" i="14" a="1"/>
  <c r="L39" i="14"/>
  <c r="L39" i="14" a="1"/>
  <c r="S38" i="14" a="1"/>
  <c r="S38" i="14" s="1"/>
  <c r="Q38" i="14"/>
  <c r="R38" i="14" s="1"/>
  <c r="Q38" i="14" a="1"/>
  <c r="P38" i="14"/>
  <c r="P38" i="14" a="1"/>
  <c r="O38" i="14"/>
  <c r="N38" i="14"/>
  <c r="N38" i="14" a="1"/>
  <c r="M38" i="14"/>
  <c r="M38" i="14" a="1"/>
  <c r="L38" i="14" a="1"/>
  <c r="L38" i="14" s="1"/>
  <c r="S37" i="14" a="1"/>
  <c r="S37" i="14" s="1"/>
  <c r="Q37" i="14" a="1"/>
  <c r="Q37" i="14" s="1"/>
  <c r="R37" i="14" s="1"/>
  <c r="P37" i="14"/>
  <c r="P37" i="14" a="1"/>
  <c r="O37" i="14"/>
  <c r="N37" i="14"/>
  <c r="N37" i="14" a="1"/>
  <c r="M37" i="14" a="1"/>
  <c r="M37" i="14" s="1"/>
  <c r="L37" i="14" a="1"/>
  <c r="L37" i="14" s="1"/>
  <c r="T37" i="14" s="1"/>
  <c r="S36" i="14" a="1"/>
  <c r="S36" i="14" s="1"/>
  <c r="Q36" i="14"/>
  <c r="R36" i="14" s="1"/>
  <c r="Q36" i="14" a="1"/>
  <c r="P36" i="14" a="1"/>
  <c r="P36" i="14" s="1"/>
  <c r="O36" i="14"/>
  <c r="N36" i="14" a="1"/>
  <c r="N36" i="14" s="1"/>
  <c r="M36" i="14" a="1"/>
  <c r="M36" i="14" s="1"/>
  <c r="L36" i="14" a="1"/>
  <c r="L36" i="14" s="1"/>
  <c r="T36" i="14" s="1"/>
  <c r="S35" i="14" a="1"/>
  <c r="S35" i="14" s="1"/>
  <c r="Q35" i="14" a="1"/>
  <c r="Q35" i="14" s="1"/>
  <c r="R35" i="14" s="1"/>
  <c r="P35" i="14"/>
  <c r="P35" i="14" a="1"/>
  <c r="O35" i="14"/>
  <c r="N35" i="14" a="1"/>
  <c r="N35" i="14" s="1"/>
  <c r="M35" i="14" a="1"/>
  <c r="M35" i="14" s="1"/>
  <c r="L35" i="14" a="1"/>
  <c r="L35" i="14" s="1"/>
  <c r="S34" i="14"/>
  <c r="S34" i="14" a="1"/>
  <c r="R34" i="14"/>
  <c r="Q34" i="14"/>
  <c r="Q34" i="14" a="1"/>
  <c r="P34" i="14"/>
  <c r="P34" i="14" a="1"/>
  <c r="O34" i="14"/>
  <c r="N34" i="14" a="1"/>
  <c r="N34" i="14" s="1"/>
  <c r="M34" i="14" a="1"/>
  <c r="M34" i="14" s="1"/>
  <c r="L34" i="14"/>
  <c r="L34" i="14" a="1"/>
  <c r="S33" i="14"/>
  <c r="S33" i="14" a="1"/>
  <c r="Q33" i="14"/>
  <c r="R33" i="14" s="1"/>
  <c r="Q33" i="14" a="1"/>
  <c r="P33" i="14"/>
  <c r="P33" i="14" a="1"/>
  <c r="O33" i="14"/>
  <c r="N33" i="14" a="1"/>
  <c r="N33" i="14" s="1"/>
  <c r="M33" i="14"/>
  <c r="M33" i="14" a="1"/>
  <c r="L33" i="14"/>
  <c r="L33" i="14" a="1"/>
  <c r="S32" i="14" a="1"/>
  <c r="S32" i="14" s="1"/>
  <c r="Q32" i="14"/>
  <c r="R32" i="14" s="1"/>
  <c r="Q32" i="14" a="1"/>
  <c r="P32" i="14" a="1"/>
  <c r="P32" i="14" s="1"/>
  <c r="O32" i="14"/>
  <c r="N32" i="14"/>
  <c r="N32" i="14" a="1"/>
  <c r="M32" i="14"/>
  <c r="M32" i="14" a="1"/>
  <c r="L32" i="14" a="1"/>
  <c r="L32" i="14" s="1"/>
  <c r="S31" i="14" a="1"/>
  <c r="S31" i="14" s="1"/>
  <c r="Q31" i="14" a="1"/>
  <c r="Q31" i="14" s="1"/>
  <c r="R31" i="14" s="1"/>
  <c r="P31" i="14"/>
  <c r="P31" i="14" a="1"/>
  <c r="O31" i="14"/>
  <c r="N31" i="14"/>
  <c r="N31" i="14" a="1"/>
  <c r="M31" i="14" a="1"/>
  <c r="M31" i="14" s="1"/>
  <c r="L31" i="14" a="1"/>
  <c r="L31" i="14" s="1"/>
  <c r="S30" i="14" a="1"/>
  <c r="S30" i="14" s="1"/>
  <c r="Q30" i="14"/>
  <c r="R30" i="14" s="1"/>
  <c r="Q30" i="14" a="1"/>
  <c r="P30" i="14" a="1"/>
  <c r="P30" i="14" s="1"/>
  <c r="O30" i="14"/>
  <c r="N30" i="14" a="1"/>
  <c r="N30" i="14" s="1"/>
  <c r="M30" i="14" a="1"/>
  <c r="M30" i="14" s="1"/>
  <c r="L30" i="14" a="1"/>
  <c r="L30" i="14" s="1"/>
  <c r="S29" i="14" a="1"/>
  <c r="S29" i="14" s="1"/>
  <c r="Q29" i="14" a="1"/>
  <c r="Q29" i="14" s="1"/>
  <c r="R29" i="14" s="1"/>
  <c r="P29" i="14"/>
  <c r="P29" i="14" a="1"/>
  <c r="O29" i="14"/>
  <c r="N29" i="14" a="1"/>
  <c r="N29" i="14" s="1"/>
  <c r="M29" i="14" a="1"/>
  <c r="M29" i="14" s="1"/>
  <c r="L29" i="14" a="1"/>
  <c r="L29" i="14" s="1"/>
  <c r="S28" i="14"/>
  <c r="S28" i="14" a="1"/>
  <c r="R28" i="14"/>
  <c r="Q28" i="14"/>
  <c r="Q28" i="14" a="1"/>
  <c r="P28" i="14"/>
  <c r="P28" i="14" a="1"/>
  <c r="O28" i="14"/>
  <c r="N28" i="14" a="1"/>
  <c r="N28" i="14" s="1"/>
  <c r="M28" i="14" a="1"/>
  <c r="M28" i="14" s="1"/>
  <c r="L28" i="14"/>
  <c r="L28" i="14" a="1"/>
  <c r="S27" i="14"/>
  <c r="S27" i="14" a="1"/>
  <c r="Q27" i="14"/>
  <c r="R27" i="14" s="1"/>
  <c r="Q27" i="14" a="1"/>
  <c r="P27" i="14"/>
  <c r="P27" i="14" a="1"/>
  <c r="O27" i="14"/>
  <c r="N27" i="14" a="1"/>
  <c r="N27" i="14" s="1"/>
  <c r="M27" i="14"/>
  <c r="M27" i="14" a="1"/>
  <c r="L27" i="14"/>
  <c r="L27" i="14" a="1"/>
  <c r="S26" i="14" a="1"/>
  <c r="S26" i="14" s="1"/>
  <c r="Q26" i="14"/>
  <c r="R26" i="14" s="1"/>
  <c r="Q26" i="14" a="1"/>
  <c r="P26" i="14" a="1"/>
  <c r="P26" i="14" s="1"/>
  <c r="O26" i="14"/>
  <c r="N26" i="14"/>
  <c r="N26" i="14" a="1"/>
  <c r="M26" i="14"/>
  <c r="M26" i="14" a="1"/>
  <c r="L26" i="14" a="1"/>
  <c r="L26" i="14" s="1"/>
  <c r="S25" i="14" a="1"/>
  <c r="S25" i="14" s="1"/>
  <c r="Q25" i="14" a="1"/>
  <c r="Q25" i="14" s="1"/>
  <c r="R25" i="14" s="1"/>
  <c r="P25" i="14"/>
  <c r="P25" i="14" a="1"/>
  <c r="O25" i="14"/>
  <c r="N25" i="14"/>
  <c r="N25" i="14" a="1"/>
  <c r="M25" i="14" a="1"/>
  <c r="M25" i="14" s="1"/>
  <c r="L25" i="14" a="1"/>
  <c r="L25" i="14" s="1"/>
  <c r="T25" i="14" s="1"/>
  <c r="S24" i="14" a="1"/>
  <c r="S24" i="14" s="1"/>
  <c r="Q24" i="14"/>
  <c r="R24" i="14" s="1"/>
  <c r="Q24" i="14" a="1"/>
  <c r="P24" i="14" a="1"/>
  <c r="P24" i="14" s="1"/>
  <c r="O24" i="14"/>
  <c r="N24" i="14" a="1"/>
  <c r="N24" i="14" s="1"/>
  <c r="M24" i="14" a="1"/>
  <c r="M24" i="14" s="1"/>
  <c r="L24" i="14" a="1"/>
  <c r="L24" i="14" s="1"/>
  <c r="S23" i="14" a="1"/>
  <c r="S23" i="14" s="1"/>
  <c r="Q23" i="14" a="1"/>
  <c r="Q23" i="14" s="1"/>
  <c r="R23" i="14" s="1"/>
  <c r="P23" i="14"/>
  <c r="P23" i="14" a="1"/>
  <c r="O23" i="14"/>
  <c r="N23" i="14" a="1"/>
  <c r="N23" i="14" s="1"/>
  <c r="M23" i="14" a="1"/>
  <c r="M23" i="14" s="1"/>
  <c r="L23" i="14" a="1"/>
  <c r="L23" i="14" s="1"/>
  <c r="S22" i="14"/>
  <c r="S22" i="14" a="1"/>
  <c r="R22" i="14"/>
  <c r="Q22" i="14"/>
  <c r="Q22" i="14" a="1"/>
  <c r="P22" i="14"/>
  <c r="P22" i="14" a="1"/>
  <c r="O22" i="14"/>
  <c r="N22" i="14" a="1"/>
  <c r="N22" i="14" s="1"/>
  <c r="M22" i="14" a="1"/>
  <c r="M22" i="14" s="1"/>
  <c r="L22" i="14" a="1"/>
  <c r="L22" i="14" s="1"/>
  <c r="S21" i="14"/>
  <c r="S21" i="14" a="1"/>
  <c r="Q21" i="14"/>
  <c r="R21" i="14" s="1"/>
  <c r="Q21" i="14" a="1"/>
  <c r="P21" i="14"/>
  <c r="P21" i="14" a="1"/>
  <c r="O21" i="14"/>
  <c r="N21" i="14" a="1"/>
  <c r="N21" i="14" s="1"/>
  <c r="M21" i="14" a="1"/>
  <c r="M21" i="14" s="1"/>
  <c r="L21" i="14" a="1"/>
  <c r="L21" i="14" s="1"/>
  <c r="T21" i="14" s="1"/>
  <c r="S20" i="14" a="1"/>
  <c r="S20" i="14" s="1"/>
  <c r="Q20" i="14"/>
  <c r="R20" i="14" s="1"/>
  <c r="Q20" i="14" a="1"/>
  <c r="P20" i="14" a="1"/>
  <c r="P20" i="14" s="1"/>
  <c r="O20" i="14"/>
  <c r="N20" i="14" a="1"/>
  <c r="N20" i="14" s="1"/>
  <c r="M20" i="14" a="1"/>
  <c r="M20" i="14" s="1"/>
  <c r="L20" i="14" a="1"/>
  <c r="L20" i="14" s="1"/>
  <c r="S19" i="14" a="1"/>
  <c r="S19" i="14" s="1"/>
  <c r="Q19" i="14" a="1"/>
  <c r="Q19" i="14" s="1"/>
  <c r="R19" i="14" s="1"/>
  <c r="P19" i="14"/>
  <c r="P19" i="14" a="1"/>
  <c r="O19" i="14"/>
  <c r="N19" i="14" a="1"/>
  <c r="N19" i="14" s="1"/>
  <c r="M19" i="14" a="1"/>
  <c r="M19" i="14" s="1"/>
  <c r="L19" i="14" a="1"/>
  <c r="L19" i="14" s="1"/>
  <c r="S18" i="14" a="1"/>
  <c r="S18" i="14" s="1"/>
  <c r="Q18" i="14"/>
  <c r="R18" i="14" s="1"/>
  <c r="Q18" i="14" a="1"/>
  <c r="P18" i="14" a="1"/>
  <c r="P18" i="14" s="1"/>
  <c r="O18" i="14"/>
  <c r="N18" i="14" a="1"/>
  <c r="N18" i="14" s="1"/>
  <c r="M18" i="14" a="1"/>
  <c r="M18" i="14" s="1"/>
  <c r="L18" i="14" a="1"/>
  <c r="L18" i="14" s="1"/>
  <c r="S17" i="14" a="1"/>
  <c r="S17" i="14"/>
  <c r="Q17" i="14" a="1"/>
  <c r="Q17" i="14" s="1"/>
  <c r="R17" i="14" s="1"/>
  <c r="P17" i="14" a="1"/>
  <c r="P17" i="14" s="1"/>
  <c r="N17" i="14" a="1"/>
  <c r="N17" i="14"/>
  <c r="M17" i="14" a="1"/>
  <c r="M17" i="14" s="1"/>
  <c r="L17" i="14" a="1"/>
  <c r="L17" i="14" s="1"/>
  <c r="T17" i="14" s="1"/>
  <c r="T218" i="14"/>
  <c r="V185" i="14"/>
  <c r="V135" i="14"/>
  <c r="V40" i="14"/>
  <c r="X40" i="14" s="1"/>
  <c r="J662" i="14"/>
  <c r="I662" i="14"/>
  <c r="H662" i="14"/>
  <c r="G662" i="14"/>
  <c r="F662" i="14"/>
  <c r="E662" i="14"/>
  <c r="D662" i="14"/>
  <c r="C662" i="14"/>
  <c r="B662" i="14"/>
  <c r="A662" i="14"/>
  <c r="K661" i="14"/>
  <c r="J661" i="14"/>
  <c r="I661" i="14"/>
  <c r="H661" i="14"/>
  <c r="G661" i="14"/>
  <c r="F661" i="14"/>
  <c r="E661" i="14"/>
  <c r="D661" i="14"/>
  <c r="C661" i="14"/>
  <c r="B661" i="14"/>
  <c r="A661" i="14"/>
  <c r="J660" i="14"/>
  <c r="I660" i="14"/>
  <c r="H660" i="14"/>
  <c r="G660" i="14"/>
  <c r="F660" i="14"/>
  <c r="E660" i="14"/>
  <c r="D660" i="14"/>
  <c r="C660" i="14"/>
  <c r="B660" i="14"/>
  <c r="A660" i="14"/>
  <c r="K659" i="14"/>
  <c r="J659" i="14"/>
  <c r="I659" i="14"/>
  <c r="H659" i="14"/>
  <c r="G659" i="14"/>
  <c r="F659" i="14"/>
  <c r="E659" i="14"/>
  <c r="V659" i="14" s="1"/>
  <c r="D659" i="14"/>
  <c r="C659" i="14"/>
  <c r="B659" i="14"/>
  <c r="A659" i="14"/>
  <c r="J658" i="14"/>
  <c r="I658" i="14"/>
  <c r="H658" i="14"/>
  <c r="G658" i="14"/>
  <c r="F658" i="14"/>
  <c r="E658" i="14"/>
  <c r="D658" i="14"/>
  <c r="C658" i="14"/>
  <c r="B658" i="14"/>
  <c r="A658" i="14"/>
  <c r="T657" i="14"/>
  <c r="Y657" i="14" s="1"/>
  <c r="V657" i="14"/>
  <c r="J657" i="14"/>
  <c r="I657" i="14"/>
  <c r="H657" i="14"/>
  <c r="G657" i="14"/>
  <c r="F657" i="14"/>
  <c r="E657" i="14"/>
  <c r="D657" i="14"/>
  <c r="C657" i="14"/>
  <c r="B657" i="14"/>
  <c r="A657" i="14"/>
  <c r="J656" i="14"/>
  <c r="I656" i="14"/>
  <c r="H656" i="14"/>
  <c r="G656" i="14"/>
  <c r="F656" i="14"/>
  <c r="E656" i="14"/>
  <c r="D656" i="14"/>
  <c r="C656" i="14"/>
  <c r="B656" i="14"/>
  <c r="A656" i="14"/>
  <c r="J655" i="14"/>
  <c r="I655" i="14"/>
  <c r="H655" i="14"/>
  <c r="G655" i="14"/>
  <c r="F655" i="14"/>
  <c r="E655" i="14"/>
  <c r="D655" i="14"/>
  <c r="C655" i="14"/>
  <c r="B655" i="14"/>
  <c r="A655" i="14"/>
  <c r="K654" i="14"/>
  <c r="J654" i="14"/>
  <c r="I654" i="14"/>
  <c r="H654" i="14"/>
  <c r="G654" i="14"/>
  <c r="F654" i="14"/>
  <c r="E654" i="14"/>
  <c r="D654" i="14"/>
  <c r="C654" i="14"/>
  <c r="B654" i="14"/>
  <c r="A654" i="14"/>
  <c r="K653" i="14"/>
  <c r="J653" i="14"/>
  <c r="I653" i="14"/>
  <c r="H653" i="14"/>
  <c r="G653" i="14"/>
  <c r="F653" i="14"/>
  <c r="E653" i="14"/>
  <c r="D653" i="14"/>
  <c r="C653" i="14"/>
  <c r="B653" i="14"/>
  <c r="A653" i="14"/>
  <c r="J652" i="14"/>
  <c r="I652" i="14"/>
  <c r="H652" i="14"/>
  <c r="G652" i="14"/>
  <c r="F652" i="14"/>
  <c r="E652" i="14"/>
  <c r="D652" i="14"/>
  <c r="C652" i="14"/>
  <c r="B652" i="14"/>
  <c r="A652" i="14"/>
  <c r="J651" i="14"/>
  <c r="I651" i="14"/>
  <c r="H651" i="14"/>
  <c r="G651" i="14"/>
  <c r="F651" i="14"/>
  <c r="E651" i="14"/>
  <c r="D651" i="14"/>
  <c r="C651" i="14"/>
  <c r="B651" i="14"/>
  <c r="A651" i="14"/>
  <c r="J650" i="14"/>
  <c r="I650" i="14"/>
  <c r="H650" i="14"/>
  <c r="G650" i="14"/>
  <c r="F650" i="14"/>
  <c r="E650" i="14"/>
  <c r="D650" i="14"/>
  <c r="C650" i="14"/>
  <c r="B650" i="14"/>
  <c r="A650" i="14"/>
  <c r="J649" i="14"/>
  <c r="I649" i="14"/>
  <c r="H649" i="14"/>
  <c r="G649" i="14"/>
  <c r="F649" i="14"/>
  <c r="E649" i="14"/>
  <c r="D649" i="14"/>
  <c r="C649" i="14"/>
  <c r="B649" i="14"/>
  <c r="A649" i="14"/>
  <c r="K648" i="14"/>
  <c r="J648" i="14"/>
  <c r="I648" i="14"/>
  <c r="H648" i="14"/>
  <c r="G648" i="14"/>
  <c r="F648" i="14"/>
  <c r="E648" i="14"/>
  <c r="D648" i="14"/>
  <c r="C648" i="14"/>
  <c r="B648" i="14"/>
  <c r="A648" i="14"/>
  <c r="K647" i="14"/>
  <c r="J647" i="14"/>
  <c r="I647" i="14"/>
  <c r="H647" i="14"/>
  <c r="G647" i="14"/>
  <c r="F647" i="14"/>
  <c r="E647" i="14"/>
  <c r="D647" i="14"/>
  <c r="C647" i="14"/>
  <c r="B647" i="14"/>
  <c r="A647" i="14"/>
  <c r="K646" i="14"/>
  <c r="J646" i="14"/>
  <c r="I646" i="14"/>
  <c r="H646" i="14"/>
  <c r="G646" i="14"/>
  <c r="F646" i="14"/>
  <c r="E646" i="14"/>
  <c r="D646" i="14"/>
  <c r="C646" i="14"/>
  <c r="B646" i="14"/>
  <c r="A646" i="14"/>
  <c r="T645" i="14"/>
  <c r="K645" i="14"/>
  <c r="J645" i="14"/>
  <c r="I645" i="14"/>
  <c r="H645" i="14"/>
  <c r="G645" i="14"/>
  <c r="F645" i="14"/>
  <c r="E645" i="14"/>
  <c r="D645" i="14"/>
  <c r="C645" i="14"/>
  <c r="B645" i="14"/>
  <c r="A645" i="14"/>
  <c r="T644" i="14"/>
  <c r="Y644" i="14" s="1"/>
  <c r="J644" i="14"/>
  <c r="I644" i="14"/>
  <c r="H644" i="14"/>
  <c r="G644" i="14"/>
  <c r="F644" i="14"/>
  <c r="E644" i="14"/>
  <c r="D644" i="14"/>
  <c r="C644" i="14"/>
  <c r="B644" i="14"/>
  <c r="A644" i="14"/>
  <c r="K643" i="14"/>
  <c r="J643" i="14"/>
  <c r="I643" i="14"/>
  <c r="H643" i="14"/>
  <c r="G643" i="14"/>
  <c r="F643" i="14"/>
  <c r="E643" i="14"/>
  <c r="D643" i="14"/>
  <c r="C643" i="14"/>
  <c r="B643" i="14"/>
  <c r="A643" i="14"/>
  <c r="J642" i="14"/>
  <c r="I642" i="14"/>
  <c r="H642" i="14"/>
  <c r="G642" i="14"/>
  <c r="F642" i="14"/>
  <c r="E642" i="14"/>
  <c r="D642" i="14"/>
  <c r="C642" i="14"/>
  <c r="B642" i="14"/>
  <c r="A642" i="14"/>
  <c r="J641" i="14"/>
  <c r="I641" i="14"/>
  <c r="H641" i="14"/>
  <c r="G641" i="14"/>
  <c r="F641" i="14"/>
  <c r="E641" i="14"/>
  <c r="D641" i="14"/>
  <c r="C641" i="14"/>
  <c r="B641" i="14"/>
  <c r="A641" i="14"/>
  <c r="J640" i="14"/>
  <c r="I640" i="14"/>
  <c r="H640" i="14"/>
  <c r="G640" i="14"/>
  <c r="F640" i="14"/>
  <c r="E640" i="14"/>
  <c r="D640" i="14"/>
  <c r="C640" i="14"/>
  <c r="B640" i="14"/>
  <c r="A640" i="14"/>
  <c r="J639" i="14"/>
  <c r="I639" i="14"/>
  <c r="H639" i="14"/>
  <c r="G639" i="14"/>
  <c r="F639" i="14"/>
  <c r="E639" i="14"/>
  <c r="D639" i="14"/>
  <c r="C639" i="14"/>
  <c r="B639" i="14"/>
  <c r="A639" i="14"/>
  <c r="J638" i="14"/>
  <c r="I638" i="14"/>
  <c r="H638" i="14"/>
  <c r="G638" i="14"/>
  <c r="F638" i="14"/>
  <c r="E638" i="14"/>
  <c r="D638" i="14"/>
  <c r="C638" i="14"/>
  <c r="B638" i="14"/>
  <c r="A638" i="14"/>
  <c r="K637" i="14"/>
  <c r="J637" i="14"/>
  <c r="I637" i="14"/>
  <c r="H637" i="14"/>
  <c r="G637" i="14"/>
  <c r="F637" i="14"/>
  <c r="E637" i="14"/>
  <c r="D637" i="14"/>
  <c r="C637" i="14"/>
  <c r="B637" i="14"/>
  <c r="A637" i="14"/>
  <c r="J636" i="14"/>
  <c r="I636" i="14"/>
  <c r="H636" i="14"/>
  <c r="G636" i="14"/>
  <c r="F636" i="14"/>
  <c r="E636" i="14"/>
  <c r="D636" i="14"/>
  <c r="C636" i="14"/>
  <c r="B636" i="14"/>
  <c r="A636" i="14"/>
  <c r="J635" i="14"/>
  <c r="I635" i="14"/>
  <c r="H635" i="14"/>
  <c r="G635" i="14"/>
  <c r="F635" i="14"/>
  <c r="E635" i="14"/>
  <c r="D635" i="14"/>
  <c r="C635" i="14"/>
  <c r="B635" i="14"/>
  <c r="A635" i="14"/>
  <c r="J634" i="14"/>
  <c r="I634" i="14"/>
  <c r="H634" i="14"/>
  <c r="G634" i="14"/>
  <c r="F634" i="14"/>
  <c r="E634" i="14"/>
  <c r="D634" i="14"/>
  <c r="C634" i="14"/>
  <c r="B634" i="14"/>
  <c r="A634" i="14"/>
  <c r="J633" i="14"/>
  <c r="I633" i="14"/>
  <c r="H633" i="14"/>
  <c r="G633" i="14"/>
  <c r="F633" i="14"/>
  <c r="E633" i="14"/>
  <c r="D633" i="14"/>
  <c r="C633" i="14"/>
  <c r="B633" i="14"/>
  <c r="A633" i="14"/>
  <c r="J632" i="14"/>
  <c r="I632" i="14"/>
  <c r="H632" i="14"/>
  <c r="G632" i="14"/>
  <c r="F632" i="14"/>
  <c r="E632" i="14"/>
  <c r="D632" i="14"/>
  <c r="C632" i="14"/>
  <c r="B632" i="14"/>
  <c r="A632" i="14"/>
  <c r="J631" i="14"/>
  <c r="I631" i="14"/>
  <c r="H631" i="14"/>
  <c r="G631" i="14"/>
  <c r="F631" i="14"/>
  <c r="E631" i="14"/>
  <c r="D631" i="14"/>
  <c r="C631" i="14"/>
  <c r="B631" i="14"/>
  <c r="A631" i="14"/>
  <c r="K630" i="14"/>
  <c r="J630" i="14"/>
  <c r="I630" i="14"/>
  <c r="H630" i="14"/>
  <c r="G630" i="14"/>
  <c r="F630" i="14"/>
  <c r="E630" i="14"/>
  <c r="D630" i="14"/>
  <c r="C630" i="14"/>
  <c r="B630" i="14"/>
  <c r="A630" i="14"/>
  <c r="K629" i="14"/>
  <c r="J629" i="14"/>
  <c r="I629" i="14"/>
  <c r="H629" i="14"/>
  <c r="G629" i="14"/>
  <c r="F629" i="14"/>
  <c r="E629" i="14"/>
  <c r="D629" i="14"/>
  <c r="C629" i="14"/>
  <c r="B629" i="14"/>
  <c r="A629" i="14"/>
  <c r="J628" i="14"/>
  <c r="I628" i="14"/>
  <c r="H628" i="14"/>
  <c r="G628" i="14"/>
  <c r="F628" i="14"/>
  <c r="E628" i="14"/>
  <c r="D628" i="14"/>
  <c r="C628" i="14"/>
  <c r="B628" i="14"/>
  <c r="A628" i="14"/>
  <c r="J627" i="14"/>
  <c r="I627" i="14"/>
  <c r="H627" i="14"/>
  <c r="G627" i="14"/>
  <c r="F627" i="14"/>
  <c r="E627" i="14"/>
  <c r="D627" i="14"/>
  <c r="C627" i="14"/>
  <c r="B627" i="14"/>
  <c r="A627" i="14"/>
  <c r="J626" i="14"/>
  <c r="I626" i="14"/>
  <c r="H626" i="14"/>
  <c r="G626" i="14"/>
  <c r="F626" i="14"/>
  <c r="E626" i="14"/>
  <c r="D626" i="14"/>
  <c r="C626" i="14"/>
  <c r="B626" i="14"/>
  <c r="A626" i="14"/>
  <c r="J625" i="14"/>
  <c r="I625" i="14"/>
  <c r="H625" i="14"/>
  <c r="G625" i="14"/>
  <c r="F625" i="14"/>
  <c r="E625" i="14"/>
  <c r="D625" i="14"/>
  <c r="C625" i="14"/>
  <c r="B625" i="14"/>
  <c r="A625" i="14"/>
  <c r="K624" i="14"/>
  <c r="J624" i="14"/>
  <c r="I624" i="14"/>
  <c r="H624" i="14"/>
  <c r="G624" i="14"/>
  <c r="F624" i="14"/>
  <c r="E624" i="14"/>
  <c r="D624" i="14"/>
  <c r="C624" i="14"/>
  <c r="B624" i="14"/>
  <c r="A624" i="14"/>
  <c r="K623" i="14"/>
  <c r="J623" i="14"/>
  <c r="I623" i="14"/>
  <c r="H623" i="14"/>
  <c r="G623" i="14"/>
  <c r="F623" i="14"/>
  <c r="E623" i="14"/>
  <c r="D623" i="14"/>
  <c r="C623" i="14"/>
  <c r="B623" i="14"/>
  <c r="A623" i="14"/>
  <c r="K622" i="14"/>
  <c r="J622" i="14"/>
  <c r="I622" i="14"/>
  <c r="H622" i="14"/>
  <c r="G622" i="14"/>
  <c r="F622" i="14"/>
  <c r="E622" i="14"/>
  <c r="D622" i="14"/>
  <c r="C622" i="14"/>
  <c r="B622" i="14"/>
  <c r="A622" i="14"/>
  <c r="J621" i="14"/>
  <c r="I621" i="14"/>
  <c r="H621" i="14"/>
  <c r="G621" i="14"/>
  <c r="F621" i="14"/>
  <c r="E621" i="14"/>
  <c r="D621" i="14"/>
  <c r="C621" i="14"/>
  <c r="B621" i="14"/>
  <c r="A621" i="14"/>
  <c r="K620" i="14"/>
  <c r="J620" i="14"/>
  <c r="I620" i="14"/>
  <c r="H620" i="14"/>
  <c r="G620" i="14"/>
  <c r="F620" i="14"/>
  <c r="E620" i="14"/>
  <c r="D620" i="14"/>
  <c r="C620" i="14"/>
  <c r="B620" i="14"/>
  <c r="A620" i="14"/>
  <c r="J619" i="14"/>
  <c r="I619" i="14"/>
  <c r="H619" i="14"/>
  <c r="G619" i="14"/>
  <c r="F619" i="14"/>
  <c r="E619" i="14"/>
  <c r="D619" i="14"/>
  <c r="C619" i="14"/>
  <c r="B619" i="14"/>
  <c r="A619" i="14"/>
  <c r="K618" i="14"/>
  <c r="J618" i="14"/>
  <c r="I618" i="14"/>
  <c r="H618" i="14"/>
  <c r="G618" i="14"/>
  <c r="F618" i="14"/>
  <c r="E618" i="14"/>
  <c r="D618" i="14"/>
  <c r="C618" i="14"/>
  <c r="B618" i="14"/>
  <c r="A618" i="14"/>
  <c r="J617" i="14"/>
  <c r="I617" i="14"/>
  <c r="H617" i="14"/>
  <c r="G617" i="14"/>
  <c r="F617" i="14"/>
  <c r="E617" i="14"/>
  <c r="D617" i="14"/>
  <c r="C617" i="14"/>
  <c r="B617" i="14"/>
  <c r="A617" i="14"/>
  <c r="J616" i="14"/>
  <c r="I616" i="14"/>
  <c r="H616" i="14"/>
  <c r="G616" i="14"/>
  <c r="F616" i="14"/>
  <c r="E616" i="14"/>
  <c r="D616" i="14"/>
  <c r="C616" i="14"/>
  <c r="B616" i="14"/>
  <c r="A616" i="14"/>
  <c r="J615" i="14"/>
  <c r="I615" i="14"/>
  <c r="H615" i="14"/>
  <c r="G615" i="14"/>
  <c r="F615" i="14"/>
  <c r="E615" i="14"/>
  <c r="D615" i="14"/>
  <c r="C615" i="14"/>
  <c r="B615" i="14"/>
  <c r="A615" i="14"/>
  <c r="J614" i="14"/>
  <c r="I614" i="14"/>
  <c r="H614" i="14"/>
  <c r="G614" i="14"/>
  <c r="F614" i="14"/>
  <c r="E614" i="14"/>
  <c r="D614" i="14"/>
  <c r="C614" i="14"/>
  <c r="B614" i="14"/>
  <c r="A614" i="14"/>
  <c r="K613" i="14"/>
  <c r="J613" i="14"/>
  <c r="I613" i="14"/>
  <c r="H613" i="14"/>
  <c r="G613" i="14"/>
  <c r="F613" i="14"/>
  <c r="E613" i="14"/>
  <c r="D613" i="14"/>
  <c r="C613" i="14"/>
  <c r="B613" i="14"/>
  <c r="A613" i="14"/>
  <c r="J612" i="14"/>
  <c r="I612" i="14"/>
  <c r="H612" i="14"/>
  <c r="G612" i="14"/>
  <c r="F612" i="14"/>
  <c r="E612" i="14"/>
  <c r="D612" i="14"/>
  <c r="C612" i="14"/>
  <c r="B612" i="14"/>
  <c r="A612" i="14"/>
  <c r="J611" i="14"/>
  <c r="I611" i="14"/>
  <c r="H611" i="14"/>
  <c r="G611" i="14"/>
  <c r="F611" i="14"/>
  <c r="E611" i="14"/>
  <c r="D611" i="14"/>
  <c r="C611" i="14"/>
  <c r="B611" i="14"/>
  <c r="A611" i="14"/>
  <c r="J610" i="14"/>
  <c r="I610" i="14"/>
  <c r="H610" i="14"/>
  <c r="G610" i="14"/>
  <c r="F610" i="14"/>
  <c r="E610" i="14"/>
  <c r="D610" i="14"/>
  <c r="C610" i="14"/>
  <c r="B610" i="14"/>
  <c r="A610" i="14"/>
  <c r="J609" i="14"/>
  <c r="I609" i="14"/>
  <c r="H609" i="14"/>
  <c r="G609" i="14"/>
  <c r="F609" i="14"/>
  <c r="E609" i="14"/>
  <c r="D609" i="14"/>
  <c r="C609" i="14"/>
  <c r="B609" i="14"/>
  <c r="A609" i="14"/>
  <c r="J608" i="14"/>
  <c r="I608" i="14"/>
  <c r="H608" i="14"/>
  <c r="G608" i="14"/>
  <c r="F608" i="14"/>
  <c r="E608" i="14"/>
  <c r="D608" i="14"/>
  <c r="C608" i="14"/>
  <c r="B608" i="14"/>
  <c r="A608" i="14"/>
  <c r="J607" i="14"/>
  <c r="I607" i="14"/>
  <c r="H607" i="14"/>
  <c r="G607" i="14"/>
  <c r="F607" i="14"/>
  <c r="E607" i="14"/>
  <c r="D607" i="14"/>
  <c r="C607" i="14"/>
  <c r="B607" i="14"/>
  <c r="A607" i="14"/>
  <c r="J606" i="14"/>
  <c r="I606" i="14"/>
  <c r="H606" i="14"/>
  <c r="G606" i="14"/>
  <c r="F606" i="14"/>
  <c r="E606" i="14"/>
  <c r="D606" i="14"/>
  <c r="C606" i="14"/>
  <c r="B606" i="14"/>
  <c r="A606" i="14"/>
  <c r="K605" i="14"/>
  <c r="J605" i="14"/>
  <c r="I605" i="14"/>
  <c r="H605" i="14"/>
  <c r="G605" i="14"/>
  <c r="F605" i="14"/>
  <c r="E605" i="14"/>
  <c r="D605" i="14"/>
  <c r="C605" i="14"/>
  <c r="B605" i="14"/>
  <c r="A605" i="14"/>
  <c r="J604" i="14"/>
  <c r="I604" i="14"/>
  <c r="H604" i="14"/>
  <c r="G604" i="14"/>
  <c r="F604" i="14"/>
  <c r="E604" i="14"/>
  <c r="D604" i="14"/>
  <c r="C604" i="14"/>
  <c r="B604" i="14"/>
  <c r="A604" i="14"/>
  <c r="J603" i="14"/>
  <c r="I603" i="14"/>
  <c r="H603" i="14"/>
  <c r="G603" i="14"/>
  <c r="F603" i="14"/>
  <c r="E603" i="14"/>
  <c r="D603" i="14"/>
  <c r="C603" i="14"/>
  <c r="B603" i="14"/>
  <c r="A603" i="14"/>
  <c r="J602" i="14"/>
  <c r="I602" i="14"/>
  <c r="H602" i="14"/>
  <c r="G602" i="14"/>
  <c r="F602" i="14"/>
  <c r="E602" i="14"/>
  <c r="D602" i="14"/>
  <c r="C602" i="14"/>
  <c r="B602" i="14"/>
  <c r="A602" i="14"/>
  <c r="J601" i="14"/>
  <c r="I601" i="14"/>
  <c r="H601" i="14"/>
  <c r="G601" i="14"/>
  <c r="F601" i="14"/>
  <c r="E601" i="14"/>
  <c r="D601" i="14"/>
  <c r="C601" i="14"/>
  <c r="B601" i="14"/>
  <c r="A601" i="14"/>
  <c r="J600" i="14"/>
  <c r="I600" i="14"/>
  <c r="H600" i="14"/>
  <c r="G600" i="14"/>
  <c r="F600" i="14"/>
  <c r="E600" i="14"/>
  <c r="D600" i="14"/>
  <c r="C600" i="14"/>
  <c r="B600" i="14"/>
  <c r="A600" i="14"/>
  <c r="J599" i="14"/>
  <c r="I599" i="14"/>
  <c r="H599" i="14"/>
  <c r="K599" i="14" s="1"/>
  <c r="G599" i="14"/>
  <c r="F599" i="14"/>
  <c r="E599" i="14"/>
  <c r="D599" i="14"/>
  <c r="C599" i="14"/>
  <c r="B599" i="14"/>
  <c r="A599" i="14"/>
  <c r="K598" i="14"/>
  <c r="J598" i="14"/>
  <c r="I598" i="14"/>
  <c r="H598" i="14"/>
  <c r="G598" i="14"/>
  <c r="F598" i="14"/>
  <c r="E598" i="14"/>
  <c r="D598" i="14"/>
  <c r="C598" i="14"/>
  <c r="B598" i="14"/>
  <c r="A598" i="14"/>
  <c r="J597" i="14"/>
  <c r="I597" i="14"/>
  <c r="H597" i="14"/>
  <c r="G597" i="14"/>
  <c r="F597" i="14"/>
  <c r="E597" i="14"/>
  <c r="D597" i="14"/>
  <c r="C597" i="14"/>
  <c r="B597" i="14"/>
  <c r="A597" i="14"/>
  <c r="J596" i="14"/>
  <c r="I596" i="14"/>
  <c r="H596" i="14"/>
  <c r="G596" i="14"/>
  <c r="F596" i="14"/>
  <c r="E596" i="14"/>
  <c r="D596" i="14"/>
  <c r="C596" i="14"/>
  <c r="B596" i="14"/>
  <c r="A596" i="14"/>
  <c r="J595" i="14"/>
  <c r="I595" i="14"/>
  <c r="H595" i="14"/>
  <c r="G595" i="14"/>
  <c r="F595" i="14"/>
  <c r="E595" i="14"/>
  <c r="D595" i="14"/>
  <c r="C595" i="14"/>
  <c r="B595" i="14"/>
  <c r="A595" i="14"/>
  <c r="K594" i="14"/>
  <c r="J594" i="14"/>
  <c r="I594" i="14"/>
  <c r="H594" i="14"/>
  <c r="G594" i="14"/>
  <c r="F594" i="14"/>
  <c r="E594" i="14"/>
  <c r="D594" i="14"/>
  <c r="C594" i="14"/>
  <c r="B594" i="14"/>
  <c r="A594" i="14"/>
  <c r="J593" i="14"/>
  <c r="I593" i="14"/>
  <c r="H593" i="14"/>
  <c r="G593" i="14"/>
  <c r="F593" i="14"/>
  <c r="E593" i="14"/>
  <c r="D593" i="14"/>
  <c r="C593" i="14"/>
  <c r="B593" i="14"/>
  <c r="A593" i="14"/>
  <c r="J592" i="14"/>
  <c r="I592" i="14"/>
  <c r="H592" i="14"/>
  <c r="G592" i="14"/>
  <c r="F592" i="14"/>
  <c r="E592" i="14"/>
  <c r="D592" i="14"/>
  <c r="C592" i="14"/>
  <c r="B592" i="14"/>
  <c r="A592" i="14"/>
  <c r="J591" i="14"/>
  <c r="I591" i="14"/>
  <c r="H591" i="14"/>
  <c r="G591" i="14"/>
  <c r="F591" i="14"/>
  <c r="E591" i="14"/>
  <c r="D591" i="14"/>
  <c r="C591" i="14"/>
  <c r="B591" i="14"/>
  <c r="A591" i="14"/>
  <c r="J590" i="14"/>
  <c r="I590" i="14"/>
  <c r="H590" i="14"/>
  <c r="K590" i="14" s="1"/>
  <c r="G590" i="14"/>
  <c r="F590" i="14"/>
  <c r="E590" i="14"/>
  <c r="D590" i="14"/>
  <c r="C590" i="14"/>
  <c r="B590" i="14"/>
  <c r="A590" i="14"/>
  <c r="J589" i="14"/>
  <c r="I589" i="14"/>
  <c r="H589" i="14"/>
  <c r="G589" i="14"/>
  <c r="F589" i="14"/>
  <c r="E589" i="14"/>
  <c r="D589" i="14"/>
  <c r="C589" i="14"/>
  <c r="B589" i="14"/>
  <c r="A589" i="14"/>
  <c r="J588" i="14"/>
  <c r="I588" i="14"/>
  <c r="H588" i="14"/>
  <c r="G588" i="14"/>
  <c r="F588" i="14"/>
  <c r="E588" i="14"/>
  <c r="D588" i="14"/>
  <c r="C588" i="14"/>
  <c r="B588" i="14"/>
  <c r="A588" i="14"/>
  <c r="J587" i="14"/>
  <c r="I587" i="14"/>
  <c r="H587" i="14"/>
  <c r="G587" i="14"/>
  <c r="F587" i="14"/>
  <c r="E587" i="14"/>
  <c r="D587" i="14"/>
  <c r="C587" i="14"/>
  <c r="B587" i="14"/>
  <c r="A587" i="14"/>
  <c r="J586" i="14"/>
  <c r="I586" i="14"/>
  <c r="H586" i="14"/>
  <c r="K586" i="14" s="1"/>
  <c r="G586" i="14"/>
  <c r="F586" i="14"/>
  <c r="E586" i="14"/>
  <c r="D586" i="14"/>
  <c r="C586" i="14"/>
  <c r="B586" i="14"/>
  <c r="A586" i="14"/>
  <c r="J585" i="14"/>
  <c r="I585" i="14"/>
  <c r="H585" i="14"/>
  <c r="G585" i="14"/>
  <c r="F585" i="14"/>
  <c r="E585" i="14"/>
  <c r="D585" i="14"/>
  <c r="C585" i="14"/>
  <c r="B585" i="14"/>
  <c r="A585" i="14"/>
  <c r="J584" i="14"/>
  <c r="I584" i="14"/>
  <c r="H584" i="14"/>
  <c r="G584" i="14"/>
  <c r="F584" i="14"/>
  <c r="E584" i="14"/>
  <c r="D584" i="14"/>
  <c r="C584" i="14"/>
  <c r="B584" i="14"/>
  <c r="A584" i="14"/>
  <c r="J583" i="14"/>
  <c r="I583" i="14"/>
  <c r="H583" i="14"/>
  <c r="G583" i="14"/>
  <c r="F583" i="14"/>
  <c r="E583" i="14"/>
  <c r="D583" i="14"/>
  <c r="C583" i="14"/>
  <c r="B583" i="14"/>
  <c r="A583" i="14"/>
  <c r="J582" i="14"/>
  <c r="I582" i="14"/>
  <c r="H582" i="14"/>
  <c r="G582" i="14"/>
  <c r="F582" i="14"/>
  <c r="E582" i="14"/>
  <c r="D582" i="14"/>
  <c r="C582" i="14"/>
  <c r="B582" i="14"/>
  <c r="A582" i="14"/>
  <c r="J581" i="14"/>
  <c r="I581" i="14"/>
  <c r="H581" i="14"/>
  <c r="G581" i="14"/>
  <c r="F581" i="14"/>
  <c r="E581" i="14"/>
  <c r="K581" i="14" s="1"/>
  <c r="D581" i="14"/>
  <c r="C581" i="14"/>
  <c r="B581" i="14"/>
  <c r="A581" i="14"/>
  <c r="J580" i="14"/>
  <c r="I580" i="14"/>
  <c r="H580" i="14"/>
  <c r="G580" i="14"/>
  <c r="F580" i="14"/>
  <c r="E580" i="14"/>
  <c r="D580" i="14"/>
  <c r="C580" i="14"/>
  <c r="B580" i="14"/>
  <c r="A580" i="14"/>
  <c r="J579" i="14"/>
  <c r="I579" i="14"/>
  <c r="H579" i="14"/>
  <c r="G579" i="14"/>
  <c r="F579" i="14"/>
  <c r="E579" i="14"/>
  <c r="D579" i="14"/>
  <c r="C579" i="14"/>
  <c r="B579" i="14"/>
  <c r="A579" i="14"/>
  <c r="T578" i="14"/>
  <c r="K578" i="14"/>
  <c r="J578" i="14"/>
  <c r="I578" i="14"/>
  <c r="H578" i="14"/>
  <c r="G578" i="14"/>
  <c r="F578" i="14"/>
  <c r="E578" i="14"/>
  <c r="D578" i="14"/>
  <c r="C578" i="14"/>
  <c r="B578" i="14"/>
  <c r="A578" i="14"/>
  <c r="K577" i="14"/>
  <c r="J577" i="14"/>
  <c r="I577" i="14"/>
  <c r="H577" i="14"/>
  <c r="G577" i="14"/>
  <c r="F577" i="14"/>
  <c r="E577" i="14"/>
  <c r="D577" i="14"/>
  <c r="C577" i="14"/>
  <c r="B577" i="14"/>
  <c r="A577" i="14"/>
  <c r="J576" i="14"/>
  <c r="I576" i="14"/>
  <c r="H576" i="14"/>
  <c r="G576" i="14"/>
  <c r="F576" i="14"/>
  <c r="E576" i="14"/>
  <c r="D576" i="14"/>
  <c r="C576" i="14"/>
  <c r="B576" i="14"/>
  <c r="A576" i="14"/>
  <c r="J575" i="14"/>
  <c r="I575" i="14"/>
  <c r="H575" i="14"/>
  <c r="G575" i="14"/>
  <c r="F575" i="14"/>
  <c r="E575" i="14"/>
  <c r="D575" i="14"/>
  <c r="C575" i="14"/>
  <c r="B575" i="14"/>
  <c r="A575" i="14"/>
  <c r="J574" i="14"/>
  <c r="I574" i="14"/>
  <c r="H574" i="14"/>
  <c r="G574" i="14"/>
  <c r="F574" i="14"/>
  <c r="E574" i="14"/>
  <c r="D574" i="14"/>
  <c r="C574" i="14"/>
  <c r="B574" i="14"/>
  <c r="A574" i="14"/>
  <c r="J573" i="14"/>
  <c r="I573" i="14"/>
  <c r="H573" i="14"/>
  <c r="G573" i="14"/>
  <c r="F573" i="14"/>
  <c r="E573" i="14"/>
  <c r="K573" i="14" s="1"/>
  <c r="D573" i="14"/>
  <c r="C573" i="14"/>
  <c r="B573" i="14"/>
  <c r="A573" i="14"/>
  <c r="K572" i="14"/>
  <c r="J572" i="14"/>
  <c r="I572" i="14"/>
  <c r="H572" i="14"/>
  <c r="G572" i="14"/>
  <c r="F572" i="14"/>
  <c r="E572" i="14"/>
  <c r="D572" i="14"/>
  <c r="C572" i="14"/>
  <c r="B572" i="14"/>
  <c r="A572" i="14"/>
  <c r="K571" i="14"/>
  <c r="J571" i="14"/>
  <c r="I571" i="14"/>
  <c r="H571" i="14"/>
  <c r="G571" i="14"/>
  <c r="F571" i="14"/>
  <c r="E571" i="14"/>
  <c r="D571" i="14"/>
  <c r="C571" i="14"/>
  <c r="B571" i="14"/>
  <c r="A571" i="14"/>
  <c r="V570" i="14"/>
  <c r="W570" i="14" s="1"/>
  <c r="T570" i="14"/>
  <c r="K570" i="14"/>
  <c r="J570" i="14"/>
  <c r="I570" i="14"/>
  <c r="H570" i="14"/>
  <c r="G570" i="14"/>
  <c r="F570" i="14"/>
  <c r="E570" i="14"/>
  <c r="D570" i="14"/>
  <c r="C570" i="14"/>
  <c r="B570" i="14"/>
  <c r="A570" i="14"/>
  <c r="J569" i="14"/>
  <c r="I569" i="14"/>
  <c r="H569" i="14"/>
  <c r="G569" i="14"/>
  <c r="F569" i="14"/>
  <c r="E569" i="14"/>
  <c r="D569" i="14"/>
  <c r="C569" i="14"/>
  <c r="B569" i="14"/>
  <c r="A569" i="14"/>
  <c r="J568" i="14"/>
  <c r="I568" i="14"/>
  <c r="H568" i="14"/>
  <c r="G568" i="14"/>
  <c r="F568" i="14"/>
  <c r="E568" i="14"/>
  <c r="D568" i="14"/>
  <c r="C568" i="14"/>
  <c r="B568" i="14"/>
  <c r="A568" i="14"/>
  <c r="K567" i="14"/>
  <c r="J567" i="14"/>
  <c r="I567" i="14"/>
  <c r="H567" i="14"/>
  <c r="G567" i="14"/>
  <c r="F567" i="14"/>
  <c r="E567" i="14"/>
  <c r="D567" i="14"/>
  <c r="C567" i="14"/>
  <c r="B567" i="14"/>
  <c r="A567" i="14"/>
  <c r="K566" i="14"/>
  <c r="J566" i="14"/>
  <c r="I566" i="14"/>
  <c r="H566" i="14"/>
  <c r="G566" i="14"/>
  <c r="F566" i="14"/>
  <c r="E566" i="14"/>
  <c r="D566" i="14"/>
  <c r="C566" i="14"/>
  <c r="B566" i="14"/>
  <c r="A566" i="14"/>
  <c r="J565" i="14"/>
  <c r="I565" i="14"/>
  <c r="H565" i="14"/>
  <c r="G565" i="14"/>
  <c r="F565" i="14"/>
  <c r="E565" i="14"/>
  <c r="D565" i="14"/>
  <c r="C565" i="14"/>
  <c r="B565" i="14"/>
  <c r="A565" i="14"/>
  <c r="J564" i="14"/>
  <c r="I564" i="14"/>
  <c r="H564" i="14"/>
  <c r="G564" i="14"/>
  <c r="F564" i="14"/>
  <c r="E564" i="14"/>
  <c r="D564" i="14"/>
  <c r="C564" i="14"/>
  <c r="B564" i="14"/>
  <c r="A564" i="14"/>
  <c r="K563" i="14"/>
  <c r="J563" i="14"/>
  <c r="I563" i="14"/>
  <c r="H563" i="14"/>
  <c r="G563" i="14"/>
  <c r="F563" i="14"/>
  <c r="E563" i="14"/>
  <c r="D563" i="14"/>
  <c r="C563" i="14"/>
  <c r="B563" i="14"/>
  <c r="A563" i="14"/>
  <c r="J562" i="14"/>
  <c r="I562" i="14"/>
  <c r="H562" i="14"/>
  <c r="G562" i="14"/>
  <c r="F562" i="14"/>
  <c r="E562" i="14"/>
  <c r="D562" i="14"/>
  <c r="C562" i="14"/>
  <c r="B562" i="14"/>
  <c r="A562" i="14"/>
  <c r="J561" i="14"/>
  <c r="I561" i="14"/>
  <c r="H561" i="14"/>
  <c r="G561" i="14"/>
  <c r="F561" i="14"/>
  <c r="E561" i="14"/>
  <c r="D561" i="14"/>
  <c r="C561" i="14"/>
  <c r="B561" i="14"/>
  <c r="A561" i="14"/>
  <c r="J560" i="14"/>
  <c r="I560" i="14"/>
  <c r="H560" i="14"/>
  <c r="G560" i="14"/>
  <c r="F560" i="14"/>
  <c r="E560" i="14"/>
  <c r="D560" i="14"/>
  <c r="C560" i="14"/>
  <c r="B560" i="14"/>
  <c r="A560" i="14"/>
  <c r="K559" i="14"/>
  <c r="J559" i="14"/>
  <c r="I559" i="14"/>
  <c r="H559" i="14"/>
  <c r="G559" i="14"/>
  <c r="F559" i="14"/>
  <c r="E559" i="14"/>
  <c r="D559" i="14"/>
  <c r="C559" i="14"/>
  <c r="B559" i="14"/>
  <c r="A559" i="14"/>
  <c r="K558" i="14"/>
  <c r="J558" i="14"/>
  <c r="I558" i="14"/>
  <c r="H558" i="14"/>
  <c r="G558" i="14"/>
  <c r="F558" i="14"/>
  <c r="E558" i="14"/>
  <c r="D558" i="14"/>
  <c r="C558" i="14"/>
  <c r="B558" i="14"/>
  <c r="A558" i="14"/>
  <c r="J557" i="14"/>
  <c r="I557" i="14"/>
  <c r="H557" i="14"/>
  <c r="G557" i="14"/>
  <c r="F557" i="14"/>
  <c r="E557" i="14"/>
  <c r="D557" i="14"/>
  <c r="C557" i="14"/>
  <c r="B557" i="14"/>
  <c r="A557" i="14"/>
  <c r="J556" i="14"/>
  <c r="I556" i="14"/>
  <c r="H556" i="14"/>
  <c r="G556" i="14"/>
  <c r="F556" i="14"/>
  <c r="E556" i="14"/>
  <c r="D556" i="14"/>
  <c r="C556" i="14"/>
  <c r="B556" i="14"/>
  <c r="A556" i="14"/>
  <c r="J555" i="14"/>
  <c r="I555" i="14"/>
  <c r="H555" i="14"/>
  <c r="G555" i="14"/>
  <c r="F555" i="14"/>
  <c r="E555" i="14"/>
  <c r="D555" i="14"/>
  <c r="C555" i="14"/>
  <c r="B555" i="14"/>
  <c r="A555" i="14"/>
  <c r="K554" i="14"/>
  <c r="J554" i="14"/>
  <c r="I554" i="14"/>
  <c r="H554" i="14"/>
  <c r="G554" i="14"/>
  <c r="F554" i="14"/>
  <c r="E554" i="14"/>
  <c r="D554" i="14"/>
  <c r="C554" i="14"/>
  <c r="B554" i="14"/>
  <c r="A554" i="14"/>
  <c r="J553" i="14"/>
  <c r="I553" i="14"/>
  <c r="H553" i="14"/>
  <c r="G553" i="14"/>
  <c r="F553" i="14"/>
  <c r="E553" i="14"/>
  <c r="D553" i="14"/>
  <c r="C553" i="14"/>
  <c r="B553" i="14"/>
  <c r="A553" i="14"/>
  <c r="K552" i="14"/>
  <c r="J552" i="14"/>
  <c r="I552" i="14"/>
  <c r="H552" i="14"/>
  <c r="G552" i="14"/>
  <c r="F552" i="14"/>
  <c r="E552" i="14"/>
  <c r="D552" i="14"/>
  <c r="C552" i="14"/>
  <c r="B552" i="14"/>
  <c r="A552" i="14"/>
  <c r="J551" i="14"/>
  <c r="I551" i="14"/>
  <c r="H551" i="14"/>
  <c r="G551" i="14"/>
  <c r="F551" i="14"/>
  <c r="E551" i="14"/>
  <c r="D551" i="14"/>
  <c r="C551" i="14"/>
  <c r="B551" i="14"/>
  <c r="A551" i="14"/>
  <c r="K550" i="14"/>
  <c r="J550" i="14"/>
  <c r="I550" i="14"/>
  <c r="H550" i="14"/>
  <c r="G550" i="14"/>
  <c r="F550" i="14"/>
  <c r="E550" i="14"/>
  <c r="D550" i="14"/>
  <c r="C550" i="14"/>
  <c r="B550" i="14"/>
  <c r="A550" i="14"/>
  <c r="T549" i="14"/>
  <c r="Y549" i="14" s="1"/>
  <c r="K549" i="14"/>
  <c r="J549" i="14"/>
  <c r="I549" i="14"/>
  <c r="H549" i="14"/>
  <c r="G549" i="14"/>
  <c r="F549" i="14"/>
  <c r="E549" i="14"/>
  <c r="D549" i="14"/>
  <c r="C549" i="14"/>
  <c r="B549" i="14"/>
  <c r="A549" i="14"/>
  <c r="T548" i="14"/>
  <c r="J548" i="14"/>
  <c r="I548" i="14"/>
  <c r="H548" i="14"/>
  <c r="G548" i="14"/>
  <c r="F548" i="14"/>
  <c r="E548" i="14"/>
  <c r="D548" i="14"/>
  <c r="C548" i="14"/>
  <c r="B548" i="14"/>
  <c r="A548" i="14"/>
  <c r="K547" i="14"/>
  <c r="J547" i="14"/>
  <c r="I547" i="14"/>
  <c r="H547" i="14"/>
  <c r="G547" i="14"/>
  <c r="F547" i="14"/>
  <c r="E547" i="14"/>
  <c r="D547" i="14"/>
  <c r="C547" i="14"/>
  <c r="B547" i="14"/>
  <c r="A547" i="14"/>
  <c r="J546" i="14"/>
  <c r="I546" i="14"/>
  <c r="H546" i="14"/>
  <c r="G546" i="14"/>
  <c r="F546" i="14"/>
  <c r="E546" i="14"/>
  <c r="D546" i="14"/>
  <c r="C546" i="14"/>
  <c r="B546" i="14"/>
  <c r="A546" i="14"/>
  <c r="K545" i="14"/>
  <c r="J545" i="14"/>
  <c r="I545" i="14"/>
  <c r="H545" i="14"/>
  <c r="G545" i="14"/>
  <c r="F545" i="14"/>
  <c r="E545" i="14"/>
  <c r="D545" i="14"/>
  <c r="C545" i="14"/>
  <c r="B545" i="14"/>
  <c r="A545" i="14"/>
  <c r="J544" i="14"/>
  <c r="I544" i="14"/>
  <c r="H544" i="14"/>
  <c r="G544" i="14"/>
  <c r="F544" i="14"/>
  <c r="E544" i="14"/>
  <c r="D544" i="14"/>
  <c r="C544" i="14"/>
  <c r="B544" i="14"/>
  <c r="A544" i="14"/>
  <c r="J543" i="14"/>
  <c r="I543" i="14"/>
  <c r="H543" i="14"/>
  <c r="G543" i="14"/>
  <c r="F543" i="14"/>
  <c r="E543" i="14"/>
  <c r="D543" i="14"/>
  <c r="C543" i="14"/>
  <c r="B543" i="14"/>
  <c r="A543" i="14"/>
  <c r="K542" i="14"/>
  <c r="J542" i="14"/>
  <c r="I542" i="14"/>
  <c r="H542" i="14"/>
  <c r="G542" i="14"/>
  <c r="F542" i="14"/>
  <c r="E542" i="14"/>
  <c r="D542" i="14"/>
  <c r="C542" i="14"/>
  <c r="B542" i="14"/>
  <c r="A542" i="14"/>
  <c r="J541" i="14"/>
  <c r="I541" i="14"/>
  <c r="H541" i="14"/>
  <c r="G541" i="14"/>
  <c r="F541" i="14"/>
  <c r="K541" i="14" s="1"/>
  <c r="E541" i="14"/>
  <c r="D541" i="14"/>
  <c r="C541" i="14"/>
  <c r="B541" i="14"/>
  <c r="A541" i="14"/>
  <c r="J540" i="14"/>
  <c r="I540" i="14"/>
  <c r="H540" i="14"/>
  <c r="G540" i="14"/>
  <c r="F540" i="14"/>
  <c r="E540" i="14"/>
  <c r="D540" i="14"/>
  <c r="C540" i="14"/>
  <c r="B540" i="14"/>
  <c r="A540" i="14"/>
  <c r="K539" i="14"/>
  <c r="J539" i="14"/>
  <c r="I539" i="14"/>
  <c r="H539" i="14"/>
  <c r="G539" i="14"/>
  <c r="F539" i="14"/>
  <c r="E539" i="14"/>
  <c r="D539" i="14"/>
  <c r="C539" i="14"/>
  <c r="B539" i="14"/>
  <c r="A539" i="14"/>
  <c r="J538" i="14"/>
  <c r="I538" i="14"/>
  <c r="H538" i="14"/>
  <c r="G538" i="14"/>
  <c r="F538" i="14"/>
  <c r="E538" i="14"/>
  <c r="D538" i="14"/>
  <c r="C538" i="14"/>
  <c r="B538" i="14"/>
  <c r="A538" i="14"/>
  <c r="J537" i="14"/>
  <c r="I537" i="14"/>
  <c r="H537" i="14"/>
  <c r="G537" i="14"/>
  <c r="F537" i="14"/>
  <c r="E537" i="14"/>
  <c r="D537" i="14"/>
  <c r="C537" i="14"/>
  <c r="B537" i="14"/>
  <c r="A537" i="14"/>
  <c r="K536" i="14"/>
  <c r="J536" i="14"/>
  <c r="I536" i="14"/>
  <c r="H536" i="14"/>
  <c r="G536" i="14"/>
  <c r="F536" i="14"/>
  <c r="E536" i="14"/>
  <c r="D536" i="14"/>
  <c r="C536" i="14"/>
  <c r="B536" i="14"/>
  <c r="A536" i="14"/>
  <c r="J535" i="14"/>
  <c r="I535" i="14"/>
  <c r="H535" i="14"/>
  <c r="G535" i="14"/>
  <c r="F535" i="14"/>
  <c r="E535" i="14"/>
  <c r="D535" i="14"/>
  <c r="C535" i="14"/>
  <c r="B535" i="14"/>
  <c r="A535" i="14"/>
  <c r="J534" i="14"/>
  <c r="I534" i="14"/>
  <c r="H534" i="14"/>
  <c r="G534" i="14"/>
  <c r="F534" i="14"/>
  <c r="E534" i="14"/>
  <c r="D534" i="14"/>
  <c r="C534" i="14"/>
  <c r="B534" i="14"/>
  <c r="A534" i="14"/>
  <c r="J533" i="14"/>
  <c r="I533" i="14"/>
  <c r="H533" i="14"/>
  <c r="G533" i="14"/>
  <c r="F533" i="14"/>
  <c r="E533" i="14"/>
  <c r="D533" i="14"/>
  <c r="C533" i="14"/>
  <c r="B533" i="14"/>
  <c r="A533" i="14"/>
  <c r="K532" i="14"/>
  <c r="J532" i="14"/>
  <c r="I532" i="14"/>
  <c r="H532" i="14"/>
  <c r="G532" i="14"/>
  <c r="F532" i="14"/>
  <c r="E532" i="14"/>
  <c r="D532" i="14"/>
  <c r="C532" i="14"/>
  <c r="B532" i="14"/>
  <c r="A532" i="14"/>
  <c r="J531" i="14"/>
  <c r="I531" i="14"/>
  <c r="H531" i="14"/>
  <c r="G531" i="14"/>
  <c r="F531" i="14"/>
  <c r="E531" i="14"/>
  <c r="D531" i="14"/>
  <c r="C531" i="14"/>
  <c r="B531" i="14"/>
  <c r="A531" i="14"/>
  <c r="J530" i="14"/>
  <c r="I530" i="14"/>
  <c r="H530" i="14"/>
  <c r="G530" i="14"/>
  <c r="F530" i="14"/>
  <c r="E530" i="14"/>
  <c r="D530" i="14"/>
  <c r="C530" i="14"/>
  <c r="B530" i="14"/>
  <c r="A530" i="14"/>
  <c r="J529" i="14"/>
  <c r="I529" i="14"/>
  <c r="H529" i="14"/>
  <c r="G529" i="14"/>
  <c r="F529" i="14"/>
  <c r="E529" i="14"/>
  <c r="D529" i="14"/>
  <c r="C529" i="14"/>
  <c r="B529" i="14"/>
  <c r="A529" i="14"/>
  <c r="J528" i="14"/>
  <c r="I528" i="14"/>
  <c r="H528" i="14"/>
  <c r="G528" i="14"/>
  <c r="F528" i="14"/>
  <c r="E528" i="14"/>
  <c r="D528" i="14"/>
  <c r="C528" i="14"/>
  <c r="B528" i="14"/>
  <c r="A528" i="14"/>
  <c r="J527" i="14"/>
  <c r="I527" i="14"/>
  <c r="H527" i="14"/>
  <c r="G527" i="14"/>
  <c r="F527" i="14"/>
  <c r="E527" i="14"/>
  <c r="D527" i="14"/>
  <c r="C527" i="14"/>
  <c r="B527" i="14"/>
  <c r="A527" i="14"/>
  <c r="J526" i="14"/>
  <c r="I526" i="14"/>
  <c r="H526" i="14"/>
  <c r="G526" i="14"/>
  <c r="F526" i="14"/>
  <c r="E526" i="14"/>
  <c r="D526" i="14"/>
  <c r="C526" i="14"/>
  <c r="B526" i="14"/>
  <c r="A526" i="14"/>
  <c r="K525" i="14"/>
  <c r="J525" i="14"/>
  <c r="I525" i="14"/>
  <c r="H525" i="14"/>
  <c r="G525" i="14"/>
  <c r="F525" i="14"/>
  <c r="E525" i="14"/>
  <c r="D525" i="14"/>
  <c r="C525" i="14"/>
  <c r="B525" i="14"/>
  <c r="A525" i="14"/>
  <c r="J524" i="14"/>
  <c r="I524" i="14"/>
  <c r="H524" i="14"/>
  <c r="G524" i="14"/>
  <c r="F524" i="14"/>
  <c r="E524" i="14"/>
  <c r="D524" i="14"/>
  <c r="C524" i="14"/>
  <c r="B524" i="14"/>
  <c r="A524" i="14"/>
  <c r="K523" i="14"/>
  <c r="J523" i="14"/>
  <c r="I523" i="14"/>
  <c r="H523" i="14"/>
  <c r="G523" i="14"/>
  <c r="F523" i="14"/>
  <c r="E523" i="14"/>
  <c r="D523" i="14"/>
  <c r="C523" i="14"/>
  <c r="B523" i="14"/>
  <c r="A523" i="14"/>
  <c r="J522" i="14"/>
  <c r="I522" i="14"/>
  <c r="H522" i="14"/>
  <c r="G522" i="14"/>
  <c r="F522" i="14"/>
  <c r="E522" i="14"/>
  <c r="D522" i="14"/>
  <c r="C522" i="14"/>
  <c r="B522" i="14"/>
  <c r="A522" i="14"/>
  <c r="J521" i="14"/>
  <c r="I521" i="14"/>
  <c r="H521" i="14"/>
  <c r="G521" i="14"/>
  <c r="F521" i="14"/>
  <c r="E521" i="14"/>
  <c r="D521" i="14"/>
  <c r="C521" i="14"/>
  <c r="B521" i="14"/>
  <c r="A521" i="14"/>
  <c r="K520" i="14"/>
  <c r="J520" i="14"/>
  <c r="I520" i="14"/>
  <c r="H520" i="14"/>
  <c r="G520" i="14"/>
  <c r="F520" i="14"/>
  <c r="E520" i="14"/>
  <c r="D520" i="14"/>
  <c r="C520" i="14"/>
  <c r="B520" i="14"/>
  <c r="A520" i="14"/>
  <c r="J519" i="14"/>
  <c r="I519" i="14"/>
  <c r="H519" i="14"/>
  <c r="G519" i="14"/>
  <c r="F519" i="14"/>
  <c r="E519" i="14"/>
  <c r="D519" i="14"/>
  <c r="C519" i="14"/>
  <c r="B519" i="14"/>
  <c r="A519" i="14"/>
  <c r="K518" i="14"/>
  <c r="J518" i="14"/>
  <c r="I518" i="14"/>
  <c r="H518" i="14"/>
  <c r="G518" i="14"/>
  <c r="F518" i="14"/>
  <c r="E518" i="14"/>
  <c r="D518" i="14"/>
  <c r="C518" i="14"/>
  <c r="B518" i="14"/>
  <c r="A518" i="14"/>
  <c r="J517" i="14"/>
  <c r="I517" i="14"/>
  <c r="H517" i="14"/>
  <c r="G517" i="14"/>
  <c r="F517" i="14"/>
  <c r="E517" i="14"/>
  <c r="D517" i="14"/>
  <c r="C517" i="14"/>
  <c r="B517" i="14"/>
  <c r="A517" i="14"/>
  <c r="T516" i="14"/>
  <c r="Y516" i="14" s="1"/>
  <c r="V516" i="14"/>
  <c r="X516" i="14" s="1"/>
  <c r="K516" i="14"/>
  <c r="J516" i="14"/>
  <c r="I516" i="14"/>
  <c r="H516" i="14"/>
  <c r="G516" i="14"/>
  <c r="F516" i="14"/>
  <c r="E516" i="14"/>
  <c r="D516" i="14"/>
  <c r="C516" i="14"/>
  <c r="B516" i="14"/>
  <c r="A516" i="14"/>
  <c r="K515" i="14"/>
  <c r="J515" i="14"/>
  <c r="I515" i="14"/>
  <c r="H515" i="14"/>
  <c r="G515" i="14"/>
  <c r="F515" i="14"/>
  <c r="E515" i="14"/>
  <c r="D515" i="14"/>
  <c r="C515" i="14"/>
  <c r="B515" i="14"/>
  <c r="A515" i="14"/>
  <c r="J514" i="14"/>
  <c r="I514" i="14"/>
  <c r="H514" i="14"/>
  <c r="G514" i="14"/>
  <c r="F514" i="14"/>
  <c r="E514" i="14"/>
  <c r="D514" i="14"/>
  <c r="C514" i="14"/>
  <c r="B514" i="14"/>
  <c r="A514" i="14"/>
  <c r="J513" i="14"/>
  <c r="I513" i="14"/>
  <c r="H513" i="14"/>
  <c r="G513" i="14"/>
  <c r="F513" i="14"/>
  <c r="E513" i="14"/>
  <c r="D513" i="14"/>
  <c r="C513" i="14"/>
  <c r="B513" i="14"/>
  <c r="A513" i="14"/>
  <c r="J512" i="14"/>
  <c r="I512" i="14"/>
  <c r="H512" i="14"/>
  <c r="G512" i="14"/>
  <c r="F512" i="14"/>
  <c r="E512" i="14"/>
  <c r="D512" i="14"/>
  <c r="C512" i="14"/>
  <c r="B512" i="14"/>
  <c r="A512" i="14"/>
  <c r="J511" i="14"/>
  <c r="I511" i="14"/>
  <c r="H511" i="14"/>
  <c r="G511" i="14"/>
  <c r="F511" i="14"/>
  <c r="E511" i="14"/>
  <c r="D511" i="14"/>
  <c r="C511" i="14"/>
  <c r="B511" i="14"/>
  <c r="A511" i="14"/>
  <c r="J510" i="14"/>
  <c r="I510" i="14"/>
  <c r="H510" i="14"/>
  <c r="G510" i="14"/>
  <c r="F510" i="14"/>
  <c r="E510" i="14"/>
  <c r="K510" i="14" s="1"/>
  <c r="D510" i="14"/>
  <c r="C510" i="14"/>
  <c r="B510" i="14"/>
  <c r="A510" i="14"/>
  <c r="J509" i="14"/>
  <c r="I509" i="14"/>
  <c r="H509" i="14"/>
  <c r="G509" i="14"/>
  <c r="F509" i="14"/>
  <c r="E509" i="14"/>
  <c r="D509" i="14"/>
  <c r="C509" i="14"/>
  <c r="B509" i="14"/>
  <c r="A509" i="14"/>
  <c r="K508" i="14"/>
  <c r="J508" i="14"/>
  <c r="I508" i="14"/>
  <c r="H508" i="14"/>
  <c r="G508" i="14"/>
  <c r="F508" i="14"/>
  <c r="E508" i="14"/>
  <c r="D508" i="14"/>
  <c r="C508" i="14"/>
  <c r="B508" i="14"/>
  <c r="A508" i="14"/>
  <c r="K507" i="14"/>
  <c r="J507" i="14"/>
  <c r="I507" i="14"/>
  <c r="H507" i="14"/>
  <c r="G507" i="14"/>
  <c r="F507" i="14"/>
  <c r="E507" i="14"/>
  <c r="D507" i="14"/>
  <c r="C507" i="14"/>
  <c r="B507" i="14"/>
  <c r="A507" i="14"/>
  <c r="J506" i="14"/>
  <c r="I506" i="14"/>
  <c r="H506" i="14"/>
  <c r="G506" i="14"/>
  <c r="F506" i="14"/>
  <c r="E506" i="14"/>
  <c r="D506" i="14"/>
  <c r="C506" i="14"/>
  <c r="B506" i="14"/>
  <c r="A506" i="14"/>
  <c r="J505" i="14"/>
  <c r="I505" i="14"/>
  <c r="H505" i="14"/>
  <c r="G505" i="14"/>
  <c r="F505" i="14"/>
  <c r="E505" i="14"/>
  <c r="D505" i="14"/>
  <c r="C505" i="14"/>
  <c r="B505" i="14"/>
  <c r="A505" i="14"/>
  <c r="K504" i="14"/>
  <c r="J504" i="14"/>
  <c r="I504" i="14"/>
  <c r="H504" i="14"/>
  <c r="G504" i="14"/>
  <c r="F504" i="14"/>
  <c r="E504" i="14"/>
  <c r="D504" i="14"/>
  <c r="C504" i="14"/>
  <c r="B504" i="14"/>
  <c r="A504" i="14"/>
  <c r="J503" i="14"/>
  <c r="I503" i="14"/>
  <c r="H503" i="14"/>
  <c r="G503" i="14"/>
  <c r="F503" i="14"/>
  <c r="E503" i="14"/>
  <c r="D503" i="14"/>
  <c r="C503" i="14"/>
  <c r="B503" i="14"/>
  <c r="A503" i="14"/>
  <c r="J502" i="14"/>
  <c r="I502" i="14"/>
  <c r="H502" i="14"/>
  <c r="G502" i="14"/>
  <c r="F502" i="14"/>
  <c r="E502" i="14"/>
  <c r="D502" i="14"/>
  <c r="C502" i="14"/>
  <c r="B502" i="14"/>
  <c r="A502" i="14"/>
  <c r="K501" i="14"/>
  <c r="J501" i="14"/>
  <c r="I501" i="14"/>
  <c r="H501" i="14"/>
  <c r="G501" i="14"/>
  <c r="F501" i="14"/>
  <c r="E501" i="14"/>
  <c r="D501" i="14"/>
  <c r="C501" i="14"/>
  <c r="B501" i="14"/>
  <c r="A501" i="14"/>
  <c r="J500" i="14"/>
  <c r="I500" i="14"/>
  <c r="H500" i="14"/>
  <c r="G500" i="14"/>
  <c r="F500" i="14"/>
  <c r="E500" i="14"/>
  <c r="D500" i="14"/>
  <c r="C500" i="14"/>
  <c r="B500" i="14"/>
  <c r="A500" i="14"/>
  <c r="J499" i="14"/>
  <c r="I499" i="14"/>
  <c r="H499" i="14"/>
  <c r="G499" i="14"/>
  <c r="F499" i="14"/>
  <c r="E499" i="14"/>
  <c r="D499" i="14"/>
  <c r="C499" i="14"/>
  <c r="B499" i="14"/>
  <c r="A499" i="14"/>
  <c r="J498" i="14"/>
  <c r="I498" i="14"/>
  <c r="H498" i="14"/>
  <c r="G498" i="14"/>
  <c r="F498" i="14"/>
  <c r="E498" i="14"/>
  <c r="D498" i="14"/>
  <c r="C498" i="14"/>
  <c r="B498" i="14"/>
  <c r="A498" i="14"/>
  <c r="J497" i="14"/>
  <c r="I497" i="14"/>
  <c r="H497" i="14"/>
  <c r="G497" i="14"/>
  <c r="F497" i="14"/>
  <c r="E497" i="14"/>
  <c r="D497" i="14"/>
  <c r="C497" i="14"/>
  <c r="B497" i="14"/>
  <c r="A497" i="14"/>
  <c r="J496" i="14"/>
  <c r="I496" i="14"/>
  <c r="H496" i="14"/>
  <c r="G496" i="14"/>
  <c r="F496" i="14"/>
  <c r="E496" i="14"/>
  <c r="D496" i="14"/>
  <c r="C496" i="14"/>
  <c r="B496" i="14"/>
  <c r="A496" i="14"/>
  <c r="J495" i="14"/>
  <c r="I495" i="14"/>
  <c r="H495" i="14"/>
  <c r="G495" i="14"/>
  <c r="F495" i="14"/>
  <c r="E495" i="14"/>
  <c r="D495" i="14"/>
  <c r="C495" i="14"/>
  <c r="B495" i="14"/>
  <c r="A495" i="14"/>
  <c r="K494" i="14"/>
  <c r="J494" i="14"/>
  <c r="I494" i="14"/>
  <c r="H494" i="14"/>
  <c r="G494" i="14"/>
  <c r="F494" i="14"/>
  <c r="E494" i="14"/>
  <c r="D494" i="14"/>
  <c r="C494" i="14"/>
  <c r="B494" i="14"/>
  <c r="A494" i="14"/>
  <c r="J493" i="14"/>
  <c r="I493" i="14"/>
  <c r="H493" i="14"/>
  <c r="G493" i="14"/>
  <c r="F493" i="14"/>
  <c r="E493" i="14"/>
  <c r="D493" i="14"/>
  <c r="C493" i="14"/>
  <c r="B493" i="14"/>
  <c r="A493" i="14"/>
  <c r="J492" i="14"/>
  <c r="I492" i="14"/>
  <c r="H492" i="14"/>
  <c r="G492" i="14"/>
  <c r="F492" i="14"/>
  <c r="E492" i="14"/>
  <c r="D492" i="14"/>
  <c r="C492" i="14"/>
  <c r="B492" i="14"/>
  <c r="A492" i="14"/>
  <c r="K491" i="14"/>
  <c r="J491" i="14"/>
  <c r="I491" i="14"/>
  <c r="H491" i="14"/>
  <c r="G491" i="14"/>
  <c r="F491" i="14"/>
  <c r="E491" i="14"/>
  <c r="D491" i="14"/>
  <c r="C491" i="14"/>
  <c r="B491" i="14"/>
  <c r="A491" i="14"/>
  <c r="J490" i="14"/>
  <c r="I490" i="14"/>
  <c r="H490" i="14"/>
  <c r="G490" i="14"/>
  <c r="F490" i="14"/>
  <c r="E490" i="14"/>
  <c r="D490" i="14"/>
  <c r="C490" i="14"/>
  <c r="B490" i="14"/>
  <c r="A490" i="14"/>
  <c r="J489" i="14"/>
  <c r="I489" i="14"/>
  <c r="H489" i="14"/>
  <c r="G489" i="14"/>
  <c r="F489" i="14"/>
  <c r="E489" i="14"/>
  <c r="D489" i="14"/>
  <c r="C489" i="14"/>
  <c r="B489" i="14"/>
  <c r="A489" i="14"/>
  <c r="J488" i="14"/>
  <c r="I488" i="14"/>
  <c r="H488" i="14"/>
  <c r="G488" i="14"/>
  <c r="F488" i="14"/>
  <c r="E488" i="14"/>
  <c r="D488" i="14"/>
  <c r="C488" i="14"/>
  <c r="B488" i="14"/>
  <c r="A488" i="14"/>
  <c r="J487" i="14"/>
  <c r="I487" i="14"/>
  <c r="H487" i="14"/>
  <c r="G487" i="14"/>
  <c r="F487" i="14"/>
  <c r="E487" i="14"/>
  <c r="D487" i="14"/>
  <c r="C487" i="14"/>
  <c r="B487" i="14"/>
  <c r="A487" i="14"/>
  <c r="J486" i="14"/>
  <c r="I486" i="14"/>
  <c r="H486" i="14"/>
  <c r="G486" i="14"/>
  <c r="F486" i="14"/>
  <c r="E486" i="14"/>
  <c r="D486" i="14"/>
  <c r="C486" i="14"/>
  <c r="B486" i="14"/>
  <c r="A486" i="14"/>
  <c r="K485" i="14"/>
  <c r="J485" i="14"/>
  <c r="I485" i="14"/>
  <c r="H485" i="14"/>
  <c r="G485" i="14"/>
  <c r="F485" i="14"/>
  <c r="E485" i="14"/>
  <c r="D485" i="14"/>
  <c r="C485" i="14"/>
  <c r="B485" i="14"/>
  <c r="A485" i="14"/>
  <c r="J484" i="14"/>
  <c r="I484" i="14"/>
  <c r="H484" i="14"/>
  <c r="G484" i="14"/>
  <c r="F484" i="14"/>
  <c r="E484" i="14"/>
  <c r="D484" i="14"/>
  <c r="C484" i="14"/>
  <c r="B484" i="14"/>
  <c r="A484" i="14"/>
  <c r="J483" i="14"/>
  <c r="I483" i="14"/>
  <c r="H483" i="14"/>
  <c r="G483" i="14"/>
  <c r="F483" i="14"/>
  <c r="E483" i="14"/>
  <c r="D483" i="14"/>
  <c r="C483" i="14"/>
  <c r="B483" i="14"/>
  <c r="A483" i="14"/>
  <c r="J482" i="14"/>
  <c r="I482" i="14"/>
  <c r="H482" i="14"/>
  <c r="G482" i="14"/>
  <c r="F482" i="14"/>
  <c r="E482" i="14"/>
  <c r="D482" i="14"/>
  <c r="C482" i="14"/>
  <c r="B482" i="14"/>
  <c r="A482" i="14"/>
  <c r="J481" i="14"/>
  <c r="I481" i="14"/>
  <c r="H481" i="14"/>
  <c r="G481" i="14"/>
  <c r="F481" i="14"/>
  <c r="E481" i="14"/>
  <c r="D481" i="14"/>
  <c r="C481" i="14"/>
  <c r="B481" i="14"/>
  <c r="A481" i="14"/>
  <c r="J480" i="14"/>
  <c r="I480" i="14"/>
  <c r="H480" i="14"/>
  <c r="G480" i="14"/>
  <c r="F480" i="14"/>
  <c r="E480" i="14"/>
  <c r="D480" i="14"/>
  <c r="C480" i="14"/>
  <c r="B480" i="14"/>
  <c r="A480" i="14"/>
  <c r="J479" i="14"/>
  <c r="I479" i="14"/>
  <c r="H479" i="14"/>
  <c r="G479" i="14"/>
  <c r="F479" i="14"/>
  <c r="E479" i="14"/>
  <c r="D479" i="14"/>
  <c r="C479" i="14"/>
  <c r="B479" i="14"/>
  <c r="A479" i="14"/>
  <c r="J478" i="14"/>
  <c r="I478" i="14"/>
  <c r="H478" i="14"/>
  <c r="G478" i="14"/>
  <c r="F478" i="14"/>
  <c r="E478" i="14"/>
  <c r="D478" i="14"/>
  <c r="C478" i="14"/>
  <c r="B478" i="14"/>
  <c r="A478" i="14"/>
  <c r="K477" i="14"/>
  <c r="J477" i="14"/>
  <c r="I477" i="14"/>
  <c r="H477" i="14"/>
  <c r="G477" i="14"/>
  <c r="F477" i="14"/>
  <c r="E477" i="14"/>
  <c r="D477" i="14"/>
  <c r="C477" i="14"/>
  <c r="B477" i="14"/>
  <c r="A477" i="14"/>
  <c r="J476" i="14"/>
  <c r="I476" i="14"/>
  <c r="H476" i="14"/>
  <c r="G476" i="14"/>
  <c r="F476" i="14"/>
  <c r="E476" i="14"/>
  <c r="D476" i="14"/>
  <c r="C476" i="14"/>
  <c r="B476" i="14"/>
  <c r="A476" i="14"/>
  <c r="J475" i="14"/>
  <c r="I475" i="14"/>
  <c r="H475" i="14"/>
  <c r="G475" i="14"/>
  <c r="F475" i="14"/>
  <c r="E475" i="14"/>
  <c r="D475" i="14"/>
  <c r="C475" i="14"/>
  <c r="B475" i="14"/>
  <c r="A475" i="14"/>
  <c r="J474" i="14"/>
  <c r="I474" i="14"/>
  <c r="H474" i="14"/>
  <c r="G474" i="14"/>
  <c r="F474" i="14"/>
  <c r="E474" i="14"/>
  <c r="D474" i="14"/>
  <c r="C474" i="14"/>
  <c r="B474" i="14"/>
  <c r="A474" i="14"/>
  <c r="J473" i="14"/>
  <c r="I473" i="14"/>
  <c r="H473" i="14"/>
  <c r="G473" i="14"/>
  <c r="F473" i="14"/>
  <c r="E473" i="14"/>
  <c r="D473" i="14"/>
  <c r="C473" i="14"/>
  <c r="B473" i="14"/>
  <c r="A473" i="14"/>
  <c r="J472" i="14"/>
  <c r="I472" i="14"/>
  <c r="H472" i="14"/>
  <c r="G472" i="14"/>
  <c r="F472" i="14"/>
  <c r="E472" i="14"/>
  <c r="D472" i="14"/>
  <c r="C472" i="14"/>
  <c r="B472" i="14"/>
  <c r="A472" i="14"/>
  <c r="K471" i="14"/>
  <c r="J471" i="14"/>
  <c r="I471" i="14"/>
  <c r="H471" i="14"/>
  <c r="G471" i="14"/>
  <c r="F471" i="14"/>
  <c r="E471" i="14"/>
  <c r="D471" i="14"/>
  <c r="C471" i="14"/>
  <c r="B471" i="14"/>
  <c r="A471" i="14"/>
  <c r="K470" i="14"/>
  <c r="J470" i="14"/>
  <c r="I470" i="14"/>
  <c r="H470" i="14"/>
  <c r="G470" i="14"/>
  <c r="F470" i="14"/>
  <c r="E470" i="14"/>
  <c r="D470" i="14"/>
  <c r="C470" i="14"/>
  <c r="B470" i="14"/>
  <c r="A470" i="14"/>
  <c r="K469" i="14"/>
  <c r="J469" i="14"/>
  <c r="I469" i="14"/>
  <c r="H469" i="14"/>
  <c r="G469" i="14"/>
  <c r="F469" i="14"/>
  <c r="E469" i="14"/>
  <c r="D469" i="14"/>
  <c r="C469" i="14"/>
  <c r="B469" i="14"/>
  <c r="A469" i="14"/>
  <c r="J468" i="14"/>
  <c r="I468" i="14"/>
  <c r="H468" i="14"/>
  <c r="G468" i="14"/>
  <c r="F468" i="14"/>
  <c r="E468" i="14"/>
  <c r="D468" i="14"/>
  <c r="C468" i="14"/>
  <c r="B468" i="14"/>
  <c r="A468" i="14"/>
  <c r="J467" i="14"/>
  <c r="I467" i="14"/>
  <c r="H467" i="14"/>
  <c r="G467" i="14"/>
  <c r="F467" i="14"/>
  <c r="E467" i="14"/>
  <c r="D467" i="14"/>
  <c r="C467" i="14"/>
  <c r="B467" i="14"/>
  <c r="A467" i="14"/>
  <c r="J466" i="14"/>
  <c r="I466" i="14"/>
  <c r="H466" i="14"/>
  <c r="G466" i="14"/>
  <c r="F466" i="14"/>
  <c r="E466" i="14"/>
  <c r="D466" i="14"/>
  <c r="C466" i="14"/>
  <c r="B466" i="14"/>
  <c r="A466" i="14"/>
  <c r="K465" i="14"/>
  <c r="J465" i="14"/>
  <c r="I465" i="14"/>
  <c r="H465" i="14"/>
  <c r="G465" i="14"/>
  <c r="F465" i="14"/>
  <c r="E465" i="14"/>
  <c r="D465" i="14"/>
  <c r="C465" i="14"/>
  <c r="B465" i="14"/>
  <c r="A465" i="14"/>
  <c r="J464" i="14"/>
  <c r="I464" i="14"/>
  <c r="H464" i="14"/>
  <c r="G464" i="14"/>
  <c r="F464" i="14"/>
  <c r="E464" i="14"/>
  <c r="D464" i="14"/>
  <c r="C464" i="14"/>
  <c r="B464" i="14"/>
  <c r="A464" i="14"/>
  <c r="J463" i="14"/>
  <c r="I463" i="14"/>
  <c r="H463" i="14"/>
  <c r="G463" i="14"/>
  <c r="F463" i="14"/>
  <c r="E463" i="14"/>
  <c r="D463" i="14"/>
  <c r="C463" i="14"/>
  <c r="B463" i="14"/>
  <c r="A463" i="14"/>
  <c r="J462" i="14"/>
  <c r="I462" i="14"/>
  <c r="H462" i="14"/>
  <c r="G462" i="14"/>
  <c r="F462" i="14"/>
  <c r="E462" i="14"/>
  <c r="D462" i="14"/>
  <c r="C462" i="14"/>
  <c r="B462" i="14"/>
  <c r="A462" i="14"/>
  <c r="K461" i="14"/>
  <c r="J461" i="14"/>
  <c r="I461" i="14"/>
  <c r="H461" i="14"/>
  <c r="G461" i="14"/>
  <c r="F461" i="14"/>
  <c r="E461" i="14"/>
  <c r="D461" i="14"/>
  <c r="C461" i="14"/>
  <c r="B461" i="14"/>
  <c r="A461" i="14"/>
  <c r="J460" i="14"/>
  <c r="I460" i="14"/>
  <c r="H460" i="14"/>
  <c r="G460" i="14"/>
  <c r="F460" i="14"/>
  <c r="E460" i="14"/>
  <c r="D460" i="14"/>
  <c r="C460" i="14"/>
  <c r="B460" i="14"/>
  <c r="A460" i="14"/>
  <c r="J459" i="14"/>
  <c r="I459" i="14"/>
  <c r="H459" i="14"/>
  <c r="G459" i="14"/>
  <c r="F459" i="14"/>
  <c r="E459" i="14"/>
  <c r="D459" i="14"/>
  <c r="C459" i="14"/>
  <c r="B459" i="14"/>
  <c r="A459" i="14"/>
  <c r="J458" i="14"/>
  <c r="I458" i="14"/>
  <c r="H458" i="14"/>
  <c r="G458" i="14"/>
  <c r="F458" i="14"/>
  <c r="E458" i="14"/>
  <c r="D458" i="14"/>
  <c r="C458" i="14"/>
  <c r="B458" i="14"/>
  <c r="A458" i="14"/>
  <c r="J457" i="14"/>
  <c r="I457" i="14"/>
  <c r="H457" i="14"/>
  <c r="G457" i="14"/>
  <c r="F457" i="14"/>
  <c r="E457" i="14"/>
  <c r="D457" i="14"/>
  <c r="C457" i="14"/>
  <c r="B457" i="14"/>
  <c r="A457" i="14"/>
  <c r="J456" i="14"/>
  <c r="I456" i="14"/>
  <c r="H456" i="14"/>
  <c r="G456" i="14"/>
  <c r="F456" i="14"/>
  <c r="E456" i="14"/>
  <c r="D456" i="14"/>
  <c r="C456" i="14"/>
  <c r="B456" i="14"/>
  <c r="A456" i="14"/>
  <c r="J455" i="14"/>
  <c r="I455" i="14"/>
  <c r="H455" i="14"/>
  <c r="G455" i="14"/>
  <c r="F455" i="14"/>
  <c r="E455" i="14"/>
  <c r="D455" i="14"/>
  <c r="C455" i="14"/>
  <c r="B455" i="14"/>
  <c r="A455" i="14"/>
  <c r="K454" i="14"/>
  <c r="J454" i="14"/>
  <c r="I454" i="14"/>
  <c r="H454" i="14"/>
  <c r="G454" i="14"/>
  <c r="F454" i="14"/>
  <c r="E454" i="14"/>
  <c r="D454" i="14"/>
  <c r="C454" i="14"/>
  <c r="B454" i="14"/>
  <c r="A454" i="14"/>
  <c r="J453" i="14"/>
  <c r="I453" i="14"/>
  <c r="H453" i="14"/>
  <c r="G453" i="14"/>
  <c r="F453" i="14"/>
  <c r="E453" i="14"/>
  <c r="D453" i="14"/>
  <c r="C453" i="14"/>
  <c r="B453" i="14"/>
  <c r="A453" i="14"/>
  <c r="K452" i="14"/>
  <c r="J452" i="14"/>
  <c r="I452" i="14"/>
  <c r="H452" i="14"/>
  <c r="G452" i="14"/>
  <c r="F452" i="14"/>
  <c r="E452" i="14"/>
  <c r="D452" i="14"/>
  <c r="C452" i="14"/>
  <c r="B452" i="14"/>
  <c r="A452" i="14"/>
  <c r="J451" i="14"/>
  <c r="I451" i="14"/>
  <c r="H451" i="14"/>
  <c r="G451" i="14"/>
  <c r="F451" i="14"/>
  <c r="E451" i="14"/>
  <c r="D451" i="14"/>
  <c r="C451" i="14"/>
  <c r="B451" i="14"/>
  <c r="A451" i="14"/>
  <c r="K450" i="14"/>
  <c r="J450" i="14"/>
  <c r="I450" i="14"/>
  <c r="H450" i="14"/>
  <c r="G450" i="14"/>
  <c r="F450" i="14"/>
  <c r="E450" i="14"/>
  <c r="D450" i="14"/>
  <c r="C450" i="14"/>
  <c r="B450" i="14"/>
  <c r="A450" i="14"/>
  <c r="J449" i="14"/>
  <c r="I449" i="14"/>
  <c r="H449" i="14"/>
  <c r="K449" i="14" s="1"/>
  <c r="G449" i="14"/>
  <c r="F449" i="14"/>
  <c r="E449" i="14"/>
  <c r="D449" i="14"/>
  <c r="C449" i="14"/>
  <c r="B449" i="14"/>
  <c r="A449" i="14"/>
  <c r="J448" i="14"/>
  <c r="I448" i="14"/>
  <c r="H448" i="14"/>
  <c r="G448" i="14"/>
  <c r="F448" i="14"/>
  <c r="E448" i="14"/>
  <c r="D448" i="14"/>
  <c r="C448" i="14"/>
  <c r="B448" i="14"/>
  <c r="A448" i="14"/>
  <c r="J447" i="14"/>
  <c r="I447" i="14"/>
  <c r="H447" i="14"/>
  <c r="G447" i="14"/>
  <c r="F447" i="14"/>
  <c r="E447" i="14"/>
  <c r="D447" i="14"/>
  <c r="C447" i="14"/>
  <c r="B447" i="14"/>
  <c r="A447" i="14"/>
  <c r="K446" i="14"/>
  <c r="J446" i="14"/>
  <c r="I446" i="14"/>
  <c r="H446" i="14"/>
  <c r="G446" i="14"/>
  <c r="F446" i="14"/>
  <c r="E446" i="14"/>
  <c r="D446" i="14"/>
  <c r="C446" i="14"/>
  <c r="B446" i="14"/>
  <c r="A446" i="14"/>
  <c r="J445" i="14"/>
  <c r="I445" i="14"/>
  <c r="H445" i="14"/>
  <c r="G445" i="14"/>
  <c r="F445" i="14"/>
  <c r="E445" i="14"/>
  <c r="D445" i="14"/>
  <c r="C445" i="14"/>
  <c r="B445" i="14"/>
  <c r="A445" i="14"/>
  <c r="K444" i="14"/>
  <c r="J444" i="14"/>
  <c r="I444" i="14"/>
  <c r="H444" i="14"/>
  <c r="G444" i="14"/>
  <c r="F444" i="14"/>
  <c r="E444" i="14"/>
  <c r="D444" i="14"/>
  <c r="C444" i="14"/>
  <c r="B444" i="14"/>
  <c r="A444" i="14"/>
  <c r="J443" i="14"/>
  <c r="I443" i="14"/>
  <c r="H443" i="14"/>
  <c r="G443" i="14"/>
  <c r="F443" i="14"/>
  <c r="E443" i="14"/>
  <c r="D443" i="14"/>
  <c r="C443" i="14"/>
  <c r="B443" i="14"/>
  <c r="A443" i="14"/>
  <c r="J442" i="14"/>
  <c r="I442" i="14"/>
  <c r="H442" i="14"/>
  <c r="G442" i="14"/>
  <c r="F442" i="14"/>
  <c r="E442" i="14"/>
  <c r="D442" i="14"/>
  <c r="C442" i="14"/>
  <c r="B442" i="14"/>
  <c r="A442" i="14"/>
  <c r="J441" i="14"/>
  <c r="I441" i="14"/>
  <c r="H441" i="14"/>
  <c r="G441" i="14"/>
  <c r="F441" i="14"/>
  <c r="E441" i="14"/>
  <c r="D441" i="14"/>
  <c r="C441" i="14"/>
  <c r="B441" i="14"/>
  <c r="A441" i="14"/>
  <c r="K440" i="14"/>
  <c r="J440" i="14"/>
  <c r="I440" i="14"/>
  <c r="H440" i="14"/>
  <c r="G440" i="14"/>
  <c r="F440" i="14"/>
  <c r="E440" i="14"/>
  <c r="D440" i="14"/>
  <c r="C440" i="14"/>
  <c r="B440" i="14"/>
  <c r="A440" i="14"/>
  <c r="J439" i="14"/>
  <c r="I439" i="14"/>
  <c r="H439" i="14"/>
  <c r="G439" i="14"/>
  <c r="F439" i="14"/>
  <c r="E439" i="14"/>
  <c r="D439" i="14"/>
  <c r="C439" i="14"/>
  <c r="B439" i="14"/>
  <c r="A439" i="14"/>
  <c r="J438" i="14"/>
  <c r="I438" i="14"/>
  <c r="H438" i="14"/>
  <c r="G438" i="14"/>
  <c r="F438" i="14"/>
  <c r="E438" i="14"/>
  <c r="D438" i="14"/>
  <c r="C438" i="14"/>
  <c r="B438" i="14"/>
  <c r="A438" i="14"/>
  <c r="K437" i="14"/>
  <c r="J437" i="14"/>
  <c r="I437" i="14"/>
  <c r="H437" i="14"/>
  <c r="G437" i="14"/>
  <c r="F437" i="14"/>
  <c r="E437" i="14"/>
  <c r="D437" i="14"/>
  <c r="C437" i="14"/>
  <c r="B437" i="14"/>
  <c r="A437" i="14"/>
  <c r="J436" i="14"/>
  <c r="I436" i="14"/>
  <c r="H436" i="14"/>
  <c r="G436" i="14"/>
  <c r="F436" i="14"/>
  <c r="E436" i="14"/>
  <c r="D436" i="14"/>
  <c r="C436" i="14"/>
  <c r="B436" i="14"/>
  <c r="A436" i="14"/>
  <c r="J435" i="14"/>
  <c r="I435" i="14"/>
  <c r="H435" i="14"/>
  <c r="G435" i="14"/>
  <c r="F435" i="14"/>
  <c r="E435" i="14"/>
  <c r="D435" i="14"/>
  <c r="C435" i="14"/>
  <c r="B435" i="14"/>
  <c r="A435" i="14"/>
  <c r="J434" i="14"/>
  <c r="I434" i="14"/>
  <c r="H434" i="14"/>
  <c r="G434" i="14"/>
  <c r="F434" i="14"/>
  <c r="E434" i="14"/>
  <c r="D434" i="14"/>
  <c r="C434" i="14"/>
  <c r="B434" i="14"/>
  <c r="A434" i="14"/>
  <c r="J433" i="14"/>
  <c r="I433" i="14"/>
  <c r="H433" i="14"/>
  <c r="G433" i="14"/>
  <c r="F433" i="14"/>
  <c r="E433" i="14"/>
  <c r="D433" i="14"/>
  <c r="C433" i="14"/>
  <c r="B433" i="14"/>
  <c r="A433" i="14"/>
  <c r="J432" i="14"/>
  <c r="I432" i="14"/>
  <c r="H432" i="14"/>
  <c r="G432" i="14"/>
  <c r="F432" i="14"/>
  <c r="E432" i="14"/>
  <c r="D432" i="14"/>
  <c r="C432" i="14"/>
  <c r="B432" i="14"/>
  <c r="A432" i="14"/>
  <c r="K431" i="14"/>
  <c r="J431" i="14"/>
  <c r="I431" i="14"/>
  <c r="H431" i="14"/>
  <c r="G431" i="14"/>
  <c r="F431" i="14"/>
  <c r="E431" i="14"/>
  <c r="D431" i="14"/>
  <c r="C431" i="14"/>
  <c r="B431" i="14"/>
  <c r="A431" i="14"/>
  <c r="K430" i="14"/>
  <c r="J430" i="14"/>
  <c r="I430" i="14"/>
  <c r="H430" i="14"/>
  <c r="G430" i="14"/>
  <c r="F430" i="14"/>
  <c r="E430" i="14"/>
  <c r="D430" i="14"/>
  <c r="C430" i="14"/>
  <c r="B430" i="14"/>
  <c r="A430" i="14"/>
  <c r="J429" i="14"/>
  <c r="I429" i="14"/>
  <c r="H429" i="14"/>
  <c r="G429" i="14"/>
  <c r="F429" i="14"/>
  <c r="E429" i="14"/>
  <c r="D429" i="14"/>
  <c r="C429" i="14"/>
  <c r="B429" i="14"/>
  <c r="A429" i="14"/>
  <c r="J428" i="14"/>
  <c r="I428" i="14"/>
  <c r="H428" i="14"/>
  <c r="G428" i="14"/>
  <c r="F428" i="14"/>
  <c r="E428" i="14"/>
  <c r="D428" i="14"/>
  <c r="C428" i="14"/>
  <c r="B428" i="14"/>
  <c r="A428" i="14"/>
  <c r="K427" i="14"/>
  <c r="J427" i="14"/>
  <c r="I427" i="14"/>
  <c r="H427" i="14"/>
  <c r="G427" i="14"/>
  <c r="F427" i="14"/>
  <c r="E427" i="14"/>
  <c r="D427" i="14"/>
  <c r="C427" i="14"/>
  <c r="B427" i="14"/>
  <c r="A427" i="14"/>
  <c r="J426" i="14"/>
  <c r="I426" i="14"/>
  <c r="H426" i="14"/>
  <c r="G426" i="14"/>
  <c r="F426" i="14"/>
  <c r="E426" i="14"/>
  <c r="D426" i="14"/>
  <c r="C426" i="14"/>
  <c r="B426" i="14"/>
  <c r="A426" i="14"/>
  <c r="K425" i="14"/>
  <c r="J425" i="14"/>
  <c r="I425" i="14"/>
  <c r="H425" i="14"/>
  <c r="G425" i="14"/>
  <c r="F425" i="14"/>
  <c r="E425" i="14"/>
  <c r="D425" i="14"/>
  <c r="C425" i="14"/>
  <c r="B425" i="14"/>
  <c r="A425" i="14"/>
  <c r="J424" i="14"/>
  <c r="I424" i="14"/>
  <c r="H424" i="14"/>
  <c r="G424" i="14"/>
  <c r="F424" i="14"/>
  <c r="E424" i="14"/>
  <c r="D424" i="14"/>
  <c r="C424" i="14"/>
  <c r="B424" i="14"/>
  <c r="A424" i="14"/>
  <c r="J423" i="14"/>
  <c r="I423" i="14"/>
  <c r="H423" i="14"/>
  <c r="G423" i="14"/>
  <c r="F423" i="14"/>
  <c r="E423" i="14"/>
  <c r="D423" i="14"/>
  <c r="C423" i="14"/>
  <c r="B423" i="14"/>
  <c r="A423" i="14"/>
  <c r="J422" i="14"/>
  <c r="I422" i="14"/>
  <c r="H422" i="14"/>
  <c r="G422" i="14"/>
  <c r="F422" i="14"/>
  <c r="E422" i="14"/>
  <c r="D422" i="14"/>
  <c r="C422" i="14"/>
  <c r="B422" i="14"/>
  <c r="A422" i="14"/>
  <c r="K421" i="14"/>
  <c r="J421" i="14"/>
  <c r="I421" i="14"/>
  <c r="H421" i="14"/>
  <c r="G421" i="14"/>
  <c r="F421" i="14"/>
  <c r="E421" i="14"/>
  <c r="D421" i="14"/>
  <c r="C421" i="14"/>
  <c r="B421" i="14"/>
  <c r="A421" i="14"/>
  <c r="J420" i="14"/>
  <c r="I420" i="14"/>
  <c r="H420" i="14"/>
  <c r="G420" i="14"/>
  <c r="F420" i="14"/>
  <c r="E420" i="14"/>
  <c r="D420" i="14"/>
  <c r="C420" i="14"/>
  <c r="B420" i="14"/>
  <c r="A420" i="14"/>
  <c r="K419" i="14"/>
  <c r="J419" i="14"/>
  <c r="I419" i="14"/>
  <c r="H419" i="14"/>
  <c r="G419" i="14"/>
  <c r="F419" i="14"/>
  <c r="E419" i="14"/>
  <c r="D419" i="14"/>
  <c r="C419" i="14"/>
  <c r="B419" i="14"/>
  <c r="A419" i="14"/>
  <c r="J418" i="14"/>
  <c r="I418" i="14"/>
  <c r="H418" i="14"/>
  <c r="G418" i="14"/>
  <c r="F418" i="14"/>
  <c r="E418" i="14"/>
  <c r="D418" i="14"/>
  <c r="C418" i="14"/>
  <c r="B418" i="14"/>
  <c r="A418" i="14"/>
  <c r="J417" i="14"/>
  <c r="I417" i="14"/>
  <c r="H417" i="14"/>
  <c r="G417" i="14"/>
  <c r="F417" i="14"/>
  <c r="E417" i="14"/>
  <c r="D417" i="14"/>
  <c r="C417" i="14"/>
  <c r="B417" i="14"/>
  <c r="A417" i="14"/>
  <c r="J416" i="14"/>
  <c r="I416" i="14"/>
  <c r="H416" i="14"/>
  <c r="G416" i="14"/>
  <c r="F416" i="14"/>
  <c r="E416" i="14"/>
  <c r="D416" i="14"/>
  <c r="C416" i="14"/>
  <c r="B416" i="14"/>
  <c r="A416" i="14"/>
  <c r="K415" i="14"/>
  <c r="J415" i="14"/>
  <c r="I415" i="14"/>
  <c r="H415" i="14"/>
  <c r="G415" i="14"/>
  <c r="F415" i="14"/>
  <c r="E415" i="14"/>
  <c r="D415" i="14"/>
  <c r="C415" i="14"/>
  <c r="B415" i="14"/>
  <c r="A415" i="14"/>
  <c r="J414" i="14"/>
  <c r="I414" i="14"/>
  <c r="H414" i="14"/>
  <c r="G414" i="14"/>
  <c r="F414" i="14"/>
  <c r="E414" i="14"/>
  <c r="D414" i="14"/>
  <c r="C414" i="14"/>
  <c r="B414" i="14"/>
  <c r="A414" i="14"/>
  <c r="J413" i="14"/>
  <c r="I413" i="14"/>
  <c r="H413" i="14"/>
  <c r="G413" i="14"/>
  <c r="F413" i="14"/>
  <c r="E413" i="14"/>
  <c r="D413" i="14"/>
  <c r="C413" i="14"/>
  <c r="B413" i="14"/>
  <c r="A413" i="14"/>
  <c r="K412" i="14"/>
  <c r="J412" i="14"/>
  <c r="I412" i="14"/>
  <c r="H412" i="14"/>
  <c r="G412" i="14"/>
  <c r="F412" i="14"/>
  <c r="E412" i="14"/>
  <c r="D412" i="14"/>
  <c r="C412" i="14"/>
  <c r="B412" i="14"/>
  <c r="A412" i="14"/>
  <c r="J411" i="14"/>
  <c r="I411" i="14"/>
  <c r="H411" i="14"/>
  <c r="G411" i="14"/>
  <c r="F411" i="14"/>
  <c r="E411" i="14"/>
  <c r="D411" i="14"/>
  <c r="C411" i="14"/>
  <c r="B411" i="14"/>
  <c r="A411" i="14"/>
  <c r="J410" i="14"/>
  <c r="I410" i="14"/>
  <c r="H410" i="14"/>
  <c r="G410" i="14"/>
  <c r="F410" i="14"/>
  <c r="E410" i="14"/>
  <c r="D410" i="14"/>
  <c r="C410" i="14"/>
  <c r="B410" i="14"/>
  <c r="A410" i="14"/>
  <c r="J409" i="14"/>
  <c r="I409" i="14"/>
  <c r="H409" i="14"/>
  <c r="G409" i="14"/>
  <c r="F409" i="14"/>
  <c r="K409" i="14" s="1"/>
  <c r="E409" i="14"/>
  <c r="D409" i="14"/>
  <c r="C409" i="14"/>
  <c r="B409" i="14"/>
  <c r="A409" i="14"/>
  <c r="J408" i="14"/>
  <c r="I408" i="14"/>
  <c r="H408" i="14"/>
  <c r="G408" i="14"/>
  <c r="F408" i="14"/>
  <c r="E408" i="14"/>
  <c r="D408" i="14"/>
  <c r="C408" i="14"/>
  <c r="B408" i="14"/>
  <c r="A408" i="14"/>
  <c r="K407" i="14"/>
  <c r="J407" i="14"/>
  <c r="I407" i="14"/>
  <c r="H407" i="14"/>
  <c r="G407" i="14"/>
  <c r="F407" i="14"/>
  <c r="E407" i="14"/>
  <c r="D407" i="14"/>
  <c r="C407" i="14"/>
  <c r="B407" i="14"/>
  <c r="A407" i="14"/>
  <c r="J406" i="14"/>
  <c r="I406" i="14"/>
  <c r="H406" i="14"/>
  <c r="G406" i="14"/>
  <c r="F406" i="14"/>
  <c r="E406" i="14"/>
  <c r="D406" i="14"/>
  <c r="C406" i="14"/>
  <c r="B406" i="14"/>
  <c r="A406" i="14"/>
  <c r="J405" i="14"/>
  <c r="I405" i="14"/>
  <c r="H405" i="14"/>
  <c r="G405" i="14"/>
  <c r="F405" i="14"/>
  <c r="E405" i="14"/>
  <c r="D405" i="14"/>
  <c r="C405" i="14"/>
  <c r="B405" i="14"/>
  <c r="A405" i="14"/>
  <c r="J404" i="14"/>
  <c r="I404" i="14"/>
  <c r="H404" i="14"/>
  <c r="G404" i="14"/>
  <c r="F404" i="14"/>
  <c r="E404" i="14"/>
  <c r="D404" i="14"/>
  <c r="C404" i="14"/>
  <c r="B404" i="14"/>
  <c r="A404" i="14"/>
  <c r="J403" i="14"/>
  <c r="I403" i="14"/>
  <c r="H403" i="14"/>
  <c r="G403" i="14"/>
  <c r="F403" i="14"/>
  <c r="E403" i="14"/>
  <c r="D403" i="14"/>
  <c r="C403" i="14"/>
  <c r="B403" i="14"/>
  <c r="A403" i="14"/>
  <c r="J402" i="14"/>
  <c r="I402" i="14"/>
  <c r="H402" i="14"/>
  <c r="G402" i="14"/>
  <c r="F402" i="14"/>
  <c r="E402" i="14"/>
  <c r="D402" i="14"/>
  <c r="C402" i="14"/>
  <c r="B402" i="14"/>
  <c r="A402" i="14"/>
  <c r="J401" i="14"/>
  <c r="I401" i="14"/>
  <c r="H401" i="14"/>
  <c r="G401" i="14"/>
  <c r="F401" i="14"/>
  <c r="E401" i="14"/>
  <c r="D401" i="14"/>
  <c r="C401" i="14"/>
  <c r="B401" i="14"/>
  <c r="A401" i="14"/>
  <c r="J400" i="14"/>
  <c r="I400" i="14"/>
  <c r="H400" i="14"/>
  <c r="G400" i="14"/>
  <c r="F400" i="14"/>
  <c r="E400" i="14"/>
  <c r="D400" i="14"/>
  <c r="C400" i="14"/>
  <c r="B400" i="14"/>
  <c r="A400" i="14"/>
  <c r="J399" i="14"/>
  <c r="I399" i="14"/>
  <c r="H399" i="14"/>
  <c r="G399" i="14"/>
  <c r="F399" i="14"/>
  <c r="E399" i="14"/>
  <c r="D399" i="14"/>
  <c r="C399" i="14"/>
  <c r="B399" i="14"/>
  <c r="A399" i="14"/>
  <c r="J398" i="14"/>
  <c r="I398" i="14"/>
  <c r="H398" i="14"/>
  <c r="G398" i="14"/>
  <c r="F398" i="14"/>
  <c r="E398" i="14"/>
  <c r="D398" i="14"/>
  <c r="C398" i="14"/>
  <c r="B398" i="14"/>
  <c r="A398" i="14"/>
  <c r="J397" i="14"/>
  <c r="I397" i="14"/>
  <c r="H397" i="14"/>
  <c r="G397" i="14"/>
  <c r="F397" i="14"/>
  <c r="E397" i="14"/>
  <c r="D397" i="14"/>
  <c r="C397" i="14"/>
  <c r="B397" i="14"/>
  <c r="A397" i="14"/>
  <c r="J396" i="14"/>
  <c r="I396" i="14"/>
  <c r="H396" i="14"/>
  <c r="G396" i="14"/>
  <c r="F396" i="14"/>
  <c r="E396" i="14"/>
  <c r="D396" i="14"/>
  <c r="C396" i="14"/>
  <c r="B396" i="14"/>
  <c r="A396" i="14"/>
  <c r="J395" i="14"/>
  <c r="I395" i="14"/>
  <c r="H395" i="14"/>
  <c r="G395" i="14"/>
  <c r="F395" i="14"/>
  <c r="E395" i="14"/>
  <c r="D395" i="14"/>
  <c r="C395" i="14"/>
  <c r="B395" i="14"/>
  <c r="A395" i="14"/>
  <c r="J394" i="14"/>
  <c r="I394" i="14"/>
  <c r="H394" i="14"/>
  <c r="G394" i="14"/>
  <c r="F394" i="14"/>
  <c r="E394" i="14"/>
  <c r="D394" i="14"/>
  <c r="C394" i="14"/>
  <c r="B394" i="14"/>
  <c r="A394" i="14"/>
  <c r="J393" i="14"/>
  <c r="I393" i="14"/>
  <c r="H393" i="14"/>
  <c r="G393" i="14"/>
  <c r="F393" i="14"/>
  <c r="K393" i="14" s="1"/>
  <c r="E393" i="14"/>
  <c r="D393" i="14"/>
  <c r="C393" i="14"/>
  <c r="B393" i="14"/>
  <c r="A393" i="14"/>
  <c r="K392" i="14"/>
  <c r="J392" i="14"/>
  <c r="I392" i="14"/>
  <c r="H392" i="14"/>
  <c r="G392" i="14"/>
  <c r="F392" i="14"/>
  <c r="E392" i="14"/>
  <c r="D392" i="14"/>
  <c r="C392" i="14"/>
  <c r="B392" i="14"/>
  <c r="A392" i="14"/>
  <c r="J391" i="14"/>
  <c r="I391" i="14"/>
  <c r="H391" i="14"/>
  <c r="G391" i="14"/>
  <c r="F391" i="14"/>
  <c r="E391" i="14"/>
  <c r="D391" i="14"/>
  <c r="C391" i="14"/>
  <c r="B391" i="14"/>
  <c r="A391" i="14"/>
  <c r="J390" i="14"/>
  <c r="I390" i="14"/>
  <c r="H390" i="14"/>
  <c r="G390" i="14"/>
  <c r="F390" i="14"/>
  <c r="E390" i="14"/>
  <c r="D390" i="14"/>
  <c r="C390" i="14"/>
  <c r="B390" i="14"/>
  <c r="A390" i="14"/>
  <c r="J389" i="14"/>
  <c r="I389" i="14"/>
  <c r="H389" i="14"/>
  <c r="G389" i="14"/>
  <c r="F389" i="14"/>
  <c r="E389" i="14"/>
  <c r="D389" i="14"/>
  <c r="C389" i="14"/>
  <c r="B389" i="14"/>
  <c r="A389" i="14"/>
  <c r="J388" i="14"/>
  <c r="I388" i="14"/>
  <c r="H388" i="14"/>
  <c r="G388" i="14"/>
  <c r="F388" i="14"/>
  <c r="E388" i="14"/>
  <c r="D388" i="14"/>
  <c r="C388" i="14"/>
  <c r="B388" i="14"/>
  <c r="A388" i="14"/>
  <c r="J387" i="14"/>
  <c r="I387" i="14"/>
  <c r="H387" i="14"/>
  <c r="G387" i="14"/>
  <c r="F387" i="14"/>
  <c r="E387" i="14"/>
  <c r="D387" i="14"/>
  <c r="C387" i="14"/>
  <c r="B387" i="14"/>
  <c r="A387" i="14"/>
  <c r="J386" i="14"/>
  <c r="I386" i="14"/>
  <c r="H386" i="14"/>
  <c r="G386" i="14"/>
  <c r="F386" i="14"/>
  <c r="E386" i="14"/>
  <c r="D386" i="14"/>
  <c r="C386" i="14"/>
  <c r="B386" i="14"/>
  <c r="A386" i="14"/>
  <c r="J385" i="14"/>
  <c r="I385" i="14"/>
  <c r="H385" i="14"/>
  <c r="G385" i="14"/>
  <c r="F385" i="14"/>
  <c r="E385" i="14"/>
  <c r="D385" i="14"/>
  <c r="C385" i="14"/>
  <c r="B385" i="14"/>
  <c r="A385" i="14"/>
  <c r="J384" i="14"/>
  <c r="I384" i="14"/>
  <c r="H384" i="14"/>
  <c r="G384" i="14"/>
  <c r="F384" i="14"/>
  <c r="E384" i="14"/>
  <c r="D384" i="14"/>
  <c r="C384" i="14"/>
  <c r="B384" i="14"/>
  <c r="A384" i="14"/>
  <c r="J383" i="14"/>
  <c r="I383" i="14"/>
  <c r="H383" i="14"/>
  <c r="G383" i="14"/>
  <c r="F383" i="14"/>
  <c r="E383" i="14"/>
  <c r="D383" i="14"/>
  <c r="C383" i="14"/>
  <c r="B383" i="14"/>
  <c r="A383" i="14"/>
  <c r="J382" i="14"/>
  <c r="I382" i="14"/>
  <c r="H382" i="14"/>
  <c r="G382" i="14"/>
  <c r="F382" i="14"/>
  <c r="E382" i="14"/>
  <c r="D382" i="14"/>
  <c r="C382" i="14"/>
  <c r="B382" i="14"/>
  <c r="A382" i="14"/>
  <c r="J381" i="14"/>
  <c r="I381" i="14"/>
  <c r="H381" i="14"/>
  <c r="G381" i="14"/>
  <c r="F381" i="14"/>
  <c r="E381" i="14"/>
  <c r="D381" i="14"/>
  <c r="C381" i="14"/>
  <c r="B381" i="14"/>
  <c r="A381" i="14"/>
  <c r="J380" i="14"/>
  <c r="I380" i="14"/>
  <c r="H380" i="14"/>
  <c r="G380" i="14"/>
  <c r="F380" i="14"/>
  <c r="E380" i="14"/>
  <c r="D380" i="14"/>
  <c r="C380" i="14"/>
  <c r="B380" i="14"/>
  <c r="A380" i="14"/>
  <c r="K379" i="14"/>
  <c r="J379" i="14"/>
  <c r="I379" i="14"/>
  <c r="H379" i="14"/>
  <c r="G379" i="14"/>
  <c r="F379" i="14"/>
  <c r="E379" i="14"/>
  <c r="D379" i="14"/>
  <c r="C379" i="14"/>
  <c r="B379" i="14"/>
  <c r="A379" i="14"/>
  <c r="K378" i="14"/>
  <c r="J378" i="14"/>
  <c r="I378" i="14"/>
  <c r="H378" i="14"/>
  <c r="G378" i="14"/>
  <c r="F378" i="14"/>
  <c r="E378" i="14"/>
  <c r="D378" i="14"/>
  <c r="C378" i="14"/>
  <c r="B378" i="14"/>
  <c r="A378" i="14"/>
  <c r="J377" i="14"/>
  <c r="I377" i="14"/>
  <c r="H377" i="14"/>
  <c r="G377" i="14"/>
  <c r="F377" i="14"/>
  <c r="E377" i="14"/>
  <c r="D377" i="14"/>
  <c r="C377" i="14"/>
  <c r="B377" i="14"/>
  <c r="A377" i="14"/>
  <c r="J376" i="14"/>
  <c r="I376" i="14"/>
  <c r="H376" i="14"/>
  <c r="G376" i="14"/>
  <c r="F376" i="14"/>
  <c r="E376" i="14"/>
  <c r="D376" i="14"/>
  <c r="C376" i="14"/>
  <c r="B376" i="14"/>
  <c r="A376" i="14"/>
  <c r="V375" i="14"/>
  <c r="T375" i="14"/>
  <c r="Y375" i="14" s="1"/>
  <c r="K375" i="14"/>
  <c r="J375" i="14"/>
  <c r="I375" i="14"/>
  <c r="H375" i="14"/>
  <c r="G375" i="14"/>
  <c r="F375" i="14"/>
  <c r="E375" i="14"/>
  <c r="D375" i="14"/>
  <c r="C375" i="14"/>
  <c r="B375" i="14"/>
  <c r="A375" i="14"/>
  <c r="J374" i="14"/>
  <c r="I374" i="14"/>
  <c r="H374" i="14"/>
  <c r="K374" i="14" s="1"/>
  <c r="G374" i="14"/>
  <c r="F374" i="14"/>
  <c r="E374" i="14"/>
  <c r="D374" i="14"/>
  <c r="C374" i="14"/>
  <c r="B374" i="14"/>
  <c r="A374" i="14"/>
  <c r="K373" i="14"/>
  <c r="J373" i="14"/>
  <c r="I373" i="14"/>
  <c r="H373" i="14"/>
  <c r="G373" i="14"/>
  <c r="F373" i="14"/>
  <c r="E373" i="14"/>
  <c r="D373" i="14"/>
  <c r="C373" i="14"/>
  <c r="B373" i="14"/>
  <c r="A373" i="14"/>
  <c r="K372" i="14"/>
  <c r="J372" i="14"/>
  <c r="I372" i="14"/>
  <c r="H372" i="14"/>
  <c r="G372" i="14"/>
  <c r="F372" i="14"/>
  <c r="E372" i="14"/>
  <c r="D372" i="14"/>
  <c r="C372" i="14"/>
  <c r="B372" i="14"/>
  <c r="A372" i="14"/>
  <c r="J371" i="14"/>
  <c r="I371" i="14"/>
  <c r="H371" i="14"/>
  <c r="G371" i="14"/>
  <c r="F371" i="14"/>
  <c r="E371" i="14"/>
  <c r="D371" i="14"/>
  <c r="C371" i="14"/>
  <c r="B371" i="14"/>
  <c r="A371" i="14"/>
  <c r="J370" i="14"/>
  <c r="I370" i="14"/>
  <c r="H370" i="14"/>
  <c r="G370" i="14"/>
  <c r="F370" i="14"/>
  <c r="E370" i="14"/>
  <c r="D370" i="14"/>
  <c r="C370" i="14"/>
  <c r="B370" i="14"/>
  <c r="A370" i="14"/>
  <c r="J369" i="14"/>
  <c r="I369" i="14"/>
  <c r="H369" i="14"/>
  <c r="G369" i="14"/>
  <c r="F369" i="14"/>
  <c r="E369" i="14"/>
  <c r="D369" i="14"/>
  <c r="C369" i="14"/>
  <c r="B369" i="14"/>
  <c r="A369" i="14"/>
  <c r="J368" i="14"/>
  <c r="I368" i="14"/>
  <c r="H368" i="14"/>
  <c r="G368" i="14"/>
  <c r="F368" i="14"/>
  <c r="E368" i="14"/>
  <c r="D368" i="14"/>
  <c r="C368" i="14"/>
  <c r="B368" i="14"/>
  <c r="A368" i="14"/>
  <c r="J367" i="14"/>
  <c r="I367" i="14"/>
  <c r="H367" i="14"/>
  <c r="G367" i="14"/>
  <c r="F367" i="14"/>
  <c r="E367" i="14"/>
  <c r="D367" i="14"/>
  <c r="C367" i="14"/>
  <c r="B367" i="14"/>
  <c r="A367" i="14"/>
  <c r="J366" i="14"/>
  <c r="I366" i="14"/>
  <c r="H366" i="14"/>
  <c r="G366" i="14"/>
  <c r="F366" i="14"/>
  <c r="E366" i="14"/>
  <c r="D366" i="14"/>
  <c r="C366" i="14"/>
  <c r="B366" i="14"/>
  <c r="A366" i="14"/>
  <c r="J365" i="14"/>
  <c r="I365" i="14"/>
  <c r="H365" i="14"/>
  <c r="G365" i="14"/>
  <c r="F365" i="14"/>
  <c r="E365" i="14"/>
  <c r="D365" i="14"/>
  <c r="C365" i="14"/>
  <c r="B365" i="14"/>
  <c r="A365" i="14"/>
  <c r="J364" i="14"/>
  <c r="I364" i="14"/>
  <c r="H364" i="14"/>
  <c r="G364" i="14"/>
  <c r="F364" i="14"/>
  <c r="E364" i="14"/>
  <c r="D364" i="14"/>
  <c r="C364" i="14"/>
  <c r="B364" i="14"/>
  <c r="A364" i="14"/>
  <c r="J363" i="14"/>
  <c r="I363" i="14"/>
  <c r="H363" i="14"/>
  <c r="G363" i="14"/>
  <c r="F363" i="14"/>
  <c r="E363" i="14"/>
  <c r="D363" i="14"/>
  <c r="C363" i="14"/>
  <c r="B363" i="14"/>
  <c r="A363" i="14"/>
  <c r="J362" i="14"/>
  <c r="I362" i="14"/>
  <c r="H362" i="14"/>
  <c r="G362" i="14"/>
  <c r="F362" i="14"/>
  <c r="E362" i="14"/>
  <c r="D362" i="14"/>
  <c r="C362" i="14"/>
  <c r="B362" i="14"/>
  <c r="A362" i="14"/>
  <c r="J361" i="14"/>
  <c r="I361" i="14"/>
  <c r="H361" i="14"/>
  <c r="G361" i="14"/>
  <c r="F361" i="14"/>
  <c r="E361" i="14"/>
  <c r="D361" i="14"/>
  <c r="C361" i="14"/>
  <c r="B361" i="14"/>
  <c r="A361" i="14"/>
  <c r="J360" i="14"/>
  <c r="I360" i="14"/>
  <c r="H360" i="14"/>
  <c r="G360" i="14"/>
  <c r="F360" i="14"/>
  <c r="E360" i="14"/>
  <c r="D360" i="14"/>
  <c r="C360" i="14"/>
  <c r="B360" i="14"/>
  <c r="A360" i="14"/>
  <c r="J359" i="14"/>
  <c r="I359" i="14"/>
  <c r="H359" i="14"/>
  <c r="G359" i="14"/>
  <c r="F359" i="14"/>
  <c r="E359" i="14"/>
  <c r="D359" i="14"/>
  <c r="C359" i="14"/>
  <c r="B359" i="14"/>
  <c r="A359" i="14"/>
  <c r="J358" i="14"/>
  <c r="I358" i="14"/>
  <c r="H358" i="14"/>
  <c r="G358" i="14"/>
  <c r="F358" i="14"/>
  <c r="E358" i="14"/>
  <c r="D358" i="14"/>
  <c r="C358" i="14"/>
  <c r="B358" i="14"/>
  <c r="A358" i="14"/>
  <c r="J357" i="14"/>
  <c r="I357" i="14"/>
  <c r="H357" i="14"/>
  <c r="G357" i="14"/>
  <c r="F357" i="14"/>
  <c r="E357" i="14"/>
  <c r="D357" i="14"/>
  <c r="C357" i="14"/>
  <c r="B357" i="14"/>
  <c r="A357" i="14"/>
  <c r="J356" i="14"/>
  <c r="I356" i="14"/>
  <c r="H356" i="14"/>
  <c r="G356" i="14"/>
  <c r="F356" i="14"/>
  <c r="E356" i="14"/>
  <c r="D356" i="14"/>
  <c r="C356" i="14"/>
  <c r="B356" i="14"/>
  <c r="A356" i="14"/>
  <c r="J355" i="14"/>
  <c r="I355" i="14"/>
  <c r="H355" i="14"/>
  <c r="G355" i="14"/>
  <c r="F355" i="14"/>
  <c r="E355" i="14"/>
  <c r="D355" i="14"/>
  <c r="C355" i="14"/>
  <c r="B355" i="14"/>
  <c r="A355" i="14"/>
  <c r="J354" i="14"/>
  <c r="I354" i="14"/>
  <c r="H354" i="14"/>
  <c r="G354" i="14"/>
  <c r="F354" i="14"/>
  <c r="E354" i="14"/>
  <c r="D354" i="14"/>
  <c r="C354" i="14"/>
  <c r="B354" i="14"/>
  <c r="A354" i="14"/>
  <c r="J353" i="14"/>
  <c r="I353" i="14"/>
  <c r="H353" i="14"/>
  <c r="G353" i="14"/>
  <c r="F353" i="14"/>
  <c r="E353" i="14"/>
  <c r="D353" i="14"/>
  <c r="C353" i="14"/>
  <c r="B353" i="14"/>
  <c r="A353" i="14"/>
  <c r="J352" i="14"/>
  <c r="I352" i="14"/>
  <c r="H352" i="14"/>
  <c r="G352" i="14"/>
  <c r="F352" i="14"/>
  <c r="E352" i="14"/>
  <c r="D352" i="14"/>
  <c r="C352" i="14"/>
  <c r="B352" i="14"/>
  <c r="A352" i="14"/>
  <c r="J351" i="14"/>
  <c r="I351" i="14"/>
  <c r="H351" i="14"/>
  <c r="G351" i="14"/>
  <c r="F351" i="14"/>
  <c r="E351" i="14"/>
  <c r="D351" i="14"/>
  <c r="C351" i="14"/>
  <c r="B351" i="14"/>
  <c r="A351" i="14"/>
  <c r="J350" i="14"/>
  <c r="I350" i="14"/>
  <c r="H350" i="14"/>
  <c r="G350" i="14"/>
  <c r="F350" i="14"/>
  <c r="E350" i="14"/>
  <c r="D350" i="14"/>
  <c r="C350" i="14"/>
  <c r="B350" i="14"/>
  <c r="A350" i="14"/>
  <c r="J349" i="14"/>
  <c r="I349" i="14"/>
  <c r="H349" i="14"/>
  <c r="G349" i="14"/>
  <c r="F349" i="14"/>
  <c r="E349" i="14"/>
  <c r="D349" i="14"/>
  <c r="C349" i="14"/>
  <c r="B349" i="14"/>
  <c r="A349" i="14"/>
  <c r="J348" i="14"/>
  <c r="I348" i="14"/>
  <c r="H348" i="14"/>
  <c r="G348" i="14"/>
  <c r="F348" i="14"/>
  <c r="E348" i="14"/>
  <c r="D348" i="14"/>
  <c r="C348" i="14"/>
  <c r="B348" i="14"/>
  <c r="A348" i="14"/>
  <c r="J347" i="14"/>
  <c r="I347" i="14"/>
  <c r="H347" i="14"/>
  <c r="G347" i="14"/>
  <c r="F347" i="14"/>
  <c r="E347" i="14"/>
  <c r="D347" i="14"/>
  <c r="C347" i="14"/>
  <c r="B347" i="14"/>
  <c r="A347" i="14"/>
  <c r="J346" i="14"/>
  <c r="I346" i="14"/>
  <c r="H346" i="14"/>
  <c r="G346" i="14"/>
  <c r="F346" i="14"/>
  <c r="E346" i="14"/>
  <c r="D346" i="14"/>
  <c r="C346" i="14"/>
  <c r="B346" i="14"/>
  <c r="A346" i="14"/>
  <c r="J345" i="14"/>
  <c r="I345" i="14"/>
  <c r="H345" i="14"/>
  <c r="G345" i="14"/>
  <c r="F345" i="14"/>
  <c r="E345" i="14"/>
  <c r="D345" i="14"/>
  <c r="C345" i="14"/>
  <c r="B345" i="14"/>
  <c r="A345" i="14"/>
  <c r="J344" i="14"/>
  <c r="I344" i="14"/>
  <c r="H344" i="14"/>
  <c r="G344" i="14"/>
  <c r="F344" i="14"/>
  <c r="E344" i="14"/>
  <c r="D344" i="14"/>
  <c r="C344" i="14"/>
  <c r="B344" i="14"/>
  <c r="A344" i="14"/>
  <c r="J343" i="14"/>
  <c r="I343" i="14"/>
  <c r="H343" i="14"/>
  <c r="G343" i="14"/>
  <c r="F343" i="14"/>
  <c r="E343" i="14"/>
  <c r="D343" i="14"/>
  <c r="C343" i="14"/>
  <c r="B343" i="14"/>
  <c r="A343" i="14"/>
  <c r="J342" i="14"/>
  <c r="I342" i="14"/>
  <c r="H342" i="14"/>
  <c r="G342" i="14"/>
  <c r="F342" i="14"/>
  <c r="E342" i="14"/>
  <c r="D342" i="14"/>
  <c r="C342" i="14"/>
  <c r="B342" i="14"/>
  <c r="A342" i="14"/>
  <c r="T341" i="14"/>
  <c r="J341" i="14"/>
  <c r="I341" i="14"/>
  <c r="H341" i="14"/>
  <c r="G341" i="14"/>
  <c r="F341" i="14"/>
  <c r="E341" i="14"/>
  <c r="D341" i="14"/>
  <c r="C341" i="14"/>
  <c r="B341" i="14"/>
  <c r="A341" i="14"/>
  <c r="J340" i="14"/>
  <c r="I340" i="14"/>
  <c r="H340" i="14"/>
  <c r="G340" i="14"/>
  <c r="F340" i="14"/>
  <c r="K340" i="14" s="1"/>
  <c r="E340" i="14"/>
  <c r="D340" i="14"/>
  <c r="C340" i="14"/>
  <c r="B340" i="14"/>
  <c r="A340" i="14"/>
  <c r="K339" i="14"/>
  <c r="J339" i="14"/>
  <c r="I339" i="14"/>
  <c r="H339" i="14"/>
  <c r="G339" i="14"/>
  <c r="F339" i="14"/>
  <c r="E339" i="14"/>
  <c r="D339" i="14"/>
  <c r="C339" i="14"/>
  <c r="B339" i="14"/>
  <c r="A339" i="14"/>
  <c r="J338" i="14"/>
  <c r="I338" i="14"/>
  <c r="H338" i="14"/>
  <c r="G338" i="14"/>
  <c r="F338" i="14"/>
  <c r="E338" i="14"/>
  <c r="D338" i="14"/>
  <c r="C338" i="14"/>
  <c r="B338" i="14"/>
  <c r="A338" i="14"/>
  <c r="K337" i="14"/>
  <c r="J337" i="14"/>
  <c r="I337" i="14"/>
  <c r="H337" i="14"/>
  <c r="G337" i="14"/>
  <c r="F337" i="14"/>
  <c r="E337" i="14"/>
  <c r="D337" i="14"/>
  <c r="C337" i="14"/>
  <c r="B337" i="14"/>
  <c r="A337" i="14"/>
  <c r="J336" i="14"/>
  <c r="I336" i="14"/>
  <c r="H336" i="14"/>
  <c r="G336" i="14"/>
  <c r="F336" i="14"/>
  <c r="E336" i="14"/>
  <c r="D336" i="14"/>
  <c r="C336" i="14"/>
  <c r="B336" i="14"/>
  <c r="A336" i="14"/>
  <c r="K335" i="14"/>
  <c r="J335" i="14"/>
  <c r="I335" i="14"/>
  <c r="H335" i="14"/>
  <c r="G335" i="14"/>
  <c r="F335" i="14"/>
  <c r="E335" i="14"/>
  <c r="D335" i="14"/>
  <c r="C335" i="14"/>
  <c r="B335" i="14"/>
  <c r="A335" i="14"/>
  <c r="K334" i="14"/>
  <c r="J334" i="14"/>
  <c r="I334" i="14"/>
  <c r="H334" i="14"/>
  <c r="G334" i="14"/>
  <c r="F334" i="14"/>
  <c r="E334" i="14"/>
  <c r="D334" i="14"/>
  <c r="C334" i="14"/>
  <c r="B334" i="14"/>
  <c r="A334" i="14"/>
  <c r="J333" i="14"/>
  <c r="I333" i="14"/>
  <c r="H333" i="14"/>
  <c r="G333" i="14"/>
  <c r="F333" i="14"/>
  <c r="E333" i="14"/>
  <c r="D333" i="14"/>
  <c r="C333" i="14"/>
  <c r="B333" i="14"/>
  <c r="A333" i="14"/>
  <c r="K332" i="14"/>
  <c r="J332" i="14"/>
  <c r="I332" i="14"/>
  <c r="H332" i="14"/>
  <c r="G332" i="14"/>
  <c r="F332" i="14"/>
  <c r="E332" i="14"/>
  <c r="D332" i="14"/>
  <c r="C332" i="14"/>
  <c r="B332" i="14"/>
  <c r="A332" i="14"/>
  <c r="J331" i="14"/>
  <c r="I331" i="14"/>
  <c r="H331" i="14"/>
  <c r="G331" i="14"/>
  <c r="F331" i="14"/>
  <c r="E331" i="14"/>
  <c r="D331" i="14"/>
  <c r="C331" i="14"/>
  <c r="B331" i="14"/>
  <c r="A331" i="14"/>
  <c r="J330" i="14"/>
  <c r="I330" i="14"/>
  <c r="H330" i="14"/>
  <c r="G330" i="14"/>
  <c r="F330" i="14"/>
  <c r="E330" i="14"/>
  <c r="D330" i="14"/>
  <c r="C330" i="14"/>
  <c r="B330" i="14"/>
  <c r="A330" i="14"/>
  <c r="K329" i="14"/>
  <c r="J329" i="14"/>
  <c r="I329" i="14"/>
  <c r="H329" i="14"/>
  <c r="G329" i="14"/>
  <c r="F329" i="14"/>
  <c r="E329" i="14"/>
  <c r="T329" i="14" s="1"/>
  <c r="D329" i="14"/>
  <c r="C329" i="14"/>
  <c r="B329" i="14"/>
  <c r="A329" i="14"/>
  <c r="K328" i="14"/>
  <c r="J328" i="14"/>
  <c r="I328" i="14"/>
  <c r="H328" i="14"/>
  <c r="G328" i="14"/>
  <c r="F328" i="14"/>
  <c r="E328" i="14"/>
  <c r="D328" i="14"/>
  <c r="C328" i="14"/>
  <c r="B328" i="14"/>
  <c r="A328" i="14"/>
  <c r="J327" i="14"/>
  <c r="I327" i="14"/>
  <c r="H327" i="14"/>
  <c r="G327" i="14"/>
  <c r="F327" i="14"/>
  <c r="E327" i="14"/>
  <c r="D327" i="14"/>
  <c r="C327" i="14"/>
  <c r="B327" i="14"/>
  <c r="A327" i="14"/>
  <c r="J326" i="14"/>
  <c r="I326" i="14"/>
  <c r="H326" i="14"/>
  <c r="G326" i="14"/>
  <c r="F326" i="14"/>
  <c r="E326" i="14"/>
  <c r="D326" i="14"/>
  <c r="C326" i="14"/>
  <c r="B326" i="14"/>
  <c r="A326" i="14"/>
  <c r="K325" i="14"/>
  <c r="J325" i="14"/>
  <c r="I325" i="14"/>
  <c r="H325" i="14"/>
  <c r="G325" i="14"/>
  <c r="F325" i="14"/>
  <c r="E325" i="14"/>
  <c r="D325" i="14"/>
  <c r="C325" i="14"/>
  <c r="B325" i="14"/>
  <c r="A325" i="14"/>
  <c r="J324" i="14"/>
  <c r="I324" i="14"/>
  <c r="H324" i="14"/>
  <c r="G324" i="14"/>
  <c r="F324" i="14"/>
  <c r="E324" i="14"/>
  <c r="D324" i="14"/>
  <c r="C324" i="14"/>
  <c r="B324" i="14"/>
  <c r="A324" i="14"/>
  <c r="J323" i="14"/>
  <c r="I323" i="14"/>
  <c r="H323" i="14"/>
  <c r="G323" i="14"/>
  <c r="F323" i="14"/>
  <c r="E323" i="14"/>
  <c r="D323" i="14"/>
  <c r="C323" i="14"/>
  <c r="B323" i="14"/>
  <c r="A323" i="14"/>
  <c r="K322" i="14"/>
  <c r="J322" i="14"/>
  <c r="I322" i="14"/>
  <c r="H322" i="14"/>
  <c r="G322" i="14"/>
  <c r="F322" i="14"/>
  <c r="E322" i="14"/>
  <c r="D322" i="14"/>
  <c r="C322" i="14"/>
  <c r="B322" i="14"/>
  <c r="A322" i="14"/>
  <c r="K321" i="14"/>
  <c r="J321" i="14"/>
  <c r="I321" i="14"/>
  <c r="H321" i="14"/>
  <c r="G321" i="14"/>
  <c r="F321" i="14"/>
  <c r="E321" i="14"/>
  <c r="D321" i="14"/>
  <c r="C321" i="14"/>
  <c r="B321" i="14"/>
  <c r="A321" i="14"/>
  <c r="J320" i="14"/>
  <c r="I320" i="14"/>
  <c r="H320" i="14"/>
  <c r="G320" i="14"/>
  <c r="F320" i="14"/>
  <c r="E320" i="14"/>
  <c r="D320" i="14"/>
  <c r="C320" i="14"/>
  <c r="B320" i="14"/>
  <c r="A320" i="14"/>
  <c r="J319" i="14"/>
  <c r="I319" i="14"/>
  <c r="H319" i="14"/>
  <c r="G319" i="14"/>
  <c r="F319" i="14"/>
  <c r="E319" i="14"/>
  <c r="D319" i="14"/>
  <c r="C319" i="14"/>
  <c r="B319" i="14"/>
  <c r="A319" i="14"/>
  <c r="J318" i="14"/>
  <c r="I318" i="14"/>
  <c r="H318" i="14"/>
  <c r="G318" i="14"/>
  <c r="F318" i="14"/>
  <c r="E318" i="14"/>
  <c r="D318" i="14"/>
  <c r="C318" i="14"/>
  <c r="B318" i="14"/>
  <c r="A318" i="14"/>
  <c r="J317" i="14"/>
  <c r="I317" i="14"/>
  <c r="H317" i="14"/>
  <c r="G317" i="14"/>
  <c r="F317" i="14"/>
  <c r="E317" i="14"/>
  <c r="D317" i="14"/>
  <c r="C317" i="14"/>
  <c r="B317" i="14"/>
  <c r="A317" i="14"/>
  <c r="J316" i="14"/>
  <c r="I316" i="14"/>
  <c r="H316" i="14"/>
  <c r="G316" i="14"/>
  <c r="F316" i="14"/>
  <c r="E316" i="14"/>
  <c r="D316" i="14"/>
  <c r="C316" i="14"/>
  <c r="B316" i="14"/>
  <c r="A316" i="14"/>
  <c r="J315" i="14"/>
  <c r="I315" i="14"/>
  <c r="H315" i="14"/>
  <c r="G315" i="14"/>
  <c r="F315" i="14"/>
  <c r="E315" i="14"/>
  <c r="D315" i="14"/>
  <c r="C315" i="14"/>
  <c r="B315" i="14"/>
  <c r="A315" i="14"/>
  <c r="K314" i="14"/>
  <c r="J314" i="14"/>
  <c r="I314" i="14"/>
  <c r="H314" i="14"/>
  <c r="G314" i="14"/>
  <c r="F314" i="14"/>
  <c r="E314" i="14"/>
  <c r="D314" i="14"/>
  <c r="C314" i="14"/>
  <c r="B314" i="14"/>
  <c r="A314" i="14"/>
  <c r="J313" i="14"/>
  <c r="I313" i="14"/>
  <c r="H313" i="14"/>
  <c r="K313" i="14" s="1"/>
  <c r="G313" i="14"/>
  <c r="F313" i="14"/>
  <c r="E313" i="14"/>
  <c r="D313" i="14"/>
  <c r="C313" i="14"/>
  <c r="B313" i="14"/>
  <c r="A313" i="14"/>
  <c r="J312" i="14"/>
  <c r="I312" i="14"/>
  <c r="H312" i="14"/>
  <c r="G312" i="14"/>
  <c r="F312" i="14"/>
  <c r="E312" i="14"/>
  <c r="D312" i="14"/>
  <c r="C312" i="14"/>
  <c r="B312" i="14"/>
  <c r="A312" i="14"/>
  <c r="J311" i="14"/>
  <c r="I311" i="14"/>
  <c r="H311" i="14"/>
  <c r="G311" i="14"/>
  <c r="F311" i="14"/>
  <c r="E311" i="14"/>
  <c r="D311" i="14"/>
  <c r="C311" i="14"/>
  <c r="B311" i="14"/>
  <c r="A311" i="14"/>
  <c r="K310" i="14"/>
  <c r="J310" i="14"/>
  <c r="I310" i="14"/>
  <c r="H310" i="14"/>
  <c r="G310" i="14"/>
  <c r="F310" i="14"/>
  <c r="E310" i="14"/>
  <c r="D310" i="14"/>
  <c r="C310" i="14"/>
  <c r="B310" i="14"/>
  <c r="A310" i="14"/>
  <c r="K309" i="14"/>
  <c r="J309" i="14"/>
  <c r="I309" i="14"/>
  <c r="H309" i="14"/>
  <c r="G309" i="14"/>
  <c r="F309" i="14"/>
  <c r="E309" i="14"/>
  <c r="D309" i="14"/>
  <c r="C309" i="14"/>
  <c r="B309" i="14"/>
  <c r="A309" i="14"/>
  <c r="J308" i="14"/>
  <c r="I308" i="14"/>
  <c r="H308" i="14"/>
  <c r="G308" i="14"/>
  <c r="F308" i="14"/>
  <c r="E308" i="14"/>
  <c r="D308" i="14"/>
  <c r="C308" i="14"/>
  <c r="B308" i="14"/>
  <c r="A308" i="14"/>
  <c r="J307" i="14"/>
  <c r="I307" i="14"/>
  <c r="H307" i="14"/>
  <c r="G307" i="14"/>
  <c r="F307" i="14"/>
  <c r="E307" i="14"/>
  <c r="D307" i="14"/>
  <c r="C307" i="14"/>
  <c r="B307" i="14"/>
  <c r="A307" i="14"/>
  <c r="J306" i="14"/>
  <c r="I306" i="14"/>
  <c r="H306" i="14"/>
  <c r="G306" i="14"/>
  <c r="F306" i="14"/>
  <c r="E306" i="14"/>
  <c r="D306" i="14"/>
  <c r="C306" i="14"/>
  <c r="B306" i="14"/>
  <c r="A306" i="14"/>
  <c r="J305" i="14"/>
  <c r="I305" i="14"/>
  <c r="H305" i="14"/>
  <c r="G305" i="14"/>
  <c r="F305" i="14"/>
  <c r="E305" i="14"/>
  <c r="D305" i="14"/>
  <c r="C305" i="14"/>
  <c r="B305" i="14"/>
  <c r="A305" i="14"/>
  <c r="J304" i="14"/>
  <c r="I304" i="14"/>
  <c r="H304" i="14"/>
  <c r="G304" i="14"/>
  <c r="F304" i="14"/>
  <c r="E304" i="14"/>
  <c r="D304" i="14"/>
  <c r="C304" i="14"/>
  <c r="B304" i="14"/>
  <c r="A304" i="14"/>
  <c r="J303" i="14"/>
  <c r="I303" i="14"/>
  <c r="H303" i="14"/>
  <c r="G303" i="14"/>
  <c r="F303" i="14"/>
  <c r="E303" i="14"/>
  <c r="D303" i="14"/>
  <c r="C303" i="14"/>
  <c r="B303" i="14"/>
  <c r="A303" i="14"/>
  <c r="J302" i="14"/>
  <c r="I302" i="14"/>
  <c r="H302" i="14"/>
  <c r="G302" i="14"/>
  <c r="F302" i="14"/>
  <c r="E302" i="14"/>
  <c r="D302" i="14"/>
  <c r="C302" i="14"/>
  <c r="B302" i="14"/>
  <c r="A302" i="14"/>
  <c r="J301" i="14"/>
  <c r="I301" i="14"/>
  <c r="H301" i="14"/>
  <c r="G301" i="14"/>
  <c r="F301" i="14"/>
  <c r="E301" i="14"/>
  <c r="D301" i="14"/>
  <c r="C301" i="14"/>
  <c r="B301" i="14"/>
  <c r="A301" i="14"/>
  <c r="J300" i="14"/>
  <c r="I300" i="14"/>
  <c r="H300" i="14"/>
  <c r="G300" i="14"/>
  <c r="F300" i="14"/>
  <c r="E300" i="14"/>
  <c r="D300" i="14"/>
  <c r="C300" i="14"/>
  <c r="B300" i="14"/>
  <c r="A300" i="14"/>
  <c r="J299" i="14"/>
  <c r="I299" i="14"/>
  <c r="H299" i="14"/>
  <c r="G299" i="14"/>
  <c r="F299" i="14"/>
  <c r="E299" i="14"/>
  <c r="D299" i="14"/>
  <c r="C299" i="14"/>
  <c r="B299" i="14"/>
  <c r="A299" i="14"/>
  <c r="J298" i="14"/>
  <c r="I298" i="14"/>
  <c r="H298" i="14"/>
  <c r="G298" i="14"/>
  <c r="F298" i="14"/>
  <c r="E298" i="14"/>
  <c r="D298" i="14"/>
  <c r="C298" i="14"/>
  <c r="B298" i="14"/>
  <c r="A298" i="14"/>
  <c r="J297" i="14"/>
  <c r="I297" i="14"/>
  <c r="H297" i="14"/>
  <c r="G297" i="14"/>
  <c r="F297" i="14"/>
  <c r="E297" i="14"/>
  <c r="D297" i="14"/>
  <c r="C297" i="14"/>
  <c r="B297" i="14"/>
  <c r="A297" i="14"/>
  <c r="J296" i="14"/>
  <c r="I296" i="14"/>
  <c r="H296" i="14"/>
  <c r="G296" i="14"/>
  <c r="F296" i="14"/>
  <c r="E296" i="14"/>
  <c r="D296" i="14"/>
  <c r="C296" i="14"/>
  <c r="B296" i="14"/>
  <c r="A296" i="14"/>
  <c r="J295" i="14"/>
  <c r="I295" i="14"/>
  <c r="H295" i="14"/>
  <c r="G295" i="14"/>
  <c r="F295" i="14"/>
  <c r="E295" i="14"/>
  <c r="D295" i="14"/>
  <c r="C295" i="14"/>
  <c r="B295" i="14"/>
  <c r="A295" i="14"/>
  <c r="J294" i="14"/>
  <c r="I294" i="14"/>
  <c r="H294" i="14"/>
  <c r="G294" i="14"/>
  <c r="F294" i="14"/>
  <c r="E294" i="14"/>
  <c r="D294" i="14"/>
  <c r="C294" i="14"/>
  <c r="B294" i="14"/>
  <c r="A294" i="14"/>
  <c r="J293" i="14"/>
  <c r="I293" i="14"/>
  <c r="H293" i="14"/>
  <c r="G293" i="14"/>
  <c r="F293" i="14"/>
  <c r="E293" i="14"/>
  <c r="D293" i="14"/>
  <c r="C293" i="14"/>
  <c r="B293" i="14"/>
  <c r="A293" i="14"/>
  <c r="J292" i="14"/>
  <c r="I292" i="14"/>
  <c r="H292" i="14"/>
  <c r="G292" i="14"/>
  <c r="F292" i="14"/>
  <c r="E292" i="14"/>
  <c r="D292" i="14"/>
  <c r="C292" i="14"/>
  <c r="B292" i="14"/>
  <c r="A292" i="14"/>
  <c r="K291" i="14"/>
  <c r="J291" i="14"/>
  <c r="I291" i="14"/>
  <c r="H291" i="14"/>
  <c r="G291" i="14"/>
  <c r="F291" i="14"/>
  <c r="E291" i="14"/>
  <c r="D291" i="14"/>
  <c r="C291" i="14"/>
  <c r="B291" i="14"/>
  <c r="A291" i="14"/>
  <c r="K290" i="14"/>
  <c r="J290" i="14"/>
  <c r="I290" i="14"/>
  <c r="H290" i="14"/>
  <c r="G290" i="14"/>
  <c r="F290" i="14"/>
  <c r="E290" i="14"/>
  <c r="D290" i="14"/>
  <c r="C290" i="14"/>
  <c r="B290" i="14"/>
  <c r="A290" i="14"/>
  <c r="J289" i="14"/>
  <c r="I289" i="14"/>
  <c r="H289" i="14"/>
  <c r="G289" i="14"/>
  <c r="F289" i="14"/>
  <c r="E289" i="14"/>
  <c r="D289" i="14"/>
  <c r="C289" i="14"/>
  <c r="B289" i="14"/>
  <c r="A289" i="14"/>
  <c r="J288" i="14"/>
  <c r="I288" i="14"/>
  <c r="H288" i="14"/>
  <c r="G288" i="14"/>
  <c r="F288" i="14"/>
  <c r="K288" i="14" s="1"/>
  <c r="E288" i="14"/>
  <c r="D288" i="14"/>
  <c r="C288" i="14"/>
  <c r="B288" i="14"/>
  <c r="A288" i="14"/>
  <c r="K287" i="14"/>
  <c r="J287" i="14"/>
  <c r="I287" i="14"/>
  <c r="H287" i="14"/>
  <c r="G287" i="14"/>
  <c r="F287" i="14"/>
  <c r="E287" i="14"/>
  <c r="D287" i="14"/>
  <c r="C287" i="14"/>
  <c r="B287" i="14"/>
  <c r="A287" i="14"/>
  <c r="J286" i="14"/>
  <c r="I286" i="14"/>
  <c r="H286" i="14"/>
  <c r="G286" i="14"/>
  <c r="F286" i="14"/>
  <c r="E286" i="14"/>
  <c r="D286" i="14"/>
  <c r="C286" i="14"/>
  <c r="B286" i="14"/>
  <c r="A286" i="14"/>
  <c r="J285" i="14"/>
  <c r="I285" i="14"/>
  <c r="H285" i="14"/>
  <c r="G285" i="14"/>
  <c r="F285" i="14"/>
  <c r="E285" i="14"/>
  <c r="D285" i="14"/>
  <c r="C285" i="14"/>
  <c r="B285" i="14"/>
  <c r="A285" i="14"/>
  <c r="J284" i="14"/>
  <c r="I284" i="14"/>
  <c r="H284" i="14"/>
  <c r="G284" i="14"/>
  <c r="F284" i="14"/>
  <c r="E284" i="14"/>
  <c r="D284" i="14"/>
  <c r="C284" i="14"/>
  <c r="B284" i="14"/>
  <c r="A284" i="14"/>
  <c r="J283" i="14"/>
  <c r="I283" i="14"/>
  <c r="H283" i="14"/>
  <c r="G283" i="14"/>
  <c r="F283" i="14"/>
  <c r="E283" i="14"/>
  <c r="D283" i="14"/>
  <c r="C283" i="14"/>
  <c r="B283" i="14"/>
  <c r="A283" i="14"/>
  <c r="J282" i="14"/>
  <c r="I282" i="14"/>
  <c r="H282" i="14"/>
  <c r="G282" i="14"/>
  <c r="F282" i="14"/>
  <c r="E282" i="14"/>
  <c r="D282" i="14"/>
  <c r="C282" i="14"/>
  <c r="B282" i="14"/>
  <c r="A282" i="14"/>
  <c r="K281" i="14"/>
  <c r="J281" i="14"/>
  <c r="I281" i="14"/>
  <c r="H281" i="14"/>
  <c r="G281" i="14"/>
  <c r="F281" i="14"/>
  <c r="E281" i="14"/>
  <c r="D281" i="14"/>
  <c r="C281" i="14"/>
  <c r="B281" i="14"/>
  <c r="A281" i="14"/>
  <c r="K280" i="14"/>
  <c r="J280" i="14"/>
  <c r="I280" i="14"/>
  <c r="H280" i="14"/>
  <c r="G280" i="14"/>
  <c r="F280" i="14"/>
  <c r="E280" i="14"/>
  <c r="D280" i="14"/>
  <c r="C280" i="14"/>
  <c r="B280" i="14"/>
  <c r="A280" i="14"/>
  <c r="J279" i="14"/>
  <c r="I279" i="14"/>
  <c r="H279" i="14"/>
  <c r="G279" i="14"/>
  <c r="F279" i="14"/>
  <c r="E279" i="14"/>
  <c r="D279" i="14"/>
  <c r="C279" i="14"/>
  <c r="B279" i="14"/>
  <c r="A279" i="14"/>
  <c r="J278" i="14"/>
  <c r="I278" i="14"/>
  <c r="H278" i="14"/>
  <c r="G278" i="14"/>
  <c r="F278" i="14"/>
  <c r="E278" i="14"/>
  <c r="D278" i="14"/>
  <c r="C278" i="14"/>
  <c r="B278" i="14"/>
  <c r="A278" i="14"/>
  <c r="J277" i="14"/>
  <c r="I277" i="14"/>
  <c r="H277" i="14"/>
  <c r="G277" i="14"/>
  <c r="F277" i="14"/>
  <c r="E277" i="14"/>
  <c r="D277" i="14"/>
  <c r="C277" i="14"/>
  <c r="B277" i="14"/>
  <c r="A277" i="14"/>
  <c r="J276" i="14"/>
  <c r="I276" i="14"/>
  <c r="H276" i="14"/>
  <c r="G276" i="14"/>
  <c r="F276" i="14"/>
  <c r="E276" i="14"/>
  <c r="D276" i="14"/>
  <c r="C276" i="14"/>
  <c r="B276" i="14"/>
  <c r="A276" i="14"/>
  <c r="K275" i="14"/>
  <c r="J275" i="14"/>
  <c r="I275" i="14"/>
  <c r="H275" i="14"/>
  <c r="G275" i="14"/>
  <c r="F275" i="14"/>
  <c r="E275" i="14"/>
  <c r="D275" i="14"/>
  <c r="C275" i="14"/>
  <c r="B275" i="14"/>
  <c r="A275" i="14"/>
  <c r="K274" i="14"/>
  <c r="J274" i="14"/>
  <c r="I274" i="14"/>
  <c r="H274" i="14"/>
  <c r="G274" i="14"/>
  <c r="F274" i="14"/>
  <c r="E274" i="14"/>
  <c r="D274" i="14"/>
  <c r="C274" i="14"/>
  <c r="B274" i="14"/>
  <c r="A274" i="14"/>
  <c r="J273" i="14"/>
  <c r="I273" i="14"/>
  <c r="H273" i="14"/>
  <c r="G273" i="14"/>
  <c r="F273" i="14"/>
  <c r="E273" i="14"/>
  <c r="D273" i="14"/>
  <c r="C273" i="14"/>
  <c r="B273" i="14"/>
  <c r="A273" i="14"/>
  <c r="J272" i="14"/>
  <c r="I272" i="14"/>
  <c r="H272" i="14"/>
  <c r="G272" i="14"/>
  <c r="F272" i="14"/>
  <c r="E272" i="14"/>
  <c r="D272" i="14"/>
  <c r="C272" i="14"/>
  <c r="B272" i="14"/>
  <c r="A272" i="14"/>
  <c r="J271" i="14"/>
  <c r="I271" i="14"/>
  <c r="H271" i="14"/>
  <c r="G271" i="14"/>
  <c r="F271" i="14"/>
  <c r="E271" i="14"/>
  <c r="D271" i="14"/>
  <c r="C271" i="14"/>
  <c r="B271" i="14"/>
  <c r="A271" i="14"/>
  <c r="J270" i="14"/>
  <c r="I270" i="14"/>
  <c r="H270" i="14"/>
  <c r="G270" i="14"/>
  <c r="F270" i="14"/>
  <c r="E270" i="14"/>
  <c r="D270" i="14"/>
  <c r="C270" i="14"/>
  <c r="B270" i="14"/>
  <c r="A270" i="14"/>
  <c r="J269" i="14"/>
  <c r="I269" i="14"/>
  <c r="H269" i="14"/>
  <c r="G269" i="14"/>
  <c r="F269" i="14"/>
  <c r="E269" i="14"/>
  <c r="D269" i="14"/>
  <c r="C269" i="14"/>
  <c r="B269" i="14"/>
  <c r="A269" i="14"/>
  <c r="J268" i="14"/>
  <c r="I268" i="14"/>
  <c r="H268" i="14"/>
  <c r="G268" i="14"/>
  <c r="F268" i="14"/>
  <c r="E268" i="14"/>
  <c r="D268" i="14"/>
  <c r="C268" i="14"/>
  <c r="B268" i="14"/>
  <c r="A268" i="14"/>
  <c r="K267" i="14"/>
  <c r="J267" i="14"/>
  <c r="I267" i="14"/>
  <c r="H267" i="14"/>
  <c r="G267" i="14"/>
  <c r="F267" i="14"/>
  <c r="E267" i="14"/>
  <c r="D267" i="14"/>
  <c r="C267" i="14"/>
  <c r="B267" i="14"/>
  <c r="A267" i="14"/>
  <c r="J266" i="14"/>
  <c r="I266" i="14"/>
  <c r="H266" i="14"/>
  <c r="G266" i="14"/>
  <c r="F266" i="14"/>
  <c r="E266" i="14"/>
  <c r="D266" i="14"/>
  <c r="C266" i="14"/>
  <c r="B266" i="14"/>
  <c r="A266" i="14"/>
  <c r="K265" i="14"/>
  <c r="J265" i="14"/>
  <c r="I265" i="14"/>
  <c r="H265" i="14"/>
  <c r="G265" i="14"/>
  <c r="F265" i="14"/>
  <c r="E265" i="14"/>
  <c r="D265" i="14"/>
  <c r="C265" i="14"/>
  <c r="B265" i="14"/>
  <c r="A265" i="14"/>
  <c r="J264" i="14"/>
  <c r="I264" i="14"/>
  <c r="H264" i="14"/>
  <c r="G264" i="14"/>
  <c r="F264" i="14"/>
  <c r="E264" i="14"/>
  <c r="D264" i="14"/>
  <c r="C264" i="14"/>
  <c r="B264" i="14"/>
  <c r="A264" i="14"/>
  <c r="J263" i="14"/>
  <c r="I263" i="14"/>
  <c r="H263" i="14"/>
  <c r="G263" i="14"/>
  <c r="F263" i="14"/>
  <c r="E263" i="14"/>
  <c r="D263" i="14"/>
  <c r="C263" i="14"/>
  <c r="B263" i="14"/>
  <c r="A263" i="14"/>
  <c r="J262" i="14"/>
  <c r="I262" i="14"/>
  <c r="H262" i="14"/>
  <c r="G262" i="14"/>
  <c r="F262" i="14"/>
  <c r="E262" i="14"/>
  <c r="D262" i="14"/>
  <c r="C262" i="14"/>
  <c r="B262" i="14"/>
  <c r="A262" i="14"/>
  <c r="J261" i="14"/>
  <c r="I261" i="14"/>
  <c r="H261" i="14"/>
  <c r="G261" i="14"/>
  <c r="F261" i="14"/>
  <c r="E261" i="14"/>
  <c r="K261" i="14" s="1"/>
  <c r="D261" i="14"/>
  <c r="C261" i="14"/>
  <c r="B261" i="14"/>
  <c r="A261" i="14"/>
  <c r="J260" i="14"/>
  <c r="I260" i="14"/>
  <c r="H260" i="14"/>
  <c r="G260" i="14"/>
  <c r="F260" i="14"/>
  <c r="E260" i="14"/>
  <c r="D260" i="14"/>
  <c r="C260" i="14"/>
  <c r="B260" i="14"/>
  <c r="A260" i="14"/>
  <c r="K259" i="14"/>
  <c r="J259" i="14"/>
  <c r="I259" i="14"/>
  <c r="H259" i="14"/>
  <c r="G259" i="14"/>
  <c r="F259" i="14"/>
  <c r="E259" i="14"/>
  <c r="D259" i="14"/>
  <c r="C259" i="14"/>
  <c r="B259" i="14"/>
  <c r="A259" i="14"/>
  <c r="J258" i="14"/>
  <c r="I258" i="14"/>
  <c r="H258" i="14"/>
  <c r="G258" i="14"/>
  <c r="F258" i="14"/>
  <c r="E258" i="14"/>
  <c r="D258" i="14"/>
  <c r="C258" i="14"/>
  <c r="B258" i="14"/>
  <c r="A258" i="14"/>
  <c r="J257" i="14"/>
  <c r="I257" i="14"/>
  <c r="H257" i="14"/>
  <c r="G257" i="14"/>
  <c r="F257" i="14"/>
  <c r="E257" i="14"/>
  <c r="D257" i="14"/>
  <c r="C257" i="14"/>
  <c r="B257" i="14"/>
  <c r="A257" i="14"/>
  <c r="J256" i="14"/>
  <c r="I256" i="14"/>
  <c r="H256" i="14"/>
  <c r="G256" i="14"/>
  <c r="F256" i="14"/>
  <c r="E256" i="14"/>
  <c r="D256" i="14"/>
  <c r="C256" i="14"/>
  <c r="B256" i="14"/>
  <c r="A256" i="14"/>
  <c r="J255" i="14"/>
  <c r="I255" i="14"/>
  <c r="H255" i="14"/>
  <c r="G255" i="14"/>
  <c r="F255" i="14"/>
  <c r="E255" i="14"/>
  <c r="D255" i="14"/>
  <c r="C255" i="14"/>
  <c r="B255" i="14"/>
  <c r="A255" i="14"/>
  <c r="K254" i="14"/>
  <c r="J254" i="14"/>
  <c r="I254" i="14"/>
  <c r="H254" i="14"/>
  <c r="G254" i="14"/>
  <c r="F254" i="14"/>
  <c r="E254" i="14"/>
  <c r="D254" i="14"/>
  <c r="C254" i="14"/>
  <c r="B254" i="14"/>
  <c r="A254" i="14"/>
  <c r="K253" i="14"/>
  <c r="J253" i="14"/>
  <c r="I253" i="14"/>
  <c r="H253" i="14"/>
  <c r="G253" i="14"/>
  <c r="F253" i="14"/>
  <c r="E253" i="14"/>
  <c r="D253" i="14"/>
  <c r="C253" i="14"/>
  <c r="B253" i="14"/>
  <c r="A253" i="14"/>
  <c r="K252" i="14"/>
  <c r="J252" i="14"/>
  <c r="I252" i="14"/>
  <c r="H252" i="14"/>
  <c r="G252" i="14"/>
  <c r="F252" i="14"/>
  <c r="E252" i="14"/>
  <c r="D252" i="14"/>
  <c r="C252" i="14"/>
  <c r="B252" i="14"/>
  <c r="A252" i="14"/>
  <c r="K251" i="14"/>
  <c r="J251" i="14"/>
  <c r="I251" i="14"/>
  <c r="H251" i="14"/>
  <c r="G251" i="14"/>
  <c r="F251" i="14"/>
  <c r="E251" i="14"/>
  <c r="D251" i="14"/>
  <c r="C251" i="14"/>
  <c r="B251" i="14"/>
  <c r="A251" i="14"/>
  <c r="J250" i="14"/>
  <c r="I250" i="14"/>
  <c r="H250" i="14"/>
  <c r="G250" i="14"/>
  <c r="F250" i="14"/>
  <c r="E250" i="14"/>
  <c r="D250" i="14"/>
  <c r="C250" i="14"/>
  <c r="B250" i="14"/>
  <c r="A250" i="14"/>
  <c r="J249" i="14"/>
  <c r="I249" i="14"/>
  <c r="H249" i="14"/>
  <c r="G249" i="14"/>
  <c r="F249" i="14"/>
  <c r="E249" i="14"/>
  <c r="D249" i="14"/>
  <c r="C249" i="14"/>
  <c r="B249" i="14"/>
  <c r="A249" i="14"/>
  <c r="J248" i="14"/>
  <c r="I248" i="14"/>
  <c r="H248" i="14"/>
  <c r="G248" i="14"/>
  <c r="F248" i="14"/>
  <c r="E248" i="14"/>
  <c r="D248" i="14"/>
  <c r="C248" i="14"/>
  <c r="B248" i="14"/>
  <c r="A248" i="14"/>
  <c r="K247" i="14"/>
  <c r="J247" i="14"/>
  <c r="I247" i="14"/>
  <c r="H247" i="14"/>
  <c r="G247" i="14"/>
  <c r="F247" i="14"/>
  <c r="E247" i="14"/>
  <c r="D247" i="14"/>
  <c r="C247" i="14"/>
  <c r="B247" i="14"/>
  <c r="A247" i="14"/>
  <c r="K246" i="14"/>
  <c r="J246" i="14"/>
  <c r="I246" i="14"/>
  <c r="H246" i="14"/>
  <c r="G246" i="14"/>
  <c r="F246" i="14"/>
  <c r="E246" i="14"/>
  <c r="D246" i="14"/>
  <c r="C246" i="14"/>
  <c r="B246" i="14"/>
  <c r="A246" i="14"/>
  <c r="T245" i="14"/>
  <c r="K245" i="14"/>
  <c r="J245" i="14"/>
  <c r="I245" i="14"/>
  <c r="H245" i="14"/>
  <c r="G245" i="14"/>
  <c r="F245" i="14"/>
  <c r="E245" i="14"/>
  <c r="D245" i="14"/>
  <c r="C245" i="14"/>
  <c r="B245" i="14"/>
  <c r="A245" i="14"/>
  <c r="J244" i="14"/>
  <c r="I244" i="14"/>
  <c r="H244" i="14"/>
  <c r="G244" i="14"/>
  <c r="F244" i="14"/>
  <c r="E244" i="14"/>
  <c r="D244" i="14"/>
  <c r="C244" i="14"/>
  <c r="B244" i="14"/>
  <c r="A244" i="14"/>
  <c r="J243" i="14"/>
  <c r="I243" i="14"/>
  <c r="H243" i="14"/>
  <c r="G243" i="14"/>
  <c r="F243" i="14"/>
  <c r="E243" i="14"/>
  <c r="D243" i="14"/>
  <c r="C243" i="14"/>
  <c r="B243" i="14"/>
  <c r="A243" i="14"/>
  <c r="K242" i="14"/>
  <c r="J242" i="14"/>
  <c r="I242" i="14"/>
  <c r="H242" i="14"/>
  <c r="G242" i="14"/>
  <c r="F242" i="14"/>
  <c r="E242" i="14"/>
  <c r="D242" i="14"/>
  <c r="C242" i="14"/>
  <c r="B242" i="14"/>
  <c r="A242" i="14"/>
  <c r="J241" i="14"/>
  <c r="I241" i="14"/>
  <c r="H241" i="14"/>
  <c r="G241" i="14"/>
  <c r="F241" i="14"/>
  <c r="E241" i="14"/>
  <c r="D241" i="14"/>
  <c r="C241" i="14"/>
  <c r="B241" i="14"/>
  <c r="A241" i="14"/>
  <c r="J240" i="14"/>
  <c r="I240" i="14"/>
  <c r="H240" i="14"/>
  <c r="G240" i="14"/>
  <c r="F240" i="14"/>
  <c r="E240" i="14"/>
  <c r="D240" i="14"/>
  <c r="C240" i="14"/>
  <c r="B240" i="14"/>
  <c r="A240" i="14"/>
  <c r="J239" i="14"/>
  <c r="I239" i="14"/>
  <c r="H239" i="14"/>
  <c r="G239" i="14"/>
  <c r="F239" i="14"/>
  <c r="E239" i="14"/>
  <c r="D239" i="14"/>
  <c r="C239" i="14"/>
  <c r="B239" i="14"/>
  <c r="A239" i="14"/>
  <c r="J238" i="14"/>
  <c r="I238" i="14"/>
  <c r="H238" i="14"/>
  <c r="G238" i="14"/>
  <c r="F238" i="14"/>
  <c r="E238" i="14"/>
  <c r="D238" i="14"/>
  <c r="C238" i="14"/>
  <c r="B238" i="14"/>
  <c r="A238" i="14"/>
  <c r="J237" i="14"/>
  <c r="I237" i="14"/>
  <c r="H237" i="14"/>
  <c r="G237" i="14"/>
  <c r="F237" i="14"/>
  <c r="E237" i="14"/>
  <c r="D237" i="14"/>
  <c r="C237" i="14"/>
  <c r="B237" i="14"/>
  <c r="A237" i="14"/>
  <c r="J236" i="14"/>
  <c r="I236" i="14"/>
  <c r="H236" i="14"/>
  <c r="G236" i="14"/>
  <c r="F236" i="14"/>
  <c r="E236" i="14"/>
  <c r="D236" i="14"/>
  <c r="C236" i="14"/>
  <c r="B236" i="14"/>
  <c r="A236" i="14"/>
  <c r="J235" i="14"/>
  <c r="I235" i="14"/>
  <c r="H235" i="14"/>
  <c r="G235" i="14"/>
  <c r="F235" i="14"/>
  <c r="E235" i="14"/>
  <c r="D235" i="14"/>
  <c r="C235" i="14"/>
  <c r="B235" i="14"/>
  <c r="A235" i="14"/>
  <c r="J234" i="14"/>
  <c r="I234" i="14"/>
  <c r="H234" i="14"/>
  <c r="G234" i="14"/>
  <c r="F234" i="14"/>
  <c r="E234" i="14"/>
  <c r="D234" i="14"/>
  <c r="C234" i="14"/>
  <c r="B234" i="14"/>
  <c r="A234" i="14"/>
  <c r="J233" i="14"/>
  <c r="I233" i="14"/>
  <c r="H233" i="14"/>
  <c r="G233" i="14"/>
  <c r="F233" i="14"/>
  <c r="E233" i="14"/>
  <c r="D233" i="14"/>
  <c r="C233" i="14"/>
  <c r="B233" i="14"/>
  <c r="A233" i="14"/>
  <c r="J232" i="14"/>
  <c r="I232" i="14"/>
  <c r="H232" i="14"/>
  <c r="G232" i="14"/>
  <c r="F232" i="14"/>
  <c r="E232" i="14"/>
  <c r="D232" i="14"/>
  <c r="C232" i="14"/>
  <c r="B232" i="14"/>
  <c r="A232" i="14"/>
  <c r="J231" i="14"/>
  <c r="I231" i="14"/>
  <c r="H231" i="14"/>
  <c r="G231" i="14"/>
  <c r="F231" i="14"/>
  <c r="E231" i="14"/>
  <c r="D231" i="14"/>
  <c r="C231" i="14"/>
  <c r="B231" i="14"/>
  <c r="A231" i="14"/>
  <c r="K230" i="14"/>
  <c r="J230" i="14"/>
  <c r="I230" i="14"/>
  <c r="H230" i="14"/>
  <c r="G230" i="14"/>
  <c r="F230" i="14"/>
  <c r="E230" i="14"/>
  <c r="D230" i="14"/>
  <c r="C230" i="14"/>
  <c r="B230" i="14"/>
  <c r="A230" i="14"/>
  <c r="J229" i="14"/>
  <c r="I229" i="14"/>
  <c r="H229" i="14"/>
  <c r="G229" i="14"/>
  <c r="F229" i="14"/>
  <c r="E229" i="14"/>
  <c r="D229" i="14"/>
  <c r="C229" i="14"/>
  <c r="B229" i="14"/>
  <c r="A229" i="14"/>
  <c r="K228" i="14"/>
  <c r="J228" i="14"/>
  <c r="I228" i="14"/>
  <c r="H228" i="14"/>
  <c r="G228" i="14"/>
  <c r="F228" i="14"/>
  <c r="E228" i="14"/>
  <c r="D228" i="14"/>
  <c r="C228" i="14"/>
  <c r="B228" i="14"/>
  <c r="A228" i="14"/>
  <c r="K227" i="14"/>
  <c r="J227" i="14"/>
  <c r="I227" i="14"/>
  <c r="H227" i="14"/>
  <c r="G227" i="14"/>
  <c r="F227" i="14"/>
  <c r="E227" i="14"/>
  <c r="D227" i="14"/>
  <c r="C227" i="14"/>
  <c r="B227" i="14"/>
  <c r="A227" i="14"/>
  <c r="T226" i="14"/>
  <c r="Y226" i="14" s="1"/>
  <c r="J226" i="14"/>
  <c r="I226" i="14"/>
  <c r="H226" i="14"/>
  <c r="G226" i="14"/>
  <c r="F226" i="14"/>
  <c r="E226" i="14"/>
  <c r="D226" i="14"/>
  <c r="C226" i="14"/>
  <c r="B226" i="14"/>
  <c r="A226" i="14"/>
  <c r="J225" i="14"/>
  <c r="I225" i="14"/>
  <c r="H225" i="14"/>
  <c r="G225" i="14"/>
  <c r="F225" i="14"/>
  <c r="E225" i="14"/>
  <c r="D225" i="14"/>
  <c r="C225" i="14"/>
  <c r="B225" i="14"/>
  <c r="A225" i="14"/>
  <c r="J224" i="14"/>
  <c r="I224" i="14"/>
  <c r="H224" i="14"/>
  <c r="G224" i="14"/>
  <c r="F224" i="14"/>
  <c r="E224" i="14"/>
  <c r="D224" i="14"/>
  <c r="C224" i="14"/>
  <c r="B224" i="14"/>
  <c r="A224" i="14"/>
  <c r="K223" i="14"/>
  <c r="J223" i="14"/>
  <c r="I223" i="14"/>
  <c r="H223" i="14"/>
  <c r="G223" i="14"/>
  <c r="F223" i="14"/>
  <c r="E223" i="14"/>
  <c r="D223" i="14"/>
  <c r="C223" i="14"/>
  <c r="B223" i="14"/>
  <c r="A223" i="14"/>
  <c r="J222" i="14"/>
  <c r="I222" i="14"/>
  <c r="H222" i="14"/>
  <c r="G222" i="14"/>
  <c r="F222" i="14"/>
  <c r="E222" i="14"/>
  <c r="D222" i="14"/>
  <c r="C222" i="14"/>
  <c r="B222" i="14"/>
  <c r="A222" i="14"/>
  <c r="J221" i="14"/>
  <c r="I221" i="14"/>
  <c r="H221" i="14"/>
  <c r="G221" i="14"/>
  <c r="F221" i="14"/>
  <c r="E221" i="14"/>
  <c r="D221" i="14"/>
  <c r="C221" i="14"/>
  <c r="B221" i="14"/>
  <c r="A221" i="14"/>
  <c r="K220" i="14"/>
  <c r="J220" i="14"/>
  <c r="I220" i="14"/>
  <c r="H220" i="14"/>
  <c r="G220" i="14"/>
  <c r="F220" i="14"/>
  <c r="E220" i="14"/>
  <c r="D220" i="14"/>
  <c r="C220" i="14"/>
  <c r="B220" i="14"/>
  <c r="A220" i="14"/>
  <c r="K219" i="14"/>
  <c r="J219" i="14"/>
  <c r="I219" i="14"/>
  <c r="H219" i="14"/>
  <c r="G219" i="14"/>
  <c r="F219" i="14"/>
  <c r="E219" i="14"/>
  <c r="D219" i="14"/>
  <c r="C219" i="14"/>
  <c r="B219" i="14"/>
  <c r="A219" i="14"/>
  <c r="V218" i="14"/>
  <c r="J218" i="14"/>
  <c r="I218" i="14"/>
  <c r="H218" i="14"/>
  <c r="G218" i="14"/>
  <c r="F218" i="14"/>
  <c r="E218" i="14"/>
  <c r="D218" i="14"/>
  <c r="C218" i="14"/>
  <c r="B218" i="14"/>
  <c r="A218" i="14"/>
  <c r="K217" i="14"/>
  <c r="J217" i="14"/>
  <c r="I217" i="14"/>
  <c r="H217" i="14"/>
  <c r="G217" i="14"/>
  <c r="F217" i="14"/>
  <c r="E217" i="14"/>
  <c r="D217" i="14"/>
  <c r="C217" i="14"/>
  <c r="B217" i="14"/>
  <c r="A217" i="14"/>
  <c r="J216" i="14"/>
  <c r="I216" i="14"/>
  <c r="H216" i="14"/>
  <c r="G216" i="14"/>
  <c r="F216" i="14"/>
  <c r="E216" i="14"/>
  <c r="D216" i="14"/>
  <c r="C216" i="14"/>
  <c r="B216" i="14"/>
  <c r="A216" i="14"/>
  <c r="J215" i="14"/>
  <c r="I215" i="14"/>
  <c r="H215" i="14"/>
  <c r="G215" i="14"/>
  <c r="F215" i="14"/>
  <c r="E215" i="14"/>
  <c r="D215" i="14"/>
  <c r="C215" i="14"/>
  <c r="B215" i="14"/>
  <c r="A215" i="14"/>
  <c r="K214" i="14"/>
  <c r="J214" i="14"/>
  <c r="I214" i="14"/>
  <c r="H214" i="14"/>
  <c r="G214" i="14"/>
  <c r="F214" i="14"/>
  <c r="E214" i="14"/>
  <c r="D214" i="14"/>
  <c r="C214" i="14"/>
  <c r="B214" i="14"/>
  <c r="A214" i="14"/>
  <c r="J213" i="14"/>
  <c r="I213" i="14"/>
  <c r="H213" i="14"/>
  <c r="G213" i="14"/>
  <c r="F213" i="14"/>
  <c r="E213" i="14"/>
  <c r="D213" i="14"/>
  <c r="C213" i="14"/>
  <c r="B213" i="14"/>
  <c r="A213" i="14"/>
  <c r="J212" i="14"/>
  <c r="I212" i="14"/>
  <c r="H212" i="14"/>
  <c r="G212" i="14"/>
  <c r="F212" i="14"/>
  <c r="E212" i="14"/>
  <c r="D212" i="14"/>
  <c r="C212" i="14"/>
  <c r="B212" i="14"/>
  <c r="A212" i="14"/>
  <c r="J211" i="14"/>
  <c r="I211" i="14"/>
  <c r="H211" i="14"/>
  <c r="G211" i="14"/>
  <c r="F211" i="14"/>
  <c r="E211" i="14"/>
  <c r="D211" i="14"/>
  <c r="C211" i="14"/>
  <c r="B211" i="14"/>
  <c r="A211" i="14"/>
  <c r="J210" i="14"/>
  <c r="I210" i="14"/>
  <c r="H210" i="14"/>
  <c r="G210" i="14"/>
  <c r="F210" i="14"/>
  <c r="E210" i="14"/>
  <c r="D210" i="14"/>
  <c r="C210" i="14"/>
  <c r="B210" i="14"/>
  <c r="A210" i="14"/>
  <c r="J209" i="14"/>
  <c r="I209" i="14"/>
  <c r="H209" i="14"/>
  <c r="G209" i="14"/>
  <c r="F209" i="14"/>
  <c r="E209" i="14"/>
  <c r="D209" i="14"/>
  <c r="C209" i="14"/>
  <c r="B209" i="14"/>
  <c r="A209" i="14"/>
  <c r="J208" i="14"/>
  <c r="I208" i="14"/>
  <c r="H208" i="14"/>
  <c r="G208" i="14"/>
  <c r="F208" i="14"/>
  <c r="E208" i="14"/>
  <c r="D208" i="14"/>
  <c r="C208" i="14"/>
  <c r="B208" i="14"/>
  <c r="A208" i="14"/>
  <c r="J207" i="14"/>
  <c r="I207" i="14"/>
  <c r="H207" i="14"/>
  <c r="G207" i="14"/>
  <c r="F207" i="14"/>
  <c r="E207" i="14"/>
  <c r="D207" i="14"/>
  <c r="C207" i="14"/>
  <c r="B207" i="14"/>
  <c r="A207" i="14"/>
  <c r="J206" i="14"/>
  <c r="I206" i="14"/>
  <c r="H206" i="14"/>
  <c r="G206" i="14"/>
  <c r="F206" i="14"/>
  <c r="E206" i="14"/>
  <c r="D206" i="14"/>
  <c r="C206" i="14"/>
  <c r="B206" i="14"/>
  <c r="A206" i="14"/>
  <c r="J205" i="14"/>
  <c r="I205" i="14"/>
  <c r="H205" i="14"/>
  <c r="G205" i="14"/>
  <c r="F205" i="14"/>
  <c r="E205" i="14"/>
  <c r="D205" i="14"/>
  <c r="C205" i="14"/>
  <c r="B205" i="14"/>
  <c r="A205" i="14"/>
  <c r="J204" i="14"/>
  <c r="I204" i="14"/>
  <c r="H204" i="14"/>
  <c r="G204" i="14"/>
  <c r="F204" i="14"/>
  <c r="E204" i="14"/>
  <c r="D204" i="14"/>
  <c r="C204" i="14"/>
  <c r="B204" i="14"/>
  <c r="A204" i="14"/>
  <c r="J203" i="14"/>
  <c r="I203" i="14"/>
  <c r="H203" i="14"/>
  <c r="G203" i="14"/>
  <c r="F203" i="14"/>
  <c r="E203" i="14"/>
  <c r="D203" i="14"/>
  <c r="C203" i="14"/>
  <c r="B203" i="14"/>
  <c r="A203" i="14"/>
  <c r="J202" i="14"/>
  <c r="I202" i="14"/>
  <c r="H202" i="14"/>
  <c r="G202" i="14"/>
  <c r="F202" i="14"/>
  <c r="E202" i="14"/>
  <c r="D202" i="14"/>
  <c r="C202" i="14"/>
  <c r="B202" i="14"/>
  <c r="A202" i="14"/>
  <c r="J201" i="14"/>
  <c r="I201" i="14"/>
  <c r="H201" i="14"/>
  <c r="G201" i="14"/>
  <c r="F201" i="14"/>
  <c r="E201" i="14"/>
  <c r="D201" i="14"/>
  <c r="C201" i="14"/>
  <c r="B201" i="14"/>
  <c r="A201" i="14"/>
  <c r="J200" i="14"/>
  <c r="I200" i="14"/>
  <c r="H200" i="14"/>
  <c r="G200" i="14"/>
  <c r="F200" i="14"/>
  <c r="E200" i="14"/>
  <c r="D200" i="14"/>
  <c r="C200" i="14"/>
  <c r="B200" i="14"/>
  <c r="A200" i="14"/>
  <c r="K199" i="14"/>
  <c r="J199" i="14"/>
  <c r="I199" i="14"/>
  <c r="H199" i="14"/>
  <c r="G199" i="14"/>
  <c r="F199" i="14"/>
  <c r="E199" i="14"/>
  <c r="D199" i="14"/>
  <c r="C199" i="14"/>
  <c r="B199" i="14"/>
  <c r="A199" i="14"/>
  <c r="K198" i="14"/>
  <c r="J198" i="14"/>
  <c r="I198" i="14"/>
  <c r="H198" i="14"/>
  <c r="G198" i="14"/>
  <c r="F198" i="14"/>
  <c r="E198" i="14"/>
  <c r="D198" i="14"/>
  <c r="C198" i="14"/>
  <c r="B198" i="14"/>
  <c r="A198" i="14"/>
  <c r="J197" i="14"/>
  <c r="I197" i="14"/>
  <c r="H197" i="14"/>
  <c r="G197" i="14"/>
  <c r="F197" i="14"/>
  <c r="E197" i="14"/>
  <c r="D197" i="14"/>
  <c r="C197" i="14"/>
  <c r="B197" i="14"/>
  <c r="A197" i="14"/>
  <c r="J196" i="14"/>
  <c r="I196" i="14"/>
  <c r="H196" i="14"/>
  <c r="G196" i="14"/>
  <c r="F196" i="14"/>
  <c r="E196" i="14"/>
  <c r="D196" i="14"/>
  <c r="C196" i="14"/>
  <c r="B196" i="14"/>
  <c r="A196" i="14"/>
  <c r="K195" i="14"/>
  <c r="J195" i="14"/>
  <c r="I195" i="14"/>
  <c r="H195" i="14"/>
  <c r="G195" i="14"/>
  <c r="F195" i="14"/>
  <c r="E195" i="14"/>
  <c r="D195" i="14"/>
  <c r="C195" i="14"/>
  <c r="B195" i="14"/>
  <c r="A195" i="14"/>
  <c r="K194" i="14"/>
  <c r="J194" i="14"/>
  <c r="I194" i="14"/>
  <c r="H194" i="14"/>
  <c r="G194" i="14"/>
  <c r="F194" i="14"/>
  <c r="E194" i="14"/>
  <c r="D194" i="14"/>
  <c r="C194" i="14"/>
  <c r="B194" i="14"/>
  <c r="A194" i="14"/>
  <c r="J193" i="14"/>
  <c r="I193" i="14"/>
  <c r="H193" i="14"/>
  <c r="G193" i="14"/>
  <c r="F193" i="14"/>
  <c r="E193" i="14"/>
  <c r="D193" i="14"/>
  <c r="C193" i="14"/>
  <c r="B193" i="14"/>
  <c r="A193" i="14"/>
  <c r="J192" i="14"/>
  <c r="I192" i="14"/>
  <c r="H192" i="14"/>
  <c r="G192" i="14"/>
  <c r="F192" i="14"/>
  <c r="E192" i="14"/>
  <c r="D192" i="14"/>
  <c r="C192" i="14"/>
  <c r="B192" i="14"/>
  <c r="A192" i="14"/>
  <c r="K191" i="14"/>
  <c r="J191" i="14"/>
  <c r="I191" i="14"/>
  <c r="H191" i="14"/>
  <c r="G191" i="14"/>
  <c r="F191" i="14"/>
  <c r="E191" i="14"/>
  <c r="D191" i="14"/>
  <c r="C191" i="14"/>
  <c r="B191" i="14"/>
  <c r="A191" i="14"/>
  <c r="K190" i="14"/>
  <c r="J190" i="14"/>
  <c r="I190" i="14"/>
  <c r="H190" i="14"/>
  <c r="G190" i="14"/>
  <c r="F190" i="14"/>
  <c r="E190" i="14"/>
  <c r="D190" i="14"/>
  <c r="C190" i="14"/>
  <c r="B190" i="14"/>
  <c r="A190" i="14"/>
  <c r="J189" i="14"/>
  <c r="I189" i="14"/>
  <c r="H189" i="14"/>
  <c r="G189" i="14"/>
  <c r="F189" i="14"/>
  <c r="E189" i="14"/>
  <c r="D189" i="14"/>
  <c r="C189" i="14"/>
  <c r="B189" i="14"/>
  <c r="A189" i="14"/>
  <c r="J188" i="14"/>
  <c r="I188" i="14"/>
  <c r="H188" i="14"/>
  <c r="G188" i="14"/>
  <c r="F188" i="14"/>
  <c r="E188" i="14"/>
  <c r="D188" i="14"/>
  <c r="C188" i="14"/>
  <c r="B188" i="14"/>
  <c r="A188" i="14"/>
  <c r="J187" i="14"/>
  <c r="I187" i="14"/>
  <c r="H187" i="14"/>
  <c r="G187" i="14"/>
  <c r="F187" i="14"/>
  <c r="E187" i="14"/>
  <c r="D187" i="14"/>
  <c r="C187" i="14"/>
  <c r="B187" i="14"/>
  <c r="A187" i="14"/>
  <c r="J186" i="14"/>
  <c r="I186" i="14"/>
  <c r="H186" i="14"/>
  <c r="G186" i="14"/>
  <c r="F186" i="14"/>
  <c r="E186" i="14"/>
  <c r="D186" i="14"/>
  <c r="C186" i="14"/>
  <c r="B186" i="14"/>
  <c r="A186" i="14"/>
  <c r="T185" i="14"/>
  <c r="Y185" i="14" s="1"/>
  <c r="J185" i="14"/>
  <c r="I185" i="14"/>
  <c r="H185" i="14"/>
  <c r="G185" i="14"/>
  <c r="F185" i="14"/>
  <c r="E185" i="14"/>
  <c r="D185" i="14"/>
  <c r="C185" i="14"/>
  <c r="B185" i="14"/>
  <c r="A185" i="14"/>
  <c r="T184" i="14"/>
  <c r="V184" i="14"/>
  <c r="K184" i="14"/>
  <c r="J184" i="14"/>
  <c r="I184" i="14"/>
  <c r="H184" i="14"/>
  <c r="G184" i="14"/>
  <c r="F184" i="14"/>
  <c r="E184" i="14"/>
  <c r="D184" i="14"/>
  <c r="C184" i="14"/>
  <c r="B184" i="14"/>
  <c r="A184" i="14"/>
  <c r="K183" i="14"/>
  <c r="J183" i="14"/>
  <c r="I183" i="14"/>
  <c r="H183" i="14"/>
  <c r="G183" i="14"/>
  <c r="F183" i="14"/>
  <c r="E183" i="14"/>
  <c r="D183" i="14"/>
  <c r="C183" i="14"/>
  <c r="B183" i="14"/>
  <c r="A183" i="14"/>
  <c r="J182" i="14"/>
  <c r="I182" i="14"/>
  <c r="H182" i="14"/>
  <c r="G182" i="14"/>
  <c r="F182" i="14"/>
  <c r="E182" i="14"/>
  <c r="D182" i="14"/>
  <c r="C182" i="14"/>
  <c r="B182" i="14"/>
  <c r="A182" i="14"/>
  <c r="J181" i="14"/>
  <c r="I181" i="14"/>
  <c r="H181" i="14"/>
  <c r="G181" i="14"/>
  <c r="F181" i="14"/>
  <c r="E181" i="14"/>
  <c r="D181" i="14"/>
  <c r="C181" i="14"/>
  <c r="B181" i="14"/>
  <c r="A181" i="14"/>
  <c r="K180" i="14"/>
  <c r="J180" i="14"/>
  <c r="I180" i="14"/>
  <c r="H180" i="14"/>
  <c r="G180" i="14"/>
  <c r="F180" i="14"/>
  <c r="E180" i="14"/>
  <c r="D180" i="14"/>
  <c r="C180" i="14"/>
  <c r="B180" i="14"/>
  <c r="A180" i="14"/>
  <c r="K179" i="14"/>
  <c r="J179" i="14"/>
  <c r="I179" i="14"/>
  <c r="H179" i="14"/>
  <c r="G179" i="14"/>
  <c r="F179" i="14"/>
  <c r="E179" i="14"/>
  <c r="D179" i="14"/>
  <c r="C179" i="14"/>
  <c r="B179" i="14"/>
  <c r="A179" i="14"/>
  <c r="K178" i="14"/>
  <c r="J178" i="14"/>
  <c r="I178" i="14"/>
  <c r="H178" i="14"/>
  <c r="G178" i="14"/>
  <c r="F178" i="14"/>
  <c r="E178" i="14"/>
  <c r="D178" i="14"/>
  <c r="C178" i="14"/>
  <c r="B178" i="14"/>
  <c r="A178" i="14"/>
  <c r="J177" i="14"/>
  <c r="I177" i="14"/>
  <c r="H177" i="14"/>
  <c r="G177" i="14"/>
  <c r="F177" i="14"/>
  <c r="E177" i="14"/>
  <c r="D177" i="14"/>
  <c r="C177" i="14"/>
  <c r="B177" i="14"/>
  <c r="A177" i="14"/>
  <c r="J176" i="14"/>
  <c r="I176" i="14"/>
  <c r="H176" i="14"/>
  <c r="G176" i="14"/>
  <c r="F176" i="14"/>
  <c r="E176" i="14"/>
  <c r="D176" i="14"/>
  <c r="C176" i="14"/>
  <c r="B176" i="14"/>
  <c r="A176" i="14"/>
  <c r="K175" i="14"/>
  <c r="J175" i="14"/>
  <c r="I175" i="14"/>
  <c r="H175" i="14"/>
  <c r="G175" i="14"/>
  <c r="F175" i="14"/>
  <c r="E175" i="14"/>
  <c r="D175" i="14"/>
  <c r="C175" i="14"/>
  <c r="B175" i="14"/>
  <c r="A175" i="14"/>
  <c r="J174" i="14"/>
  <c r="I174" i="14"/>
  <c r="H174" i="14"/>
  <c r="G174" i="14"/>
  <c r="F174" i="14"/>
  <c r="E174" i="14"/>
  <c r="D174" i="14"/>
  <c r="C174" i="14"/>
  <c r="B174" i="14"/>
  <c r="A174" i="14"/>
  <c r="J173" i="14"/>
  <c r="I173" i="14"/>
  <c r="H173" i="14"/>
  <c r="G173" i="14"/>
  <c r="F173" i="14"/>
  <c r="E173" i="14"/>
  <c r="D173" i="14"/>
  <c r="C173" i="14"/>
  <c r="B173" i="14"/>
  <c r="A173" i="14"/>
  <c r="J172" i="14"/>
  <c r="I172" i="14"/>
  <c r="H172" i="14"/>
  <c r="G172" i="14"/>
  <c r="F172" i="14"/>
  <c r="E172" i="14"/>
  <c r="D172" i="14"/>
  <c r="C172" i="14"/>
  <c r="B172" i="14"/>
  <c r="A172" i="14"/>
  <c r="J171" i="14"/>
  <c r="I171" i="14"/>
  <c r="H171" i="14"/>
  <c r="G171" i="14"/>
  <c r="F171" i="14"/>
  <c r="E171" i="14"/>
  <c r="D171" i="14"/>
  <c r="C171" i="14"/>
  <c r="B171" i="14"/>
  <c r="A171" i="14"/>
  <c r="J170" i="14"/>
  <c r="I170" i="14"/>
  <c r="H170" i="14"/>
  <c r="G170" i="14"/>
  <c r="F170" i="14"/>
  <c r="E170" i="14"/>
  <c r="D170" i="14"/>
  <c r="C170" i="14"/>
  <c r="B170" i="14"/>
  <c r="A170" i="14"/>
  <c r="K169" i="14"/>
  <c r="J169" i="14"/>
  <c r="I169" i="14"/>
  <c r="H169" i="14"/>
  <c r="G169" i="14"/>
  <c r="F169" i="14"/>
  <c r="E169" i="14"/>
  <c r="D169" i="14"/>
  <c r="C169" i="14"/>
  <c r="B169" i="14"/>
  <c r="A169" i="14"/>
  <c r="K168" i="14"/>
  <c r="J168" i="14"/>
  <c r="I168" i="14"/>
  <c r="H168" i="14"/>
  <c r="G168" i="14"/>
  <c r="F168" i="14"/>
  <c r="E168" i="14"/>
  <c r="D168" i="14"/>
  <c r="C168" i="14"/>
  <c r="B168" i="14"/>
  <c r="A168" i="14"/>
  <c r="K167" i="14"/>
  <c r="J167" i="14"/>
  <c r="I167" i="14"/>
  <c r="H167" i="14"/>
  <c r="G167" i="14"/>
  <c r="F167" i="14"/>
  <c r="E167" i="14"/>
  <c r="D167" i="14"/>
  <c r="C167" i="14"/>
  <c r="B167" i="14"/>
  <c r="A167" i="14"/>
  <c r="J166" i="14"/>
  <c r="I166" i="14"/>
  <c r="H166" i="14"/>
  <c r="G166" i="14"/>
  <c r="F166" i="14"/>
  <c r="E166" i="14"/>
  <c r="D166" i="14"/>
  <c r="C166" i="14"/>
  <c r="B166" i="14"/>
  <c r="A166" i="14"/>
  <c r="J165" i="14"/>
  <c r="I165" i="14"/>
  <c r="H165" i="14"/>
  <c r="G165" i="14"/>
  <c r="F165" i="14"/>
  <c r="E165" i="14"/>
  <c r="D165" i="14"/>
  <c r="C165" i="14"/>
  <c r="B165" i="14"/>
  <c r="A165" i="14"/>
  <c r="K164" i="14"/>
  <c r="J164" i="14"/>
  <c r="I164" i="14"/>
  <c r="H164" i="14"/>
  <c r="G164" i="14"/>
  <c r="F164" i="14"/>
  <c r="E164" i="14"/>
  <c r="D164" i="14"/>
  <c r="C164" i="14"/>
  <c r="B164" i="14"/>
  <c r="A164" i="14"/>
  <c r="J163" i="14"/>
  <c r="I163" i="14"/>
  <c r="H163" i="14"/>
  <c r="G163" i="14"/>
  <c r="F163" i="14"/>
  <c r="E163" i="14"/>
  <c r="D163" i="14"/>
  <c r="C163" i="14"/>
  <c r="B163" i="14"/>
  <c r="A163" i="14"/>
  <c r="J162" i="14"/>
  <c r="I162" i="14"/>
  <c r="H162" i="14"/>
  <c r="G162" i="14"/>
  <c r="F162" i="14"/>
  <c r="E162" i="14"/>
  <c r="D162" i="14"/>
  <c r="C162" i="14"/>
  <c r="B162" i="14"/>
  <c r="A162" i="14"/>
  <c r="J161" i="14"/>
  <c r="I161" i="14"/>
  <c r="H161" i="14"/>
  <c r="G161" i="14"/>
  <c r="F161" i="14"/>
  <c r="E161" i="14"/>
  <c r="D161" i="14"/>
  <c r="C161" i="14"/>
  <c r="B161" i="14"/>
  <c r="A161" i="14"/>
  <c r="J160" i="14"/>
  <c r="I160" i="14"/>
  <c r="H160" i="14"/>
  <c r="G160" i="14"/>
  <c r="F160" i="14"/>
  <c r="E160" i="14"/>
  <c r="D160" i="14"/>
  <c r="C160" i="14"/>
  <c r="B160" i="14"/>
  <c r="A160" i="14"/>
  <c r="J159" i="14"/>
  <c r="I159" i="14"/>
  <c r="H159" i="14"/>
  <c r="G159" i="14"/>
  <c r="F159" i="14"/>
  <c r="E159" i="14"/>
  <c r="D159" i="14"/>
  <c r="C159" i="14"/>
  <c r="B159" i="14"/>
  <c r="A159" i="14"/>
  <c r="J158" i="14"/>
  <c r="I158" i="14"/>
  <c r="H158" i="14"/>
  <c r="G158" i="14"/>
  <c r="F158" i="14"/>
  <c r="E158" i="14"/>
  <c r="D158" i="14"/>
  <c r="C158" i="14"/>
  <c r="B158" i="14"/>
  <c r="A158" i="14"/>
  <c r="J157" i="14"/>
  <c r="I157" i="14"/>
  <c r="H157" i="14"/>
  <c r="G157" i="14"/>
  <c r="F157" i="14"/>
  <c r="E157" i="14"/>
  <c r="D157" i="14"/>
  <c r="C157" i="14"/>
  <c r="B157" i="14"/>
  <c r="A157" i="14"/>
  <c r="J156" i="14"/>
  <c r="I156" i="14"/>
  <c r="H156" i="14"/>
  <c r="G156" i="14"/>
  <c r="F156" i="14"/>
  <c r="E156" i="14"/>
  <c r="D156" i="14"/>
  <c r="C156" i="14"/>
  <c r="B156" i="14"/>
  <c r="A156" i="14"/>
  <c r="J155" i="14"/>
  <c r="I155" i="14"/>
  <c r="H155" i="14"/>
  <c r="G155" i="14"/>
  <c r="F155" i="14"/>
  <c r="E155" i="14"/>
  <c r="D155" i="14"/>
  <c r="C155" i="14"/>
  <c r="B155" i="14"/>
  <c r="A155" i="14"/>
  <c r="J154" i="14"/>
  <c r="I154" i="14"/>
  <c r="H154" i="14"/>
  <c r="G154" i="14"/>
  <c r="F154" i="14"/>
  <c r="E154" i="14"/>
  <c r="D154" i="14"/>
  <c r="C154" i="14"/>
  <c r="B154" i="14"/>
  <c r="A154" i="14"/>
  <c r="J153" i="14"/>
  <c r="I153" i="14"/>
  <c r="H153" i="14"/>
  <c r="G153" i="14"/>
  <c r="F153" i="14"/>
  <c r="E153" i="14"/>
  <c r="D153" i="14"/>
  <c r="C153" i="14"/>
  <c r="B153" i="14"/>
  <c r="A153" i="14"/>
  <c r="K152" i="14"/>
  <c r="J152" i="14"/>
  <c r="I152" i="14"/>
  <c r="H152" i="14"/>
  <c r="G152" i="14"/>
  <c r="F152" i="14"/>
  <c r="E152" i="14"/>
  <c r="D152" i="14"/>
  <c r="C152" i="14"/>
  <c r="B152" i="14"/>
  <c r="A152" i="14"/>
  <c r="K151" i="14"/>
  <c r="J151" i="14"/>
  <c r="I151" i="14"/>
  <c r="H151" i="14"/>
  <c r="G151" i="14"/>
  <c r="F151" i="14"/>
  <c r="E151" i="14"/>
  <c r="D151" i="14"/>
  <c r="C151" i="14"/>
  <c r="B151" i="14"/>
  <c r="A151" i="14"/>
  <c r="K150" i="14"/>
  <c r="J150" i="14"/>
  <c r="I150" i="14"/>
  <c r="H150" i="14"/>
  <c r="G150" i="14"/>
  <c r="F150" i="14"/>
  <c r="E150" i="14"/>
  <c r="D150" i="14"/>
  <c r="C150" i="14"/>
  <c r="B150" i="14"/>
  <c r="A150" i="14"/>
  <c r="J149" i="14"/>
  <c r="I149" i="14"/>
  <c r="H149" i="14"/>
  <c r="G149" i="14"/>
  <c r="F149" i="14"/>
  <c r="E149" i="14"/>
  <c r="D149" i="14"/>
  <c r="C149" i="14"/>
  <c r="B149" i="14"/>
  <c r="A149" i="14"/>
  <c r="J148" i="14"/>
  <c r="I148" i="14"/>
  <c r="H148" i="14"/>
  <c r="G148" i="14"/>
  <c r="F148" i="14"/>
  <c r="E148" i="14"/>
  <c r="D148" i="14"/>
  <c r="C148" i="14"/>
  <c r="B148" i="14"/>
  <c r="A148" i="14"/>
  <c r="J147" i="14"/>
  <c r="I147" i="14"/>
  <c r="H147" i="14"/>
  <c r="G147" i="14"/>
  <c r="F147" i="14"/>
  <c r="K147" i="14" s="1"/>
  <c r="E147" i="14"/>
  <c r="D147" i="14"/>
  <c r="C147" i="14"/>
  <c r="B147" i="14"/>
  <c r="A147" i="14"/>
  <c r="K146" i="14"/>
  <c r="J146" i="14"/>
  <c r="I146" i="14"/>
  <c r="H146" i="14"/>
  <c r="G146" i="14"/>
  <c r="F146" i="14"/>
  <c r="E146" i="14"/>
  <c r="D146" i="14"/>
  <c r="C146" i="14"/>
  <c r="B146" i="14"/>
  <c r="A146" i="14"/>
  <c r="K145" i="14"/>
  <c r="J145" i="14"/>
  <c r="I145" i="14"/>
  <c r="H145" i="14"/>
  <c r="G145" i="14"/>
  <c r="F145" i="14"/>
  <c r="E145" i="14"/>
  <c r="D145" i="14"/>
  <c r="C145" i="14"/>
  <c r="B145" i="14"/>
  <c r="A145" i="14"/>
  <c r="K144" i="14"/>
  <c r="J144" i="14"/>
  <c r="I144" i="14"/>
  <c r="H144" i="14"/>
  <c r="G144" i="14"/>
  <c r="F144" i="14"/>
  <c r="E144" i="14"/>
  <c r="D144" i="14"/>
  <c r="C144" i="14"/>
  <c r="B144" i="14"/>
  <c r="A144" i="14"/>
  <c r="K143" i="14"/>
  <c r="J143" i="14"/>
  <c r="I143" i="14"/>
  <c r="H143" i="14"/>
  <c r="G143" i="14"/>
  <c r="F143" i="14"/>
  <c r="E143" i="14"/>
  <c r="D143" i="14"/>
  <c r="C143" i="14"/>
  <c r="B143" i="14"/>
  <c r="A143" i="14"/>
  <c r="J142" i="14"/>
  <c r="I142" i="14"/>
  <c r="H142" i="14"/>
  <c r="G142" i="14"/>
  <c r="F142" i="14"/>
  <c r="E142" i="14"/>
  <c r="D142" i="14"/>
  <c r="C142" i="14"/>
  <c r="B142" i="14"/>
  <c r="A142" i="14"/>
  <c r="J141" i="14"/>
  <c r="I141" i="14"/>
  <c r="H141" i="14"/>
  <c r="G141" i="14"/>
  <c r="F141" i="14"/>
  <c r="E141" i="14"/>
  <c r="D141" i="14"/>
  <c r="C141" i="14"/>
  <c r="B141" i="14"/>
  <c r="A141" i="14"/>
  <c r="J140" i="14"/>
  <c r="I140" i="14"/>
  <c r="H140" i="14"/>
  <c r="G140" i="14"/>
  <c r="F140" i="14"/>
  <c r="E140" i="14"/>
  <c r="D140" i="14"/>
  <c r="C140" i="14"/>
  <c r="B140" i="14"/>
  <c r="A140" i="14"/>
  <c r="K139" i="14"/>
  <c r="J139" i="14"/>
  <c r="I139" i="14"/>
  <c r="H139" i="14"/>
  <c r="G139" i="14"/>
  <c r="F139" i="14"/>
  <c r="E139" i="14"/>
  <c r="D139" i="14"/>
  <c r="C139" i="14"/>
  <c r="B139" i="14"/>
  <c r="A139" i="14"/>
  <c r="K138" i="14"/>
  <c r="J138" i="14"/>
  <c r="I138" i="14"/>
  <c r="H138" i="14"/>
  <c r="G138" i="14"/>
  <c r="F138" i="14"/>
  <c r="E138" i="14"/>
  <c r="D138" i="14"/>
  <c r="C138" i="14"/>
  <c r="B138" i="14"/>
  <c r="A138" i="14"/>
  <c r="K137" i="14"/>
  <c r="J137" i="14"/>
  <c r="I137" i="14"/>
  <c r="H137" i="14"/>
  <c r="G137" i="14"/>
  <c r="F137" i="14"/>
  <c r="E137" i="14"/>
  <c r="D137" i="14"/>
  <c r="C137" i="14"/>
  <c r="B137" i="14"/>
  <c r="A137" i="14"/>
  <c r="K136" i="14"/>
  <c r="J136" i="14"/>
  <c r="I136" i="14"/>
  <c r="H136" i="14"/>
  <c r="G136" i="14"/>
  <c r="F136" i="14"/>
  <c r="E136" i="14"/>
  <c r="D136" i="14"/>
  <c r="C136" i="14"/>
  <c r="B136" i="14"/>
  <c r="A136" i="14"/>
  <c r="K135" i="14"/>
  <c r="J135" i="14"/>
  <c r="I135" i="14"/>
  <c r="H135" i="14"/>
  <c r="G135" i="14"/>
  <c r="F135" i="14"/>
  <c r="E135" i="14"/>
  <c r="D135" i="14"/>
  <c r="C135" i="14"/>
  <c r="B135" i="14"/>
  <c r="A135" i="14"/>
  <c r="J134" i="14"/>
  <c r="I134" i="14"/>
  <c r="H134" i="14"/>
  <c r="G134" i="14"/>
  <c r="F134" i="14"/>
  <c r="E134" i="14"/>
  <c r="D134" i="14"/>
  <c r="C134" i="14"/>
  <c r="B134" i="14"/>
  <c r="A134" i="14"/>
  <c r="T133" i="14"/>
  <c r="V133" i="14"/>
  <c r="K133" i="14"/>
  <c r="J133" i="14"/>
  <c r="I133" i="14"/>
  <c r="H133" i="14"/>
  <c r="G133" i="14"/>
  <c r="F133" i="14"/>
  <c r="E133" i="14"/>
  <c r="D133" i="14"/>
  <c r="C133" i="14"/>
  <c r="B133" i="14"/>
  <c r="A133" i="14"/>
  <c r="J132" i="14"/>
  <c r="I132" i="14"/>
  <c r="H132" i="14"/>
  <c r="G132" i="14"/>
  <c r="F132" i="14"/>
  <c r="E132" i="14"/>
  <c r="D132" i="14"/>
  <c r="C132" i="14"/>
  <c r="B132" i="14"/>
  <c r="A132" i="14"/>
  <c r="J131" i="14"/>
  <c r="I131" i="14"/>
  <c r="H131" i="14"/>
  <c r="G131" i="14"/>
  <c r="F131" i="14"/>
  <c r="E131" i="14"/>
  <c r="D131" i="14"/>
  <c r="C131" i="14"/>
  <c r="B131" i="14"/>
  <c r="A131" i="14"/>
  <c r="J130" i="14"/>
  <c r="I130" i="14"/>
  <c r="H130" i="14"/>
  <c r="G130" i="14"/>
  <c r="F130" i="14"/>
  <c r="E130" i="14"/>
  <c r="D130" i="14"/>
  <c r="C130" i="14"/>
  <c r="B130" i="14"/>
  <c r="A130" i="14"/>
  <c r="J129" i="14"/>
  <c r="I129" i="14"/>
  <c r="H129" i="14"/>
  <c r="G129" i="14"/>
  <c r="F129" i="14"/>
  <c r="E129" i="14"/>
  <c r="D129" i="14"/>
  <c r="C129" i="14"/>
  <c r="B129" i="14"/>
  <c r="A129" i="14"/>
  <c r="K128" i="14"/>
  <c r="J128" i="14"/>
  <c r="I128" i="14"/>
  <c r="H128" i="14"/>
  <c r="G128" i="14"/>
  <c r="F128" i="14"/>
  <c r="E128" i="14"/>
  <c r="D128" i="14"/>
  <c r="C128" i="14"/>
  <c r="B128" i="14"/>
  <c r="A128" i="14"/>
  <c r="K127" i="14"/>
  <c r="J127" i="14"/>
  <c r="I127" i="14"/>
  <c r="H127" i="14"/>
  <c r="G127" i="14"/>
  <c r="F127" i="14"/>
  <c r="E127" i="14"/>
  <c r="D127" i="14"/>
  <c r="C127" i="14"/>
  <c r="B127" i="14"/>
  <c r="A127" i="14"/>
  <c r="K126" i="14"/>
  <c r="J126" i="14"/>
  <c r="I126" i="14"/>
  <c r="H126" i="14"/>
  <c r="G126" i="14"/>
  <c r="F126" i="14"/>
  <c r="E126" i="14"/>
  <c r="D126" i="14"/>
  <c r="C126" i="14"/>
  <c r="B126" i="14"/>
  <c r="A126" i="14"/>
  <c r="J125" i="14"/>
  <c r="I125" i="14"/>
  <c r="H125" i="14"/>
  <c r="G125" i="14"/>
  <c r="F125" i="14"/>
  <c r="E125" i="14"/>
  <c r="D125" i="14"/>
  <c r="C125" i="14"/>
  <c r="B125" i="14"/>
  <c r="A125" i="14"/>
  <c r="K124" i="14"/>
  <c r="J124" i="14"/>
  <c r="I124" i="14"/>
  <c r="H124" i="14"/>
  <c r="G124" i="14"/>
  <c r="F124" i="14"/>
  <c r="E124" i="14"/>
  <c r="D124" i="14"/>
  <c r="C124" i="14"/>
  <c r="B124" i="14"/>
  <c r="A124" i="14"/>
  <c r="J123" i="14"/>
  <c r="I123" i="14"/>
  <c r="H123" i="14"/>
  <c r="G123" i="14"/>
  <c r="F123" i="14"/>
  <c r="E123" i="14"/>
  <c r="D123" i="14"/>
  <c r="C123" i="14"/>
  <c r="B123" i="14"/>
  <c r="A123" i="14"/>
  <c r="J122" i="14"/>
  <c r="I122" i="14"/>
  <c r="H122" i="14"/>
  <c r="G122" i="14"/>
  <c r="F122" i="14"/>
  <c r="E122" i="14"/>
  <c r="D122" i="14"/>
  <c r="C122" i="14"/>
  <c r="B122" i="14"/>
  <c r="A122" i="14"/>
  <c r="J121" i="14"/>
  <c r="I121" i="14"/>
  <c r="H121" i="14"/>
  <c r="G121" i="14"/>
  <c r="F121" i="14"/>
  <c r="E121" i="14"/>
  <c r="D121" i="14"/>
  <c r="C121" i="14"/>
  <c r="B121" i="14"/>
  <c r="A121" i="14"/>
  <c r="J120" i="14"/>
  <c r="I120" i="14"/>
  <c r="H120" i="14"/>
  <c r="G120" i="14"/>
  <c r="F120" i="14"/>
  <c r="E120" i="14"/>
  <c r="D120" i="14"/>
  <c r="C120" i="14"/>
  <c r="B120" i="14"/>
  <c r="A120" i="14"/>
  <c r="J119" i="14"/>
  <c r="I119" i="14"/>
  <c r="H119" i="14"/>
  <c r="G119" i="14"/>
  <c r="F119" i="14"/>
  <c r="E119" i="14"/>
  <c r="D119" i="14"/>
  <c r="C119" i="14"/>
  <c r="B119" i="14"/>
  <c r="A119" i="14"/>
  <c r="J118" i="14"/>
  <c r="I118" i="14"/>
  <c r="H118" i="14"/>
  <c r="G118" i="14"/>
  <c r="F118" i="14"/>
  <c r="E118" i="14"/>
  <c r="D118" i="14"/>
  <c r="C118" i="14"/>
  <c r="B118" i="14"/>
  <c r="A118" i="14"/>
  <c r="J117" i="14"/>
  <c r="I117" i="14"/>
  <c r="H117" i="14"/>
  <c r="G117" i="14"/>
  <c r="F117" i="14"/>
  <c r="E117" i="14"/>
  <c r="D117" i="14"/>
  <c r="C117" i="14"/>
  <c r="B117" i="14"/>
  <c r="A117" i="14"/>
  <c r="J116" i="14"/>
  <c r="I116" i="14"/>
  <c r="H116" i="14"/>
  <c r="G116" i="14"/>
  <c r="F116" i="14"/>
  <c r="E116" i="14"/>
  <c r="D116" i="14"/>
  <c r="C116" i="14"/>
  <c r="B116" i="14"/>
  <c r="A116" i="14"/>
  <c r="J115" i="14"/>
  <c r="I115" i="14"/>
  <c r="H115" i="14"/>
  <c r="K115" i="14" s="1"/>
  <c r="G115" i="14"/>
  <c r="F115" i="14"/>
  <c r="E115" i="14"/>
  <c r="D115" i="14"/>
  <c r="C115" i="14"/>
  <c r="B115" i="14"/>
  <c r="A115" i="14"/>
  <c r="J114" i="14"/>
  <c r="I114" i="14"/>
  <c r="H114" i="14"/>
  <c r="G114" i="14"/>
  <c r="F114" i="14"/>
  <c r="E114" i="14"/>
  <c r="D114" i="14"/>
  <c r="C114" i="14"/>
  <c r="B114" i="14"/>
  <c r="A114" i="14"/>
  <c r="J113" i="14"/>
  <c r="I113" i="14"/>
  <c r="H113" i="14"/>
  <c r="G113" i="14"/>
  <c r="F113" i="14"/>
  <c r="E113" i="14"/>
  <c r="D113" i="14"/>
  <c r="C113" i="14"/>
  <c r="B113" i="14"/>
  <c r="A113" i="14"/>
  <c r="J112" i="14"/>
  <c r="I112" i="14"/>
  <c r="H112" i="14"/>
  <c r="G112" i="14"/>
  <c r="F112" i="14"/>
  <c r="E112" i="14"/>
  <c r="D112" i="14"/>
  <c r="C112" i="14"/>
  <c r="B112" i="14"/>
  <c r="A112" i="14"/>
  <c r="J111" i="14"/>
  <c r="I111" i="14"/>
  <c r="H111" i="14"/>
  <c r="G111" i="14"/>
  <c r="F111" i="14"/>
  <c r="E111" i="14"/>
  <c r="D111" i="14"/>
  <c r="C111" i="14"/>
  <c r="B111" i="14"/>
  <c r="A111" i="14"/>
  <c r="J110" i="14"/>
  <c r="I110" i="14"/>
  <c r="H110" i="14"/>
  <c r="G110" i="14"/>
  <c r="F110" i="14"/>
  <c r="E110" i="14"/>
  <c r="D110" i="14"/>
  <c r="C110" i="14"/>
  <c r="B110" i="14"/>
  <c r="A110" i="14"/>
  <c r="J109" i="14"/>
  <c r="I109" i="14"/>
  <c r="H109" i="14"/>
  <c r="G109" i="14"/>
  <c r="F109" i="14"/>
  <c r="E109" i="14"/>
  <c r="D109" i="14"/>
  <c r="C109" i="14"/>
  <c r="B109" i="14"/>
  <c r="A109" i="14"/>
  <c r="J108" i="14"/>
  <c r="I108" i="14"/>
  <c r="H108" i="14"/>
  <c r="G108" i="14"/>
  <c r="F108" i="14"/>
  <c r="E108" i="14"/>
  <c r="D108" i="14"/>
  <c r="C108" i="14"/>
  <c r="B108" i="14"/>
  <c r="A108" i="14"/>
  <c r="J107" i="14"/>
  <c r="I107" i="14"/>
  <c r="H107" i="14"/>
  <c r="G107" i="14"/>
  <c r="F107" i="14"/>
  <c r="E107" i="14"/>
  <c r="D107" i="14"/>
  <c r="C107" i="14"/>
  <c r="B107" i="14"/>
  <c r="A107" i="14"/>
  <c r="J106" i="14"/>
  <c r="I106" i="14"/>
  <c r="H106" i="14"/>
  <c r="G106" i="14"/>
  <c r="F106" i="14"/>
  <c r="E106" i="14"/>
  <c r="D106" i="14"/>
  <c r="C106" i="14"/>
  <c r="B106" i="14"/>
  <c r="A106" i="14"/>
  <c r="J105" i="14"/>
  <c r="I105" i="14"/>
  <c r="H105" i="14"/>
  <c r="G105" i="14"/>
  <c r="F105" i="14"/>
  <c r="E105" i="14"/>
  <c r="D105" i="14"/>
  <c r="C105" i="14"/>
  <c r="B105" i="14"/>
  <c r="A105" i="14"/>
  <c r="J104" i="14"/>
  <c r="I104" i="14"/>
  <c r="H104" i="14"/>
  <c r="G104" i="14"/>
  <c r="F104" i="14"/>
  <c r="E104" i="14"/>
  <c r="D104" i="14"/>
  <c r="C104" i="14"/>
  <c r="B104" i="14"/>
  <c r="A104" i="14"/>
  <c r="J103" i="14"/>
  <c r="I103" i="14"/>
  <c r="H103" i="14"/>
  <c r="G103" i="14"/>
  <c r="F103" i="14"/>
  <c r="E103" i="14"/>
  <c r="D103" i="14"/>
  <c r="C103" i="14"/>
  <c r="B103" i="14"/>
  <c r="A103" i="14"/>
  <c r="J102" i="14"/>
  <c r="I102" i="14"/>
  <c r="H102" i="14"/>
  <c r="G102" i="14"/>
  <c r="F102" i="14"/>
  <c r="E102" i="14"/>
  <c r="D102" i="14"/>
  <c r="C102" i="14"/>
  <c r="B102" i="14"/>
  <c r="A102" i="14"/>
  <c r="K101" i="14"/>
  <c r="J101" i="14"/>
  <c r="I101" i="14"/>
  <c r="H101" i="14"/>
  <c r="G101" i="14"/>
  <c r="F101" i="14"/>
  <c r="E101" i="14"/>
  <c r="D101" i="14"/>
  <c r="C101" i="14"/>
  <c r="B101" i="14"/>
  <c r="A101" i="14"/>
  <c r="K100" i="14"/>
  <c r="J100" i="14"/>
  <c r="I100" i="14"/>
  <c r="H100" i="14"/>
  <c r="G100" i="14"/>
  <c r="F100" i="14"/>
  <c r="E100" i="14"/>
  <c r="D100" i="14"/>
  <c r="C100" i="14"/>
  <c r="B100" i="14"/>
  <c r="A100" i="14"/>
  <c r="K99" i="14"/>
  <c r="J99" i="14"/>
  <c r="I99" i="14"/>
  <c r="H99" i="14"/>
  <c r="G99" i="14"/>
  <c r="F99" i="14"/>
  <c r="E99" i="14"/>
  <c r="D99" i="14"/>
  <c r="C99" i="14"/>
  <c r="B99" i="14"/>
  <c r="A99" i="14"/>
  <c r="K98" i="14"/>
  <c r="J98" i="14"/>
  <c r="I98" i="14"/>
  <c r="H98" i="14"/>
  <c r="G98" i="14"/>
  <c r="F98" i="14"/>
  <c r="E98" i="14"/>
  <c r="D98" i="14"/>
  <c r="C98" i="14"/>
  <c r="B98" i="14"/>
  <c r="A98" i="14"/>
  <c r="K97" i="14"/>
  <c r="J97" i="14"/>
  <c r="I97" i="14"/>
  <c r="H97" i="14"/>
  <c r="G97" i="14"/>
  <c r="F97" i="14"/>
  <c r="E97" i="14"/>
  <c r="D97" i="14"/>
  <c r="C97" i="14"/>
  <c r="B97" i="14"/>
  <c r="A97" i="14"/>
  <c r="K96" i="14"/>
  <c r="J96" i="14"/>
  <c r="I96" i="14"/>
  <c r="H96" i="14"/>
  <c r="G96" i="14"/>
  <c r="F96" i="14"/>
  <c r="E96" i="14"/>
  <c r="D96" i="14"/>
  <c r="C96" i="14"/>
  <c r="B96" i="14"/>
  <c r="A96" i="14"/>
  <c r="K95" i="14"/>
  <c r="J95" i="14"/>
  <c r="I95" i="14"/>
  <c r="H95" i="14"/>
  <c r="G95" i="14"/>
  <c r="F95" i="14"/>
  <c r="E95" i="14"/>
  <c r="D95" i="14"/>
  <c r="C95" i="14"/>
  <c r="B95" i="14"/>
  <c r="A95" i="14"/>
  <c r="K94" i="14"/>
  <c r="J94" i="14"/>
  <c r="I94" i="14"/>
  <c r="H94" i="14"/>
  <c r="G94" i="14"/>
  <c r="F94" i="14"/>
  <c r="E94" i="14"/>
  <c r="D94" i="14"/>
  <c r="C94" i="14"/>
  <c r="B94" i="14"/>
  <c r="A94" i="14"/>
  <c r="J93" i="14"/>
  <c r="I93" i="14"/>
  <c r="H93" i="14"/>
  <c r="G93" i="14"/>
  <c r="F93" i="14"/>
  <c r="E93" i="14"/>
  <c r="D93" i="14"/>
  <c r="C93" i="14"/>
  <c r="B93" i="14"/>
  <c r="A93" i="14"/>
  <c r="J92" i="14"/>
  <c r="I92" i="14"/>
  <c r="H92" i="14"/>
  <c r="G92" i="14"/>
  <c r="F92" i="14"/>
  <c r="E92" i="14"/>
  <c r="D92" i="14"/>
  <c r="C92" i="14"/>
  <c r="B92" i="14"/>
  <c r="A92" i="14"/>
  <c r="J91" i="14"/>
  <c r="I91" i="14"/>
  <c r="H91" i="14"/>
  <c r="G91" i="14"/>
  <c r="F91" i="14"/>
  <c r="E91" i="14"/>
  <c r="D91" i="14"/>
  <c r="C91" i="14"/>
  <c r="B91" i="14"/>
  <c r="A91" i="14"/>
  <c r="J90" i="14"/>
  <c r="I90" i="14"/>
  <c r="H90" i="14"/>
  <c r="G90" i="14"/>
  <c r="F90" i="14"/>
  <c r="E90" i="14"/>
  <c r="D90" i="14"/>
  <c r="C90" i="14"/>
  <c r="B90" i="14"/>
  <c r="A90" i="14"/>
  <c r="J89" i="14"/>
  <c r="I89" i="14"/>
  <c r="H89" i="14"/>
  <c r="G89" i="14"/>
  <c r="F89" i="14"/>
  <c r="E89" i="14"/>
  <c r="D89" i="14"/>
  <c r="C89" i="14"/>
  <c r="B89" i="14"/>
  <c r="A89" i="14"/>
  <c r="J88" i="14"/>
  <c r="I88" i="14"/>
  <c r="H88" i="14"/>
  <c r="G88" i="14"/>
  <c r="F88" i="14"/>
  <c r="E88" i="14"/>
  <c r="D88" i="14"/>
  <c r="C88" i="14"/>
  <c r="B88" i="14"/>
  <c r="A88" i="14"/>
  <c r="K87" i="14"/>
  <c r="J87" i="14"/>
  <c r="I87" i="14"/>
  <c r="H87" i="14"/>
  <c r="G87" i="14"/>
  <c r="F87" i="14"/>
  <c r="E87" i="14"/>
  <c r="D87" i="14"/>
  <c r="C87" i="14"/>
  <c r="B87" i="14"/>
  <c r="A87" i="14"/>
  <c r="J86" i="14"/>
  <c r="I86" i="14"/>
  <c r="H86" i="14"/>
  <c r="G86" i="14"/>
  <c r="F86" i="14"/>
  <c r="E86" i="14"/>
  <c r="D86" i="14"/>
  <c r="C86" i="14"/>
  <c r="B86" i="14"/>
  <c r="A86" i="14"/>
  <c r="J85" i="14"/>
  <c r="I85" i="14"/>
  <c r="H85" i="14"/>
  <c r="G85" i="14"/>
  <c r="F85" i="14"/>
  <c r="E85" i="14"/>
  <c r="D85" i="14"/>
  <c r="C85" i="14"/>
  <c r="B85" i="14"/>
  <c r="A85" i="14"/>
  <c r="K84" i="14"/>
  <c r="J84" i="14"/>
  <c r="I84" i="14"/>
  <c r="H84" i="14"/>
  <c r="G84" i="14"/>
  <c r="F84" i="14"/>
  <c r="E84" i="14"/>
  <c r="D84" i="14"/>
  <c r="C84" i="14"/>
  <c r="B84" i="14"/>
  <c r="A84" i="14"/>
  <c r="K83" i="14"/>
  <c r="J83" i="14"/>
  <c r="I83" i="14"/>
  <c r="H83" i="14"/>
  <c r="G83" i="14"/>
  <c r="F83" i="14"/>
  <c r="E83" i="14"/>
  <c r="D83" i="14"/>
  <c r="C83" i="14"/>
  <c r="B83" i="14"/>
  <c r="A83" i="14"/>
  <c r="J82" i="14"/>
  <c r="I82" i="14"/>
  <c r="H82" i="14"/>
  <c r="G82" i="14"/>
  <c r="F82" i="14"/>
  <c r="E82" i="14"/>
  <c r="D82" i="14"/>
  <c r="C82" i="14"/>
  <c r="B82" i="14"/>
  <c r="A82" i="14"/>
  <c r="J81" i="14"/>
  <c r="I81" i="14"/>
  <c r="H81" i="14"/>
  <c r="G81" i="14"/>
  <c r="F81" i="14"/>
  <c r="E81" i="14"/>
  <c r="D81" i="14"/>
  <c r="C81" i="14"/>
  <c r="B81" i="14"/>
  <c r="A81" i="14"/>
  <c r="J80" i="14"/>
  <c r="I80" i="14"/>
  <c r="H80" i="14"/>
  <c r="G80" i="14"/>
  <c r="F80" i="14"/>
  <c r="E80" i="14"/>
  <c r="D80" i="14"/>
  <c r="C80" i="14"/>
  <c r="B80" i="14"/>
  <c r="A80" i="14"/>
  <c r="J79" i="14"/>
  <c r="I79" i="14"/>
  <c r="H79" i="14"/>
  <c r="G79" i="14"/>
  <c r="F79" i="14"/>
  <c r="E79" i="14"/>
  <c r="D79" i="14"/>
  <c r="C79" i="14"/>
  <c r="B79" i="14"/>
  <c r="A79" i="14"/>
  <c r="J78" i="14"/>
  <c r="I78" i="14"/>
  <c r="H78" i="14"/>
  <c r="G78" i="14"/>
  <c r="F78" i="14"/>
  <c r="E78" i="14"/>
  <c r="D78" i="14"/>
  <c r="C78" i="14"/>
  <c r="B78" i="14"/>
  <c r="A78" i="14"/>
  <c r="J77" i="14"/>
  <c r="I77" i="14"/>
  <c r="H77" i="14"/>
  <c r="G77" i="14"/>
  <c r="F77" i="14"/>
  <c r="E77" i="14"/>
  <c r="D77" i="14"/>
  <c r="C77" i="14"/>
  <c r="B77" i="14"/>
  <c r="A77" i="14"/>
  <c r="K76" i="14"/>
  <c r="J76" i="14"/>
  <c r="I76" i="14"/>
  <c r="H76" i="14"/>
  <c r="G76" i="14"/>
  <c r="F76" i="14"/>
  <c r="E76" i="14"/>
  <c r="D76" i="14"/>
  <c r="C76" i="14"/>
  <c r="B76" i="14"/>
  <c r="A76" i="14"/>
  <c r="K75" i="14"/>
  <c r="J75" i="14"/>
  <c r="I75" i="14"/>
  <c r="H75" i="14"/>
  <c r="G75" i="14"/>
  <c r="F75" i="14"/>
  <c r="E75" i="14"/>
  <c r="D75" i="14"/>
  <c r="C75" i="14"/>
  <c r="B75" i="14"/>
  <c r="A75" i="14"/>
  <c r="J74" i="14"/>
  <c r="I74" i="14"/>
  <c r="H74" i="14"/>
  <c r="G74" i="14"/>
  <c r="F74" i="14"/>
  <c r="E74" i="14"/>
  <c r="D74" i="14"/>
  <c r="C74" i="14"/>
  <c r="B74" i="14"/>
  <c r="A74" i="14"/>
  <c r="J73" i="14"/>
  <c r="I73" i="14"/>
  <c r="H73" i="14"/>
  <c r="G73" i="14"/>
  <c r="F73" i="14"/>
  <c r="E73" i="14"/>
  <c r="D73" i="14"/>
  <c r="C73" i="14"/>
  <c r="B73" i="14"/>
  <c r="A73" i="14"/>
  <c r="K72" i="14"/>
  <c r="J72" i="14"/>
  <c r="I72" i="14"/>
  <c r="H72" i="14"/>
  <c r="G72" i="14"/>
  <c r="F72" i="14"/>
  <c r="E72" i="14"/>
  <c r="D72" i="14"/>
  <c r="C72" i="14"/>
  <c r="B72" i="14"/>
  <c r="A72" i="14"/>
  <c r="K71" i="14"/>
  <c r="J71" i="14"/>
  <c r="I71" i="14"/>
  <c r="H71" i="14"/>
  <c r="G71" i="14"/>
  <c r="F71" i="14"/>
  <c r="E71" i="14"/>
  <c r="D71" i="14"/>
  <c r="C71" i="14"/>
  <c r="B71" i="14"/>
  <c r="A71" i="14"/>
  <c r="K70" i="14"/>
  <c r="J70" i="14"/>
  <c r="I70" i="14"/>
  <c r="H70" i="14"/>
  <c r="G70" i="14"/>
  <c r="F70" i="14"/>
  <c r="E70" i="14"/>
  <c r="D70" i="14"/>
  <c r="C70" i="14"/>
  <c r="B70" i="14"/>
  <c r="A70" i="14"/>
  <c r="J69" i="14"/>
  <c r="I69" i="14"/>
  <c r="H69" i="14"/>
  <c r="G69" i="14"/>
  <c r="F69" i="14"/>
  <c r="E69" i="14"/>
  <c r="D69" i="14"/>
  <c r="C69" i="14"/>
  <c r="B69" i="14"/>
  <c r="A69" i="14"/>
  <c r="J68" i="14"/>
  <c r="I68" i="14"/>
  <c r="H68" i="14"/>
  <c r="G68" i="14"/>
  <c r="F68" i="14"/>
  <c r="E68" i="14"/>
  <c r="D68" i="14"/>
  <c r="C68" i="14"/>
  <c r="B68" i="14"/>
  <c r="A68" i="14"/>
  <c r="J67" i="14"/>
  <c r="I67" i="14"/>
  <c r="H67" i="14"/>
  <c r="G67" i="14"/>
  <c r="F67" i="14"/>
  <c r="E67" i="14"/>
  <c r="D67" i="14"/>
  <c r="C67" i="14"/>
  <c r="B67" i="14"/>
  <c r="A67" i="14"/>
  <c r="J66" i="14"/>
  <c r="I66" i="14"/>
  <c r="H66" i="14"/>
  <c r="G66" i="14"/>
  <c r="F66" i="14"/>
  <c r="E66" i="14"/>
  <c r="D66" i="14"/>
  <c r="C66" i="14"/>
  <c r="B66" i="14"/>
  <c r="A66" i="14"/>
  <c r="J65" i="14"/>
  <c r="I65" i="14"/>
  <c r="H65" i="14"/>
  <c r="G65" i="14"/>
  <c r="F65" i="14"/>
  <c r="E65" i="14"/>
  <c r="D65" i="14"/>
  <c r="C65" i="14"/>
  <c r="B65" i="14"/>
  <c r="A65" i="14"/>
  <c r="J64" i="14"/>
  <c r="I64" i="14"/>
  <c r="H64" i="14"/>
  <c r="G64" i="14"/>
  <c r="F64" i="14"/>
  <c r="E64" i="14"/>
  <c r="D64" i="14"/>
  <c r="C64" i="14"/>
  <c r="B64" i="14"/>
  <c r="A64" i="14"/>
  <c r="K63" i="14"/>
  <c r="J63" i="14"/>
  <c r="I63" i="14"/>
  <c r="H63" i="14"/>
  <c r="G63" i="14"/>
  <c r="F63" i="14"/>
  <c r="E63" i="14"/>
  <c r="D63" i="14"/>
  <c r="C63" i="14"/>
  <c r="B63" i="14"/>
  <c r="A63" i="14"/>
  <c r="J62" i="14"/>
  <c r="I62" i="14"/>
  <c r="H62" i="14"/>
  <c r="K62" i="14" s="1"/>
  <c r="G62" i="14"/>
  <c r="F62" i="14"/>
  <c r="E62" i="14"/>
  <c r="D62" i="14"/>
  <c r="C62" i="14"/>
  <c r="B62" i="14"/>
  <c r="A62" i="14"/>
  <c r="J61" i="14"/>
  <c r="I61" i="14"/>
  <c r="H61" i="14"/>
  <c r="K61" i="14" s="1"/>
  <c r="G61" i="14"/>
  <c r="F61" i="14"/>
  <c r="E61" i="14"/>
  <c r="D61" i="14"/>
  <c r="C61" i="14"/>
  <c r="B61" i="14"/>
  <c r="A61" i="14"/>
  <c r="K60" i="14"/>
  <c r="J60" i="14"/>
  <c r="I60" i="14"/>
  <c r="H60" i="14"/>
  <c r="G60" i="14"/>
  <c r="F60" i="14"/>
  <c r="E60" i="14"/>
  <c r="D60" i="14"/>
  <c r="C60" i="14"/>
  <c r="B60" i="14"/>
  <c r="A60" i="14"/>
  <c r="J59" i="14"/>
  <c r="I59" i="14"/>
  <c r="H59" i="14"/>
  <c r="G59" i="14"/>
  <c r="F59" i="14"/>
  <c r="E59" i="14"/>
  <c r="D59" i="14"/>
  <c r="C59" i="14"/>
  <c r="B59" i="14"/>
  <c r="A59" i="14"/>
  <c r="J58" i="14"/>
  <c r="I58" i="14"/>
  <c r="H58" i="14"/>
  <c r="G58" i="14"/>
  <c r="F58" i="14"/>
  <c r="E58" i="14"/>
  <c r="D58" i="14"/>
  <c r="C58" i="14"/>
  <c r="B58" i="14"/>
  <c r="A58" i="14"/>
  <c r="J57" i="14"/>
  <c r="I57" i="14"/>
  <c r="H57" i="14"/>
  <c r="G57" i="14"/>
  <c r="F57" i="14"/>
  <c r="E57" i="14"/>
  <c r="D57" i="14"/>
  <c r="C57" i="14"/>
  <c r="B57" i="14"/>
  <c r="A57" i="14"/>
  <c r="J56" i="14"/>
  <c r="I56" i="14"/>
  <c r="H56" i="14"/>
  <c r="G56" i="14"/>
  <c r="F56" i="14"/>
  <c r="K56" i="14" s="1"/>
  <c r="E56" i="14"/>
  <c r="D56" i="14"/>
  <c r="C56" i="14"/>
  <c r="B56" i="14"/>
  <c r="A56" i="14"/>
  <c r="J55" i="14"/>
  <c r="I55" i="14"/>
  <c r="H55" i="14"/>
  <c r="G55" i="14"/>
  <c r="F55" i="14"/>
  <c r="E55" i="14"/>
  <c r="D55" i="14"/>
  <c r="C55" i="14"/>
  <c r="B55" i="14"/>
  <c r="A55" i="14"/>
  <c r="J54" i="14"/>
  <c r="I54" i="14"/>
  <c r="H54" i="14"/>
  <c r="G54" i="14"/>
  <c r="F54" i="14"/>
  <c r="E54" i="14"/>
  <c r="D54" i="14"/>
  <c r="C54" i="14"/>
  <c r="B54" i="14"/>
  <c r="A54" i="14"/>
  <c r="J53" i="14"/>
  <c r="I53" i="14"/>
  <c r="H53" i="14"/>
  <c r="G53" i="14"/>
  <c r="F53" i="14"/>
  <c r="E53" i="14"/>
  <c r="D53" i="14"/>
  <c r="C53" i="14"/>
  <c r="B53" i="14"/>
  <c r="A53" i="14"/>
  <c r="J52" i="14"/>
  <c r="I52" i="14"/>
  <c r="H52" i="14"/>
  <c r="G52" i="14"/>
  <c r="F52" i="14"/>
  <c r="E52" i="14"/>
  <c r="D52" i="14"/>
  <c r="C52" i="14"/>
  <c r="B52" i="14"/>
  <c r="A52" i="14"/>
  <c r="J51" i="14"/>
  <c r="I51" i="14"/>
  <c r="H51" i="14"/>
  <c r="G51" i="14"/>
  <c r="F51" i="14"/>
  <c r="E51" i="14"/>
  <c r="D51" i="14"/>
  <c r="C51" i="14"/>
  <c r="B51" i="14"/>
  <c r="A51" i="14"/>
  <c r="K50" i="14"/>
  <c r="J50" i="14"/>
  <c r="I50" i="14"/>
  <c r="H50" i="14"/>
  <c r="G50" i="14"/>
  <c r="F50" i="14"/>
  <c r="E50" i="14"/>
  <c r="D50" i="14"/>
  <c r="C50" i="14"/>
  <c r="B50" i="14"/>
  <c r="A50" i="14"/>
  <c r="K49" i="14"/>
  <c r="J49" i="14"/>
  <c r="I49" i="14"/>
  <c r="H49" i="14"/>
  <c r="G49" i="14"/>
  <c r="F49" i="14"/>
  <c r="E49" i="14"/>
  <c r="D49" i="14"/>
  <c r="C49" i="14"/>
  <c r="B49" i="14"/>
  <c r="A49" i="14"/>
  <c r="K48" i="14"/>
  <c r="J48" i="14"/>
  <c r="I48" i="14"/>
  <c r="H48" i="14"/>
  <c r="G48" i="14"/>
  <c r="F48" i="14"/>
  <c r="E48" i="14"/>
  <c r="D48" i="14"/>
  <c r="C48" i="14"/>
  <c r="B48" i="14"/>
  <c r="A48" i="14"/>
  <c r="J47" i="14"/>
  <c r="I47" i="14"/>
  <c r="H47" i="14"/>
  <c r="G47" i="14"/>
  <c r="F47" i="14"/>
  <c r="E47" i="14"/>
  <c r="D47" i="14"/>
  <c r="C47" i="14"/>
  <c r="B47" i="14"/>
  <c r="A47" i="14"/>
  <c r="J46" i="14"/>
  <c r="I46" i="14"/>
  <c r="H46" i="14"/>
  <c r="G46" i="14"/>
  <c r="F46" i="14"/>
  <c r="E46" i="14"/>
  <c r="D46" i="14"/>
  <c r="C46" i="14"/>
  <c r="B46" i="14"/>
  <c r="A46" i="14"/>
  <c r="J45" i="14"/>
  <c r="I45" i="14"/>
  <c r="H45" i="14"/>
  <c r="G45" i="14"/>
  <c r="F45" i="14"/>
  <c r="E45" i="14"/>
  <c r="D45" i="14"/>
  <c r="C45" i="14"/>
  <c r="B45" i="14"/>
  <c r="A45" i="14"/>
  <c r="K44" i="14"/>
  <c r="J44" i="14"/>
  <c r="I44" i="14"/>
  <c r="H44" i="14"/>
  <c r="G44" i="14"/>
  <c r="F44" i="14"/>
  <c r="E44" i="14"/>
  <c r="D44" i="14"/>
  <c r="C44" i="14"/>
  <c r="B44" i="14"/>
  <c r="A44" i="14"/>
  <c r="J43" i="14"/>
  <c r="I43" i="14"/>
  <c r="H43" i="14"/>
  <c r="G43" i="14"/>
  <c r="F43" i="14"/>
  <c r="E43" i="14"/>
  <c r="D43" i="14"/>
  <c r="C43" i="14"/>
  <c r="B43" i="14"/>
  <c r="A43" i="14"/>
  <c r="J42" i="14"/>
  <c r="I42" i="14"/>
  <c r="H42" i="14"/>
  <c r="G42" i="14"/>
  <c r="F42" i="14"/>
  <c r="E42" i="14"/>
  <c r="D42" i="14"/>
  <c r="C42" i="14"/>
  <c r="B42" i="14"/>
  <c r="A42" i="14"/>
  <c r="K41" i="14"/>
  <c r="J41" i="14"/>
  <c r="I41" i="14"/>
  <c r="H41" i="14"/>
  <c r="G41" i="14"/>
  <c r="F41" i="14"/>
  <c r="E41" i="14"/>
  <c r="D41" i="14"/>
  <c r="C41" i="14"/>
  <c r="B41" i="14"/>
  <c r="A41" i="14"/>
  <c r="J40" i="14"/>
  <c r="I40" i="14"/>
  <c r="H40" i="14"/>
  <c r="G40" i="14"/>
  <c r="F40" i="14"/>
  <c r="E40" i="14"/>
  <c r="D40" i="14"/>
  <c r="C40" i="14"/>
  <c r="B40" i="14"/>
  <c r="A40" i="14"/>
  <c r="J39" i="14"/>
  <c r="I39" i="14"/>
  <c r="H39" i="14"/>
  <c r="G39" i="14"/>
  <c r="F39" i="14"/>
  <c r="E39" i="14"/>
  <c r="D39" i="14"/>
  <c r="C39" i="14"/>
  <c r="B39" i="14"/>
  <c r="A39" i="14"/>
  <c r="K38" i="14"/>
  <c r="J38" i="14"/>
  <c r="I38" i="14"/>
  <c r="H38" i="14"/>
  <c r="G38" i="14"/>
  <c r="F38" i="14"/>
  <c r="E38" i="14"/>
  <c r="D38" i="14"/>
  <c r="C38" i="14"/>
  <c r="B38" i="14"/>
  <c r="A38" i="14"/>
  <c r="J37" i="14"/>
  <c r="I37" i="14"/>
  <c r="H37" i="14"/>
  <c r="G37" i="14"/>
  <c r="F37" i="14"/>
  <c r="K37" i="14" s="1"/>
  <c r="E37" i="14"/>
  <c r="D37" i="14"/>
  <c r="C37" i="14"/>
  <c r="B37" i="14"/>
  <c r="A37" i="14"/>
  <c r="K36" i="14"/>
  <c r="J36" i="14"/>
  <c r="I36" i="14"/>
  <c r="H36" i="14"/>
  <c r="G36" i="14"/>
  <c r="F36" i="14"/>
  <c r="E36" i="14"/>
  <c r="D36" i="14"/>
  <c r="C36" i="14"/>
  <c r="B36" i="14"/>
  <c r="A36" i="14"/>
  <c r="J35" i="14"/>
  <c r="I35" i="14"/>
  <c r="H35" i="14"/>
  <c r="G35" i="14"/>
  <c r="F35" i="14"/>
  <c r="E35" i="14"/>
  <c r="D35" i="14"/>
  <c r="C35" i="14"/>
  <c r="B35" i="14"/>
  <c r="A35" i="14"/>
  <c r="K34" i="14"/>
  <c r="J34" i="14"/>
  <c r="I34" i="14"/>
  <c r="H34" i="14"/>
  <c r="G34" i="14"/>
  <c r="F34" i="14"/>
  <c r="E34" i="14"/>
  <c r="D34" i="14"/>
  <c r="C34" i="14"/>
  <c r="B34" i="14"/>
  <c r="A34" i="14"/>
  <c r="J33" i="14"/>
  <c r="I33" i="14"/>
  <c r="H33" i="14"/>
  <c r="G33" i="14"/>
  <c r="F33" i="14"/>
  <c r="E33" i="14"/>
  <c r="D33" i="14"/>
  <c r="C33" i="14"/>
  <c r="B33" i="14"/>
  <c r="A33" i="14"/>
  <c r="J32" i="14"/>
  <c r="I32" i="14"/>
  <c r="H32" i="14"/>
  <c r="G32" i="14"/>
  <c r="F32" i="14"/>
  <c r="E32" i="14"/>
  <c r="D32" i="14"/>
  <c r="C32" i="14"/>
  <c r="B32" i="14"/>
  <c r="A32" i="14"/>
  <c r="J31" i="14"/>
  <c r="I31" i="14"/>
  <c r="H31" i="14"/>
  <c r="G31" i="14"/>
  <c r="F31" i="14"/>
  <c r="E31" i="14"/>
  <c r="D31" i="14"/>
  <c r="C31" i="14"/>
  <c r="B31" i="14"/>
  <c r="A31" i="14"/>
  <c r="J30" i="14"/>
  <c r="I30" i="14"/>
  <c r="H30" i="14"/>
  <c r="G30" i="14"/>
  <c r="F30" i="14"/>
  <c r="E30" i="14"/>
  <c r="D30" i="14"/>
  <c r="C30" i="14"/>
  <c r="B30" i="14"/>
  <c r="A30" i="14"/>
  <c r="J29" i="14"/>
  <c r="I29" i="14"/>
  <c r="H29" i="14"/>
  <c r="G29" i="14"/>
  <c r="F29" i="14"/>
  <c r="E29" i="14"/>
  <c r="D29" i="14"/>
  <c r="C29" i="14"/>
  <c r="B29" i="14"/>
  <c r="A29" i="14"/>
  <c r="K28" i="14"/>
  <c r="J28" i="14"/>
  <c r="I28" i="14"/>
  <c r="H28" i="14"/>
  <c r="G28" i="14"/>
  <c r="F28" i="14"/>
  <c r="E28" i="14"/>
  <c r="D28" i="14"/>
  <c r="C28" i="14"/>
  <c r="B28" i="14"/>
  <c r="A28" i="14"/>
  <c r="K27" i="14"/>
  <c r="J27" i="14"/>
  <c r="I27" i="14"/>
  <c r="H27" i="14"/>
  <c r="G27" i="14"/>
  <c r="F27" i="14"/>
  <c r="E27" i="14"/>
  <c r="D27" i="14"/>
  <c r="C27" i="14"/>
  <c r="B27" i="14"/>
  <c r="A27" i="14"/>
  <c r="J26" i="14"/>
  <c r="I26" i="14"/>
  <c r="H26" i="14"/>
  <c r="G26" i="14"/>
  <c r="F26" i="14"/>
  <c r="E26" i="14"/>
  <c r="D26" i="14"/>
  <c r="C26" i="14"/>
  <c r="B26" i="14"/>
  <c r="A26" i="14"/>
  <c r="J25" i="14"/>
  <c r="I25" i="14"/>
  <c r="H25" i="14"/>
  <c r="G25" i="14"/>
  <c r="F25" i="14"/>
  <c r="E25" i="14"/>
  <c r="D25" i="14"/>
  <c r="C25" i="14"/>
  <c r="B25" i="14"/>
  <c r="A25" i="14"/>
  <c r="K24" i="14"/>
  <c r="J24" i="14"/>
  <c r="I24" i="14"/>
  <c r="H24" i="14"/>
  <c r="G24" i="14"/>
  <c r="F24" i="14"/>
  <c r="E24" i="14"/>
  <c r="D24" i="14"/>
  <c r="C24" i="14"/>
  <c r="B24" i="14"/>
  <c r="A24" i="14"/>
  <c r="K23" i="14"/>
  <c r="J23" i="14"/>
  <c r="I23" i="14"/>
  <c r="H23" i="14"/>
  <c r="G23" i="14"/>
  <c r="F23" i="14"/>
  <c r="E23" i="14"/>
  <c r="D23" i="14"/>
  <c r="C23" i="14"/>
  <c r="B23" i="14"/>
  <c r="A23" i="14"/>
  <c r="J22" i="14"/>
  <c r="I22" i="14"/>
  <c r="H22" i="14"/>
  <c r="G22" i="14"/>
  <c r="F22" i="14"/>
  <c r="E22" i="14"/>
  <c r="D22" i="14"/>
  <c r="C22" i="14"/>
  <c r="B22" i="14"/>
  <c r="A22" i="14"/>
  <c r="K6" i="14" s="1"/>
  <c r="J21" i="14"/>
  <c r="I21" i="14"/>
  <c r="H21" i="14"/>
  <c r="G21" i="14"/>
  <c r="F21" i="14"/>
  <c r="E21" i="14"/>
  <c r="D21" i="14"/>
  <c r="C21" i="14"/>
  <c r="B21" i="14"/>
  <c r="A21" i="14"/>
  <c r="J20" i="14"/>
  <c r="I20" i="14"/>
  <c r="H20" i="14"/>
  <c r="G20" i="14"/>
  <c r="F20" i="14"/>
  <c r="E20" i="14"/>
  <c r="D20" i="14"/>
  <c r="C20" i="14"/>
  <c r="B20" i="14"/>
  <c r="A20" i="14"/>
  <c r="J19" i="14"/>
  <c r="I19" i="14"/>
  <c r="H19" i="14"/>
  <c r="G19" i="14"/>
  <c r="F19" i="14"/>
  <c r="E19" i="14"/>
  <c r="D19" i="14"/>
  <c r="C19" i="14"/>
  <c r="B19" i="14"/>
  <c r="A19" i="14"/>
  <c r="J18" i="14"/>
  <c r="I18" i="14"/>
  <c r="H18" i="14"/>
  <c r="G18" i="14"/>
  <c r="F18" i="14"/>
  <c r="E18" i="14"/>
  <c r="D18" i="14"/>
  <c r="C18" i="14"/>
  <c r="B18" i="14"/>
  <c r="A18" i="14"/>
  <c r="O17" i="14"/>
  <c r="K17" i="14"/>
  <c r="J17" i="14"/>
  <c r="I17" i="14"/>
  <c r="H17" i="14"/>
  <c r="G17" i="14"/>
  <c r="F17" i="14"/>
  <c r="E17" i="14"/>
  <c r="D17" i="14"/>
  <c r="C17" i="14"/>
  <c r="B17" i="14"/>
  <c r="A17" i="14"/>
  <c r="F9" i="14"/>
  <c r="J26" i="15" l="1"/>
  <c r="I26" i="15"/>
  <c r="I60" i="15"/>
  <c r="AD145" i="3"/>
  <c r="AE145" i="3" s="1"/>
  <c r="AD223" i="3"/>
  <c r="AE223" i="3" s="1"/>
  <c r="AD253" i="3"/>
  <c r="AE253" i="3" s="1"/>
  <c r="AD262" i="3"/>
  <c r="AE262" i="3" s="1"/>
  <c r="AD283" i="3"/>
  <c r="AE283" i="3" s="1"/>
  <c r="AD295" i="3"/>
  <c r="AE295" i="3" s="1"/>
  <c r="AD301" i="3"/>
  <c r="AE301" i="3" s="1"/>
  <c r="AD325" i="3"/>
  <c r="AE325" i="3" s="1"/>
  <c r="AD331" i="3"/>
  <c r="AE331" i="3" s="1"/>
  <c r="AD334" i="3"/>
  <c r="AE334" i="3" s="1"/>
  <c r="AD339" i="3"/>
  <c r="AE339" i="3" s="1"/>
  <c r="AD528" i="3"/>
  <c r="AE528" i="3" s="1"/>
  <c r="B40" i="15"/>
  <c r="J60" i="15"/>
  <c r="AD2" i="3"/>
  <c r="AE2" i="3" s="1"/>
  <c r="AD319" i="3"/>
  <c r="AE319" i="3" s="1"/>
  <c r="AD343" i="3"/>
  <c r="AE343" i="3" s="1"/>
  <c r="B79" i="15"/>
  <c r="AD8" i="3"/>
  <c r="AE8" i="3" s="1"/>
  <c r="AD14" i="3"/>
  <c r="AE14" i="3" s="1"/>
  <c r="AD20" i="3"/>
  <c r="AE20" i="3" s="1"/>
  <c r="AD26" i="3"/>
  <c r="AE26" i="3" s="1"/>
  <c r="AD32" i="3"/>
  <c r="AE32" i="3" s="1"/>
  <c r="AD38" i="3"/>
  <c r="AE38" i="3" s="1"/>
  <c r="AD56" i="3"/>
  <c r="AE56" i="3" s="1"/>
  <c r="AD80" i="3"/>
  <c r="AE80" i="3" s="1"/>
  <c r="AD86" i="3"/>
  <c r="AE86" i="3" s="1"/>
  <c r="AD92" i="3"/>
  <c r="AE92" i="3" s="1"/>
  <c r="AD98" i="3"/>
  <c r="AE98" i="3" s="1"/>
  <c r="AD104" i="3"/>
  <c r="AE104" i="3" s="1"/>
  <c r="AD110" i="3"/>
  <c r="AE110" i="3" s="1"/>
  <c r="AD116" i="3"/>
  <c r="AE116" i="3" s="1"/>
  <c r="AD122" i="3"/>
  <c r="AE122" i="3" s="1"/>
  <c r="AD128" i="3"/>
  <c r="AE128" i="3" s="1"/>
  <c r="AD217" i="3"/>
  <c r="AE217" i="3" s="1"/>
  <c r="AD277" i="3"/>
  <c r="AE277" i="3" s="1"/>
  <c r="AD367" i="3"/>
  <c r="AE367" i="3" s="1"/>
  <c r="AD376" i="3"/>
  <c r="AE376" i="3" s="1"/>
  <c r="AD379" i="3"/>
  <c r="AE379" i="3" s="1"/>
  <c r="AD529" i="3"/>
  <c r="AE529" i="3" s="1"/>
  <c r="D79" i="15"/>
  <c r="F40" i="15"/>
  <c r="B60" i="15"/>
  <c r="E79" i="15"/>
  <c r="AD3" i="3"/>
  <c r="AE3" i="3" s="1"/>
  <c r="AD9" i="3"/>
  <c r="AE9" i="3" s="1"/>
  <c r="AD15" i="3"/>
  <c r="AE15" i="3" s="1"/>
  <c r="AD21" i="3"/>
  <c r="AE21" i="3" s="1"/>
  <c r="AD27" i="3"/>
  <c r="AE27" i="3" s="1"/>
  <c r="AD33" i="3"/>
  <c r="AE33" i="3" s="1"/>
  <c r="AD39" i="3"/>
  <c r="AE39" i="3" s="1"/>
  <c r="AD45" i="3"/>
  <c r="AE45" i="3" s="1"/>
  <c r="AD51" i="3"/>
  <c r="AE51" i="3" s="1"/>
  <c r="AD57" i="3"/>
  <c r="AE57" i="3" s="1"/>
  <c r="AD63" i="3"/>
  <c r="AE63" i="3" s="1"/>
  <c r="AD69" i="3"/>
  <c r="AE69" i="3" s="1"/>
  <c r="AD75" i="3"/>
  <c r="AE75" i="3" s="1"/>
  <c r="AD81" i="3"/>
  <c r="AE81" i="3" s="1"/>
  <c r="AD87" i="3"/>
  <c r="AE87" i="3" s="1"/>
  <c r="AD93" i="3"/>
  <c r="AE93" i="3" s="1"/>
  <c r="AD99" i="3"/>
  <c r="AE99" i="3" s="1"/>
  <c r="AD105" i="3"/>
  <c r="AE105" i="3" s="1"/>
  <c r="AD111" i="3"/>
  <c r="AE111" i="3" s="1"/>
  <c r="AD117" i="3"/>
  <c r="AE117" i="3" s="1"/>
  <c r="AD123" i="3"/>
  <c r="AE123" i="3" s="1"/>
  <c r="AD191" i="3"/>
  <c r="AE191" i="3" s="1"/>
  <c r="AD197" i="3"/>
  <c r="AE197" i="3" s="1"/>
  <c r="AD209" i="3"/>
  <c r="AE209" i="3" s="1"/>
  <c r="AD257" i="3"/>
  <c r="AE257" i="3" s="1"/>
  <c r="AD424" i="3"/>
  <c r="AE424" i="3" s="1"/>
  <c r="F79" i="15"/>
  <c r="AD293" i="3"/>
  <c r="AE293" i="3" s="1"/>
  <c r="G79" i="15"/>
  <c r="AD198" i="3"/>
  <c r="AE198" i="3" s="1"/>
  <c r="AD210" i="3"/>
  <c r="AE210" i="3" s="1"/>
  <c r="AD263" i="3"/>
  <c r="AE263" i="3" s="1"/>
  <c r="AD299" i="3"/>
  <c r="AE299" i="3" s="1"/>
  <c r="AD410" i="3"/>
  <c r="AE410" i="3" s="1"/>
  <c r="AD434" i="3"/>
  <c r="AE434" i="3" s="1"/>
  <c r="AD437" i="3"/>
  <c r="AE437" i="3" s="1"/>
  <c r="AD440" i="3"/>
  <c r="AE440" i="3" s="1"/>
  <c r="AD455" i="3"/>
  <c r="AE455" i="3" s="1"/>
  <c r="AD458" i="3"/>
  <c r="AE458" i="3" s="1"/>
  <c r="AD485" i="3"/>
  <c r="AE485" i="3" s="1"/>
  <c r="AD488" i="3"/>
  <c r="AE488" i="3" s="1"/>
  <c r="AD491" i="3"/>
  <c r="AE491" i="3" s="1"/>
  <c r="AD494" i="3"/>
  <c r="AE494" i="3" s="1"/>
  <c r="AD497" i="3"/>
  <c r="AE497" i="3" s="1"/>
  <c r="AD524" i="3"/>
  <c r="AE524" i="3" s="1"/>
  <c r="AD527" i="3"/>
  <c r="AE527" i="3" s="1"/>
  <c r="AD533" i="3"/>
  <c r="AE533" i="3" s="1"/>
  <c r="E60" i="15"/>
  <c r="AD264" i="3"/>
  <c r="AE264" i="3" s="1"/>
  <c r="AD270" i="3"/>
  <c r="AE270" i="3" s="1"/>
  <c r="AD303" i="3"/>
  <c r="AE303" i="3" s="1"/>
  <c r="AD309" i="3"/>
  <c r="AE309" i="3" s="1"/>
  <c r="AD312" i="3"/>
  <c r="AE312" i="3" s="1"/>
  <c r="AD341" i="3"/>
  <c r="AE341" i="3" s="1"/>
  <c r="AD404" i="3"/>
  <c r="AE404" i="3" s="1"/>
  <c r="AD470" i="3"/>
  <c r="AE470" i="3" s="1"/>
  <c r="AD536" i="3"/>
  <c r="AE536" i="3" s="1"/>
  <c r="AD539" i="3"/>
  <c r="AE539" i="3" s="1"/>
  <c r="F26" i="15"/>
  <c r="F60" i="15"/>
  <c r="J79" i="15"/>
  <c r="G60" i="15"/>
  <c r="AD183" i="3"/>
  <c r="AE183" i="3" s="1"/>
  <c r="AD279" i="3"/>
  <c r="AE279" i="3" s="1"/>
  <c r="H45" i="15"/>
  <c r="C60" i="15"/>
  <c r="C79" i="15"/>
  <c r="AD175" i="3"/>
  <c r="AE175" i="3" s="1"/>
  <c r="AD187" i="3"/>
  <c r="AE187" i="3" s="1"/>
  <c r="AD199" i="3"/>
  <c r="AE199" i="3" s="1"/>
  <c r="AD205" i="3"/>
  <c r="AE205" i="3" s="1"/>
  <c r="AD208" i="3"/>
  <c r="AE208" i="3" s="1"/>
  <c r="AD225" i="3"/>
  <c r="AE225" i="3" s="1"/>
  <c r="AD231" i="3"/>
  <c r="AE231" i="3" s="1"/>
  <c r="AD237" i="3"/>
  <c r="AE237" i="3" s="1"/>
  <c r="AD243" i="3"/>
  <c r="AE243" i="3" s="1"/>
  <c r="AD249" i="3"/>
  <c r="AE249" i="3" s="1"/>
  <c r="AD285" i="3"/>
  <c r="AE285" i="3" s="1"/>
  <c r="AD297" i="3"/>
  <c r="AE297" i="3" s="1"/>
  <c r="AD327" i="3"/>
  <c r="AE327" i="3" s="1"/>
  <c r="AD408" i="3"/>
  <c r="AE408" i="3" s="1"/>
  <c r="AD414" i="3"/>
  <c r="AE414" i="3" s="1"/>
  <c r="AD423" i="3"/>
  <c r="AE423" i="3" s="1"/>
  <c r="AD426" i="3"/>
  <c r="AE426" i="3" s="1"/>
  <c r="AD462" i="3"/>
  <c r="AE462" i="3" s="1"/>
  <c r="AD468" i="3"/>
  <c r="AE468" i="3" s="1"/>
  <c r="AD471" i="3"/>
  <c r="AE471" i="3" s="1"/>
  <c r="AD480" i="3"/>
  <c r="AE480" i="3" s="1"/>
  <c r="AD486" i="3"/>
  <c r="AE486" i="3" s="1"/>
  <c r="AD495" i="3"/>
  <c r="AE495" i="3" s="1"/>
  <c r="AD498" i="3"/>
  <c r="AE498" i="3" s="1"/>
  <c r="AD501" i="3"/>
  <c r="AE501" i="3" s="1"/>
  <c r="AD507" i="3"/>
  <c r="AE507" i="3" s="1"/>
  <c r="AD510" i="3"/>
  <c r="AE510" i="3" s="1"/>
  <c r="J27" i="15"/>
  <c r="I27" i="15"/>
  <c r="F27" i="15"/>
  <c r="J25" i="15"/>
  <c r="I25" i="15"/>
  <c r="C29" i="15"/>
  <c r="F25" i="15"/>
  <c r="H40" i="15"/>
  <c r="D26" i="15"/>
  <c r="H60" i="15"/>
  <c r="I28" i="15"/>
  <c r="AD160" i="3"/>
  <c r="AE160" i="3" s="1"/>
  <c r="AD200" i="3"/>
  <c r="AE200" i="3" s="1"/>
  <c r="AD228" i="3"/>
  <c r="AE228" i="3" s="1"/>
  <c r="AD240" i="3"/>
  <c r="AE240" i="3" s="1"/>
  <c r="AD273" i="3"/>
  <c r="AE273" i="3" s="1"/>
  <c r="AD296" i="3"/>
  <c r="AE296" i="3" s="1"/>
  <c r="AD310" i="3"/>
  <c r="AE310" i="3" s="1"/>
  <c r="AD315" i="3"/>
  <c r="AE315" i="3" s="1"/>
  <c r="AD329" i="3"/>
  <c r="AE329" i="3" s="1"/>
  <c r="AD366" i="3"/>
  <c r="AE366" i="3" s="1"/>
  <c r="AD371" i="3"/>
  <c r="AE371" i="3" s="1"/>
  <c r="AD389" i="3"/>
  <c r="AE389" i="3" s="1"/>
  <c r="AD392" i="3"/>
  <c r="AE392" i="3" s="1"/>
  <c r="AD412" i="3"/>
  <c r="AE412" i="3" s="1"/>
  <c r="AD479" i="3"/>
  <c r="AE479" i="3" s="1"/>
  <c r="AD499" i="3"/>
  <c r="AE499" i="3" s="1"/>
  <c r="AD502" i="3"/>
  <c r="AE502" i="3" s="1"/>
  <c r="AD505" i="3"/>
  <c r="AE505" i="3" s="1"/>
  <c r="AD537" i="3"/>
  <c r="AE537" i="3" s="1"/>
  <c r="J28" i="15"/>
  <c r="AD131" i="3"/>
  <c r="AE131" i="3" s="1"/>
  <c r="AD171" i="3"/>
  <c r="AE171" i="3" s="1"/>
  <c r="AD186" i="3"/>
  <c r="AE186" i="3" s="1"/>
  <c r="AD206" i="3"/>
  <c r="AE206" i="3" s="1"/>
  <c r="AD219" i="3"/>
  <c r="AE219" i="3" s="1"/>
  <c r="AD252" i="3"/>
  <c r="AE252" i="3" s="1"/>
  <c r="AD375" i="3"/>
  <c r="AE375" i="3" s="1"/>
  <c r="AD380" i="3"/>
  <c r="AE380" i="3" s="1"/>
  <c r="AD427" i="3"/>
  <c r="AE427" i="3" s="1"/>
  <c r="AD430" i="3"/>
  <c r="AE430" i="3" s="1"/>
  <c r="AD432" i="3"/>
  <c r="AE432" i="3" s="1"/>
  <c r="AD450" i="3"/>
  <c r="AE450" i="3" s="1"/>
  <c r="AD476" i="3"/>
  <c r="AE476" i="3" s="1"/>
  <c r="B29" i="15"/>
  <c r="AD140" i="3"/>
  <c r="AE140" i="3" s="1"/>
  <c r="AD146" i="3"/>
  <c r="AE146" i="3" s="1"/>
  <c r="AD157" i="3"/>
  <c r="AE157" i="3" s="1"/>
  <c r="AD172" i="3"/>
  <c r="AE172" i="3" s="1"/>
  <c r="AD177" i="3"/>
  <c r="AE177" i="3" s="1"/>
  <c r="AD203" i="3"/>
  <c r="AE203" i="3" s="1"/>
  <c r="AD220" i="3"/>
  <c r="AE220" i="3" s="1"/>
  <c r="AD260" i="3"/>
  <c r="AE260" i="3" s="1"/>
  <c r="AD265" i="3"/>
  <c r="AE265" i="3" s="1"/>
  <c r="AD307" i="3"/>
  <c r="AE307" i="3" s="1"/>
  <c r="AD321" i="3"/>
  <c r="AE321" i="3" s="1"/>
  <c r="AD344" i="3"/>
  <c r="AE344" i="3" s="1"/>
  <c r="AD358" i="3"/>
  <c r="AE358" i="3" s="1"/>
  <c r="AD363" i="3"/>
  <c r="AE363" i="3" s="1"/>
  <c r="AD508" i="3"/>
  <c r="AE508" i="3" s="1"/>
  <c r="AD511" i="3"/>
  <c r="AE511" i="3" s="1"/>
  <c r="AD514" i="3"/>
  <c r="AE514" i="3" s="1"/>
  <c r="AD517" i="3"/>
  <c r="AE517" i="3" s="1"/>
  <c r="AD540" i="3"/>
  <c r="AE540" i="3" s="1"/>
  <c r="AD143" i="3"/>
  <c r="AE143" i="3" s="1"/>
  <c r="AD152" i="3"/>
  <c r="AE152" i="3" s="1"/>
  <c r="AD158" i="3"/>
  <c r="AE158" i="3" s="1"/>
  <c r="AD169" i="3"/>
  <c r="AE169" i="3" s="1"/>
  <c r="AD184" i="3"/>
  <c r="AE184" i="3" s="1"/>
  <c r="AD189" i="3"/>
  <c r="AE189" i="3" s="1"/>
  <c r="AD195" i="3"/>
  <c r="AE195" i="3" s="1"/>
  <c r="AD232" i="3"/>
  <c r="AE232" i="3" s="1"/>
  <c r="AD244" i="3"/>
  <c r="AE244" i="3" s="1"/>
  <c r="AD255" i="3"/>
  <c r="AE255" i="3" s="1"/>
  <c r="AD261" i="3"/>
  <c r="AE261" i="3" s="1"/>
  <c r="AD313" i="3"/>
  <c r="AE313" i="3" s="1"/>
  <c r="AD336" i="3"/>
  <c r="AE336" i="3" s="1"/>
  <c r="AD350" i="3"/>
  <c r="AE350" i="3" s="1"/>
  <c r="AD355" i="3"/>
  <c r="AE355" i="3" s="1"/>
  <c r="AD369" i="3"/>
  <c r="AE369" i="3" s="1"/>
  <c r="AD390" i="3"/>
  <c r="AE390" i="3" s="1"/>
  <c r="AD396" i="3"/>
  <c r="AE396" i="3" s="1"/>
  <c r="AD399" i="3"/>
  <c r="AE399" i="3" s="1"/>
  <c r="AD413" i="3"/>
  <c r="AE413" i="3" s="1"/>
  <c r="AD456" i="3"/>
  <c r="AE456" i="3" s="1"/>
  <c r="AD474" i="3"/>
  <c r="AE474" i="3" s="1"/>
  <c r="AD500" i="3"/>
  <c r="AE500" i="3" s="1"/>
  <c r="AD503" i="3"/>
  <c r="AE503" i="3" s="1"/>
  <c r="AD506" i="3"/>
  <c r="AE506" i="3" s="1"/>
  <c r="AD509" i="3"/>
  <c r="AE509" i="3" s="1"/>
  <c r="AD520" i="3"/>
  <c r="AE520" i="3" s="1"/>
  <c r="AD535" i="3"/>
  <c r="AE535" i="3" s="1"/>
  <c r="AD538" i="3"/>
  <c r="AE538" i="3" s="1"/>
  <c r="AD541" i="3"/>
  <c r="AE541" i="3" s="1"/>
  <c r="AD129" i="3"/>
  <c r="AE129" i="3" s="1"/>
  <c r="AD138" i="3"/>
  <c r="AE138" i="3" s="1"/>
  <c r="AD258" i="3"/>
  <c r="AE258" i="3" s="1"/>
  <c r="AD291" i="3"/>
  <c r="AE291" i="3" s="1"/>
  <c r="AD328" i="3"/>
  <c r="AE328" i="3" s="1"/>
  <c r="AD451" i="3"/>
  <c r="AE451" i="3" s="1"/>
  <c r="AD454" i="3"/>
  <c r="AE454" i="3" s="1"/>
  <c r="AD457" i="3"/>
  <c r="AE457" i="3" s="1"/>
  <c r="AD532" i="3"/>
  <c r="AE532" i="3" s="1"/>
  <c r="H65" i="15"/>
  <c r="H79" i="15" s="1"/>
  <c r="AD135" i="3"/>
  <c r="AE135" i="3" s="1"/>
  <c r="AD155" i="3"/>
  <c r="AE155" i="3" s="1"/>
  <c r="AD164" i="3"/>
  <c r="AE164" i="3" s="1"/>
  <c r="AD170" i="3"/>
  <c r="AE170" i="3" s="1"/>
  <c r="AD181" i="3"/>
  <c r="AE181" i="3" s="1"/>
  <c r="AD196" i="3"/>
  <c r="AE196" i="3" s="1"/>
  <c r="AD201" i="3"/>
  <c r="AE201" i="3" s="1"/>
  <c r="AD218" i="3"/>
  <c r="AE218" i="3" s="1"/>
  <c r="AD305" i="3"/>
  <c r="AE305" i="3" s="1"/>
  <c r="AD361" i="3"/>
  <c r="AE361" i="3" s="1"/>
  <c r="AD384" i="3"/>
  <c r="AE384" i="3" s="1"/>
  <c r="AD402" i="3"/>
  <c r="AE402" i="3" s="1"/>
  <c r="AD431" i="3"/>
  <c r="AE431" i="3" s="1"/>
  <c r="AD512" i="3"/>
  <c r="AE512" i="3" s="1"/>
  <c r="AD515" i="3"/>
  <c r="AE515" i="3" s="1"/>
  <c r="AD518" i="3"/>
  <c r="AE518" i="3" s="1"/>
  <c r="AD521" i="3"/>
  <c r="AE521" i="3" s="1"/>
  <c r="D28" i="15"/>
  <c r="AD4" i="3"/>
  <c r="AE4" i="3" s="1"/>
  <c r="AD10" i="3"/>
  <c r="AE10" i="3" s="1"/>
  <c r="AD16" i="3"/>
  <c r="AE16" i="3" s="1"/>
  <c r="AD22" i="3"/>
  <c r="AE22" i="3" s="1"/>
  <c r="AD28" i="3"/>
  <c r="AE28" i="3" s="1"/>
  <c r="AD34" i="3"/>
  <c r="AE34" i="3" s="1"/>
  <c r="AD52" i="3"/>
  <c r="AE52" i="3" s="1"/>
  <c r="AD82" i="3"/>
  <c r="AE82" i="3" s="1"/>
  <c r="AD88" i="3"/>
  <c r="AE88" i="3" s="1"/>
  <c r="AD94" i="3"/>
  <c r="AE94" i="3" s="1"/>
  <c r="AD100" i="3"/>
  <c r="AE100" i="3" s="1"/>
  <c r="AD106" i="3"/>
  <c r="AE106" i="3" s="1"/>
  <c r="AD112" i="3"/>
  <c r="AE112" i="3" s="1"/>
  <c r="AD118" i="3"/>
  <c r="AE118" i="3" s="1"/>
  <c r="AD124" i="3"/>
  <c r="AE124" i="3" s="1"/>
  <c r="AD141" i="3"/>
  <c r="AE141" i="3" s="1"/>
  <c r="AD167" i="3"/>
  <c r="AE167" i="3" s="1"/>
  <c r="AD193" i="3"/>
  <c r="AE193" i="3" s="1"/>
  <c r="AD207" i="3"/>
  <c r="AE207" i="3" s="1"/>
  <c r="AD256" i="3"/>
  <c r="AE256" i="3" s="1"/>
  <c r="AD259" i="3"/>
  <c r="AE259" i="3" s="1"/>
  <c r="AD275" i="3"/>
  <c r="AE275" i="3" s="1"/>
  <c r="AD353" i="3"/>
  <c r="AE353" i="3" s="1"/>
  <c r="AD492" i="3"/>
  <c r="AE492" i="3" s="1"/>
  <c r="AD133" i="3"/>
  <c r="AE133" i="3" s="1"/>
  <c r="AD147" i="3"/>
  <c r="AE147" i="3" s="1"/>
  <c r="AD162" i="3"/>
  <c r="AE162" i="3" s="1"/>
  <c r="AD289" i="3"/>
  <c r="AE289" i="3" s="1"/>
  <c r="AD345" i="3"/>
  <c r="AE345" i="3" s="1"/>
  <c r="AD446" i="3"/>
  <c r="AE446" i="3" s="1"/>
  <c r="AD504" i="3"/>
  <c r="AE504" i="3" s="1"/>
  <c r="AD148" i="3"/>
  <c r="AE148" i="3" s="1"/>
  <c r="AD153" i="3"/>
  <c r="AE153" i="3" s="1"/>
  <c r="AD159" i="3"/>
  <c r="AE159" i="3" s="1"/>
  <c r="AD179" i="3"/>
  <c r="AE179" i="3" s="1"/>
  <c r="AD188" i="3"/>
  <c r="AE188" i="3" s="1"/>
  <c r="AD194" i="3"/>
  <c r="AE194" i="3" s="1"/>
  <c r="AD267" i="3"/>
  <c r="AE267" i="3" s="1"/>
  <c r="AD281" i="3"/>
  <c r="AE281" i="3" s="1"/>
  <c r="AD318" i="3"/>
  <c r="AE318" i="3" s="1"/>
  <c r="AD323" i="3"/>
  <c r="AE323" i="3" s="1"/>
  <c r="AD403" i="3"/>
  <c r="AE403" i="3" s="1"/>
  <c r="AD452" i="3"/>
  <c r="AE452" i="3" s="1"/>
  <c r="AD484" i="3"/>
  <c r="AE484" i="3" s="1"/>
  <c r="AD513" i="3"/>
  <c r="AE513" i="3" s="1"/>
  <c r="AD519" i="3"/>
  <c r="AE519" i="3" s="1"/>
  <c r="AD5" i="3"/>
  <c r="AE5" i="3" s="1"/>
  <c r="AD11" i="3"/>
  <c r="AE11" i="3" s="1"/>
  <c r="AD17" i="3"/>
  <c r="AE17" i="3" s="1"/>
  <c r="AD23" i="3"/>
  <c r="AE23" i="3" s="1"/>
  <c r="AD29" i="3"/>
  <c r="AE29" i="3" s="1"/>
  <c r="AD35" i="3"/>
  <c r="AE35" i="3" s="1"/>
  <c r="AD41" i="3"/>
  <c r="AE41" i="3" s="1"/>
  <c r="AD44" i="3"/>
  <c r="AE44" i="3" s="1"/>
  <c r="AD47" i="3"/>
  <c r="AE47" i="3" s="1"/>
  <c r="AD50" i="3"/>
  <c r="AE50" i="3" s="1"/>
  <c r="AD53" i="3"/>
  <c r="AE53" i="3" s="1"/>
  <c r="AD59" i="3"/>
  <c r="AE59" i="3" s="1"/>
  <c r="AD62" i="3"/>
  <c r="AE62" i="3" s="1"/>
  <c r="AD65" i="3"/>
  <c r="AE65" i="3" s="1"/>
  <c r="AD68" i="3"/>
  <c r="AE68" i="3" s="1"/>
  <c r="AD71" i="3"/>
  <c r="AE71" i="3" s="1"/>
  <c r="AD74" i="3"/>
  <c r="AE74" i="3" s="1"/>
  <c r="AD77" i="3"/>
  <c r="AE77" i="3" s="1"/>
  <c r="AD83" i="3"/>
  <c r="AE83" i="3" s="1"/>
  <c r="AD89" i="3"/>
  <c r="AE89" i="3" s="1"/>
  <c r="AD95" i="3"/>
  <c r="AE95" i="3" s="1"/>
  <c r="AD101" i="3"/>
  <c r="AE101" i="3" s="1"/>
  <c r="AD107" i="3"/>
  <c r="AE107" i="3" s="1"/>
  <c r="AD113" i="3"/>
  <c r="AE113" i="3" s="1"/>
  <c r="AD119" i="3"/>
  <c r="AE119" i="3" s="1"/>
  <c r="AD125" i="3"/>
  <c r="AE125" i="3" s="1"/>
  <c r="AD134" i="3"/>
  <c r="AE134" i="3" s="1"/>
  <c r="AD174" i="3"/>
  <c r="AE174" i="3" s="1"/>
  <c r="AD213" i="3"/>
  <c r="AE213" i="3" s="1"/>
  <c r="AD222" i="3"/>
  <c r="AE222" i="3" s="1"/>
  <c r="AD227" i="3"/>
  <c r="AE227" i="3" s="1"/>
  <c r="AD233" i="3"/>
  <c r="AE233" i="3" s="1"/>
  <c r="AD239" i="3"/>
  <c r="AE239" i="3" s="1"/>
  <c r="AD245" i="3"/>
  <c r="AE245" i="3" s="1"/>
  <c r="AD254" i="3"/>
  <c r="AE254" i="3" s="1"/>
  <c r="AD304" i="3"/>
  <c r="AE304" i="3" s="1"/>
  <c r="AD337" i="3"/>
  <c r="AE337" i="3" s="1"/>
  <c r="AD383" i="3"/>
  <c r="AE383" i="3" s="1"/>
  <c r="AD438" i="3"/>
  <c r="AE438" i="3" s="1"/>
  <c r="AD447" i="3"/>
  <c r="AE447" i="3" s="1"/>
  <c r="AD461" i="3"/>
  <c r="AE461" i="3" s="1"/>
  <c r="AD464" i="3"/>
  <c r="AE464" i="3" s="1"/>
  <c r="AD487" i="3"/>
  <c r="AE487" i="3" s="1"/>
  <c r="AD490" i="3"/>
  <c r="AE490" i="3" s="1"/>
  <c r="AD493" i="3"/>
  <c r="AE493" i="3" s="1"/>
  <c r="AD516" i="3"/>
  <c r="AE516" i="3" s="1"/>
  <c r="AD525" i="3"/>
  <c r="AE525" i="3" s="1"/>
  <c r="AD531" i="3"/>
  <c r="AE531" i="3" s="1"/>
  <c r="AD42" i="3"/>
  <c r="AE42" i="3" s="1"/>
  <c r="AD48" i="3"/>
  <c r="AE48" i="3" s="1"/>
  <c r="AD60" i="3"/>
  <c r="AE60" i="3" s="1"/>
  <c r="AD66" i="3"/>
  <c r="AE66" i="3" s="1"/>
  <c r="AD72" i="3"/>
  <c r="AE72" i="3" s="1"/>
  <c r="AD6" i="3"/>
  <c r="AE6" i="3" s="1"/>
  <c r="AD12" i="3"/>
  <c r="AE12" i="3" s="1"/>
  <c r="AD18" i="3"/>
  <c r="AE18" i="3" s="1"/>
  <c r="AD24" i="3"/>
  <c r="AE24" i="3" s="1"/>
  <c r="AD30" i="3"/>
  <c r="AE30" i="3" s="1"/>
  <c r="AD36" i="3"/>
  <c r="AE36" i="3" s="1"/>
  <c r="AD54" i="3"/>
  <c r="AE54" i="3" s="1"/>
  <c r="AD78" i="3"/>
  <c r="AE78" i="3" s="1"/>
  <c r="AD84" i="3"/>
  <c r="AE84" i="3" s="1"/>
  <c r="AD90" i="3"/>
  <c r="AE90" i="3" s="1"/>
  <c r="AD96" i="3"/>
  <c r="AE96" i="3" s="1"/>
  <c r="AD102" i="3"/>
  <c r="AE102" i="3" s="1"/>
  <c r="AD108" i="3"/>
  <c r="AE108" i="3" s="1"/>
  <c r="AD114" i="3"/>
  <c r="AE114" i="3" s="1"/>
  <c r="AD120" i="3"/>
  <c r="AE120" i="3" s="1"/>
  <c r="AD126" i="3"/>
  <c r="AE126" i="3" s="1"/>
  <c r="AD212" i="3"/>
  <c r="AE212" i="3" s="1"/>
  <c r="AD374" i="3"/>
  <c r="AE374" i="3" s="1"/>
  <c r="AD230" i="3"/>
  <c r="AE230" i="3" s="1"/>
  <c r="AD238" i="3"/>
  <c r="AE238" i="3" s="1"/>
  <c r="AD246" i="3"/>
  <c r="AE246" i="3" s="1"/>
  <c r="AD268" i="3"/>
  <c r="AE268" i="3" s="1"/>
  <c r="AD320" i="3"/>
  <c r="AE320" i="3" s="1"/>
  <c r="AD342" i="3"/>
  <c r="AE342" i="3" s="1"/>
  <c r="AD326" i="3"/>
  <c r="AE326" i="3" s="1"/>
  <c r="AD394" i="3"/>
  <c r="AE394" i="3" s="1"/>
  <c r="AD429" i="3"/>
  <c r="AE429" i="3" s="1"/>
  <c r="AD288" i="3"/>
  <c r="AE288" i="3" s="1"/>
  <c r="AD132" i="3"/>
  <c r="AE132" i="3" s="1"/>
  <c r="AD144" i="3"/>
  <c r="AE144" i="3" s="1"/>
  <c r="AD156" i="3"/>
  <c r="AE156" i="3" s="1"/>
  <c r="AD168" i="3"/>
  <c r="AE168" i="3" s="1"/>
  <c r="AD180" i="3"/>
  <c r="AE180" i="3" s="1"/>
  <c r="AD192" i="3"/>
  <c r="AE192" i="3" s="1"/>
  <c r="AD204" i="3"/>
  <c r="AE204" i="3" s="1"/>
  <c r="AD216" i="3"/>
  <c r="AE216" i="3" s="1"/>
  <c r="AD280" i="3"/>
  <c r="AE280" i="3" s="1"/>
  <c r="AD302" i="3"/>
  <c r="AE302" i="3" s="1"/>
  <c r="AD226" i="3"/>
  <c r="AE226" i="3" s="1"/>
  <c r="AD234" i="3"/>
  <c r="AE234" i="3" s="1"/>
  <c r="AD242" i="3"/>
  <c r="AE242" i="3" s="1"/>
  <c r="AD272" i="3"/>
  <c r="AE272" i="3" s="1"/>
  <c r="AD294" i="3"/>
  <c r="AE294" i="3" s="1"/>
  <c r="AD368" i="3"/>
  <c r="AE368" i="3" s="1"/>
  <c r="AD422" i="3"/>
  <c r="AE422" i="3" s="1"/>
  <c r="AD130" i="3"/>
  <c r="AE130" i="3" s="1"/>
  <c r="AD142" i="3"/>
  <c r="AE142" i="3" s="1"/>
  <c r="AD154" i="3"/>
  <c r="AE154" i="3" s="1"/>
  <c r="AD166" i="3"/>
  <c r="AE166" i="3" s="1"/>
  <c r="AD178" i="3"/>
  <c r="AE178" i="3" s="1"/>
  <c r="AD190" i="3"/>
  <c r="AE190" i="3" s="1"/>
  <c r="AD202" i="3"/>
  <c r="AE202" i="3" s="1"/>
  <c r="AD214" i="3"/>
  <c r="AE214" i="3" s="1"/>
  <c r="AD286" i="3"/>
  <c r="AE286" i="3" s="1"/>
  <c r="AD360" i="3"/>
  <c r="AE360" i="3" s="1"/>
  <c r="AD409" i="3"/>
  <c r="AE409" i="3" s="1"/>
  <c r="AD444" i="3"/>
  <c r="AE444" i="3" s="1"/>
  <c r="AD278" i="3"/>
  <c r="AE278" i="3" s="1"/>
  <c r="AD352" i="3"/>
  <c r="AE352" i="3" s="1"/>
  <c r="AD398" i="3"/>
  <c r="AE398" i="3" s="1"/>
  <c r="AD406" i="3"/>
  <c r="AE406" i="3" s="1"/>
  <c r="AD416" i="3"/>
  <c r="AE416" i="3" s="1"/>
  <c r="AD496" i="3"/>
  <c r="AE496" i="3" s="1"/>
  <c r="AD276" i="3"/>
  <c r="AE276" i="3" s="1"/>
  <c r="AD284" i="3"/>
  <c r="AE284" i="3" s="1"/>
  <c r="AD292" i="3"/>
  <c r="AE292" i="3" s="1"/>
  <c r="AD300" i="3"/>
  <c r="AE300" i="3" s="1"/>
  <c r="AD308" i="3"/>
  <c r="AE308" i="3" s="1"/>
  <c r="AD316" i="3"/>
  <c r="AE316" i="3" s="1"/>
  <c r="AD324" i="3"/>
  <c r="AE324" i="3" s="1"/>
  <c r="AD332" i="3"/>
  <c r="AE332" i="3" s="1"/>
  <c r="AD340" i="3"/>
  <c r="AE340" i="3" s="1"/>
  <c r="AD348" i="3"/>
  <c r="AE348" i="3" s="1"/>
  <c r="AD356" i="3"/>
  <c r="AE356" i="3" s="1"/>
  <c r="AD364" i="3"/>
  <c r="AE364" i="3" s="1"/>
  <c r="AD372" i="3"/>
  <c r="AE372" i="3" s="1"/>
  <c r="AD407" i="3"/>
  <c r="AE407" i="3" s="1"/>
  <c r="AD420" i="3"/>
  <c r="AE420" i="3" s="1"/>
  <c r="AD382" i="3"/>
  <c r="AE382" i="3" s="1"/>
  <c r="AD415" i="3"/>
  <c r="AE415" i="3" s="1"/>
  <c r="AD274" i="3"/>
  <c r="AE274" i="3" s="1"/>
  <c r="AD282" i="3"/>
  <c r="AE282" i="3" s="1"/>
  <c r="AD290" i="3"/>
  <c r="AE290" i="3" s="1"/>
  <c r="AD298" i="3"/>
  <c r="AE298" i="3" s="1"/>
  <c r="AD306" i="3"/>
  <c r="AE306" i="3" s="1"/>
  <c r="AD314" i="3"/>
  <c r="AE314" i="3" s="1"/>
  <c r="AD322" i="3"/>
  <c r="AE322" i="3" s="1"/>
  <c r="AD330" i="3"/>
  <c r="AE330" i="3" s="1"/>
  <c r="AD338" i="3"/>
  <c r="AE338" i="3" s="1"/>
  <c r="AD346" i="3"/>
  <c r="AE346" i="3" s="1"/>
  <c r="AD354" i="3"/>
  <c r="AE354" i="3" s="1"/>
  <c r="AD362" i="3"/>
  <c r="AE362" i="3" s="1"/>
  <c r="AD370" i="3"/>
  <c r="AE370" i="3" s="1"/>
  <c r="AD385" i="3"/>
  <c r="AE385" i="3" s="1"/>
  <c r="AD405" i="3"/>
  <c r="AE405" i="3" s="1"/>
  <c r="AD433" i="3"/>
  <c r="AE433" i="3" s="1"/>
  <c r="AD478" i="3"/>
  <c r="AE478" i="3" s="1"/>
  <c r="AD530" i="3"/>
  <c r="AE530" i="3" s="1"/>
  <c r="AD418" i="3"/>
  <c r="AE418" i="3" s="1"/>
  <c r="AD387" i="3"/>
  <c r="AE387" i="3" s="1"/>
  <c r="AD411" i="3"/>
  <c r="AE411" i="3" s="1"/>
  <c r="AD435" i="3"/>
  <c r="AE435" i="3" s="1"/>
  <c r="AD459" i="3"/>
  <c r="AE459" i="3" s="1"/>
  <c r="AD483" i="3"/>
  <c r="AE483" i="3" s="1"/>
  <c r="AD481" i="3"/>
  <c r="AE481" i="3" s="1"/>
  <c r="AD453" i="3"/>
  <c r="AE453" i="3" s="1"/>
  <c r="AD477" i="3"/>
  <c r="AE477" i="3" s="1"/>
  <c r="AD377" i="3"/>
  <c r="AE377" i="3" s="1"/>
  <c r="AD401" i="3"/>
  <c r="AE401" i="3" s="1"/>
  <c r="AD425" i="3"/>
  <c r="AE425" i="3" s="1"/>
  <c r="AD449" i="3"/>
  <c r="AE449" i="3" s="1"/>
  <c r="AD473" i="3"/>
  <c r="AE473" i="3" s="1"/>
  <c r="AD373" i="3"/>
  <c r="AE373" i="3" s="1"/>
  <c r="AD397" i="3"/>
  <c r="AE397" i="3" s="1"/>
  <c r="AD421" i="3"/>
  <c r="AE421" i="3" s="1"/>
  <c r="AD445" i="3"/>
  <c r="AE445" i="3" s="1"/>
  <c r="AD469" i="3"/>
  <c r="AE469" i="3" s="1"/>
  <c r="AD395" i="3"/>
  <c r="AE395" i="3" s="1"/>
  <c r="AD419" i="3"/>
  <c r="AE419" i="3" s="1"/>
  <c r="AD443" i="3"/>
  <c r="AE443" i="3" s="1"/>
  <c r="AD467" i="3"/>
  <c r="AE467" i="3" s="1"/>
  <c r="AD393" i="3"/>
  <c r="AE393" i="3" s="1"/>
  <c r="AD417" i="3"/>
  <c r="AE417" i="3" s="1"/>
  <c r="AD441" i="3"/>
  <c r="AE441" i="3" s="1"/>
  <c r="AD465" i="3"/>
  <c r="AE465" i="3" s="1"/>
  <c r="AD489" i="3"/>
  <c r="AE489" i="3" s="1"/>
  <c r="W516" i="14"/>
  <c r="T72" i="14"/>
  <c r="Y72" i="14" s="1"/>
  <c r="V72" i="14"/>
  <c r="V87" i="14"/>
  <c r="T87" i="14"/>
  <c r="Y87" i="14" s="1"/>
  <c r="X135" i="14"/>
  <c r="W135" i="14"/>
  <c r="V24" i="14"/>
  <c r="W24" i="14" s="1"/>
  <c r="T24" i="14"/>
  <c r="Y24" i="14" s="1"/>
  <c r="T60" i="14"/>
  <c r="Y60" i="14" s="1"/>
  <c r="V60" i="14"/>
  <c r="X60" i="14" s="1"/>
  <c r="V84" i="14"/>
  <c r="X84" i="14" s="1"/>
  <c r="T84" i="14"/>
  <c r="Y84" i="14" s="1"/>
  <c r="V27" i="14"/>
  <c r="T27" i="14"/>
  <c r="Y27" i="14" s="1"/>
  <c r="T48" i="14"/>
  <c r="Y48" i="14" s="1"/>
  <c r="V48" i="14"/>
  <c r="X48" i="14" s="1"/>
  <c r="T40" i="14"/>
  <c r="Y40" i="14" s="1"/>
  <c r="V73" i="14"/>
  <c r="W73" i="14" s="1"/>
  <c r="X570" i="14"/>
  <c r="T135" i="14"/>
  <c r="Y135" i="14" s="1"/>
  <c r="T35" i="14"/>
  <c r="X218" i="14"/>
  <c r="W218" i="14"/>
  <c r="Y25" i="14"/>
  <c r="X27" i="14"/>
  <c r="W27" i="14"/>
  <c r="T19" i="14"/>
  <c r="K118" i="14"/>
  <c r="T126" i="14"/>
  <c r="K264" i="14"/>
  <c r="K345" i="14"/>
  <c r="K88" i="14"/>
  <c r="X133" i="14"/>
  <c r="W133" i="14"/>
  <c r="V143" i="14"/>
  <c r="T143" i="14"/>
  <c r="V183" i="14"/>
  <c r="T183" i="14"/>
  <c r="K221" i="14"/>
  <c r="K422" i="14"/>
  <c r="K111" i="14"/>
  <c r="T117" i="14"/>
  <c r="K123" i="14"/>
  <c r="K130" i="14"/>
  <c r="Y133" i="14"/>
  <c r="K188" i="14"/>
  <c r="K196" i="14"/>
  <c r="T227" i="14"/>
  <c r="V227" i="14"/>
  <c r="V340" i="14"/>
  <c r="T340" i="14"/>
  <c r="Y37" i="14"/>
  <c r="V288" i="14"/>
  <c r="T288" i="14"/>
  <c r="K365" i="14"/>
  <c r="K93" i="14"/>
  <c r="V175" i="14"/>
  <c r="T175" i="14"/>
  <c r="X185" i="14"/>
  <c r="W185" i="14"/>
  <c r="V71" i="14"/>
  <c r="T71" i="14"/>
  <c r="Y73" i="14"/>
  <c r="V97" i="14"/>
  <c r="T97" i="14"/>
  <c r="V28" i="14"/>
  <c r="T28" i="14"/>
  <c r="W40" i="14"/>
  <c r="V76" i="14"/>
  <c r="T76" i="14"/>
  <c r="V195" i="14"/>
  <c r="T195" i="14"/>
  <c r="V178" i="14"/>
  <c r="T178" i="14"/>
  <c r="V21" i="14"/>
  <c r="X87" i="14"/>
  <c r="W87" i="14"/>
  <c r="K114" i="14"/>
  <c r="K132" i="14"/>
  <c r="K142" i="14"/>
  <c r="K171" i="14"/>
  <c r="Y218" i="14"/>
  <c r="K231" i="14"/>
  <c r="K65" i="14"/>
  <c r="V64" i="14"/>
  <c r="K51" i="14"/>
  <c r="K58" i="14"/>
  <c r="K22" i="14"/>
  <c r="K25" i="14"/>
  <c r="K53" i="14"/>
  <c r="K55" i="14"/>
  <c r="K104" i="14"/>
  <c r="K173" i="14"/>
  <c r="K187" i="14"/>
  <c r="K200" i="14"/>
  <c r="K268" i="14"/>
  <c r="Y329" i="14"/>
  <c r="V58" i="14"/>
  <c r="T58" i="14"/>
  <c r="K39" i="14"/>
  <c r="K42" i="14"/>
  <c r="K165" i="14"/>
  <c r="V230" i="14"/>
  <c r="T230" i="14"/>
  <c r="V49" i="14"/>
  <c r="T49" i="14"/>
  <c r="V83" i="14"/>
  <c r="T83" i="14"/>
  <c r="K33" i="14"/>
  <c r="K7" i="14"/>
  <c r="Y21" i="14"/>
  <c r="Q8" i="14"/>
  <c r="R8" i="14" s="1"/>
  <c r="V36" i="14"/>
  <c r="V37" i="14"/>
  <c r="V50" i="14"/>
  <c r="T50" i="14"/>
  <c r="T57" i="14"/>
  <c r="V57" i="14"/>
  <c r="T64" i="14"/>
  <c r="K74" i="14"/>
  <c r="K78" i="14"/>
  <c r="K85" i="14"/>
  <c r="K92" i="14"/>
  <c r="K125" i="14"/>
  <c r="V145" i="14"/>
  <c r="T145" i="14"/>
  <c r="K282" i="14"/>
  <c r="K32" i="14"/>
  <c r="K81" i="14"/>
  <c r="K20" i="14"/>
  <c r="K239" i="14"/>
  <c r="V25" i="14"/>
  <c r="K30" i="14"/>
  <c r="K77" i="14"/>
  <c r="Y36" i="14"/>
  <c r="K52" i="14"/>
  <c r="K107" i="14"/>
  <c r="T169" i="14"/>
  <c r="K205" i="14"/>
  <c r="K212" i="14"/>
  <c r="K216" i="14"/>
  <c r="K244" i="14"/>
  <c r="K45" i="14"/>
  <c r="V23" i="14"/>
  <c r="T23" i="14"/>
  <c r="K29" i="14"/>
  <c r="V91" i="14"/>
  <c r="T91" i="14"/>
  <c r="K47" i="14"/>
  <c r="K59" i="14"/>
  <c r="K64" i="14"/>
  <c r="K68" i="14"/>
  <c r="X72" i="14"/>
  <c r="W72" i="14"/>
  <c r="K106" i="14"/>
  <c r="K156" i="14"/>
  <c r="K162" i="14"/>
  <c r="K181" i="14"/>
  <c r="V63" i="14"/>
  <c r="T63" i="14"/>
  <c r="T251" i="14"/>
  <c r="V251" i="14"/>
  <c r="T67" i="14"/>
  <c r="V35" i="14"/>
  <c r="K43" i="14"/>
  <c r="K46" i="14"/>
  <c r="K102" i="14"/>
  <c r="K5" i="14"/>
  <c r="K31" i="14"/>
  <c r="K35" i="14"/>
  <c r="X24" i="14"/>
  <c r="K26" i="14"/>
  <c r="K40" i="14"/>
  <c r="K80" i="14"/>
  <c r="V82" i="14"/>
  <c r="T82" i="14"/>
  <c r="T99" i="14"/>
  <c r="V124" i="14"/>
  <c r="T124" i="14"/>
  <c r="K149" i="14"/>
  <c r="V242" i="14"/>
  <c r="T242" i="14"/>
  <c r="K82" i="14"/>
  <c r="K86" i="14"/>
  <c r="K90" i="14"/>
  <c r="K109" i="14"/>
  <c r="K121" i="14"/>
  <c r="K140" i="14"/>
  <c r="K159" i="14"/>
  <c r="V190" i="14"/>
  <c r="T190" i="14"/>
  <c r="T198" i="14"/>
  <c r="K256" i="14"/>
  <c r="K298" i="14"/>
  <c r="V307" i="14"/>
  <c r="T307" i="14"/>
  <c r="K327" i="14"/>
  <c r="V332" i="14"/>
  <c r="T332" i="14"/>
  <c r="K166" i="14"/>
  <c r="K229" i="14"/>
  <c r="K233" i="14"/>
  <c r="K255" i="14"/>
  <c r="K272" i="14"/>
  <c r="T412" i="14"/>
  <c r="K213" i="14"/>
  <c r="K241" i="14"/>
  <c r="V254" i="14"/>
  <c r="T254" i="14"/>
  <c r="K300" i="14"/>
  <c r="V337" i="14"/>
  <c r="T337" i="14"/>
  <c r="K119" i="14"/>
  <c r="T139" i="14"/>
  <c r="V151" i="14"/>
  <c r="T151" i="14"/>
  <c r="K172" i="14"/>
  <c r="K197" i="14"/>
  <c r="K19" i="14"/>
  <c r="V19" i="14"/>
  <c r="K67" i="14"/>
  <c r="V67" i="14"/>
  <c r="V96" i="14"/>
  <c r="T96" i="14"/>
  <c r="K112" i="14"/>
  <c r="T128" i="14"/>
  <c r="V128" i="14"/>
  <c r="X184" i="14"/>
  <c r="W184" i="14"/>
  <c r="K222" i="14"/>
  <c r="K250" i="14"/>
  <c r="T252" i="14"/>
  <c r="V252" i="14"/>
  <c r="V137" i="14"/>
  <c r="T137" i="14"/>
  <c r="Y17" i="14"/>
  <c r="K54" i="14"/>
  <c r="K105" i="14"/>
  <c r="V146" i="14"/>
  <c r="T146" i="14"/>
  <c r="K153" i="14"/>
  <c r="T168" i="14"/>
  <c r="V168" i="14"/>
  <c r="V179" i="14"/>
  <c r="T179" i="14"/>
  <c r="K192" i="14"/>
  <c r="T220" i="14"/>
  <c r="V220" i="14"/>
  <c r="T228" i="14"/>
  <c r="V228" i="14"/>
  <c r="K235" i="14"/>
  <c r="K258" i="14"/>
  <c r="K277" i="14"/>
  <c r="K292" i="14"/>
  <c r="K57" i="14"/>
  <c r="K73" i="14"/>
  <c r="K110" i="14"/>
  <c r="K116" i="14"/>
  <c r="K122" i="14"/>
  <c r="T127" i="14"/>
  <c r="K134" i="14"/>
  <c r="K141" i="14"/>
  <c r="T144" i="14"/>
  <c r="V144" i="14"/>
  <c r="K174" i="14"/>
  <c r="K182" i="14"/>
  <c r="K208" i="14"/>
  <c r="K215" i="14"/>
  <c r="K79" i="14"/>
  <c r="V98" i="14"/>
  <c r="T98" i="14"/>
  <c r="K103" i="14"/>
  <c r="K131" i="14"/>
  <c r="K170" i="14"/>
  <c r="V191" i="14"/>
  <c r="T191" i="14"/>
  <c r="V194" i="14"/>
  <c r="T194" i="14"/>
  <c r="K203" i="14"/>
  <c r="K243" i="14"/>
  <c r="K279" i="14"/>
  <c r="V287" i="14"/>
  <c r="T287" i="14"/>
  <c r="T398" i="14"/>
  <c r="V398" i="14"/>
  <c r="K89" i="14"/>
  <c r="K120" i="14"/>
  <c r="V139" i="14"/>
  <c r="K148" i="14"/>
  <c r="K176" i="14"/>
  <c r="Y184" i="14"/>
  <c r="K193" i="14"/>
  <c r="K266" i="14"/>
  <c r="K317" i="14"/>
  <c r="K18" i="14"/>
  <c r="K66" i="14"/>
  <c r="K91" i="14"/>
  <c r="V17" i="14"/>
  <c r="X17" i="14" s="1"/>
  <c r="K21" i="14"/>
  <c r="K69" i="14"/>
  <c r="V95" i="14"/>
  <c r="T95" i="14"/>
  <c r="V100" i="14"/>
  <c r="T100" i="14"/>
  <c r="K108" i="14"/>
  <c r="K113" i="14"/>
  <c r="T138" i="14"/>
  <c r="V147" i="14"/>
  <c r="T147" i="14"/>
  <c r="T180" i="14"/>
  <c r="V180" i="14"/>
  <c r="K186" i="14"/>
  <c r="K237" i="14"/>
  <c r="K269" i="14"/>
  <c r="V315" i="14"/>
  <c r="T315" i="14"/>
  <c r="K367" i="14"/>
  <c r="K210" i="14"/>
  <c r="K224" i="14"/>
  <c r="K248" i="14"/>
  <c r="V249" i="14"/>
  <c r="V267" i="14"/>
  <c r="T267" i="14"/>
  <c r="K295" i="14"/>
  <c r="K311" i="14"/>
  <c r="K351" i="14"/>
  <c r="K464" i="14"/>
  <c r="V274" i="14"/>
  <c r="T274" i="14"/>
  <c r="V281" i="14"/>
  <c r="T281" i="14"/>
  <c r="K308" i="14"/>
  <c r="K320" i="14"/>
  <c r="T322" i="14"/>
  <c r="V322" i="14"/>
  <c r="T325" i="14"/>
  <c r="V325" i="14"/>
  <c r="V379" i="14"/>
  <c r="T379" i="14"/>
  <c r="V380" i="14"/>
  <c r="T380" i="14"/>
  <c r="K394" i="14"/>
  <c r="K289" i="14"/>
  <c r="K331" i="14"/>
  <c r="K338" i="14"/>
  <c r="K342" i="14"/>
  <c r="K355" i="14"/>
  <c r="K370" i="14"/>
  <c r="V374" i="14"/>
  <c r="T374" i="14"/>
  <c r="K384" i="14"/>
  <c r="K411" i="14"/>
  <c r="K202" i="14"/>
  <c r="K207" i="14"/>
  <c r="T249" i="14"/>
  <c r="K276" i="14"/>
  <c r="K278" i="14"/>
  <c r="V291" i="14"/>
  <c r="T291" i="14"/>
  <c r="K305" i="14"/>
  <c r="T310" i="14"/>
  <c r="K315" i="14"/>
  <c r="V330" i="14"/>
  <c r="T330" i="14"/>
  <c r="K354" i="14"/>
  <c r="K359" i="14"/>
  <c r="V152" i="14"/>
  <c r="K155" i="14"/>
  <c r="K158" i="14"/>
  <c r="K161" i="14"/>
  <c r="V169" i="14"/>
  <c r="V199" i="14"/>
  <c r="K209" i="14"/>
  <c r="K238" i="14"/>
  <c r="K240" i="14"/>
  <c r="V253" i="14"/>
  <c r="T253" i="14"/>
  <c r="K262" i="14"/>
  <c r="K312" i="14"/>
  <c r="K363" i="14"/>
  <c r="K377" i="14"/>
  <c r="K117" i="14"/>
  <c r="V117" i="14"/>
  <c r="V138" i="14"/>
  <c r="V99" i="14"/>
  <c r="V127" i="14"/>
  <c r="T152" i="14"/>
  <c r="T199" i="14"/>
  <c r="K204" i="14"/>
  <c r="K249" i="14"/>
  <c r="K270" i="14"/>
  <c r="K286" i="14"/>
  <c r="K297" i="14"/>
  <c r="K302" i="14"/>
  <c r="K358" i="14"/>
  <c r="M10" i="14"/>
  <c r="V126" i="14"/>
  <c r="K185" i="14"/>
  <c r="K211" i="14"/>
  <c r="K218" i="14"/>
  <c r="K225" i="14"/>
  <c r="K226" i="14"/>
  <c r="K232" i="14"/>
  <c r="K234" i="14"/>
  <c r="Y245" i="14"/>
  <c r="T246" i="14"/>
  <c r="T261" i="14"/>
  <c r="T275" i="14"/>
  <c r="V275" i="14"/>
  <c r="K293" i="14"/>
  <c r="V314" i="14"/>
  <c r="T314" i="14"/>
  <c r="T328" i="14"/>
  <c r="K333" i="14"/>
  <c r="K336" i="14"/>
  <c r="K362" i="14"/>
  <c r="K383" i="14"/>
  <c r="V198" i="14"/>
  <c r="K206" i="14"/>
  <c r="V226" i="14"/>
  <c r="K257" i="14"/>
  <c r="V280" i="14"/>
  <c r="T280" i="14"/>
  <c r="K285" i="14"/>
  <c r="K316" i="14"/>
  <c r="T321" i="14"/>
  <c r="V321" i="14"/>
  <c r="K324" i="14"/>
  <c r="V335" i="14"/>
  <c r="T335" i="14"/>
  <c r="T372" i="14"/>
  <c r="V372" i="14"/>
  <c r="K154" i="14"/>
  <c r="K157" i="14"/>
  <c r="K160" i="14"/>
  <c r="K163" i="14"/>
  <c r="K201" i="14"/>
  <c r="K263" i="14"/>
  <c r="K307" i="14"/>
  <c r="V318" i="14"/>
  <c r="T318" i="14"/>
  <c r="K348" i="14"/>
  <c r="K388" i="14"/>
  <c r="K403" i="14"/>
  <c r="V334" i="14"/>
  <c r="T334" i="14"/>
  <c r="V339" i="14"/>
  <c r="T339" i="14"/>
  <c r="K368" i="14"/>
  <c r="T393" i="14"/>
  <c r="V415" i="14"/>
  <c r="T415" i="14"/>
  <c r="K284" i="14"/>
  <c r="K304" i="14"/>
  <c r="K352" i="14"/>
  <c r="K356" i="14"/>
  <c r="K396" i="14"/>
  <c r="T402" i="14"/>
  <c r="V402" i="14"/>
  <c r="K406" i="14"/>
  <c r="V261" i="14"/>
  <c r="K299" i="14"/>
  <c r="K330" i="14"/>
  <c r="K343" i="14"/>
  <c r="K346" i="14"/>
  <c r="K349" i="14"/>
  <c r="K360" i="14"/>
  <c r="K364" i="14"/>
  <c r="V373" i="14"/>
  <c r="T373" i="14"/>
  <c r="K386" i="14"/>
  <c r="K189" i="14"/>
  <c r="V246" i="14"/>
  <c r="K271" i="14"/>
  <c r="K294" i="14"/>
  <c r="V310" i="14"/>
  <c r="K319" i="14"/>
  <c r="K323" i="14"/>
  <c r="K369" i="14"/>
  <c r="K371" i="14"/>
  <c r="K376" i="14"/>
  <c r="K408" i="14"/>
  <c r="K236" i="14"/>
  <c r="V245" i="14"/>
  <c r="K260" i="14"/>
  <c r="K301" i="14"/>
  <c r="K306" i="14"/>
  <c r="K326" i="14"/>
  <c r="K353" i="14"/>
  <c r="K357" i="14"/>
  <c r="K361" i="14"/>
  <c r="V378" i="14"/>
  <c r="T378" i="14"/>
  <c r="K382" i="14"/>
  <c r="K389" i="14"/>
  <c r="K399" i="14"/>
  <c r="K296" i="14"/>
  <c r="Y341" i="14"/>
  <c r="X375" i="14"/>
  <c r="W375" i="14"/>
  <c r="T385" i="14"/>
  <c r="K391" i="14"/>
  <c r="K129" i="14"/>
  <c r="K177" i="14"/>
  <c r="K273" i="14"/>
  <c r="K283" i="14"/>
  <c r="K303" i="14"/>
  <c r="K344" i="14"/>
  <c r="K347" i="14"/>
  <c r="K350" i="14"/>
  <c r="K401" i="14"/>
  <c r="T425" i="14"/>
  <c r="V425" i="14"/>
  <c r="T444" i="14"/>
  <c r="V444" i="14"/>
  <c r="K418" i="14"/>
  <c r="K428" i="14"/>
  <c r="K448" i="14"/>
  <c r="V341" i="14"/>
  <c r="K366" i="14"/>
  <c r="K405" i="14"/>
  <c r="K424" i="14"/>
  <c r="K442" i="14"/>
  <c r="K479" i="14"/>
  <c r="K397" i="14"/>
  <c r="K432" i="14"/>
  <c r="K381" i="14"/>
  <c r="K400" i="14"/>
  <c r="K404" i="14"/>
  <c r="K414" i="14"/>
  <c r="V423" i="14"/>
  <c r="T423" i="14"/>
  <c r="V329" i="14"/>
  <c r="K385" i="14"/>
  <c r="V385" i="14"/>
  <c r="K387" i="14"/>
  <c r="K413" i="14"/>
  <c r="K417" i="14"/>
  <c r="K435" i="14"/>
  <c r="K318" i="14"/>
  <c r="V328" i="14"/>
  <c r="K380" i="14"/>
  <c r="K390" i="14"/>
  <c r="K426" i="14"/>
  <c r="T450" i="14"/>
  <c r="V450" i="14"/>
  <c r="K341" i="14"/>
  <c r="V392" i="14"/>
  <c r="T392" i="14"/>
  <c r="K416" i="14"/>
  <c r="T443" i="14"/>
  <c r="V443" i="14"/>
  <c r="V459" i="14"/>
  <c r="T459" i="14"/>
  <c r="V427" i="14"/>
  <c r="T427" i="14"/>
  <c r="V441" i="14"/>
  <c r="K445" i="14"/>
  <c r="V447" i="14"/>
  <c r="T447" i="14"/>
  <c r="K463" i="14"/>
  <c r="V455" i="14"/>
  <c r="T455" i="14"/>
  <c r="K458" i="14"/>
  <c r="K429" i="14"/>
  <c r="K436" i="14"/>
  <c r="V500" i="14"/>
  <c r="T500" i="14"/>
  <c r="K423" i="14"/>
  <c r="T441" i="14"/>
  <c r="K410" i="14"/>
  <c r="V412" i="14"/>
  <c r="K441" i="14"/>
  <c r="K395" i="14"/>
  <c r="K398" i="14"/>
  <c r="K451" i="14"/>
  <c r="K460" i="14"/>
  <c r="K438" i="14"/>
  <c r="K443" i="14"/>
  <c r="V472" i="14"/>
  <c r="T472" i="14"/>
  <c r="K468" i="14"/>
  <c r="K486" i="14"/>
  <c r="V498" i="14"/>
  <c r="T498" i="14"/>
  <c r="V393" i="14"/>
  <c r="K433" i="14"/>
  <c r="K439" i="14"/>
  <c r="K476" i="14"/>
  <c r="K495" i="14"/>
  <c r="K503" i="14"/>
  <c r="K402" i="14"/>
  <c r="V454" i="14"/>
  <c r="T454" i="14"/>
  <c r="K434" i="14"/>
  <c r="K447" i="14"/>
  <c r="V474" i="14"/>
  <c r="T474" i="14"/>
  <c r="V494" i="14"/>
  <c r="T494" i="14"/>
  <c r="K462" i="14"/>
  <c r="K466" i="14"/>
  <c r="K509" i="14"/>
  <c r="K420" i="14"/>
  <c r="K456" i="14"/>
  <c r="V461" i="14"/>
  <c r="T461" i="14"/>
  <c r="T481" i="14"/>
  <c r="V481" i="14"/>
  <c r="T488" i="14"/>
  <c r="T507" i="14"/>
  <c r="V535" i="14"/>
  <c r="T535" i="14"/>
  <c r="T471" i="14"/>
  <c r="K473" i="14"/>
  <c r="K499" i="14"/>
  <c r="K483" i="14"/>
  <c r="K487" i="14"/>
  <c r="T517" i="14"/>
  <c r="V517" i="14"/>
  <c r="T478" i="14"/>
  <c r="K480" i="14"/>
  <c r="V491" i="14"/>
  <c r="T491" i="14"/>
  <c r="V515" i="14"/>
  <c r="T515" i="14"/>
  <c r="K455" i="14"/>
  <c r="K467" i="14"/>
  <c r="V470" i="14"/>
  <c r="T470" i="14"/>
  <c r="K484" i="14"/>
  <c r="K505" i="14"/>
  <c r="K493" i="14"/>
  <c r="K497" i="14"/>
  <c r="K500" i="14"/>
  <c r="T508" i="14"/>
  <c r="V508" i="14"/>
  <c r="K512" i="14"/>
  <c r="K457" i="14"/>
  <c r="K521" i="14"/>
  <c r="K524" i="14"/>
  <c r="K459" i="14"/>
  <c r="K475" i="14"/>
  <c r="V510" i="14"/>
  <c r="T510" i="14"/>
  <c r="T547" i="14"/>
  <c r="Y548" i="14"/>
  <c r="K522" i="14"/>
  <c r="K537" i="14"/>
  <c r="K538" i="14"/>
  <c r="V554" i="14"/>
  <c r="T554" i="14"/>
  <c r="T523" i="14"/>
  <c r="K531" i="14"/>
  <c r="Y570" i="14"/>
  <c r="K489" i="14"/>
  <c r="K519" i="14"/>
  <c r="K562" i="14"/>
  <c r="V536" i="14"/>
  <c r="T536" i="14"/>
  <c r="K551" i="14"/>
  <c r="V471" i="14"/>
  <c r="K478" i="14"/>
  <c r="V478" i="14"/>
  <c r="K528" i="14"/>
  <c r="T572" i="14"/>
  <c r="V572" i="14"/>
  <c r="K574" i="14"/>
  <c r="K498" i="14"/>
  <c r="K513" i="14"/>
  <c r="V518" i="14"/>
  <c r="T518" i="14"/>
  <c r="V523" i="14"/>
  <c r="K529" i="14"/>
  <c r="K534" i="14"/>
  <c r="K453" i="14"/>
  <c r="K474" i="14"/>
  <c r="K481" i="14"/>
  <c r="K488" i="14"/>
  <c r="V488" i="14"/>
  <c r="K492" i="14"/>
  <c r="K496" i="14"/>
  <c r="K502" i="14"/>
  <c r="K506" i="14"/>
  <c r="K517" i="14"/>
  <c r="V532" i="14"/>
  <c r="T532" i="14"/>
  <c r="K511" i="14"/>
  <c r="K472" i="14"/>
  <c r="K482" i="14"/>
  <c r="K526" i="14"/>
  <c r="K593" i="14"/>
  <c r="K576" i="14"/>
  <c r="K582" i="14"/>
  <c r="V590" i="14"/>
  <c r="T590" i="14"/>
  <c r="K606" i="14"/>
  <c r="V550" i="14"/>
  <c r="T550" i="14"/>
  <c r="K565" i="14"/>
  <c r="T573" i="14"/>
  <c r="V573" i="14"/>
  <c r="K546" i="14"/>
  <c r="K553" i="14"/>
  <c r="K543" i="14"/>
  <c r="K560" i="14"/>
  <c r="K587" i="14"/>
  <c r="V548" i="14"/>
  <c r="K597" i="14"/>
  <c r="K490" i="14"/>
  <c r="K527" i="14"/>
  <c r="K530" i="14"/>
  <c r="K533" i="14"/>
  <c r="K540" i="14"/>
  <c r="K548" i="14"/>
  <c r="K555" i="14"/>
  <c r="T577" i="14"/>
  <c r="V577" i="14"/>
  <c r="K612" i="14"/>
  <c r="K579" i="14"/>
  <c r="T581" i="14"/>
  <c r="K583" i="14"/>
  <c r="T592" i="14"/>
  <c r="V592" i="14"/>
  <c r="T631" i="14"/>
  <c r="K556" i="14"/>
  <c r="K568" i="14"/>
  <c r="K589" i="14"/>
  <c r="K651" i="14"/>
  <c r="K561" i="14"/>
  <c r="Y578" i="14"/>
  <c r="K609" i="14"/>
  <c r="K585" i="14"/>
  <c r="K535" i="14"/>
  <c r="K575" i="14"/>
  <c r="K595" i="14"/>
  <c r="K596" i="14"/>
  <c r="K602" i="14"/>
  <c r="K564" i="14"/>
  <c r="K591" i="14"/>
  <c r="T599" i="14"/>
  <c r="V599" i="14"/>
  <c r="V507" i="14"/>
  <c r="K514" i="14"/>
  <c r="K544" i="14"/>
  <c r="K557" i="14"/>
  <c r="K569" i="14"/>
  <c r="V584" i="14"/>
  <c r="T584" i="14"/>
  <c r="V605" i="14"/>
  <c r="T605" i="14"/>
  <c r="K615" i="14"/>
  <c r="K621" i="14"/>
  <c r="K625" i="14"/>
  <c r="K635" i="14"/>
  <c r="V647" i="14"/>
  <c r="T647" i="14"/>
  <c r="K660" i="14"/>
  <c r="K607" i="14"/>
  <c r="T620" i="14"/>
  <c r="V620" i="14"/>
  <c r="V601" i="14"/>
  <c r="T601" i="14"/>
  <c r="K608" i="14"/>
  <c r="K617" i="14"/>
  <c r="V578" i="14"/>
  <c r="K614" i="14"/>
  <c r="K627" i="14"/>
  <c r="X657" i="14"/>
  <c r="W657" i="14"/>
  <c r="V549" i="14"/>
  <c r="V581" i="14"/>
  <c r="K584" i="14"/>
  <c r="T655" i="14"/>
  <c r="V598" i="14"/>
  <c r="T598" i="14"/>
  <c r="T624" i="14"/>
  <c r="V649" i="14"/>
  <c r="T649" i="14"/>
  <c r="K588" i="14"/>
  <c r="K600" i="14"/>
  <c r="K610" i="14"/>
  <c r="T613" i="14"/>
  <c r="K619" i="14"/>
  <c r="T630" i="14"/>
  <c r="V630" i="14"/>
  <c r="K632" i="14"/>
  <c r="K641" i="14"/>
  <c r="V547" i="14"/>
  <c r="V622" i="14"/>
  <c r="T622" i="14"/>
  <c r="V653" i="14"/>
  <c r="T653" i="14"/>
  <c r="K662" i="14"/>
  <c r="K642" i="14"/>
  <c r="K580" i="14"/>
  <c r="K592" i="14"/>
  <c r="V629" i="14"/>
  <c r="T629" i="14"/>
  <c r="K636" i="14"/>
  <c r="V645" i="14"/>
  <c r="V655" i="14"/>
  <c r="K655" i="14"/>
  <c r="K601" i="14"/>
  <c r="K603" i="14"/>
  <c r="K649" i="14"/>
  <c r="K611" i="14"/>
  <c r="K626" i="14"/>
  <c r="K638" i="14"/>
  <c r="K644" i="14"/>
  <c r="T654" i="14"/>
  <c r="V654" i="14"/>
  <c r="K658" i="14"/>
  <c r="V661" i="14"/>
  <c r="T661" i="14"/>
  <c r="K616" i="14"/>
  <c r="V624" i="14"/>
  <c r="K640" i="14"/>
  <c r="Y645" i="14"/>
  <c r="V646" i="14"/>
  <c r="T646" i="14"/>
  <c r="V648" i="14"/>
  <c r="T648" i="14"/>
  <c r="V623" i="14"/>
  <c r="T623" i="14"/>
  <c r="V631" i="14"/>
  <c r="K631" i="14"/>
  <c r="K656" i="14"/>
  <c r="V628" i="14"/>
  <c r="T628" i="14"/>
  <c r="K634" i="14"/>
  <c r="V644" i="14"/>
  <c r="K639" i="14"/>
  <c r="X659" i="14"/>
  <c r="W659" i="14"/>
  <c r="T659" i="14"/>
  <c r="K604" i="14"/>
  <c r="K628" i="14"/>
  <c r="K633" i="14"/>
  <c r="K650" i="14"/>
  <c r="K652" i="14"/>
  <c r="K657" i="14"/>
  <c r="V613" i="14"/>
  <c r="Q5" i="14"/>
  <c r="R5" i="14" s="1"/>
  <c r="I29" i="15" l="1"/>
  <c r="D87" i="15"/>
  <c r="C87" i="15"/>
  <c r="B87" i="15"/>
  <c r="G84" i="15"/>
  <c r="F84" i="15"/>
  <c r="E84" i="15"/>
  <c r="D84" i="15"/>
  <c r="C84" i="15"/>
  <c r="B84" i="15"/>
  <c r="G87" i="15"/>
  <c r="F87" i="15"/>
  <c r="E87" i="15"/>
  <c r="B32" i="15"/>
  <c r="B31" i="15"/>
  <c r="G90" i="15"/>
  <c r="F90" i="15"/>
  <c r="E90" i="15"/>
  <c r="D90" i="15"/>
  <c r="F29" i="15"/>
  <c r="C90" i="15"/>
  <c r="B90" i="15"/>
  <c r="D25" i="15"/>
  <c r="J29" i="15"/>
  <c r="D27" i="15"/>
  <c r="X73" i="14"/>
  <c r="W17" i="14"/>
  <c r="W84" i="14"/>
  <c r="W60" i="14"/>
  <c r="W48" i="14"/>
  <c r="X126" i="14"/>
  <c r="W126" i="14"/>
  <c r="W117" i="14"/>
  <c r="X117" i="14"/>
  <c r="X199" i="14"/>
  <c r="W199" i="14"/>
  <c r="X128" i="14"/>
  <c r="W128" i="14"/>
  <c r="W19" i="14"/>
  <c r="X19" i="14"/>
  <c r="W138" i="14"/>
  <c r="X138" i="14"/>
  <c r="X655" i="14"/>
  <c r="W655" i="14"/>
  <c r="X549" i="14"/>
  <c r="W549" i="14"/>
  <c r="X385" i="14"/>
  <c r="W385" i="14"/>
  <c r="W523" i="14"/>
  <c r="X523" i="14"/>
  <c r="W478" i="14"/>
  <c r="X478" i="14"/>
  <c r="X412" i="14"/>
  <c r="W412" i="14"/>
  <c r="X631" i="14"/>
  <c r="W631" i="14"/>
  <c r="X507" i="14"/>
  <c r="W507" i="14"/>
  <c r="X341" i="14"/>
  <c r="W341" i="14"/>
  <c r="X127" i="14"/>
  <c r="W127" i="14"/>
  <c r="W488" i="14"/>
  <c r="X488" i="14"/>
  <c r="W67" i="14"/>
  <c r="X67" i="14"/>
  <c r="X310" i="14"/>
  <c r="W310" i="14"/>
  <c r="X139" i="14"/>
  <c r="W139" i="14"/>
  <c r="X152" i="14"/>
  <c r="W152" i="14"/>
  <c r="W35" i="14"/>
  <c r="X35" i="14"/>
  <c r="X328" i="14"/>
  <c r="W328" i="14"/>
  <c r="X624" i="14"/>
  <c r="W624" i="14"/>
  <c r="X471" i="14"/>
  <c r="W471" i="14"/>
  <c r="X393" i="14"/>
  <c r="W393" i="14"/>
  <c r="X245" i="14"/>
  <c r="W245" i="14"/>
  <c r="W246" i="14"/>
  <c r="X246" i="14"/>
  <c r="W261" i="14"/>
  <c r="X261" i="14"/>
  <c r="X581" i="14"/>
  <c r="W581" i="14"/>
  <c r="X99" i="14"/>
  <c r="W99" i="14"/>
  <c r="X169" i="14"/>
  <c r="W169" i="14"/>
  <c r="X547" i="14"/>
  <c r="W547" i="14"/>
  <c r="X613" i="14"/>
  <c r="W613" i="14"/>
  <c r="X198" i="14"/>
  <c r="W198" i="14"/>
  <c r="V600" i="14"/>
  <c r="T600" i="14"/>
  <c r="Y584" i="14"/>
  <c r="V519" i="14"/>
  <c r="T519" i="14"/>
  <c r="T466" i="14"/>
  <c r="V466" i="14"/>
  <c r="T348" i="14"/>
  <c r="V348" i="14"/>
  <c r="Y96" i="14"/>
  <c r="X307" i="14"/>
  <c r="W307" i="14"/>
  <c r="X178" i="14"/>
  <c r="W178" i="14"/>
  <c r="V514" i="14"/>
  <c r="T514" i="14"/>
  <c r="Y450" i="14"/>
  <c r="V234" i="14"/>
  <c r="T234" i="14"/>
  <c r="Y251" i="14"/>
  <c r="V32" i="14"/>
  <c r="T32" i="14"/>
  <c r="T614" i="14"/>
  <c r="V614" i="14"/>
  <c r="T607" i="14"/>
  <c r="V607" i="14"/>
  <c r="Y649" i="14"/>
  <c r="V625" i="14"/>
  <c r="T625" i="14"/>
  <c r="T477" i="14"/>
  <c r="V477" i="14"/>
  <c r="V482" i="14"/>
  <c r="T482" i="14"/>
  <c r="X470" i="14"/>
  <c r="W470" i="14"/>
  <c r="V499" i="14"/>
  <c r="T499" i="14"/>
  <c r="V389" i="14"/>
  <c r="T389" i="14"/>
  <c r="T365" i="14"/>
  <c r="V365" i="14"/>
  <c r="T414" i="14"/>
  <c r="V414" i="14"/>
  <c r="T357" i="14"/>
  <c r="V357" i="14"/>
  <c r="V319" i="14"/>
  <c r="T319" i="14"/>
  <c r="Y402" i="14"/>
  <c r="V352" i="14"/>
  <c r="T352" i="14"/>
  <c r="W339" i="14"/>
  <c r="X339" i="14"/>
  <c r="V388" i="14"/>
  <c r="T388" i="14"/>
  <c r="T201" i="14"/>
  <c r="V201" i="14"/>
  <c r="W335" i="14"/>
  <c r="X335" i="14"/>
  <c r="V293" i="14"/>
  <c r="T293" i="14"/>
  <c r="V247" i="14"/>
  <c r="T247" i="14"/>
  <c r="W330" i="14"/>
  <c r="X330" i="14"/>
  <c r="Y380" i="14"/>
  <c r="X281" i="14"/>
  <c r="W281" i="14"/>
  <c r="X267" i="14"/>
  <c r="W267" i="14"/>
  <c r="V237" i="14"/>
  <c r="T237" i="14"/>
  <c r="Y95" i="14"/>
  <c r="T279" i="14"/>
  <c r="V279" i="14"/>
  <c r="Y228" i="14"/>
  <c r="V150" i="14"/>
  <c r="T150" i="14"/>
  <c r="X137" i="14"/>
  <c r="W137" i="14"/>
  <c r="W96" i="14"/>
  <c r="X96" i="14"/>
  <c r="V119" i="14"/>
  <c r="T119" i="14"/>
  <c r="Y254" i="14"/>
  <c r="Y198" i="14"/>
  <c r="T140" i="14"/>
  <c r="V140" i="14"/>
  <c r="V70" i="14"/>
  <c r="T70" i="14"/>
  <c r="V80" i="14"/>
  <c r="T80" i="14"/>
  <c r="V46" i="14"/>
  <c r="T46" i="14"/>
  <c r="V43" i="14"/>
  <c r="T43" i="14"/>
  <c r="Y63" i="14"/>
  <c r="X23" i="14"/>
  <c r="W23" i="14"/>
  <c r="T85" i="14"/>
  <c r="V85" i="14"/>
  <c r="W49" i="14"/>
  <c r="X49" i="14"/>
  <c r="V42" i="14"/>
  <c r="T42" i="14"/>
  <c r="V187" i="14"/>
  <c r="T187" i="14"/>
  <c r="V142" i="14"/>
  <c r="T142" i="14"/>
  <c r="Y340" i="14"/>
  <c r="V111" i="14"/>
  <c r="T111" i="14"/>
  <c r="Y573" i="14"/>
  <c r="T436" i="14"/>
  <c r="V436" i="14"/>
  <c r="T395" i="14"/>
  <c r="V395" i="14"/>
  <c r="T323" i="14"/>
  <c r="V323" i="14"/>
  <c r="Y335" i="14"/>
  <c r="V164" i="14"/>
  <c r="T164" i="14"/>
  <c r="Y281" i="14"/>
  <c r="X228" i="14"/>
  <c r="W228" i="14"/>
  <c r="V79" i="14"/>
  <c r="T79" i="14"/>
  <c r="V55" i="14"/>
  <c r="T55" i="14"/>
  <c r="V640" i="14"/>
  <c r="T640" i="14"/>
  <c r="V652" i="14"/>
  <c r="T652" i="14"/>
  <c r="V641" i="14"/>
  <c r="T641" i="14"/>
  <c r="Y655" i="14"/>
  <c r="X578" i="14"/>
  <c r="W578" i="14"/>
  <c r="V615" i="14"/>
  <c r="T615" i="14"/>
  <c r="X584" i="14"/>
  <c r="W584" i="14"/>
  <c r="V542" i="14"/>
  <c r="T542" i="14"/>
  <c r="X548" i="14"/>
  <c r="W548" i="14"/>
  <c r="V460" i="14"/>
  <c r="T460" i="14"/>
  <c r="T433" i="14"/>
  <c r="V433" i="14"/>
  <c r="Y461" i="14"/>
  <c r="X494" i="14"/>
  <c r="W494" i="14"/>
  <c r="V434" i="14"/>
  <c r="T434" i="14"/>
  <c r="V650" i="14"/>
  <c r="T650" i="14"/>
  <c r="T591" i="14"/>
  <c r="V591" i="14"/>
  <c r="Y653" i="14"/>
  <c r="X649" i="14"/>
  <c r="W649" i="14"/>
  <c r="V627" i="14"/>
  <c r="T627" i="14"/>
  <c r="V660" i="14"/>
  <c r="T660" i="14"/>
  <c r="V552" i="14"/>
  <c r="T552" i="14"/>
  <c r="V579" i="14"/>
  <c r="T579" i="14"/>
  <c r="V587" i="14"/>
  <c r="T587" i="14"/>
  <c r="T576" i="14"/>
  <c r="V576" i="14"/>
  <c r="V506" i="14"/>
  <c r="T506" i="14"/>
  <c r="Y518" i="14"/>
  <c r="T574" i="14"/>
  <c r="V574" i="14"/>
  <c r="V492" i="14"/>
  <c r="T492" i="14"/>
  <c r="T522" i="14"/>
  <c r="V522" i="14"/>
  <c r="Y510" i="14"/>
  <c r="W508" i="14"/>
  <c r="X508" i="14"/>
  <c r="Y478" i="14"/>
  <c r="X461" i="14"/>
  <c r="W461" i="14"/>
  <c r="T468" i="14"/>
  <c r="V468" i="14"/>
  <c r="Y455" i="14"/>
  <c r="V416" i="14"/>
  <c r="T416" i="14"/>
  <c r="T260" i="14"/>
  <c r="V260" i="14"/>
  <c r="V396" i="14"/>
  <c r="T396" i="14"/>
  <c r="V368" i="14"/>
  <c r="T368" i="14"/>
  <c r="Y334" i="14"/>
  <c r="Y318" i="14"/>
  <c r="T160" i="14"/>
  <c r="V160" i="14"/>
  <c r="W226" i="14"/>
  <c r="X226" i="14"/>
  <c r="V290" i="14"/>
  <c r="T290" i="14"/>
  <c r="Y152" i="14"/>
  <c r="T324" i="14"/>
  <c r="V324" i="14"/>
  <c r="V209" i="14"/>
  <c r="T209" i="14"/>
  <c r="V161" i="14"/>
  <c r="T161" i="14"/>
  <c r="T359" i="14"/>
  <c r="V359" i="14"/>
  <c r="T276" i="14"/>
  <c r="V276" i="14"/>
  <c r="V207" i="14"/>
  <c r="T207" i="14"/>
  <c r="X380" i="14"/>
  <c r="W380" i="14"/>
  <c r="T320" i="14"/>
  <c r="V320" i="14"/>
  <c r="Y274" i="14"/>
  <c r="W249" i="14"/>
  <c r="X249" i="14"/>
  <c r="V224" i="14"/>
  <c r="T224" i="14"/>
  <c r="X95" i="14"/>
  <c r="W95" i="14"/>
  <c r="V266" i="14"/>
  <c r="T266" i="14"/>
  <c r="V167" i="14"/>
  <c r="T167" i="14"/>
  <c r="X220" i="14"/>
  <c r="W220" i="14"/>
  <c r="T189" i="14"/>
  <c r="V189" i="14"/>
  <c r="T182" i="14"/>
  <c r="V182" i="14"/>
  <c r="Y337" i="14"/>
  <c r="X254" i="14"/>
  <c r="W254" i="14"/>
  <c r="T213" i="14"/>
  <c r="V213" i="14"/>
  <c r="Y242" i="14"/>
  <c r="Y124" i="14"/>
  <c r="X63" i="14"/>
  <c r="W63" i="14"/>
  <c r="V59" i="14"/>
  <c r="T59" i="14"/>
  <c r="Y91" i="14"/>
  <c r="T30" i="14"/>
  <c r="V30" i="14"/>
  <c r="V31" i="14"/>
  <c r="T31" i="14"/>
  <c r="V65" i="14"/>
  <c r="T65" i="14"/>
  <c r="Y195" i="14"/>
  <c r="W340" i="14"/>
  <c r="X340" i="14"/>
  <c r="T221" i="14"/>
  <c r="V221" i="14"/>
  <c r="T264" i="14"/>
  <c r="V264" i="14"/>
  <c r="Y126" i="14"/>
  <c r="V148" i="14"/>
  <c r="T148" i="14"/>
  <c r="V238" i="14"/>
  <c r="T238" i="14"/>
  <c r="T370" i="14"/>
  <c r="V370" i="14"/>
  <c r="V342" i="14"/>
  <c r="T342" i="14"/>
  <c r="Y379" i="14"/>
  <c r="W274" i="14"/>
  <c r="X274" i="14"/>
  <c r="Y315" i="14"/>
  <c r="Y147" i="14"/>
  <c r="Y127" i="14"/>
  <c r="Y220" i="14"/>
  <c r="X168" i="14"/>
  <c r="W168" i="14"/>
  <c r="Y146" i="14"/>
  <c r="W337" i="14"/>
  <c r="X337" i="14"/>
  <c r="Y332" i="14"/>
  <c r="V109" i="14"/>
  <c r="T109" i="14"/>
  <c r="X242" i="14"/>
  <c r="W242" i="14"/>
  <c r="X124" i="14"/>
  <c r="W124" i="14"/>
  <c r="W91" i="14"/>
  <c r="X91" i="14"/>
  <c r="T45" i="14"/>
  <c r="V45" i="14"/>
  <c r="V212" i="14"/>
  <c r="T212" i="14"/>
  <c r="V52" i="14"/>
  <c r="T52" i="14"/>
  <c r="V282" i="14"/>
  <c r="T282" i="14"/>
  <c r="Y64" i="14"/>
  <c r="Y230" i="14"/>
  <c r="X195" i="14"/>
  <c r="W195" i="14"/>
  <c r="Y71" i="14"/>
  <c r="V123" i="14"/>
  <c r="T123" i="14"/>
  <c r="V118" i="14"/>
  <c r="T118" i="14"/>
  <c r="X402" i="14"/>
  <c r="W402" i="14"/>
  <c r="Y339" i="14"/>
  <c r="T377" i="14"/>
  <c r="V377" i="14"/>
  <c r="V131" i="14"/>
  <c r="T131" i="14"/>
  <c r="V555" i="14"/>
  <c r="T555" i="14"/>
  <c r="T420" i="14"/>
  <c r="V420" i="14"/>
  <c r="T383" i="14"/>
  <c r="V383" i="14"/>
  <c r="W592" i="14"/>
  <c r="X592" i="14"/>
  <c r="V426" i="14"/>
  <c r="T426" i="14"/>
  <c r="T413" i="14"/>
  <c r="V413" i="14"/>
  <c r="X423" i="14"/>
  <c r="W423" i="14"/>
  <c r="X444" i="14"/>
  <c r="W444" i="14"/>
  <c r="T303" i="14"/>
  <c r="V303" i="14"/>
  <c r="T391" i="14"/>
  <c r="V391" i="14"/>
  <c r="V294" i="14"/>
  <c r="T294" i="14"/>
  <c r="X415" i="14"/>
  <c r="W415" i="14"/>
  <c r="T313" i="14"/>
  <c r="V313" i="14"/>
  <c r="V273" i="14"/>
  <c r="T273" i="14"/>
  <c r="T157" i="14"/>
  <c r="V157" i="14"/>
  <c r="Y321" i="14"/>
  <c r="V257" i="14"/>
  <c r="T257" i="14"/>
  <c r="Y314" i="14"/>
  <c r="X275" i="14"/>
  <c r="W275" i="14"/>
  <c r="V232" i="14"/>
  <c r="T232" i="14"/>
  <c r="T270" i="14"/>
  <c r="V270" i="14"/>
  <c r="V158" i="14"/>
  <c r="T158" i="14"/>
  <c r="Y310" i="14"/>
  <c r="W291" i="14"/>
  <c r="X291" i="14"/>
  <c r="X379" i="14"/>
  <c r="W379" i="14"/>
  <c r="X315" i="14"/>
  <c r="W315" i="14"/>
  <c r="T186" i="14"/>
  <c r="V186" i="14"/>
  <c r="X147" i="14"/>
  <c r="W147" i="14"/>
  <c r="T66" i="14"/>
  <c r="V66" i="14"/>
  <c r="V176" i="14"/>
  <c r="T176" i="14"/>
  <c r="W398" i="14"/>
  <c r="X398" i="14"/>
  <c r="V258" i="14"/>
  <c r="T258" i="14"/>
  <c r="Y168" i="14"/>
  <c r="X146" i="14"/>
  <c r="W146" i="14"/>
  <c r="Y128" i="14"/>
  <c r="V272" i="14"/>
  <c r="T272" i="14"/>
  <c r="T233" i="14"/>
  <c r="V233" i="14"/>
  <c r="W332" i="14"/>
  <c r="X332" i="14"/>
  <c r="T298" i="14"/>
  <c r="V298" i="14"/>
  <c r="Y190" i="14"/>
  <c r="V34" i="14"/>
  <c r="T34" i="14"/>
  <c r="T162" i="14"/>
  <c r="V162" i="14"/>
  <c r="V107" i="14"/>
  <c r="T107" i="14"/>
  <c r="X25" i="14"/>
  <c r="W25" i="14"/>
  <c r="T125" i="14"/>
  <c r="V125" i="14"/>
  <c r="V62" i="14"/>
  <c r="T62" i="14"/>
  <c r="X230" i="14"/>
  <c r="W230" i="14"/>
  <c r="V39" i="14"/>
  <c r="T39" i="14"/>
  <c r="V231" i="14"/>
  <c r="T231" i="14"/>
  <c r="T114" i="14"/>
  <c r="V114" i="14"/>
  <c r="X71" i="14"/>
  <c r="W71" i="14"/>
  <c r="Y183" i="14"/>
  <c r="T619" i="14"/>
  <c r="V619" i="14"/>
  <c r="V271" i="14"/>
  <c r="T271" i="14"/>
  <c r="T469" i="14"/>
  <c r="V469" i="14"/>
  <c r="X329" i="14"/>
  <c r="W329" i="14"/>
  <c r="T349" i="14"/>
  <c r="V349" i="14"/>
  <c r="V588" i="14"/>
  <c r="T588" i="14"/>
  <c r="V54" i="14"/>
  <c r="T54" i="14"/>
  <c r="V222" i="14"/>
  <c r="T222" i="14"/>
  <c r="T172" i="14"/>
  <c r="V172" i="14"/>
  <c r="W190" i="14"/>
  <c r="X190" i="14"/>
  <c r="T159" i="14"/>
  <c r="V159" i="14"/>
  <c r="V94" i="14"/>
  <c r="T94" i="14"/>
  <c r="T61" i="14"/>
  <c r="V61" i="14"/>
  <c r="W57" i="14"/>
  <c r="X57" i="14"/>
  <c r="V129" i="14"/>
  <c r="T129" i="14"/>
  <c r="Y58" i="14"/>
  <c r="W183" i="14"/>
  <c r="X183" i="14"/>
  <c r="V586" i="14"/>
  <c r="T586" i="14"/>
  <c r="Y494" i="14"/>
  <c r="X100" i="14"/>
  <c r="W100" i="14"/>
  <c r="Y23" i="14"/>
  <c r="V51" i="14"/>
  <c r="T51" i="14"/>
  <c r="X455" i="14"/>
  <c r="W455" i="14"/>
  <c r="Y423" i="14"/>
  <c r="W334" i="14"/>
  <c r="X334" i="14"/>
  <c r="V285" i="14"/>
  <c r="T285" i="14"/>
  <c r="V596" i="14"/>
  <c r="T596" i="14"/>
  <c r="T524" i="14"/>
  <c r="V524" i="14"/>
  <c r="Y441" i="14"/>
  <c r="T636" i="14"/>
  <c r="V636" i="14"/>
  <c r="V564" i="14"/>
  <c r="T564" i="14"/>
  <c r="W474" i="14"/>
  <c r="X474" i="14"/>
  <c r="V445" i="14"/>
  <c r="T445" i="14"/>
  <c r="Y378" i="14"/>
  <c r="T265" i="14"/>
  <c r="V265" i="14"/>
  <c r="Y138" i="14"/>
  <c r="Y398" i="14"/>
  <c r="V637" i="14"/>
  <c r="T637" i="14"/>
  <c r="W623" i="14"/>
  <c r="X623" i="14"/>
  <c r="V604" i="14"/>
  <c r="T604" i="14"/>
  <c r="T559" i="14"/>
  <c r="V559" i="14"/>
  <c r="Y647" i="14"/>
  <c r="T621" i="14"/>
  <c r="V621" i="14"/>
  <c r="W605" i="14"/>
  <c r="X605" i="14"/>
  <c r="V609" i="14"/>
  <c r="T609" i="14"/>
  <c r="T571" i="14"/>
  <c r="V571" i="14"/>
  <c r="V556" i="14"/>
  <c r="T556" i="14"/>
  <c r="T583" i="14"/>
  <c r="V583" i="14"/>
  <c r="V597" i="14"/>
  <c r="T597" i="14"/>
  <c r="X590" i="14"/>
  <c r="W590" i="14"/>
  <c r="Y532" i="14"/>
  <c r="T529" i="14"/>
  <c r="V529" i="14"/>
  <c r="T513" i="14"/>
  <c r="V513" i="14"/>
  <c r="Y572" i="14"/>
  <c r="V551" i="14"/>
  <c r="T551" i="14"/>
  <c r="T484" i="14"/>
  <c r="V484" i="14"/>
  <c r="V480" i="14"/>
  <c r="T480" i="14"/>
  <c r="T473" i="14"/>
  <c r="V473" i="14"/>
  <c r="Y507" i="14"/>
  <c r="T456" i="14"/>
  <c r="V456" i="14"/>
  <c r="V409" i="14"/>
  <c r="T409" i="14"/>
  <c r="Y472" i="14"/>
  <c r="Y427" i="14"/>
  <c r="V479" i="14"/>
  <c r="T479" i="14"/>
  <c r="T417" i="14"/>
  <c r="V417" i="14"/>
  <c r="X425" i="14"/>
  <c r="W425" i="14"/>
  <c r="V399" i="14"/>
  <c r="T399" i="14"/>
  <c r="W378" i="14"/>
  <c r="X378" i="14"/>
  <c r="X373" i="14"/>
  <c r="W373" i="14"/>
  <c r="T346" i="14"/>
  <c r="V346" i="14"/>
  <c r="V403" i="14"/>
  <c r="T403" i="14"/>
  <c r="V316" i="14"/>
  <c r="T316" i="14"/>
  <c r="Y261" i="14"/>
  <c r="T116" i="14"/>
  <c r="V116" i="14"/>
  <c r="V358" i="14"/>
  <c r="T358" i="14"/>
  <c r="Y253" i="14"/>
  <c r="V354" i="14"/>
  <c r="T354" i="14"/>
  <c r="V384" i="14"/>
  <c r="T384" i="14"/>
  <c r="V248" i="14"/>
  <c r="T248" i="14"/>
  <c r="T173" i="14"/>
  <c r="V173" i="14"/>
  <c r="V203" i="14"/>
  <c r="T203" i="14"/>
  <c r="V208" i="14"/>
  <c r="T208" i="14"/>
  <c r="V122" i="14"/>
  <c r="T122" i="14"/>
  <c r="V292" i="14"/>
  <c r="T292" i="14"/>
  <c r="T327" i="14"/>
  <c r="V327" i="14"/>
  <c r="V177" i="14"/>
  <c r="T177" i="14"/>
  <c r="Y99" i="14"/>
  <c r="T47" i="14"/>
  <c r="V47" i="14"/>
  <c r="T244" i="14"/>
  <c r="V244" i="14"/>
  <c r="V225" i="14"/>
  <c r="T225" i="14"/>
  <c r="Y57" i="14"/>
  <c r="X58" i="14"/>
  <c r="W58" i="14"/>
  <c r="T132" i="14"/>
  <c r="V132" i="14"/>
  <c r="Y76" i="14"/>
  <c r="Y288" i="14"/>
  <c r="W227" i="14"/>
  <c r="X227" i="14"/>
  <c r="V422" i="14"/>
  <c r="T422" i="14"/>
  <c r="T544" i="14"/>
  <c r="V544" i="14"/>
  <c r="T430" i="14"/>
  <c r="V430" i="14"/>
  <c r="T350" i="14"/>
  <c r="V350" i="14"/>
  <c r="Y330" i="14"/>
  <c r="Y322" i="14"/>
  <c r="Y267" i="14"/>
  <c r="Y49" i="14"/>
  <c r="W653" i="14"/>
  <c r="X653" i="14"/>
  <c r="Y631" i="14"/>
  <c r="V495" i="14"/>
  <c r="T495" i="14"/>
  <c r="V262" i="14"/>
  <c r="T262" i="14"/>
  <c r="Y291" i="14"/>
  <c r="T567" i="14"/>
  <c r="V567" i="14"/>
  <c r="T534" i="14"/>
  <c r="V534" i="14"/>
  <c r="V538" i="14"/>
  <c r="T538" i="14"/>
  <c r="Y474" i="14"/>
  <c r="T424" i="14"/>
  <c r="V424" i="14"/>
  <c r="W498" i="14"/>
  <c r="X498" i="14"/>
  <c r="V633" i="14"/>
  <c r="T633" i="14"/>
  <c r="T658" i="14"/>
  <c r="V658" i="14"/>
  <c r="Y605" i="14"/>
  <c r="X572" i="14"/>
  <c r="W572" i="14"/>
  <c r="V463" i="14"/>
  <c r="T463" i="14"/>
  <c r="T326" i="14"/>
  <c r="V326" i="14"/>
  <c r="V304" i="14"/>
  <c r="T304" i="14"/>
  <c r="Y393" i="14"/>
  <c r="V210" i="14"/>
  <c r="T210" i="14"/>
  <c r="M9" i="14"/>
  <c r="T638" i="14"/>
  <c r="V638" i="14"/>
  <c r="V626" i="14"/>
  <c r="T626" i="14"/>
  <c r="T642" i="14"/>
  <c r="V642" i="14"/>
  <c r="Y622" i="14"/>
  <c r="V632" i="14"/>
  <c r="T632" i="14"/>
  <c r="Y624" i="14"/>
  <c r="X620" i="14"/>
  <c r="W620" i="14"/>
  <c r="W647" i="14"/>
  <c r="X647" i="14"/>
  <c r="V589" i="14"/>
  <c r="T589" i="14"/>
  <c r="T525" i="14"/>
  <c r="V525" i="14"/>
  <c r="V612" i="14"/>
  <c r="T612" i="14"/>
  <c r="V533" i="14"/>
  <c r="T533" i="14"/>
  <c r="V560" i="14"/>
  <c r="T560" i="14"/>
  <c r="W532" i="14"/>
  <c r="X532" i="14"/>
  <c r="W517" i="14"/>
  <c r="X517" i="14"/>
  <c r="Y471" i="14"/>
  <c r="V462" i="14"/>
  <c r="T462" i="14"/>
  <c r="T407" i="14"/>
  <c r="V407" i="14"/>
  <c r="X472" i="14"/>
  <c r="W472" i="14"/>
  <c r="Y447" i="14"/>
  <c r="W427" i="14"/>
  <c r="X427" i="14"/>
  <c r="Y392" i="14"/>
  <c r="Y425" i="14"/>
  <c r="T344" i="14"/>
  <c r="V344" i="14"/>
  <c r="V301" i="14"/>
  <c r="T301" i="14"/>
  <c r="T236" i="14"/>
  <c r="V236" i="14"/>
  <c r="Y280" i="14"/>
  <c r="V206" i="14"/>
  <c r="T206" i="14"/>
  <c r="V311" i="14"/>
  <c r="T311" i="14"/>
  <c r="T297" i="14"/>
  <c r="V297" i="14"/>
  <c r="V312" i="14"/>
  <c r="T312" i="14"/>
  <c r="W253" i="14"/>
  <c r="X253" i="14"/>
  <c r="V217" i="14"/>
  <c r="T217" i="14"/>
  <c r="V155" i="14"/>
  <c r="T155" i="14"/>
  <c r="V338" i="14"/>
  <c r="T338" i="14"/>
  <c r="T308" i="14"/>
  <c r="V308" i="14"/>
  <c r="X180" i="14"/>
  <c r="W180" i="14"/>
  <c r="T136" i="14"/>
  <c r="V136" i="14"/>
  <c r="T219" i="14"/>
  <c r="V219" i="14"/>
  <c r="Y194" i="14"/>
  <c r="X144" i="14"/>
  <c r="W144" i="14"/>
  <c r="T192" i="14"/>
  <c r="V192" i="14"/>
  <c r="V255" i="14"/>
  <c r="T255" i="14"/>
  <c r="V166" i="14"/>
  <c r="T166" i="14"/>
  <c r="V90" i="14"/>
  <c r="T90" i="14"/>
  <c r="V102" i="14"/>
  <c r="T102" i="14"/>
  <c r="V29" i="14"/>
  <c r="T29" i="14"/>
  <c r="V20" i="14"/>
  <c r="T20" i="14"/>
  <c r="V78" i="14"/>
  <c r="T78" i="14"/>
  <c r="Y50" i="14"/>
  <c r="T33" i="14"/>
  <c r="V33" i="14"/>
  <c r="V165" i="14"/>
  <c r="T165" i="14"/>
  <c r="T171" i="14"/>
  <c r="V171" i="14"/>
  <c r="W76" i="14"/>
  <c r="X76" i="14"/>
  <c r="Y175" i="14"/>
  <c r="W288" i="14"/>
  <c r="X288" i="14"/>
  <c r="Y227" i="14"/>
  <c r="T188" i="14"/>
  <c r="V188" i="14"/>
  <c r="V88" i="14"/>
  <c r="T88" i="14"/>
  <c r="V543" i="14"/>
  <c r="T543" i="14"/>
  <c r="T489" i="14"/>
  <c r="V489" i="14"/>
  <c r="T505" i="14"/>
  <c r="V505" i="14"/>
  <c r="V89" i="14"/>
  <c r="T89" i="14"/>
  <c r="V277" i="14"/>
  <c r="T277" i="14"/>
  <c r="Y137" i="14"/>
  <c r="V22" i="14"/>
  <c r="T22" i="14"/>
  <c r="V196" i="14"/>
  <c r="T196" i="14"/>
  <c r="Y661" i="14"/>
  <c r="T575" i="14"/>
  <c r="V575" i="14"/>
  <c r="W510" i="14"/>
  <c r="X510" i="14"/>
  <c r="Y508" i="14"/>
  <c r="Y498" i="14"/>
  <c r="T347" i="14"/>
  <c r="V347" i="14"/>
  <c r="Y415" i="14"/>
  <c r="V115" i="14"/>
  <c r="T115" i="14"/>
  <c r="X321" i="14"/>
  <c r="W321" i="14"/>
  <c r="V302" i="14"/>
  <c r="T302" i="14"/>
  <c r="V656" i="14"/>
  <c r="T656" i="14"/>
  <c r="X661" i="14"/>
  <c r="W661" i="14"/>
  <c r="T563" i="14"/>
  <c r="V563" i="14"/>
  <c r="V539" i="14"/>
  <c r="T539" i="14"/>
  <c r="V467" i="14"/>
  <c r="T467" i="14"/>
  <c r="V421" i="14"/>
  <c r="T421" i="14"/>
  <c r="W441" i="14"/>
  <c r="X441" i="14"/>
  <c r="V608" i="14"/>
  <c r="T608" i="14"/>
  <c r="V540" i="14"/>
  <c r="T540" i="14"/>
  <c r="V502" i="14"/>
  <c r="T502" i="14"/>
  <c r="W535" i="14"/>
  <c r="X535" i="14"/>
  <c r="V449" i="14"/>
  <c r="T449" i="14"/>
  <c r="Y444" i="14"/>
  <c r="Y385" i="14"/>
  <c r="Y373" i="14"/>
  <c r="V336" i="14"/>
  <c r="T336" i="14"/>
  <c r="X314" i="14"/>
  <c r="W314" i="14"/>
  <c r="Y275" i="14"/>
  <c r="V223" i="14"/>
  <c r="T223" i="14"/>
  <c r="V202" i="14"/>
  <c r="T202" i="14"/>
  <c r="T464" i="14"/>
  <c r="V464" i="14"/>
  <c r="V193" i="14"/>
  <c r="T193" i="14"/>
  <c r="Q9" i="14"/>
  <c r="R9" i="14" s="1"/>
  <c r="V634" i="14"/>
  <c r="T634" i="14"/>
  <c r="T643" i="14"/>
  <c r="V643" i="14"/>
  <c r="Y648" i="14"/>
  <c r="V616" i="14"/>
  <c r="T616" i="14"/>
  <c r="Y629" i="14"/>
  <c r="V662" i="14"/>
  <c r="T662" i="14"/>
  <c r="X622" i="14"/>
  <c r="W622" i="14"/>
  <c r="V610" i="14"/>
  <c r="T610" i="14"/>
  <c r="T566" i="14"/>
  <c r="V566" i="14"/>
  <c r="Y620" i="14"/>
  <c r="V651" i="14"/>
  <c r="T651" i="14"/>
  <c r="V528" i="14"/>
  <c r="T528" i="14"/>
  <c r="Y517" i="14"/>
  <c r="Y488" i="14"/>
  <c r="Y454" i="14"/>
  <c r="V503" i="14"/>
  <c r="T503" i="14"/>
  <c r="T476" i="14"/>
  <c r="V476" i="14"/>
  <c r="T458" i="14"/>
  <c r="V458" i="14"/>
  <c r="X447" i="14"/>
  <c r="W447" i="14"/>
  <c r="Y459" i="14"/>
  <c r="X392" i="14"/>
  <c r="W392" i="14"/>
  <c r="V404" i="14"/>
  <c r="T404" i="14"/>
  <c r="V428" i="14"/>
  <c r="T428" i="14"/>
  <c r="V361" i="14"/>
  <c r="T361" i="14"/>
  <c r="V353" i="14"/>
  <c r="T353" i="14"/>
  <c r="V406" i="14"/>
  <c r="T406" i="14"/>
  <c r="V154" i="14"/>
  <c r="T154" i="14"/>
  <c r="W372" i="14"/>
  <c r="X372" i="14"/>
  <c r="W280" i="14"/>
  <c r="X280" i="14"/>
  <c r="Y246" i="14"/>
  <c r="T309" i="14"/>
  <c r="V309" i="14"/>
  <c r="V259" i="14"/>
  <c r="T259" i="14"/>
  <c r="Y249" i="14"/>
  <c r="V289" i="14"/>
  <c r="T289" i="14"/>
  <c r="V295" i="14"/>
  <c r="T295" i="14"/>
  <c r="V269" i="14"/>
  <c r="T269" i="14"/>
  <c r="Y180" i="14"/>
  <c r="V113" i="14"/>
  <c r="T113" i="14"/>
  <c r="T120" i="14"/>
  <c r="V120" i="14"/>
  <c r="W194" i="14"/>
  <c r="X194" i="14"/>
  <c r="Y144" i="14"/>
  <c r="X252" i="14"/>
  <c r="W252" i="14"/>
  <c r="V197" i="14"/>
  <c r="T197" i="14"/>
  <c r="Y151" i="14"/>
  <c r="T241" i="14"/>
  <c r="V241" i="14"/>
  <c r="Y412" i="14"/>
  <c r="V229" i="14"/>
  <c r="T229" i="14"/>
  <c r="V106" i="14"/>
  <c r="T106" i="14"/>
  <c r="V205" i="14"/>
  <c r="T205" i="14"/>
  <c r="T239" i="14"/>
  <c r="V239" i="14"/>
  <c r="W50" i="14"/>
  <c r="X50" i="14"/>
  <c r="Y97" i="14"/>
  <c r="X175" i="14"/>
  <c r="W175" i="14"/>
  <c r="Y19" i="14"/>
  <c r="V561" i="14"/>
  <c r="T561" i="14"/>
  <c r="V546" i="14"/>
  <c r="T546" i="14"/>
  <c r="Y550" i="14"/>
  <c r="V496" i="14"/>
  <c r="T496" i="14"/>
  <c r="T531" i="14"/>
  <c r="V531" i="14"/>
  <c r="V537" i="14"/>
  <c r="T537" i="14"/>
  <c r="T512" i="14"/>
  <c r="V512" i="14"/>
  <c r="V497" i="14"/>
  <c r="T497" i="14"/>
  <c r="T490" i="14"/>
  <c r="V490" i="14"/>
  <c r="W454" i="14"/>
  <c r="X454" i="14"/>
  <c r="V446" i="14"/>
  <c r="T446" i="14"/>
  <c r="X459" i="14"/>
  <c r="W459" i="14"/>
  <c r="T390" i="14"/>
  <c r="V390" i="14"/>
  <c r="T435" i="14"/>
  <c r="V435" i="14"/>
  <c r="V366" i="14"/>
  <c r="T366" i="14"/>
  <c r="V418" i="14"/>
  <c r="T418" i="14"/>
  <c r="T408" i="14"/>
  <c r="V408" i="14"/>
  <c r="V364" i="14"/>
  <c r="T364" i="14"/>
  <c r="V356" i="14"/>
  <c r="T356" i="14"/>
  <c r="T371" i="14"/>
  <c r="V371" i="14"/>
  <c r="T216" i="14"/>
  <c r="V216" i="14"/>
  <c r="Y372" i="14"/>
  <c r="V362" i="14"/>
  <c r="T362" i="14"/>
  <c r="T204" i="14"/>
  <c r="V204" i="14"/>
  <c r="T240" i="14"/>
  <c r="V240" i="14"/>
  <c r="X325" i="14"/>
  <c r="W325" i="14"/>
  <c r="V56" i="14"/>
  <c r="T56" i="14"/>
  <c r="T18" i="14"/>
  <c r="K8" i="14"/>
  <c r="V18" i="14"/>
  <c r="Y287" i="14"/>
  <c r="T243" i="14"/>
  <c r="V243" i="14"/>
  <c r="Y191" i="14"/>
  <c r="V103" i="14"/>
  <c r="T103" i="14"/>
  <c r="Y179" i="14"/>
  <c r="T105" i="14"/>
  <c r="V105" i="14"/>
  <c r="Y252" i="14"/>
  <c r="X151" i="14"/>
  <c r="W151" i="14"/>
  <c r="T300" i="14"/>
  <c r="V300" i="14"/>
  <c r="V256" i="14"/>
  <c r="T256" i="14"/>
  <c r="V121" i="14"/>
  <c r="T121" i="14"/>
  <c r="Y82" i="14"/>
  <c r="Y67" i="14"/>
  <c r="T156" i="14"/>
  <c r="V156" i="14"/>
  <c r="V68" i="14"/>
  <c r="T68" i="14"/>
  <c r="V104" i="14"/>
  <c r="T104" i="14"/>
  <c r="X64" i="14"/>
  <c r="W64" i="14"/>
  <c r="W21" i="14"/>
  <c r="X21" i="14"/>
  <c r="Y28" i="14"/>
  <c r="X97" i="14"/>
  <c r="W97" i="14"/>
  <c r="V93" i="14"/>
  <c r="T93" i="14"/>
  <c r="Y117" i="14"/>
  <c r="Y143" i="14"/>
  <c r="V526" i="14"/>
  <c r="T526" i="14"/>
  <c r="X554" i="14"/>
  <c r="W554" i="14"/>
  <c r="V448" i="14"/>
  <c r="T448" i="14"/>
  <c r="V299" i="14"/>
  <c r="T299" i="14"/>
  <c r="V41" i="14"/>
  <c r="T41" i="14"/>
  <c r="X518" i="14"/>
  <c r="W518" i="14"/>
  <c r="V483" i="14"/>
  <c r="T483" i="14"/>
  <c r="V431" i="14"/>
  <c r="T431" i="14"/>
  <c r="T382" i="14"/>
  <c r="V382" i="14"/>
  <c r="Y328" i="14"/>
  <c r="X644" i="14"/>
  <c r="W644" i="14"/>
  <c r="V541" i="14"/>
  <c r="T541" i="14"/>
  <c r="T565" i="14"/>
  <c r="V565" i="14"/>
  <c r="X491" i="14"/>
  <c r="W491" i="14"/>
  <c r="Y535" i="14"/>
  <c r="V419" i="14"/>
  <c r="T419" i="14"/>
  <c r="Y592" i="14"/>
  <c r="V511" i="14"/>
  <c r="T511" i="14"/>
  <c r="T387" i="14"/>
  <c r="V387" i="14"/>
  <c r="X648" i="14"/>
  <c r="W648" i="14"/>
  <c r="X630" i="14"/>
  <c r="W630" i="14"/>
  <c r="T595" i="14"/>
  <c r="V595" i="14"/>
  <c r="V585" i="14"/>
  <c r="T585" i="14"/>
  <c r="V545" i="14"/>
  <c r="T545" i="14"/>
  <c r="Y659" i="14"/>
  <c r="Y646" i="14"/>
  <c r="V611" i="14"/>
  <c r="T611" i="14"/>
  <c r="Y630" i="14"/>
  <c r="Y598" i="14"/>
  <c r="V594" i="14"/>
  <c r="T594" i="14"/>
  <c r="Y601" i="14"/>
  <c r="T635" i="14"/>
  <c r="V635" i="14"/>
  <c r="V557" i="14"/>
  <c r="T557" i="14"/>
  <c r="W599" i="14"/>
  <c r="X599" i="14"/>
  <c r="V568" i="14"/>
  <c r="T568" i="14"/>
  <c r="Y581" i="14"/>
  <c r="X577" i="14"/>
  <c r="W577" i="14"/>
  <c r="V530" i="14"/>
  <c r="T530" i="14"/>
  <c r="X550" i="14"/>
  <c r="W550" i="14"/>
  <c r="V582" i="14"/>
  <c r="T582" i="14"/>
  <c r="V485" i="14"/>
  <c r="T485" i="14"/>
  <c r="Y523" i="14"/>
  <c r="V475" i="14"/>
  <c r="T475" i="14"/>
  <c r="Y515" i="14"/>
  <c r="V487" i="14"/>
  <c r="T487" i="14"/>
  <c r="W481" i="14"/>
  <c r="X481" i="14"/>
  <c r="T437" i="14"/>
  <c r="V437" i="14"/>
  <c r="T453" i="14"/>
  <c r="V453" i="14"/>
  <c r="T486" i="14"/>
  <c r="V486" i="14"/>
  <c r="V405" i="14"/>
  <c r="T405" i="14"/>
  <c r="V410" i="14"/>
  <c r="T410" i="14"/>
  <c r="Y500" i="14"/>
  <c r="X443" i="14"/>
  <c r="W443" i="14"/>
  <c r="V317" i="14"/>
  <c r="T317" i="14"/>
  <c r="V400" i="14"/>
  <c r="T400" i="14"/>
  <c r="V442" i="14"/>
  <c r="T442" i="14"/>
  <c r="T401" i="14"/>
  <c r="V401" i="14"/>
  <c r="T283" i="14"/>
  <c r="V283" i="14"/>
  <c r="T263" i="14"/>
  <c r="V263" i="14"/>
  <c r="Y199" i="14"/>
  <c r="V214" i="14"/>
  <c r="T214" i="14"/>
  <c r="V305" i="14"/>
  <c r="T305" i="14"/>
  <c r="Y374" i="14"/>
  <c r="V355" i="14"/>
  <c r="T355" i="14"/>
  <c r="V331" i="14"/>
  <c r="T331" i="14"/>
  <c r="V394" i="14"/>
  <c r="T394" i="14"/>
  <c r="Y325" i="14"/>
  <c r="V286" i="14"/>
  <c r="T286" i="14"/>
  <c r="V108" i="14"/>
  <c r="T108" i="14"/>
  <c r="T53" i="14"/>
  <c r="V53" i="14"/>
  <c r="V101" i="14"/>
  <c r="T101" i="14"/>
  <c r="W287" i="14"/>
  <c r="X287" i="14"/>
  <c r="X191" i="14"/>
  <c r="W191" i="14"/>
  <c r="T134" i="14"/>
  <c r="V134" i="14"/>
  <c r="Y98" i="14"/>
  <c r="V141" i="14"/>
  <c r="T141" i="14"/>
  <c r="V235" i="14"/>
  <c r="T235" i="14"/>
  <c r="X179" i="14"/>
  <c r="W179" i="14"/>
  <c r="V112" i="14"/>
  <c r="T112" i="14"/>
  <c r="Y139" i="14"/>
  <c r="V149" i="14"/>
  <c r="T149" i="14"/>
  <c r="W82" i="14"/>
  <c r="X82" i="14"/>
  <c r="V181" i="14"/>
  <c r="T181" i="14"/>
  <c r="Y169" i="14"/>
  <c r="V77" i="14"/>
  <c r="T77" i="14"/>
  <c r="T81" i="14"/>
  <c r="V81" i="14"/>
  <c r="Y145" i="14"/>
  <c r="V92" i="14"/>
  <c r="T92" i="14"/>
  <c r="V74" i="14"/>
  <c r="T74" i="14"/>
  <c r="W37" i="14"/>
  <c r="X37" i="14"/>
  <c r="Y83" i="14"/>
  <c r="V306" i="14"/>
  <c r="T306" i="14"/>
  <c r="T38" i="14"/>
  <c r="V38" i="14"/>
  <c r="V86" i="14"/>
  <c r="T86" i="14"/>
  <c r="W28" i="14"/>
  <c r="X28" i="14"/>
  <c r="X143" i="14"/>
  <c r="W143" i="14"/>
  <c r="T345" i="14"/>
  <c r="V345" i="14"/>
  <c r="Y35" i="14"/>
  <c r="W628" i="14"/>
  <c r="X628" i="14"/>
  <c r="V602" i="14"/>
  <c r="T602" i="14"/>
  <c r="T465" i="14"/>
  <c r="V465" i="14"/>
  <c r="X536" i="14"/>
  <c r="W536" i="14"/>
  <c r="Y470" i="14"/>
  <c r="V26" i="14"/>
  <c r="T26" i="14"/>
  <c r="V268" i="14"/>
  <c r="T268" i="14"/>
  <c r="X645" i="14"/>
  <c r="W645" i="14"/>
  <c r="T432" i="14"/>
  <c r="V432" i="14"/>
  <c r="Y491" i="14"/>
  <c r="V386" i="14"/>
  <c r="T386" i="14"/>
  <c r="W318" i="14"/>
  <c r="X318" i="14"/>
  <c r="V603" i="14"/>
  <c r="T603" i="14"/>
  <c r="V527" i="14"/>
  <c r="T527" i="14"/>
  <c r="V457" i="14"/>
  <c r="T457" i="14"/>
  <c r="Y623" i="14"/>
  <c r="T562" i="14"/>
  <c r="V562" i="14"/>
  <c r="Y613" i="14"/>
  <c r="V569" i="14"/>
  <c r="T569" i="14"/>
  <c r="V553" i="14"/>
  <c r="T553" i="14"/>
  <c r="Y590" i="14"/>
  <c r="T429" i="14"/>
  <c r="V429" i="14"/>
  <c r="V376" i="14"/>
  <c r="T376" i="14"/>
  <c r="Q6" i="14"/>
  <c r="R6" i="14" s="1"/>
  <c r="X654" i="14"/>
  <c r="W654" i="14"/>
  <c r="W629" i="14"/>
  <c r="X629" i="14"/>
  <c r="V520" i="14"/>
  <c r="T520" i="14"/>
  <c r="Q7" i="14"/>
  <c r="R7" i="14" s="1"/>
  <c r="V639" i="14"/>
  <c r="T639" i="14"/>
  <c r="Y654" i="14"/>
  <c r="Q10" i="14"/>
  <c r="R10" i="14" s="1"/>
  <c r="Y628" i="14"/>
  <c r="X646" i="14"/>
  <c r="W646" i="14"/>
  <c r="T618" i="14"/>
  <c r="V618" i="14"/>
  <c r="T558" i="14"/>
  <c r="V558" i="14"/>
  <c r="X598" i="14"/>
  <c r="W598" i="14"/>
  <c r="V617" i="14"/>
  <c r="T617" i="14"/>
  <c r="W601" i="14"/>
  <c r="X601" i="14"/>
  <c r="Y599" i="14"/>
  <c r="V580" i="14"/>
  <c r="T580" i="14"/>
  <c r="T501" i="14"/>
  <c r="V501" i="14"/>
  <c r="Y577" i="14"/>
  <c r="V504" i="14"/>
  <c r="T504" i="14"/>
  <c r="W573" i="14"/>
  <c r="X573" i="14"/>
  <c r="T606" i="14"/>
  <c r="V606" i="14"/>
  <c r="V593" i="14"/>
  <c r="T593" i="14"/>
  <c r="Y536" i="14"/>
  <c r="Y554" i="14"/>
  <c r="Y547" i="14"/>
  <c r="V521" i="14"/>
  <c r="T521" i="14"/>
  <c r="T493" i="14"/>
  <c r="V493" i="14"/>
  <c r="T440" i="14"/>
  <c r="V440" i="14"/>
  <c r="X515" i="14"/>
  <c r="W515" i="14"/>
  <c r="T439" i="14"/>
  <c r="V439" i="14"/>
  <c r="Y481" i="14"/>
  <c r="V509" i="14"/>
  <c r="T509" i="14"/>
  <c r="V452" i="14"/>
  <c r="T452" i="14"/>
  <c r="V397" i="14"/>
  <c r="T397" i="14"/>
  <c r="V438" i="14"/>
  <c r="T438" i="14"/>
  <c r="V451" i="14"/>
  <c r="T451" i="14"/>
  <c r="X500" i="14"/>
  <c r="W500" i="14"/>
  <c r="Y443" i="14"/>
  <c r="X450" i="14"/>
  <c r="W450" i="14"/>
  <c r="T381" i="14"/>
  <c r="V381" i="14"/>
  <c r="V296" i="14"/>
  <c r="T296" i="14"/>
  <c r="T369" i="14"/>
  <c r="V369" i="14"/>
  <c r="V360" i="14"/>
  <c r="T360" i="14"/>
  <c r="V343" i="14"/>
  <c r="T343" i="14"/>
  <c r="V284" i="14"/>
  <c r="T284" i="14"/>
  <c r="T163" i="14"/>
  <c r="V163" i="14"/>
  <c r="T333" i="14"/>
  <c r="V333" i="14"/>
  <c r="V211" i="14"/>
  <c r="T211" i="14"/>
  <c r="T363" i="14"/>
  <c r="V363" i="14"/>
  <c r="T278" i="14"/>
  <c r="V278" i="14"/>
  <c r="V411" i="14"/>
  <c r="T411" i="14"/>
  <c r="X374" i="14"/>
  <c r="W374" i="14"/>
  <c r="X322" i="14"/>
  <c r="W322" i="14"/>
  <c r="V351" i="14"/>
  <c r="T351" i="14"/>
  <c r="V367" i="14"/>
  <c r="T367" i="14"/>
  <c r="Y100" i="14"/>
  <c r="V174" i="14"/>
  <c r="T174" i="14"/>
  <c r="X98" i="14"/>
  <c r="W98" i="14"/>
  <c r="V215" i="14"/>
  <c r="T215" i="14"/>
  <c r="V110" i="14"/>
  <c r="T110" i="14"/>
  <c r="V44" i="14"/>
  <c r="T44" i="14"/>
  <c r="V153" i="14"/>
  <c r="T153" i="14"/>
  <c r="V250" i="14"/>
  <c r="T250" i="14"/>
  <c r="Y307" i="14"/>
  <c r="V170" i="14"/>
  <c r="T170" i="14"/>
  <c r="X251" i="14"/>
  <c r="W251" i="14"/>
  <c r="W145" i="14"/>
  <c r="X145" i="14"/>
  <c r="X36" i="14"/>
  <c r="W36" i="14"/>
  <c r="X83" i="14"/>
  <c r="W83" i="14"/>
  <c r="V200" i="14"/>
  <c r="T200" i="14"/>
  <c r="T69" i="14"/>
  <c r="V69" i="14"/>
  <c r="T75" i="14"/>
  <c r="V75" i="14"/>
  <c r="Y178" i="14"/>
  <c r="V130" i="14"/>
  <c r="T130" i="14"/>
  <c r="U325" i="14" l="1"/>
  <c r="U547" i="14"/>
  <c r="U554" i="14"/>
  <c r="U380" i="14"/>
  <c r="Y363" i="14"/>
  <c r="U363" i="14"/>
  <c r="U601" i="14"/>
  <c r="X386" i="14"/>
  <c r="W386" i="14"/>
  <c r="X77" i="14"/>
  <c r="W77" i="14"/>
  <c r="W400" i="14"/>
  <c r="X400" i="14"/>
  <c r="X475" i="14"/>
  <c r="W475" i="14"/>
  <c r="Y387" i="14"/>
  <c r="U387" i="14"/>
  <c r="W526" i="14"/>
  <c r="X526" i="14"/>
  <c r="X110" i="14"/>
  <c r="W110" i="14"/>
  <c r="U317" i="14"/>
  <c r="Y317" i="14"/>
  <c r="U412" i="14"/>
  <c r="U178" i="14"/>
  <c r="U44" i="14"/>
  <c r="Y44" i="14"/>
  <c r="Y367" i="14"/>
  <c r="U367" i="14"/>
  <c r="X363" i="14"/>
  <c r="W363" i="14"/>
  <c r="Y360" i="14"/>
  <c r="U360" i="14"/>
  <c r="U481" i="14"/>
  <c r="U504" i="14"/>
  <c r="Y504" i="14"/>
  <c r="U617" i="14"/>
  <c r="Y617" i="14"/>
  <c r="X26" i="14"/>
  <c r="W26" i="14"/>
  <c r="U35" i="14"/>
  <c r="W306" i="14"/>
  <c r="X306" i="14"/>
  <c r="U81" i="14"/>
  <c r="Y81" i="14"/>
  <c r="U134" i="14"/>
  <c r="Y134" i="14"/>
  <c r="W286" i="14"/>
  <c r="X286" i="14"/>
  <c r="X305" i="14"/>
  <c r="W305" i="14"/>
  <c r="X442" i="14"/>
  <c r="W442" i="14"/>
  <c r="X405" i="14"/>
  <c r="W405" i="14"/>
  <c r="X530" i="14"/>
  <c r="W530" i="14"/>
  <c r="Y635" i="14"/>
  <c r="U635" i="14"/>
  <c r="U646" i="14"/>
  <c r="X431" i="14"/>
  <c r="W431" i="14"/>
  <c r="U252" i="14"/>
  <c r="U287" i="14"/>
  <c r="Y362" i="14"/>
  <c r="U362" i="14"/>
  <c r="W408" i="14"/>
  <c r="X408" i="14"/>
  <c r="U446" i="14"/>
  <c r="Y446" i="14"/>
  <c r="X531" i="14"/>
  <c r="W531" i="14"/>
  <c r="U229" i="14"/>
  <c r="Y229" i="14"/>
  <c r="Y295" i="14"/>
  <c r="U295" i="14"/>
  <c r="Y428" i="14"/>
  <c r="U428" i="14"/>
  <c r="X476" i="14"/>
  <c r="W476" i="14"/>
  <c r="Y651" i="14"/>
  <c r="U651" i="14"/>
  <c r="W193" i="14"/>
  <c r="X193" i="14"/>
  <c r="W336" i="14"/>
  <c r="X336" i="14"/>
  <c r="W502" i="14"/>
  <c r="X502" i="14"/>
  <c r="X539" i="14"/>
  <c r="W539" i="14"/>
  <c r="X115" i="14"/>
  <c r="W115" i="14"/>
  <c r="Y575" i="14"/>
  <c r="U575" i="14"/>
  <c r="X89" i="14"/>
  <c r="W89" i="14"/>
  <c r="U227" i="14"/>
  <c r="U33" i="14"/>
  <c r="Y33" i="14"/>
  <c r="X90" i="14"/>
  <c r="W90" i="14"/>
  <c r="U219" i="14"/>
  <c r="Y219" i="14"/>
  <c r="X217" i="14"/>
  <c r="W217" i="14"/>
  <c r="U280" i="14"/>
  <c r="X589" i="14"/>
  <c r="W589" i="14"/>
  <c r="U642" i="14"/>
  <c r="Y642" i="14"/>
  <c r="X326" i="14"/>
  <c r="W326" i="14"/>
  <c r="U422" i="14"/>
  <c r="Y422" i="14"/>
  <c r="W327" i="14"/>
  <c r="X327" i="14"/>
  <c r="Y248" i="14"/>
  <c r="U248" i="14"/>
  <c r="U261" i="14"/>
  <c r="U399" i="14"/>
  <c r="Y399" i="14"/>
  <c r="U409" i="14"/>
  <c r="Y409" i="14"/>
  <c r="Y551" i="14"/>
  <c r="U551" i="14"/>
  <c r="U597" i="14"/>
  <c r="Y597" i="14"/>
  <c r="X621" i="14"/>
  <c r="W621" i="14"/>
  <c r="Y564" i="14"/>
  <c r="U564" i="14"/>
  <c r="X61" i="14"/>
  <c r="W61" i="14"/>
  <c r="Y54" i="14"/>
  <c r="U54" i="14"/>
  <c r="W619" i="14"/>
  <c r="X619" i="14"/>
  <c r="Y34" i="14"/>
  <c r="U34" i="14"/>
  <c r="U128" i="14"/>
  <c r="X66" i="14"/>
  <c r="W66" i="14"/>
  <c r="Y257" i="14"/>
  <c r="U257" i="14"/>
  <c r="Y294" i="14"/>
  <c r="U294" i="14"/>
  <c r="Y426" i="14"/>
  <c r="U426" i="14"/>
  <c r="X377" i="14"/>
  <c r="W377" i="14"/>
  <c r="W45" i="14"/>
  <c r="X45" i="14"/>
  <c r="U315" i="14"/>
  <c r="U148" i="14"/>
  <c r="Y148" i="14"/>
  <c r="Y65" i="14"/>
  <c r="U65" i="14"/>
  <c r="U124" i="14"/>
  <c r="W189" i="14"/>
  <c r="X189" i="14"/>
  <c r="X359" i="14"/>
  <c r="W359" i="14"/>
  <c r="X260" i="14"/>
  <c r="W260" i="14"/>
  <c r="Y506" i="14"/>
  <c r="U506" i="14"/>
  <c r="U627" i="14"/>
  <c r="Y627" i="14"/>
  <c r="Y640" i="14"/>
  <c r="U640" i="14"/>
  <c r="U340" i="14"/>
  <c r="X140" i="14"/>
  <c r="W140" i="14"/>
  <c r="U150" i="14"/>
  <c r="Y150" i="14"/>
  <c r="W201" i="14"/>
  <c r="X201" i="14"/>
  <c r="X357" i="14"/>
  <c r="W357" i="14"/>
  <c r="U482" i="14"/>
  <c r="Y482" i="14"/>
  <c r="U32" i="14"/>
  <c r="Y32" i="14"/>
  <c r="U600" i="14"/>
  <c r="Y600" i="14"/>
  <c r="W367" i="14"/>
  <c r="X367" i="14"/>
  <c r="Y475" i="14"/>
  <c r="U475" i="14"/>
  <c r="X565" i="14"/>
  <c r="W565" i="14"/>
  <c r="Y483" i="14"/>
  <c r="U483" i="14"/>
  <c r="U526" i="14"/>
  <c r="Y526" i="14"/>
  <c r="X105" i="14"/>
  <c r="W105" i="14"/>
  <c r="X18" i="14"/>
  <c r="W18" i="14"/>
  <c r="X362" i="14"/>
  <c r="W362" i="14"/>
  <c r="Y408" i="14"/>
  <c r="U408" i="14"/>
  <c r="X446" i="14"/>
  <c r="W446" i="14"/>
  <c r="U531" i="14"/>
  <c r="Y531" i="14"/>
  <c r="W229" i="14"/>
  <c r="X229" i="14"/>
  <c r="U144" i="14"/>
  <c r="X295" i="14"/>
  <c r="W295" i="14"/>
  <c r="X428" i="14"/>
  <c r="W428" i="14"/>
  <c r="Y476" i="14"/>
  <c r="U476" i="14"/>
  <c r="X651" i="14"/>
  <c r="W651" i="14"/>
  <c r="U629" i="14"/>
  <c r="X464" i="14"/>
  <c r="W464" i="14"/>
  <c r="Y540" i="14"/>
  <c r="U540" i="14"/>
  <c r="X563" i="14"/>
  <c r="W563" i="14"/>
  <c r="U661" i="14"/>
  <c r="W505" i="14"/>
  <c r="X505" i="14"/>
  <c r="U50" i="14"/>
  <c r="Y166" i="14"/>
  <c r="U166" i="14"/>
  <c r="W136" i="14"/>
  <c r="X136" i="14"/>
  <c r="X236" i="14"/>
  <c r="W236" i="14"/>
  <c r="U447" i="14"/>
  <c r="Y626" i="14"/>
  <c r="U626" i="14"/>
  <c r="Y326" i="14"/>
  <c r="U326" i="14"/>
  <c r="U291" i="14"/>
  <c r="U267" i="14"/>
  <c r="W422" i="14"/>
  <c r="X422" i="14"/>
  <c r="U57" i="14"/>
  <c r="U327" i="14"/>
  <c r="Y327" i="14"/>
  <c r="X248" i="14"/>
  <c r="W248" i="14"/>
  <c r="X399" i="14"/>
  <c r="W399" i="14"/>
  <c r="X409" i="14"/>
  <c r="W409" i="14"/>
  <c r="W551" i="14"/>
  <c r="X551" i="14"/>
  <c r="X597" i="14"/>
  <c r="W597" i="14"/>
  <c r="U621" i="14"/>
  <c r="Y621" i="14"/>
  <c r="U398" i="14"/>
  <c r="X564" i="14"/>
  <c r="W564" i="14"/>
  <c r="U494" i="14"/>
  <c r="Y61" i="14"/>
  <c r="U61" i="14"/>
  <c r="X54" i="14"/>
  <c r="W54" i="14"/>
  <c r="U619" i="14"/>
  <c r="Y619" i="14"/>
  <c r="X34" i="14"/>
  <c r="W34" i="14"/>
  <c r="U66" i="14"/>
  <c r="Y66" i="14"/>
  <c r="U310" i="14"/>
  <c r="X257" i="14"/>
  <c r="W257" i="14"/>
  <c r="W294" i="14"/>
  <c r="X294" i="14"/>
  <c r="W426" i="14"/>
  <c r="X426" i="14"/>
  <c r="U377" i="14"/>
  <c r="Y377" i="14"/>
  <c r="U45" i="14"/>
  <c r="Y45" i="14"/>
  <c r="X148" i="14"/>
  <c r="W148" i="14"/>
  <c r="X65" i="14"/>
  <c r="W65" i="14"/>
  <c r="U189" i="14"/>
  <c r="Y189" i="14"/>
  <c r="Y359" i="14"/>
  <c r="U359" i="14"/>
  <c r="U260" i="14"/>
  <c r="Y260" i="14"/>
  <c r="X506" i="14"/>
  <c r="W506" i="14"/>
  <c r="X627" i="14"/>
  <c r="W627" i="14"/>
  <c r="W640" i="14"/>
  <c r="X640" i="14"/>
  <c r="U335" i="14"/>
  <c r="Y140" i="14"/>
  <c r="U140" i="14"/>
  <c r="W150" i="14"/>
  <c r="X150" i="14"/>
  <c r="Y201" i="14"/>
  <c r="U201" i="14"/>
  <c r="Y357" i="14"/>
  <c r="U357" i="14"/>
  <c r="X482" i="14"/>
  <c r="W482" i="14"/>
  <c r="X32" i="14"/>
  <c r="W32" i="14"/>
  <c r="X600" i="14"/>
  <c r="W600" i="14"/>
  <c r="Y565" i="14"/>
  <c r="U565" i="14"/>
  <c r="Y418" i="14"/>
  <c r="U418" i="14"/>
  <c r="Y496" i="14"/>
  <c r="U496" i="14"/>
  <c r="U289" i="14"/>
  <c r="Y289" i="14"/>
  <c r="Y404" i="14"/>
  <c r="U404" i="14"/>
  <c r="Y503" i="14"/>
  <c r="U503" i="14"/>
  <c r="U620" i="14"/>
  <c r="Y616" i="14"/>
  <c r="U616" i="14"/>
  <c r="Y464" i="14"/>
  <c r="U464" i="14"/>
  <c r="U373" i="14"/>
  <c r="X540" i="14"/>
  <c r="W540" i="14"/>
  <c r="Y563" i="14"/>
  <c r="U563" i="14"/>
  <c r="U415" i="14"/>
  <c r="Y505" i="14"/>
  <c r="U505" i="14"/>
  <c r="X166" i="14"/>
  <c r="W166" i="14"/>
  <c r="U136" i="14"/>
  <c r="Y136" i="14"/>
  <c r="U236" i="14"/>
  <c r="Y236" i="14"/>
  <c r="X626" i="14"/>
  <c r="W626" i="14"/>
  <c r="Y463" i="14"/>
  <c r="U463" i="14"/>
  <c r="W424" i="14"/>
  <c r="X424" i="14"/>
  <c r="U262" i="14"/>
  <c r="Y262" i="14"/>
  <c r="U322" i="14"/>
  <c r="Y225" i="14"/>
  <c r="U225" i="14"/>
  <c r="Y292" i="14"/>
  <c r="U292" i="14"/>
  <c r="U384" i="14"/>
  <c r="Y384" i="14"/>
  <c r="Y316" i="14"/>
  <c r="U316" i="14"/>
  <c r="X456" i="14"/>
  <c r="W456" i="14"/>
  <c r="X583" i="14"/>
  <c r="W583" i="14"/>
  <c r="X636" i="14"/>
  <c r="W636" i="14"/>
  <c r="U423" i="14"/>
  <c r="Y586" i="14"/>
  <c r="U586" i="14"/>
  <c r="U94" i="14"/>
  <c r="Y94" i="14"/>
  <c r="Y588" i="14"/>
  <c r="U588" i="14"/>
  <c r="U62" i="14"/>
  <c r="Y62" i="14"/>
  <c r="Y158" i="14"/>
  <c r="U158" i="14"/>
  <c r="X391" i="14"/>
  <c r="W391" i="14"/>
  <c r="Y31" i="14"/>
  <c r="U31" i="14"/>
  <c r="U242" i="14"/>
  <c r="Y161" i="14"/>
  <c r="U161" i="14"/>
  <c r="X160" i="14"/>
  <c r="W160" i="14"/>
  <c r="Y416" i="14"/>
  <c r="U416" i="14"/>
  <c r="U510" i="14"/>
  <c r="X576" i="14"/>
  <c r="W576" i="14"/>
  <c r="Y615" i="14"/>
  <c r="U615" i="14"/>
  <c r="Y55" i="14"/>
  <c r="U55" i="14"/>
  <c r="X323" i="14"/>
  <c r="W323" i="14"/>
  <c r="U142" i="14"/>
  <c r="Y142" i="14"/>
  <c r="Y388" i="14"/>
  <c r="U388" i="14"/>
  <c r="X414" i="14"/>
  <c r="W414" i="14"/>
  <c r="X477" i="14"/>
  <c r="W477" i="14"/>
  <c r="U18" i="14"/>
  <c r="U72" i="14"/>
  <c r="U24" i="14"/>
  <c r="Y18" i="14"/>
  <c r="U60" i="14"/>
  <c r="U40" i="14"/>
  <c r="U21" i="14"/>
  <c r="U226" i="14"/>
  <c r="U578" i="14"/>
  <c r="U549" i="14"/>
  <c r="U645" i="14"/>
  <c r="U87" i="14"/>
  <c r="U27" i="14"/>
  <c r="U657" i="14"/>
  <c r="U570" i="14"/>
  <c r="U48" i="14"/>
  <c r="U375" i="14"/>
  <c r="U516" i="14"/>
  <c r="U548" i="14"/>
  <c r="U133" i="14"/>
  <c r="U37" i="14"/>
  <c r="U84" i="14"/>
  <c r="U329" i="14"/>
  <c r="U644" i="14"/>
  <c r="U245" i="14"/>
  <c r="U341" i="14"/>
  <c r="U36" i="14"/>
  <c r="U135" i="14"/>
  <c r="U184" i="14"/>
  <c r="U218" i="14"/>
  <c r="U185" i="14"/>
  <c r="U73" i="14"/>
  <c r="U25" i="14"/>
  <c r="W289" i="14"/>
  <c r="X289" i="14"/>
  <c r="X404" i="14"/>
  <c r="W404" i="14"/>
  <c r="W503" i="14"/>
  <c r="X503" i="14"/>
  <c r="W616" i="14"/>
  <c r="X616" i="14"/>
  <c r="Y202" i="14"/>
  <c r="U202" i="14"/>
  <c r="U385" i="14"/>
  <c r="Y608" i="14"/>
  <c r="U608" i="14"/>
  <c r="X347" i="14"/>
  <c r="W347" i="14"/>
  <c r="U196" i="14"/>
  <c r="Y196" i="14"/>
  <c r="X489" i="14"/>
  <c r="W489" i="14"/>
  <c r="U175" i="14"/>
  <c r="Y78" i="14"/>
  <c r="U78" i="14"/>
  <c r="Y255" i="14"/>
  <c r="U255" i="14"/>
  <c r="Y312" i="14"/>
  <c r="U312" i="14"/>
  <c r="Y301" i="14"/>
  <c r="U301" i="14"/>
  <c r="Y560" i="14"/>
  <c r="U560" i="14"/>
  <c r="X638" i="14"/>
  <c r="W638" i="14"/>
  <c r="W463" i="14"/>
  <c r="X463" i="14"/>
  <c r="U424" i="14"/>
  <c r="Y424" i="14"/>
  <c r="X262" i="14"/>
  <c r="W262" i="14"/>
  <c r="W225" i="14"/>
  <c r="X225" i="14"/>
  <c r="W292" i="14"/>
  <c r="X292" i="14"/>
  <c r="W384" i="14"/>
  <c r="X384" i="14"/>
  <c r="X316" i="14"/>
  <c r="W316" i="14"/>
  <c r="Y456" i="14"/>
  <c r="U456" i="14"/>
  <c r="U572" i="14"/>
  <c r="Y583" i="14"/>
  <c r="U583" i="14"/>
  <c r="U647" i="14"/>
  <c r="U138" i="14"/>
  <c r="Y636" i="14"/>
  <c r="U636" i="14"/>
  <c r="X586" i="14"/>
  <c r="W586" i="14"/>
  <c r="X94" i="14"/>
  <c r="W94" i="14"/>
  <c r="W588" i="14"/>
  <c r="X588" i="14"/>
  <c r="U183" i="14"/>
  <c r="X62" i="14"/>
  <c r="W62" i="14"/>
  <c r="U190" i="14"/>
  <c r="X158" i="14"/>
  <c r="W158" i="14"/>
  <c r="U321" i="14"/>
  <c r="U391" i="14"/>
  <c r="Y391" i="14"/>
  <c r="U339" i="14"/>
  <c r="U230" i="14"/>
  <c r="U146" i="14"/>
  <c r="U126" i="14"/>
  <c r="W31" i="14"/>
  <c r="X31" i="14"/>
  <c r="U274" i="14"/>
  <c r="X161" i="14"/>
  <c r="W161" i="14"/>
  <c r="Y160" i="14"/>
  <c r="U160" i="14"/>
  <c r="X416" i="14"/>
  <c r="W416" i="14"/>
  <c r="U576" i="14"/>
  <c r="Y576" i="14"/>
  <c r="U461" i="14"/>
  <c r="X615" i="14"/>
  <c r="W615" i="14"/>
  <c r="W55" i="14"/>
  <c r="X55" i="14"/>
  <c r="Y323" i="14"/>
  <c r="U323" i="14"/>
  <c r="W142" i="14"/>
  <c r="X142" i="14"/>
  <c r="U63" i="14"/>
  <c r="U198" i="14"/>
  <c r="U228" i="14"/>
  <c r="X388" i="14"/>
  <c r="W388" i="14"/>
  <c r="U414" i="14"/>
  <c r="Y414" i="14"/>
  <c r="U477" i="14"/>
  <c r="Y477" i="14"/>
  <c r="U251" i="14"/>
  <c r="U96" i="14"/>
  <c r="X560" i="14"/>
  <c r="W560" i="14"/>
  <c r="Y638" i="14"/>
  <c r="U638" i="14"/>
  <c r="U474" i="14"/>
  <c r="U495" i="14"/>
  <c r="Y495" i="14"/>
  <c r="X244" i="14"/>
  <c r="W244" i="14"/>
  <c r="Y122" i="14"/>
  <c r="U122" i="14"/>
  <c r="Y354" i="14"/>
  <c r="U354" i="14"/>
  <c r="Y403" i="14"/>
  <c r="U403" i="14"/>
  <c r="X417" i="14"/>
  <c r="W417" i="14"/>
  <c r="X513" i="14"/>
  <c r="W513" i="14"/>
  <c r="Y556" i="14"/>
  <c r="U556" i="14"/>
  <c r="X559" i="14"/>
  <c r="W559" i="14"/>
  <c r="X265" i="14"/>
  <c r="W265" i="14"/>
  <c r="U441" i="14"/>
  <c r="X159" i="14"/>
  <c r="W159" i="14"/>
  <c r="X349" i="14"/>
  <c r="W349" i="14"/>
  <c r="W125" i="14"/>
  <c r="X125" i="14"/>
  <c r="X298" i="14"/>
  <c r="W298" i="14"/>
  <c r="X186" i="14"/>
  <c r="W186" i="14"/>
  <c r="X270" i="14"/>
  <c r="W270" i="14"/>
  <c r="X157" i="14"/>
  <c r="W157" i="14"/>
  <c r="X303" i="14"/>
  <c r="W303" i="14"/>
  <c r="X383" i="14"/>
  <c r="W383" i="14"/>
  <c r="U64" i="14"/>
  <c r="U379" i="14"/>
  <c r="W264" i="14"/>
  <c r="X264" i="14"/>
  <c r="X30" i="14"/>
  <c r="W30" i="14"/>
  <c r="W213" i="14"/>
  <c r="X213" i="14"/>
  <c r="U167" i="14"/>
  <c r="Y167" i="14"/>
  <c r="X320" i="14"/>
  <c r="W320" i="14"/>
  <c r="Y209" i="14"/>
  <c r="U209" i="14"/>
  <c r="U318" i="14"/>
  <c r="W522" i="14"/>
  <c r="X522" i="14"/>
  <c r="Y587" i="14"/>
  <c r="U587" i="14"/>
  <c r="W433" i="14"/>
  <c r="X433" i="14"/>
  <c r="Y79" i="14"/>
  <c r="U79" i="14"/>
  <c r="X395" i="14"/>
  <c r="W395" i="14"/>
  <c r="Y187" i="14"/>
  <c r="U187" i="14"/>
  <c r="Y43" i="14"/>
  <c r="U43" i="14"/>
  <c r="X279" i="14"/>
  <c r="W279" i="14"/>
  <c r="X365" i="14"/>
  <c r="W365" i="14"/>
  <c r="Y625" i="14"/>
  <c r="U625" i="14"/>
  <c r="Y234" i="14"/>
  <c r="U234" i="14"/>
  <c r="X348" i="14"/>
  <c r="W348" i="14"/>
  <c r="X360" i="14"/>
  <c r="W360" i="14"/>
  <c r="X504" i="14"/>
  <c r="W504" i="14"/>
  <c r="W562" i="14"/>
  <c r="X562" i="14"/>
  <c r="X345" i="14"/>
  <c r="W345" i="14"/>
  <c r="Y77" i="14"/>
  <c r="U77" i="14"/>
  <c r="Y214" i="14"/>
  <c r="U214" i="14"/>
  <c r="Y110" i="14"/>
  <c r="U110" i="14"/>
  <c r="Y451" i="14"/>
  <c r="U451" i="14"/>
  <c r="U470" i="14"/>
  <c r="Y486" i="14"/>
  <c r="U486" i="14"/>
  <c r="U82" i="14"/>
  <c r="X211" i="14"/>
  <c r="W211" i="14"/>
  <c r="Y394" i="14"/>
  <c r="U394" i="14"/>
  <c r="Y541" i="14"/>
  <c r="U541" i="14"/>
  <c r="Y121" i="14"/>
  <c r="U121" i="14"/>
  <c r="X418" i="14"/>
  <c r="W418" i="14"/>
  <c r="W333" i="14"/>
  <c r="X333" i="14"/>
  <c r="Y429" i="14"/>
  <c r="U429" i="14"/>
  <c r="X545" i="14"/>
  <c r="W545" i="14"/>
  <c r="X216" i="14"/>
  <c r="W216" i="14"/>
  <c r="U249" i="14"/>
  <c r="X566" i="14"/>
  <c r="W566" i="14"/>
  <c r="X608" i="14"/>
  <c r="W608" i="14"/>
  <c r="Y347" i="14"/>
  <c r="U347" i="14"/>
  <c r="X196" i="14"/>
  <c r="W196" i="14"/>
  <c r="X255" i="14"/>
  <c r="W255" i="14"/>
  <c r="W312" i="14"/>
  <c r="X312" i="14"/>
  <c r="X301" i="14"/>
  <c r="W301" i="14"/>
  <c r="U69" i="14"/>
  <c r="Y69" i="14"/>
  <c r="X170" i="14"/>
  <c r="W170" i="14"/>
  <c r="X215" i="14"/>
  <c r="W215" i="14"/>
  <c r="U333" i="14"/>
  <c r="Y333" i="14"/>
  <c r="X296" i="14"/>
  <c r="W296" i="14"/>
  <c r="X438" i="14"/>
  <c r="W438" i="14"/>
  <c r="U501" i="14"/>
  <c r="Y501" i="14"/>
  <c r="U558" i="14"/>
  <c r="Y558" i="14"/>
  <c r="U590" i="14"/>
  <c r="X465" i="14"/>
  <c r="W465" i="14"/>
  <c r="Y181" i="14"/>
  <c r="U181" i="14"/>
  <c r="X263" i="14"/>
  <c r="W263" i="14"/>
  <c r="Y485" i="14"/>
  <c r="U485" i="14"/>
  <c r="U598" i="14"/>
  <c r="U592" i="14"/>
  <c r="Y41" i="14"/>
  <c r="U41" i="14"/>
  <c r="U104" i="14"/>
  <c r="Y104" i="14"/>
  <c r="X56" i="14"/>
  <c r="W56" i="14"/>
  <c r="X366" i="14"/>
  <c r="W366" i="14"/>
  <c r="Y566" i="14"/>
  <c r="U566" i="14"/>
  <c r="Y223" i="14"/>
  <c r="U223" i="14"/>
  <c r="U498" i="14"/>
  <c r="Y543" i="14"/>
  <c r="U543" i="14"/>
  <c r="U20" i="14"/>
  <c r="Y20" i="14"/>
  <c r="X308" i="14"/>
  <c r="W308" i="14"/>
  <c r="X344" i="14"/>
  <c r="W344" i="14"/>
  <c r="U288" i="14"/>
  <c r="W354" i="14"/>
  <c r="X354" i="14"/>
  <c r="U507" i="14"/>
  <c r="Y559" i="14"/>
  <c r="U559" i="14"/>
  <c r="Y159" i="14"/>
  <c r="U159" i="14"/>
  <c r="U125" i="14"/>
  <c r="Y125" i="14"/>
  <c r="Y186" i="14"/>
  <c r="U186" i="14"/>
  <c r="Y303" i="14"/>
  <c r="U303" i="14"/>
  <c r="Y383" i="14"/>
  <c r="U383" i="14"/>
  <c r="Y264" i="14"/>
  <c r="U264" i="14"/>
  <c r="W167" i="14"/>
  <c r="X167" i="14"/>
  <c r="Y522" i="14"/>
  <c r="U522" i="14"/>
  <c r="W43" i="14"/>
  <c r="X43" i="14"/>
  <c r="X234" i="14"/>
  <c r="W234" i="14"/>
  <c r="U307" i="14"/>
  <c r="X381" i="14"/>
  <c r="W381" i="14"/>
  <c r="Y397" i="14"/>
  <c r="U397" i="14"/>
  <c r="X440" i="14"/>
  <c r="W440" i="14"/>
  <c r="Y593" i="14"/>
  <c r="U593" i="14"/>
  <c r="U580" i="14"/>
  <c r="Y580" i="14"/>
  <c r="X618" i="14"/>
  <c r="W618" i="14"/>
  <c r="Y520" i="14"/>
  <c r="U520" i="14"/>
  <c r="X457" i="14"/>
  <c r="W457" i="14"/>
  <c r="Y432" i="14"/>
  <c r="U432" i="14"/>
  <c r="U465" i="14"/>
  <c r="Y465" i="14"/>
  <c r="W74" i="14"/>
  <c r="X74" i="14"/>
  <c r="X181" i="14"/>
  <c r="W181" i="14"/>
  <c r="X235" i="14"/>
  <c r="W235" i="14"/>
  <c r="X101" i="14"/>
  <c r="W101" i="14"/>
  <c r="W331" i="14"/>
  <c r="X331" i="14"/>
  <c r="U263" i="14"/>
  <c r="Y263" i="14"/>
  <c r="Y437" i="14"/>
  <c r="U437" i="14"/>
  <c r="X485" i="14"/>
  <c r="W485" i="14"/>
  <c r="W568" i="14"/>
  <c r="X568" i="14"/>
  <c r="X585" i="14"/>
  <c r="W585" i="14"/>
  <c r="X41" i="14"/>
  <c r="W41" i="14"/>
  <c r="U117" i="14"/>
  <c r="X104" i="14"/>
  <c r="W104" i="14"/>
  <c r="X256" i="14"/>
  <c r="W256" i="14"/>
  <c r="X103" i="14"/>
  <c r="W103" i="14"/>
  <c r="X371" i="14"/>
  <c r="W371" i="14"/>
  <c r="X435" i="14"/>
  <c r="W435" i="14"/>
  <c r="Y497" i="14"/>
  <c r="U497" i="14"/>
  <c r="U546" i="14"/>
  <c r="Y546" i="14"/>
  <c r="X239" i="14"/>
  <c r="W239" i="14"/>
  <c r="U151" i="14"/>
  <c r="Y113" i="14"/>
  <c r="U113" i="14"/>
  <c r="Y259" i="14"/>
  <c r="U259" i="14"/>
  <c r="Y406" i="14"/>
  <c r="U406" i="14"/>
  <c r="U459" i="14"/>
  <c r="U488" i="14"/>
  <c r="Y610" i="14"/>
  <c r="U610" i="14"/>
  <c r="X643" i="14"/>
  <c r="W643" i="14"/>
  <c r="X223" i="14"/>
  <c r="W223" i="14"/>
  <c r="U444" i="14"/>
  <c r="X656" i="14"/>
  <c r="W656" i="14"/>
  <c r="W22" i="14"/>
  <c r="X22" i="14"/>
  <c r="X543" i="14"/>
  <c r="W543" i="14"/>
  <c r="X20" i="14"/>
  <c r="W20" i="14"/>
  <c r="U192" i="14"/>
  <c r="Y192" i="14"/>
  <c r="U308" i="14"/>
  <c r="Y308" i="14"/>
  <c r="Y297" i="14"/>
  <c r="U297" i="14"/>
  <c r="U344" i="14"/>
  <c r="Y344" i="14"/>
  <c r="U407" i="14"/>
  <c r="Y407" i="14"/>
  <c r="X533" i="14"/>
  <c r="W533" i="14"/>
  <c r="U624" i="14"/>
  <c r="Y210" i="14"/>
  <c r="U210" i="14"/>
  <c r="Y538" i="14"/>
  <c r="U538" i="14"/>
  <c r="U631" i="14"/>
  <c r="X350" i="14"/>
  <c r="W350" i="14"/>
  <c r="U76" i="14"/>
  <c r="X47" i="14"/>
  <c r="W47" i="14"/>
  <c r="Y208" i="14"/>
  <c r="U208" i="14"/>
  <c r="X346" i="14"/>
  <c r="W346" i="14"/>
  <c r="Y479" i="14"/>
  <c r="U479" i="14"/>
  <c r="X473" i="14"/>
  <c r="W473" i="14"/>
  <c r="X529" i="14"/>
  <c r="W529" i="14"/>
  <c r="X571" i="14"/>
  <c r="W571" i="14"/>
  <c r="U604" i="14"/>
  <c r="Y604" i="14"/>
  <c r="X524" i="14"/>
  <c r="W524" i="14"/>
  <c r="Y51" i="14"/>
  <c r="U51" i="14"/>
  <c r="U58" i="14"/>
  <c r="W114" i="14"/>
  <c r="X114" i="14"/>
  <c r="Y258" i="14"/>
  <c r="U258" i="14"/>
  <c r="Y232" i="14"/>
  <c r="U232" i="14"/>
  <c r="U273" i="14"/>
  <c r="Y273" i="14"/>
  <c r="W420" i="14"/>
  <c r="X420" i="14"/>
  <c r="Y118" i="14"/>
  <c r="U118" i="14"/>
  <c r="Y282" i="14"/>
  <c r="U282" i="14"/>
  <c r="U220" i="14"/>
  <c r="Y342" i="14"/>
  <c r="U342" i="14"/>
  <c r="X221" i="14"/>
  <c r="W221" i="14"/>
  <c r="U91" i="14"/>
  <c r="U266" i="14"/>
  <c r="Y266" i="14"/>
  <c r="X324" i="14"/>
  <c r="W324" i="14"/>
  <c r="X468" i="14"/>
  <c r="W468" i="14"/>
  <c r="U492" i="14"/>
  <c r="Y492" i="14"/>
  <c r="U579" i="14"/>
  <c r="Y579" i="14"/>
  <c r="X591" i="14"/>
  <c r="W591" i="14"/>
  <c r="U460" i="14"/>
  <c r="Y460" i="14"/>
  <c r="U655" i="14"/>
  <c r="X436" i="14"/>
  <c r="W436" i="14"/>
  <c r="Y42" i="14"/>
  <c r="U42" i="14"/>
  <c r="Y46" i="14"/>
  <c r="U46" i="14"/>
  <c r="U119" i="14"/>
  <c r="Y119" i="14"/>
  <c r="Y247" i="14"/>
  <c r="U247" i="14"/>
  <c r="Y352" i="14"/>
  <c r="U352" i="14"/>
  <c r="Y389" i="14"/>
  <c r="U389" i="14"/>
  <c r="U649" i="14"/>
  <c r="U450" i="14"/>
  <c r="W466" i="14"/>
  <c r="X466" i="14"/>
  <c r="U400" i="14"/>
  <c r="Y400" i="14"/>
  <c r="X387" i="14"/>
  <c r="W387" i="14"/>
  <c r="X369" i="14"/>
  <c r="W369" i="14"/>
  <c r="U654" i="14"/>
  <c r="Y562" i="14"/>
  <c r="U562" i="14"/>
  <c r="X112" i="14"/>
  <c r="W112" i="14"/>
  <c r="U659" i="14"/>
  <c r="W483" i="14"/>
  <c r="X483" i="14"/>
  <c r="X451" i="14"/>
  <c r="W451" i="14"/>
  <c r="Y639" i="14"/>
  <c r="U639" i="14"/>
  <c r="U199" i="14"/>
  <c r="U581" i="14"/>
  <c r="U511" i="14"/>
  <c r="Y511" i="14"/>
  <c r="X639" i="14"/>
  <c r="W639" i="14"/>
  <c r="X511" i="14"/>
  <c r="W511" i="14"/>
  <c r="U56" i="14"/>
  <c r="Y56" i="14"/>
  <c r="X202" i="14"/>
  <c r="W202" i="14"/>
  <c r="Y457" i="14"/>
  <c r="U457" i="14"/>
  <c r="X432" i="14"/>
  <c r="W432" i="14"/>
  <c r="U74" i="14"/>
  <c r="Y74" i="14"/>
  <c r="U331" i="14"/>
  <c r="Y331" i="14"/>
  <c r="W437" i="14"/>
  <c r="X437" i="14"/>
  <c r="Y568" i="14"/>
  <c r="U568" i="14"/>
  <c r="Y585" i="14"/>
  <c r="U585" i="14"/>
  <c r="Y256" i="14"/>
  <c r="U256" i="14"/>
  <c r="Y103" i="14"/>
  <c r="U103" i="14"/>
  <c r="Y216" i="14"/>
  <c r="U216" i="14"/>
  <c r="U490" i="14"/>
  <c r="Y490" i="14"/>
  <c r="U241" i="14"/>
  <c r="Y241" i="14"/>
  <c r="Y120" i="14"/>
  <c r="U120" i="14"/>
  <c r="X154" i="14"/>
  <c r="W154" i="14"/>
  <c r="U454" i="14"/>
  <c r="U648" i="14"/>
  <c r="Y656" i="14"/>
  <c r="U656" i="14"/>
  <c r="U22" i="14"/>
  <c r="Y22" i="14"/>
  <c r="X192" i="14"/>
  <c r="W192" i="14"/>
  <c r="X297" i="14"/>
  <c r="W297" i="14"/>
  <c r="U330" i="14"/>
  <c r="X122" i="14"/>
  <c r="W122" i="14"/>
  <c r="U417" i="14"/>
  <c r="Y417" i="14"/>
  <c r="W556" i="14"/>
  <c r="X556" i="14"/>
  <c r="Y349" i="14"/>
  <c r="U349" i="14"/>
  <c r="U168" i="14"/>
  <c r="Y157" i="14"/>
  <c r="U157" i="14"/>
  <c r="Y30" i="14"/>
  <c r="U30" i="14"/>
  <c r="U320" i="14"/>
  <c r="Y320" i="14"/>
  <c r="U455" i="14"/>
  <c r="U653" i="14"/>
  <c r="Y433" i="14"/>
  <c r="U433" i="14"/>
  <c r="U395" i="14"/>
  <c r="Y395" i="14"/>
  <c r="U254" i="14"/>
  <c r="U279" i="14"/>
  <c r="Y279" i="14"/>
  <c r="X625" i="14"/>
  <c r="W625" i="14"/>
  <c r="Y163" i="14"/>
  <c r="U163" i="14"/>
  <c r="Y440" i="14"/>
  <c r="U440" i="14"/>
  <c r="W580" i="14"/>
  <c r="X580" i="14"/>
  <c r="U618" i="14"/>
  <c r="Y618" i="14"/>
  <c r="X520" i="14"/>
  <c r="W520" i="14"/>
  <c r="Y553" i="14"/>
  <c r="U553" i="14"/>
  <c r="Y527" i="14"/>
  <c r="U527" i="14"/>
  <c r="Y602" i="14"/>
  <c r="U602" i="14"/>
  <c r="U86" i="14"/>
  <c r="Y86" i="14"/>
  <c r="U92" i="14"/>
  <c r="Y92" i="14"/>
  <c r="U141" i="14"/>
  <c r="Y141" i="14"/>
  <c r="X53" i="14"/>
  <c r="W53" i="14"/>
  <c r="Y355" i="14"/>
  <c r="U355" i="14"/>
  <c r="X283" i="14"/>
  <c r="W283" i="14"/>
  <c r="U500" i="14"/>
  <c r="U582" i="14"/>
  <c r="Y582" i="14"/>
  <c r="X595" i="14"/>
  <c r="W595" i="14"/>
  <c r="Y419" i="14"/>
  <c r="U419" i="14"/>
  <c r="U328" i="14"/>
  <c r="Y299" i="14"/>
  <c r="U299" i="14"/>
  <c r="U93" i="14"/>
  <c r="Y93" i="14"/>
  <c r="U68" i="14"/>
  <c r="Y68" i="14"/>
  <c r="X300" i="14"/>
  <c r="W300" i="14"/>
  <c r="U371" i="14"/>
  <c r="Y371" i="14"/>
  <c r="Y435" i="14"/>
  <c r="U435" i="14"/>
  <c r="X497" i="14"/>
  <c r="W497" i="14"/>
  <c r="X546" i="14"/>
  <c r="W546" i="14"/>
  <c r="U239" i="14"/>
  <c r="Y239" i="14"/>
  <c r="X113" i="14"/>
  <c r="W113" i="14"/>
  <c r="X259" i="14"/>
  <c r="W259" i="14"/>
  <c r="X406" i="14"/>
  <c r="W406" i="14"/>
  <c r="X610" i="14"/>
  <c r="W610" i="14"/>
  <c r="Y643" i="14"/>
  <c r="U643" i="14"/>
  <c r="U449" i="14"/>
  <c r="Y449" i="14"/>
  <c r="Y421" i="14"/>
  <c r="U421" i="14"/>
  <c r="Y302" i="14"/>
  <c r="U302" i="14"/>
  <c r="U508" i="14"/>
  <c r="Y88" i="14"/>
  <c r="U88" i="14"/>
  <c r="X171" i="14"/>
  <c r="W171" i="14"/>
  <c r="Y29" i="14"/>
  <c r="U29" i="14"/>
  <c r="U338" i="14"/>
  <c r="Y338" i="14"/>
  <c r="Y311" i="14"/>
  <c r="U311" i="14"/>
  <c r="Y462" i="14"/>
  <c r="U462" i="14"/>
  <c r="U612" i="14"/>
  <c r="Y612" i="14"/>
  <c r="Y632" i="14"/>
  <c r="U632" i="14"/>
  <c r="X210" i="14"/>
  <c r="W210" i="14"/>
  <c r="U605" i="14"/>
  <c r="X538" i="14"/>
  <c r="W538" i="14"/>
  <c r="Y350" i="14"/>
  <c r="U350" i="14"/>
  <c r="U47" i="14"/>
  <c r="Y47" i="14"/>
  <c r="X208" i="14"/>
  <c r="W208" i="14"/>
  <c r="U253" i="14"/>
  <c r="Y346" i="14"/>
  <c r="U346" i="14"/>
  <c r="W479" i="14"/>
  <c r="X479" i="14"/>
  <c r="Y473" i="14"/>
  <c r="U473" i="14"/>
  <c r="Y529" i="14"/>
  <c r="U529" i="14"/>
  <c r="U571" i="14"/>
  <c r="Y571" i="14"/>
  <c r="W604" i="14"/>
  <c r="X604" i="14"/>
  <c r="U378" i="14"/>
  <c r="Y524" i="14"/>
  <c r="U524" i="14"/>
  <c r="X51" i="14"/>
  <c r="W51" i="14"/>
  <c r="Y114" i="14"/>
  <c r="U114" i="14"/>
  <c r="X258" i="14"/>
  <c r="W258" i="14"/>
  <c r="X232" i="14"/>
  <c r="W232" i="14"/>
  <c r="W273" i="14"/>
  <c r="X273" i="14"/>
  <c r="Y420" i="14"/>
  <c r="U420" i="14"/>
  <c r="X118" i="14"/>
  <c r="W118" i="14"/>
  <c r="X282" i="14"/>
  <c r="W282" i="14"/>
  <c r="W342" i="14"/>
  <c r="X342" i="14"/>
  <c r="U221" i="14"/>
  <c r="Y221" i="14"/>
  <c r="X266" i="14"/>
  <c r="W266" i="14"/>
  <c r="U324" i="14"/>
  <c r="Y324" i="14"/>
  <c r="U334" i="14"/>
  <c r="U468" i="14"/>
  <c r="Y468" i="14"/>
  <c r="X492" i="14"/>
  <c r="W492" i="14"/>
  <c r="X579" i="14"/>
  <c r="W579" i="14"/>
  <c r="U591" i="14"/>
  <c r="Y591" i="14"/>
  <c r="X460" i="14"/>
  <c r="W460" i="14"/>
  <c r="Y436" i="14"/>
  <c r="U436" i="14"/>
  <c r="X42" i="14"/>
  <c r="W42" i="14"/>
  <c r="X46" i="14"/>
  <c r="W46" i="14"/>
  <c r="X119" i="14"/>
  <c r="W119" i="14"/>
  <c r="U95" i="14"/>
  <c r="X247" i="14"/>
  <c r="W247" i="14"/>
  <c r="X352" i="14"/>
  <c r="W352" i="14"/>
  <c r="X389" i="14"/>
  <c r="W389" i="14"/>
  <c r="Y466" i="14"/>
  <c r="U466" i="14"/>
  <c r="W495" i="14"/>
  <c r="X495" i="14"/>
  <c r="U244" i="14"/>
  <c r="Y244" i="14"/>
  <c r="W403" i="14"/>
  <c r="X403" i="14"/>
  <c r="Y513" i="14"/>
  <c r="U513" i="14"/>
  <c r="Y265" i="14"/>
  <c r="U265" i="14"/>
  <c r="Y298" i="14"/>
  <c r="U298" i="14"/>
  <c r="Y270" i="14"/>
  <c r="U270" i="14"/>
  <c r="Y213" i="14"/>
  <c r="U213" i="14"/>
  <c r="X209" i="14"/>
  <c r="W209" i="14"/>
  <c r="X587" i="14"/>
  <c r="W587" i="14"/>
  <c r="W79" i="14"/>
  <c r="X79" i="14"/>
  <c r="W187" i="14"/>
  <c r="X187" i="14"/>
  <c r="Y365" i="14"/>
  <c r="U365" i="14"/>
  <c r="Y348" i="14"/>
  <c r="U348" i="14"/>
  <c r="X527" i="14"/>
  <c r="W527" i="14"/>
  <c r="X602" i="14"/>
  <c r="W602" i="14"/>
  <c r="W86" i="14"/>
  <c r="X86" i="14"/>
  <c r="X92" i="14"/>
  <c r="W92" i="14"/>
  <c r="W141" i="14"/>
  <c r="X141" i="14"/>
  <c r="Y53" i="14"/>
  <c r="U53" i="14"/>
  <c r="X355" i="14"/>
  <c r="W355" i="14"/>
  <c r="Y283" i="14"/>
  <c r="U283" i="14"/>
  <c r="X582" i="14"/>
  <c r="W582" i="14"/>
  <c r="U630" i="14"/>
  <c r="Y595" i="14"/>
  <c r="U595" i="14"/>
  <c r="X419" i="14"/>
  <c r="W419" i="14"/>
  <c r="X299" i="14"/>
  <c r="W299" i="14"/>
  <c r="W93" i="14"/>
  <c r="X93" i="14"/>
  <c r="X68" i="14"/>
  <c r="W68" i="14"/>
  <c r="Y300" i="14"/>
  <c r="U300" i="14"/>
  <c r="U191" i="14"/>
  <c r="X240" i="14"/>
  <c r="W240" i="14"/>
  <c r="U356" i="14"/>
  <c r="Y356" i="14"/>
  <c r="X390" i="14"/>
  <c r="W390" i="14"/>
  <c r="W512" i="14"/>
  <c r="X512" i="14"/>
  <c r="Y561" i="14"/>
  <c r="U561" i="14"/>
  <c r="Y205" i="14"/>
  <c r="U205" i="14"/>
  <c r="U197" i="14"/>
  <c r="Y197" i="14"/>
  <c r="U180" i="14"/>
  <c r="W309" i="14"/>
  <c r="X309" i="14"/>
  <c r="Y353" i="14"/>
  <c r="U353" i="14"/>
  <c r="Y634" i="14"/>
  <c r="U634" i="14"/>
  <c r="U275" i="14"/>
  <c r="W449" i="14"/>
  <c r="X449" i="14"/>
  <c r="X421" i="14"/>
  <c r="W421" i="14"/>
  <c r="X302" i="14"/>
  <c r="W302" i="14"/>
  <c r="U137" i="14"/>
  <c r="X88" i="14"/>
  <c r="W88" i="14"/>
  <c r="Y171" i="14"/>
  <c r="U171" i="14"/>
  <c r="X29" i="14"/>
  <c r="W29" i="14"/>
  <c r="W338" i="14"/>
  <c r="X338" i="14"/>
  <c r="X311" i="14"/>
  <c r="W311" i="14"/>
  <c r="U425" i="14"/>
  <c r="X462" i="14"/>
  <c r="W462" i="14"/>
  <c r="X612" i="14"/>
  <c r="W612" i="14"/>
  <c r="X632" i="14"/>
  <c r="W632" i="14"/>
  <c r="U393" i="14"/>
  <c r="W658" i="14"/>
  <c r="X658" i="14"/>
  <c r="X534" i="14"/>
  <c r="W534" i="14"/>
  <c r="X430" i="14"/>
  <c r="W430" i="14"/>
  <c r="W132" i="14"/>
  <c r="X132" i="14"/>
  <c r="U203" i="14"/>
  <c r="Y203" i="14"/>
  <c r="Y358" i="14"/>
  <c r="U358" i="14"/>
  <c r="U427" i="14"/>
  <c r="U480" i="14"/>
  <c r="Y480" i="14"/>
  <c r="U532" i="14"/>
  <c r="Y609" i="14"/>
  <c r="U609" i="14"/>
  <c r="Y445" i="14"/>
  <c r="U445" i="14"/>
  <c r="Y596" i="14"/>
  <c r="U596" i="14"/>
  <c r="Y129" i="14"/>
  <c r="U129" i="14"/>
  <c r="X172" i="14"/>
  <c r="W172" i="14"/>
  <c r="X469" i="14"/>
  <c r="W469" i="14"/>
  <c r="Y231" i="14"/>
  <c r="U231" i="14"/>
  <c r="Y107" i="14"/>
  <c r="U107" i="14"/>
  <c r="X233" i="14"/>
  <c r="W233" i="14"/>
  <c r="X313" i="14"/>
  <c r="W313" i="14"/>
  <c r="U555" i="14"/>
  <c r="Y555" i="14"/>
  <c r="U123" i="14"/>
  <c r="Y123" i="14"/>
  <c r="Y52" i="14"/>
  <c r="U52" i="14"/>
  <c r="Y109" i="14"/>
  <c r="U109" i="14"/>
  <c r="U127" i="14"/>
  <c r="X370" i="14"/>
  <c r="W370" i="14"/>
  <c r="U59" i="14"/>
  <c r="Y59" i="14"/>
  <c r="Y207" i="14"/>
  <c r="U207" i="14"/>
  <c r="U152" i="14"/>
  <c r="U368" i="14"/>
  <c r="Y368" i="14"/>
  <c r="X574" i="14"/>
  <c r="W574" i="14"/>
  <c r="Y552" i="14"/>
  <c r="U552" i="14"/>
  <c r="Y650" i="14"/>
  <c r="U650" i="14"/>
  <c r="U641" i="14"/>
  <c r="Y641" i="14"/>
  <c r="U281" i="14"/>
  <c r="U573" i="14"/>
  <c r="U80" i="14"/>
  <c r="Y80" i="14"/>
  <c r="Y237" i="14"/>
  <c r="U237" i="14"/>
  <c r="Y293" i="14"/>
  <c r="U293" i="14"/>
  <c r="Y499" i="14"/>
  <c r="U499" i="14"/>
  <c r="W607" i="14"/>
  <c r="X607" i="14"/>
  <c r="U514" i="14"/>
  <c r="Y514" i="14"/>
  <c r="Y519" i="14"/>
  <c r="U519" i="14"/>
  <c r="U75" i="14"/>
  <c r="Y75" i="14"/>
  <c r="U369" i="14"/>
  <c r="Y369" i="14"/>
  <c r="U577" i="14"/>
  <c r="Y545" i="14"/>
  <c r="U545" i="14"/>
  <c r="U97" i="14"/>
  <c r="W69" i="14"/>
  <c r="X69" i="14"/>
  <c r="U296" i="14"/>
  <c r="Y296" i="14"/>
  <c r="U536" i="14"/>
  <c r="U169" i="14"/>
  <c r="X317" i="14"/>
  <c r="W317" i="14"/>
  <c r="U523" i="14"/>
  <c r="U179" i="14"/>
  <c r="U550" i="14"/>
  <c r="X120" i="14"/>
  <c r="W120" i="14"/>
  <c r="X78" i="14"/>
  <c r="W78" i="14"/>
  <c r="U101" i="14"/>
  <c r="Y101" i="14"/>
  <c r="Y533" i="14"/>
  <c r="U533" i="14"/>
  <c r="X200" i="14"/>
  <c r="W200" i="14"/>
  <c r="Y381" i="14"/>
  <c r="U381" i="14"/>
  <c r="U250" i="14"/>
  <c r="Y250" i="14"/>
  <c r="Y284" i="14"/>
  <c r="U284" i="14"/>
  <c r="W411" i="14"/>
  <c r="X411" i="14"/>
  <c r="U599" i="14"/>
  <c r="U149" i="14"/>
  <c r="Y149" i="14"/>
  <c r="U487" i="14"/>
  <c r="Y487" i="14"/>
  <c r="Y611" i="14"/>
  <c r="U611" i="14"/>
  <c r="X382" i="14"/>
  <c r="W382" i="14"/>
  <c r="Y448" i="14"/>
  <c r="U448" i="14"/>
  <c r="Y240" i="14"/>
  <c r="U240" i="14"/>
  <c r="X356" i="14"/>
  <c r="W356" i="14"/>
  <c r="Y390" i="14"/>
  <c r="U390" i="14"/>
  <c r="Y512" i="14"/>
  <c r="U512" i="14"/>
  <c r="X561" i="14"/>
  <c r="W561" i="14"/>
  <c r="X205" i="14"/>
  <c r="W205" i="14"/>
  <c r="X197" i="14"/>
  <c r="W197" i="14"/>
  <c r="U309" i="14"/>
  <c r="Y309" i="14"/>
  <c r="X353" i="14"/>
  <c r="W353" i="14"/>
  <c r="U517" i="14"/>
  <c r="X634" i="14"/>
  <c r="W634" i="14"/>
  <c r="Y467" i="14"/>
  <c r="U467" i="14"/>
  <c r="Y277" i="14"/>
  <c r="U277" i="14"/>
  <c r="X188" i="14"/>
  <c r="W188" i="14"/>
  <c r="Y165" i="14"/>
  <c r="U165" i="14"/>
  <c r="Y102" i="14"/>
  <c r="U102" i="14"/>
  <c r="U155" i="14"/>
  <c r="Y155" i="14"/>
  <c r="Y206" i="14"/>
  <c r="U206" i="14"/>
  <c r="X525" i="14"/>
  <c r="W525" i="14"/>
  <c r="Y658" i="14"/>
  <c r="U658" i="14"/>
  <c r="U534" i="14"/>
  <c r="Y534" i="14"/>
  <c r="Y430" i="14"/>
  <c r="U430" i="14"/>
  <c r="U132" i="14"/>
  <c r="Y132" i="14"/>
  <c r="U99" i="14"/>
  <c r="X203" i="14"/>
  <c r="W203" i="14"/>
  <c r="X358" i="14"/>
  <c r="W358" i="14"/>
  <c r="X480" i="14"/>
  <c r="W480" i="14"/>
  <c r="X609" i="14"/>
  <c r="W609" i="14"/>
  <c r="X445" i="14"/>
  <c r="W445" i="14"/>
  <c r="X596" i="14"/>
  <c r="W596" i="14"/>
  <c r="U23" i="14"/>
  <c r="W129" i="14"/>
  <c r="X129" i="14"/>
  <c r="Y172" i="14"/>
  <c r="U172" i="14"/>
  <c r="U469" i="14"/>
  <c r="Y469" i="14"/>
  <c r="X231" i="14"/>
  <c r="W231" i="14"/>
  <c r="X107" i="14"/>
  <c r="W107" i="14"/>
  <c r="Y233" i="14"/>
  <c r="U233" i="14"/>
  <c r="U313" i="14"/>
  <c r="Y313" i="14"/>
  <c r="X555" i="14"/>
  <c r="W555" i="14"/>
  <c r="X123" i="14"/>
  <c r="W123" i="14"/>
  <c r="X52" i="14"/>
  <c r="W52" i="14"/>
  <c r="X109" i="14"/>
  <c r="W109" i="14"/>
  <c r="Y370" i="14"/>
  <c r="U370" i="14"/>
  <c r="X59" i="14"/>
  <c r="W59" i="14"/>
  <c r="U337" i="14"/>
  <c r="X207" i="14"/>
  <c r="W207" i="14"/>
  <c r="X368" i="14"/>
  <c r="W368" i="14"/>
  <c r="Y574" i="14"/>
  <c r="U574" i="14"/>
  <c r="X552" i="14"/>
  <c r="W552" i="14"/>
  <c r="X650" i="14"/>
  <c r="W650" i="14"/>
  <c r="X641" i="14"/>
  <c r="W641" i="14"/>
  <c r="X80" i="14"/>
  <c r="W80" i="14"/>
  <c r="W237" i="14"/>
  <c r="X237" i="14"/>
  <c r="X293" i="14"/>
  <c r="W293" i="14"/>
  <c r="U402" i="14"/>
  <c r="X499" i="14"/>
  <c r="W499" i="14"/>
  <c r="Y607" i="14"/>
  <c r="U607" i="14"/>
  <c r="W514" i="14"/>
  <c r="X514" i="14"/>
  <c r="W519" i="14"/>
  <c r="X519" i="14"/>
  <c r="Y376" i="14"/>
  <c r="U376" i="14"/>
  <c r="U386" i="14"/>
  <c r="Y386" i="14"/>
  <c r="Y112" i="14"/>
  <c r="U112" i="14"/>
  <c r="Y351" i="14"/>
  <c r="U351" i="14"/>
  <c r="U83" i="14"/>
  <c r="X214" i="14"/>
  <c r="W214" i="14"/>
  <c r="Y105" i="14"/>
  <c r="U105" i="14"/>
  <c r="X351" i="14"/>
  <c r="W351" i="14"/>
  <c r="U491" i="14"/>
  <c r="U594" i="14"/>
  <c r="Y594" i="14"/>
  <c r="X496" i="14"/>
  <c r="W496" i="14"/>
  <c r="Y170" i="14"/>
  <c r="U170" i="14"/>
  <c r="Y438" i="14"/>
  <c r="U438" i="14"/>
  <c r="X501" i="14"/>
  <c r="W501" i="14"/>
  <c r="W394" i="14"/>
  <c r="X394" i="14"/>
  <c r="Y453" i="14"/>
  <c r="U453" i="14"/>
  <c r="W541" i="14"/>
  <c r="X541" i="14"/>
  <c r="W490" i="14"/>
  <c r="X490" i="14"/>
  <c r="X241" i="14"/>
  <c r="W241" i="14"/>
  <c r="Y154" i="14"/>
  <c r="U154" i="14"/>
  <c r="Y489" i="14"/>
  <c r="U489" i="14"/>
  <c r="X407" i="14"/>
  <c r="W407" i="14"/>
  <c r="Y200" i="14"/>
  <c r="U200" i="14"/>
  <c r="W593" i="14"/>
  <c r="X593" i="14"/>
  <c r="U411" i="14"/>
  <c r="Y411" i="14"/>
  <c r="U452" i="14"/>
  <c r="Y452" i="14"/>
  <c r="W493" i="14"/>
  <c r="X493" i="14"/>
  <c r="X553" i="14"/>
  <c r="W553" i="14"/>
  <c r="W250" i="14"/>
  <c r="X250" i="14"/>
  <c r="X284" i="14"/>
  <c r="W284" i="14"/>
  <c r="X452" i="14"/>
  <c r="W452" i="14"/>
  <c r="U606" i="14"/>
  <c r="Y606" i="14"/>
  <c r="Y603" i="14"/>
  <c r="U603" i="14"/>
  <c r="Y108" i="14"/>
  <c r="U108" i="14"/>
  <c r="U410" i="14"/>
  <c r="Y410" i="14"/>
  <c r="Y557" i="14"/>
  <c r="U557" i="14"/>
  <c r="X156" i="14"/>
  <c r="W156" i="14"/>
  <c r="X278" i="14"/>
  <c r="W278" i="14"/>
  <c r="U509" i="14"/>
  <c r="Y509" i="14"/>
  <c r="X569" i="14"/>
  <c r="W569" i="14"/>
  <c r="X268" i="14"/>
  <c r="W268" i="14"/>
  <c r="Y38" i="14"/>
  <c r="U38" i="14"/>
  <c r="U145" i="14"/>
  <c r="U98" i="14"/>
  <c r="X108" i="14"/>
  <c r="W108" i="14"/>
  <c r="U374" i="14"/>
  <c r="U401" i="14"/>
  <c r="Y401" i="14"/>
  <c r="W410" i="14"/>
  <c r="X410" i="14"/>
  <c r="X487" i="14"/>
  <c r="W487" i="14"/>
  <c r="X557" i="14"/>
  <c r="W557" i="14"/>
  <c r="X611" i="14"/>
  <c r="W611" i="14"/>
  <c r="U535" i="14"/>
  <c r="Y382" i="14"/>
  <c r="U382" i="14"/>
  <c r="X448" i="14"/>
  <c r="W448" i="14"/>
  <c r="Y156" i="14"/>
  <c r="U156" i="14"/>
  <c r="Y243" i="14"/>
  <c r="U243" i="14"/>
  <c r="X204" i="14"/>
  <c r="W204" i="14"/>
  <c r="Y364" i="14"/>
  <c r="U364" i="14"/>
  <c r="Y537" i="14"/>
  <c r="U537" i="14"/>
  <c r="U19" i="14"/>
  <c r="Y106" i="14"/>
  <c r="U106" i="14"/>
  <c r="Y269" i="14"/>
  <c r="U269" i="14"/>
  <c r="U246" i="14"/>
  <c r="Y361" i="14"/>
  <c r="U361" i="14"/>
  <c r="X458" i="14"/>
  <c r="W458" i="14"/>
  <c r="U528" i="14"/>
  <c r="Y528" i="14"/>
  <c r="Y662" i="14"/>
  <c r="U662" i="14"/>
  <c r="X467" i="14"/>
  <c r="W467" i="14"/>
  <c r="X277" i="14"/>
  <c r="W277" i="14"/>
  <c r="Y188" i="14"/>
  <c r="U188" i="14"/>
  <c r="W165" i="14"/>
  <c r="X165" i="14"/>
  <c r="W102" i="14"/>
  <c r="X102" i="14"/>
  <c r="U194" i="14"/>
  <c r="X155" i="14"/>
  <c r="W155" i="14"/>
  <c r="X206" i="14"/>
  <c r="W206" i="14"/>
  <c r="U392" i="14"/>
  <c r="U471" i="14"/>
  <c r="U525" i="14"/>
  <c r="Y525" i="14"/>
  <c r="U622" i="14"/>
  <c r="Y304" i="14"/>
  <c r="U304" i="14"/>
  <c r="Y633" i="14"/>
  <c r="U633" i="14"/>
  <c r="X567" i="14"/>
  <c r="W567" i="14"/>
  <c r="W544" i="14"/>
  <c r="X544" i="14"/>
  <c r="U177" i="14"/>
  <c r="Y177" i="14"/>
  <c r="X173" i="14"/>
  <c r="W173" i="14"/>
  <c r="X116" i="14"/>
  <c r="W116" i="14"/>
  <c r="U472" i="14"/>
  <c r="W484" i="14"/>
  <c r="X484" i="14"/>
  <c r="Y637" i="14"/>
  <c r="U637" i="14"/>
  <c r="U285" i="14"/>
  <c r="Y285" i="14"/>
  <c r="Y222" i="14"/>
  <c r="U222" i="14"/>
  <c r="Y271" i="14"/>
  <c r="U271" i="14"/>
  <c r="Y39" i="14"/>
  <c r="U39" i="14"/>
  <c r="X162" i="14"/>
  <c r="W162" i="14"/>
  <c r="Y272" i="14"/>
  <c r="U272" i="14"/>
  <c r="Y176" i="14"/>
  <c r="U176" i="14"/>
  <c r="X413" i="14"/>
  <c r="W413" i="14"/>
  <c r="U131" i="14"/>
  <c r="Y131" i="14"/>
  <c r="Y212" i="14"/>
  <c r="U212" i="14"/>
  <c r="U238" i="14"/>
  <c r="Y238" i="14"/>
  <c r="W182" i="14"/>
  <c r="X182" i="14"/>
  <c r="U224" i="14"/>
  <c r="Y224" i="14"/>
  <c r="X276" i="14"/>
  <c r="W276" i="14"/>
  <c r="U290" i="14"/>
  <c r="Y290" i="14"/>
  <c r="Y396" i="14"/>
  <c r="U396" i="14"/>
  <c r="U660" i="14"/>
  <c r="Y660" i="14"/>
  <c r="Y434" i="14"/>
  <c r="U434" i="14"/>
  <c r="Y542" i="14"/>
  <c r="U542" i="14"/>
  <c r="Y652" i="14"/>
  <c r="U652" i="14"/>
  <c r="Y164" i="14"/>
  <c r="U164" i="14"/>
  <c r="Y111" i="14"/>
  <c r="U111" i="14"/>
  <c r="X85" i="14"/>
  <c r="W85" i="14"/>
  <c r="U70" i="14"/>
  <c r="Y70" i="14"/>
  <c r="Y319" i="14"/>
  <c r="U319" i="14"/>
  <c r="X614" i="14"/>
  <c r="W614" i="14"/>
  <c r="U584" i="14"/>
  <c r="X44" i="14"/>
  <c r="W44" i="14"/>
  <c r="X617" i="14"/>
  <c r="W617" i="14"/>
  <c r="W486" i="14"/>
  <c r="X486" i="14"/>
  <c r="X75" i="14"/>
  <c r="W75" i="14"/>
  <c r="Y211" i="14"/>
  <c r="U211" i="14"/>
  <c r="W439" i="14"/>
  <c r="X439" i="14"/>
  <c r="X376" i="14"/>
  <c r="W376" i="14"/>
  <c r="Y345" i="14"/>
  <c r="U345" i="14"/>
  <c r="Y439" i="14"/>
  <c r="U439" i="14"/>
  <c r="X429" i="14"/>
  <c r="W429" i="14"/>
  <c r="W453" i="14"/>
  <c r="X453" i="14"/>
  <c r="U372" i="14"/>
  <c r="U215" i="14"/>
  <c r="Y215" i="14"/>
  <c r="X558" i="14"/>
  <c r="W558" i="14"/>
  <c r="U623" i="14"/>
  <c r="X594" i="14"/>
  <c r="W594" i="14"/>
  <c r="U143" i="14"/>
  <c r="X121" i="14"/>
  <c r="W121" i="14"/>
  <c r="Y366" i="14"/>
  <c r="U366" i="14"/>
  <c r="Y235" i="14"/>
  <c r="U235" i="14"/>
  <c r="X163" i="14"/>
  <c r="W163" i="14"/>
  <c r="X397" i="14"/>
  <c r="W397" i="14"/>
  <c r="U174" i="14"/>
  <c r="Y174" i="14"/>
  <c r="X606" i="14"/>
  <c r="W606" i="14"/>
  <c r="W174" i="14"/>
  <c r="X174" i="14"/>
  <c r="U493" i="14"/>
  <c r="Y493" i="14"/>
  <c r="U569" i="14"/>
  <c r="Y569" i="14"/>
  <c r="Y268" i="14"/>
  <c r="U268" i="14"/>
  <c r="X38" i="14"/>
  <c r="W38" i="14"/>
  <c r="X401" i="14"/>
  <c r="W401" i="14"/>
  <c r="X243" i="14"/>
  <c r="W243" i="14"/>
  <c r="Y130" i="14"/>
  <c r="U130" i="14"/>
  <c r="Y153" i="14"/>
  <c r="U153" i="14"/>
  <c r="U100" i="14"/>
  <c r="Y343" i="14"/>
  <c r="U343" i="14"/>
  <c r="Y521" i="14"/>
  <c r="U521" i="14"/>
  <c r="U628" i="14"/>
  <c r="X603" i="14"/>
  <c r="W603" i="14"/>
  <c r="W149" i="14"/>
  <c r="X149" i="14"/>
  <c r="X130" i="14"/>
  <c r="W130" i="14"/>
  <c r="W153" i="14"/>
  <c r="X153" i="14"/>
  <c r="Y278" i="14"/>
  <c r="U278" i="14"/>
  <c r="X343" i="14"/>
  <c r="W343" i="14"/>
  <c r="U443" i="14"/>
  <c r="X509" i="14"/>
  <c r="W509" i="14"/>
  <c r="X521" i="14"/>
  <c r="W521" i="14"/>
  <c r="U613" i="14"/>
  <c r="Y26" i="14"/>
  <c r="U26" i="14"/>
  <c r="U306" i="14"/>
  <c r="Y306" i="14"/>
  <c r="W81" i="14"/>
  <c r="X81" i="14"/>
  <c r="U139" i="14"/>
  <c r="X134" i="14"/>
  <c r="W134" i="14"/>
  <c r="U286" i="14"/>
  <c r="Y286" i="14"/>
  <c r="Y305" i="14"/>
  <c r="U305" i="14"/>
  <c r="U442" i="14"/>
  <c r="Y442" i="14"/>
  <c r="U405" i="14"/>
  <c r="Y405" i="14"/>
  <c r="U515" i="14"/>
  <c r="Y530" i="14"/>
  <c r="U530" i="14"/>
  <c r="X635" i="14"/>
  <c r="W635" i="14"/>
  <c r="U431" i="14"/>
  <c r="Y431" i="14"/>
  <c r="U28" i="14"/>
  <c r="U67" i="14"/>
  <c r="Y204" i="14"/>
  <c r="U204" i="14"/>
  <c r="X364" i="14"/>
  <c r="W364" i="14"/>
  <c r="X537" i="14"/>
  <c r="W537" i="14"/>
  <c r="X106" i="14"/>
  <c r="W106" i="14"/>
  <c r="X269" i="14"/>
  <c r="W269" i="14"/>
  <c r="X361" i="14"/>
  <c r="W361" i="14"/>
  <c r="U458" i="14"/>
  <c r="Y458" i="14"/>
  <c r="X528" i="14"/>
  <c r="W528" i="14"/>
  <c r="X662" i="14"/>
  <c r="W662" i="14"/>
  <c r="U193" i="14"/>
  <c r="Y193" i="14"/>
  <c r="U336" i="14"/>
  <c r="Y336" i="14"/>
  <c r="U502" i="14"/>
  <c r="Y502" i="14"/>
  <c r="Y539" i="14"/>
  <c r="U539" i="14"/>
  <c r="Y115" i="14"/>
  <c r="U115" i="14"/>
  <c r="X575" i="14"/>
  <c r="W575" i="14"/>
  <c r="Y89" i="14"/>
  <c r="U89" i="14"/>
  <c r="W33" i="14"/>
  <c r="X33" i="14"/>
  <c r="Y90" i="14"/>
  <c r="U90" i="14"/>
  <c r="X219" i="14"/>
  <c r="W219" i="14"/>
  <c r="Y217" i="14"/>
  <c r="U217" i="14"/>
  <c r="Y589" i="14"/>
  <c r="U589" i="14"/>
  <c r="W642" i="14"/>
  <c r="X642" i="14"/>
  <c r="X304" i="14"/>
  <c r="W304" i="14"/>
  <c r="X633" i="14"/>
  <c r="W633" i="14"/>
  <c r="Y567" i="14"/>
  <c r="U567" i="14"/>
  <c r="U49" i="14"/>
  <c r="Y544" i="14"/>
  <c r="U544" i="14"/>
  <c r="W177" i="14"/>
  <c r="X177" i="14"/>
  <c r="Y173" i="14"/>
  <c r="U173" i="14"/>
  <c r="U116" i="14"/>
  <c r="Y116" i="14"/>
  <c r="Y484" i="14"/>
  <c r="U484" i="14"/>
  <c r="X637" i="14"/>
  <c r="W637" i="14"/>
  <c r="W285" i="14"/>
  <c r="X285" i="14"/>
  <c r="X222" i="14"/>
  <c r="W222" i="14"/>
  <c r="X271" i="14"/>
  <c r="W271" i="14"/>
  <c r="W39" i="14"/>
  <c r="X39" i="14"/>
  <c r="Y162" i="14"/>
  <c r="U162" i="14"/>
  <c r="X272" i="14"/>
  <c r="W272" i="14"/>
  <c r="X176" i="14"/>
  <c r="W176" i="14"/>
  <c r="U314" i="14"/>
  <c r="Y413" i="14"/>
  <c r="U413" i="14"/>
  <c r="X131" i="14"/>
  <c r="W131" i="14"/>
  <c r="U71" i="14"/>
  <c r="X212" i="14"/>
  <c r="W212" i="14"/>
  <c r="U332" i="14"/>
  <c r="U147" i="14"/>
  <c r="X238" i="14"/>
  <c r="W238" i="14"/>
  <c r="U195" i="14"/>
  <c r="U182" i="14"/>
  <c r="Y182" i="14"/>
  <c r="X224" i="14"/>
  <c r="W224" i="14"/>
  <c r="Y276" i="14"/>
  <c r="U276" i="14"/>
  <c r="W290" i="14"/>
  <c r="X290" i="14"/>
  <c r="W396" i="14"/>
  <c r="X396" i="14"/>
  <c r="U478" i="14"/>
  <c r="U518" i="14"/>
  <c r="W660" i="14"/>
  <c r="X660" i="14"/>
  <c r="X434" i="14"/>
  <c r="W434" i="14"/>
  <c r="X542" i="14"/>
  <c r="W542" i="14"/>
  <c r="W652" i="14"/>
  <c r="X652" i="14"/>
  <c r="X164" i="14"/>
  <c r="W164" i="14"/>
  <c r="X111" i="14"/>
  <c r="W111" i="14"/>
  <c r="Y85" i="14"/>
  <c r="U85" i="14"/>
  <c r="W70" i="14"/>
  <c r="X70" i="14"/>
  <c r="X319" i="14"/>
  <c r="W319" i="14"/>
  <c r="Y614" i="14"/>
  <c r="U614" i="14"/>
  <c r="K9" i="14"/>
  <c r="U17" i="14"/>
  <c r="M8" i="14" l="1"/>
  <c r="M7" i="14"/>
  <c r="M6" i="14"/>
  <c r="M5" i="14"/>
  <c r="K10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<sst xmlns="http://schemas.openxmlformats.org/spreadsheetml/2006/main" count="24510" uniqueCount="8896">
  <si>
    <t>BlueAlly × AEA AI Portfolio Value Acceleration Dashboard</t>
  </si>
  <si>
    <t>Generated: 1/29/2026, 12:41:18 PM</t>
  </si>
  <si>
    <t>PORTFOLIO OVERVIEW</t>
  </si>
  <si>
    <t>Total Companies</t>
  </si>
  <si>
    <t>Total Use Cases</t>
  </si>
  <si>
    <t>Total Annual Value</t>
  </si>
  <si>
    <t>Average Value/Company</t>
  </si>
  <si>
    <t>BENEFIT DISTRIBUTION</t>
  </si>
  <si>
    <t>Cost Savings</t>
  </si>
  <si>
    <t>Revenue Growth</t>
  </si>
  <si>
    <t>Risk Reduction</t>
  </si>
  <si>
    <t>Cash Flow Acceleration</t>
  </si>
  <si>
    <t>PRIORITY BREAKDOWN</t>
  </si>
  <si>
    <t>Critical Priority</t>
  </si>
  <si>
    <t>High Priority</t>
  </si>
  <si>
    <t>Medium Priority</t>
  </si>
  <si>
    <t>TOP 10 USE CASES BY VALUE</t>
  </si>
  <si>
    <t>Company</t>
  </si>
  <si>
    <t>Use Case</t>
  </si>
  <si>
    <t>Total Value ($M)</t>
  </si>
  <si>
    <t>Priority</t>
  </si>
  <si>
    <t>Phase</t>
  </si>
  <si>
    <t>The Lifetime Value Co</t>
  </si>
  <si>
    <t>Churn Prediction &amp; Intervention Engine</t>
  </si>
  <si>
    <t>High</t>
  </si>
  <si>
    <t>Q1</t>
  </si>
  <si>
    <t>Splash Car Wash</t>
  </si>
  <si>
    <t>Predictive Member Churn Intervention</t>
  </si>
  <si>
    <t>Q2</t>
  </si>
  <si>
    <t>Bespoke Partners</t>
  </si>
  <si>
    <t>Due Diligence Document Analyzer</t>
  </si>
  <si>
    <t>Critical</t>
  </si>
  <si>
    <t>Intelligent CRM Relationship Mapper</t>
  </si>
  <si>
    <t>Q3</t>
  </si>
  <si>
    <t>Traeger Pellet Grills</t>
  </si>
  <si>
    <t>Predictive Demand Planning Engine</t>
  </si>
  <si>
    <t>Single-Wash Membership Conversion Assistant</t>
  </si>
  <si>
    <t>Equipment Predictive Maintenance Advisor</t>
  </si>
  <si>
    <t>Medium</t>
  </si>
  <si>
    <t>Regulatory Compliance Intelligence System</t>
  </si>
  <si>
    <t>Customer Feedback Intelligence Platform</t>
  </si>
  <si>
    <t>Site Selection Decision Support</t>
  </si>
  <si>
    <t>Rank</t>
  </si>
  <si>
    <t>Revenue ($M)</t>
  </si>
  <si>
    <t>Est. EBITDA ($M)</t>
  </si>
  <si>
    <t>Employees</t>
  </si>
  <si>
    <t>Total Annual Value ($M)</t>
  </si>
  <si>
    <t>Cost Benefit ($M)</t>
  </si>
  <si>
    <t>Revenue Benefit ($M)</t>
  </si>
  <si>
    <t>Risk Benefit ($M)</t>
  </si>
  <si>
    <t>Cash Flow Benefit ($M)</t>
  </si>
  <si>
    <t>Value/Token Ratio</t>
  </si>
  <si>
    <t>Top Priority Count</t>
  </si>
  <si>
    <t>AmeriVet Partners</t>
  </si>
  <si>
    <t>Chemtron RiverBend</t>
  </si>
  <si>
    <t>Monroe Engineering</t>
  </si>
  <si>
    <t>NES Fircroft</t>
  </si>
  <si>
    <t>American Dental</t>
  </si>
  <si>
    <t>Polygon Group</t>
  </si>
  <si>
    <t>Numotion</t>
  </si>
  <si>
    <t>Rees Scientific</t>
  </si>
  <si>
    <t>WorldWide Electric</t>
  </si>
  <si>
    <t>RED Global</t>
  </si>
  <si>
    <t>Impetus Wellness</t>
  </si>
  <si>
    <t>Nations Roof</t>
  </si>
  <si>
    <t>Scan Global Logistics</t>
  </si>
  <si>
    <t>Ascential Technologies</t>
  </si>
  <si>
    <t>Redwood Logistics</t>
  </si>
  <si>
    <t>Unisyn Precision</t>
  </si>
  <si>
    <t>Window Nation</t>
  </si>
  <si>
    <t>SitelogIQ</t>
  </si>
  <si>
    <t>TricorBraun</t>
  </si>
  <si>
    <t>Montway</t>
  </si>
  <si>
    <t>Pave America</t>
  </si>
  <si>
    <t>Mark Spain Real Estate</t>
  </si>
  <si>
    <t>BMS Enterprises</t>
  </si>
  <si>
    <t>Dana Safety Supply</t>
  </si>
  <si>
    <t>SCIO Automation</t>
  </si>
  <si>
    <t>Chemical Guys</t>
  </si>
  <si>
    <t>Jack's Family Restaurants</t>
  </si>
  <si>
    <t>ThreeSixty Group</t>
  </si>
  <si>
    <t>Barnet Products</t>
  </si>
  <si>
    <t>EZ Texting</t>
  </si>
  <si>
    <t>Spectrum Control</t>
  </si>
  <si>
    <t>Cimsense</t>
  </si>
  <si>
    <t>NaN</t>
  </si>
  <si>
    <t>Visual Comfort</t>
  </si>
  <si>
    <t>Singer Industrial</t>
  </si>
  <si>
    <t>Excelitas Technologies</t>
  </si>
  <si>
    <t>Huge</t>
  </si>
  <si>
    <t>Verdesian Life Sciences</t>
  </si>
  <si>
    <t>P&amp;B Intermodal</t>
  </si>
  <si>
    <t>AS Software</t>
  </si>
  <si>
    <t>50 Floor</t>
  </si>
  <si>
    <t>Hero Digital</t>
  </si>
  <si>
    <t>ROI CX Solutions</t>
  </si>
  <si>
    <t>Veseris</t>
  </si>
  <si>
    <t>Cenegenics</t>
  </si>
  <si>
    <t>Crane Engineering</t>
  </si>
  <si>
    <t>TileBar</t>
  </si>
  <si>
    <t>Commonwealth Pain</t>
  </si>
  <si>
    <t>Meritus Gas Partners</t>
  </si>
  <si>
    <t>American Expediting</t>
  </si>
  <si>
    <t>American Oncology Network</t>
  </si>
  <si>
    <t>Use Case ID</t>
  </si>
  <si>
    <t>Use Case Name</t>
  </si>
  <si>
    <t>Function</t>
  </si>
  <si>
    <t>Sub-Function</t>
  </si>
  <si>
    <t>AI Primitives</t>
  </si>
  <si>
    <t>Priority Tier</t>
  </si>
  <si>
    <t>Recommended Phase</t>
  </si>
  <si>
    <t>Probability of Success</t>
  </si>
  <si>
    <t>Time-to-Value (mo)</t>
  </si>
  <si>
    <t>Effort Score</t>
  </si>
  <si>
    <t>Data Readiness</t>
  </si>
  <si>
    <t>Integration Complexity</t>
  </si>
  <si>
    <t>Monthly Tokens (K)</t>
  </si>
  <si>
    <t>Annual Token Cost ($K)</t>
  </si>
  <si>
    <t>Cost Formula</t>
  </si>
  <si>
    <t>Revenue Formula</t>
  </si>
  <si>
    <t>Risk Formula</t>
  </si>
  <si>
    <t>Cash Flow Formula</t>
  </si>
  <si>
    <t>Human Checkpoint</t>
  </si>
  <si>
    <t>UC-02</t>
  </si>
  <si>
    <t>AI-Powered Customer Service Assistant</t>
  </si>
  <si>
    <t>Customer Service</t>
  </si>
  <si>
    <t>Inquiry Resolution</t>
  </si>
  <si>
    <t>Conversational Interfaces, Research &amp; Information Retrieval</t>
  </si>
  <si>
    <t>43,200 hours × $85/hour × 60% deflection × 0.90 × 0.75 = $2.5M rounded down</t>
  </si>
  <si>
    <t>No direct revenue impact</t>
  </si>
  <si>
    <t>No direct risk impact</t>
  </si>
  <si>
    <t>No direct cash flow impact</t>
  </si>
  <si>
    <t xml:space="preserve">Customer service representatives handle all escalated inquiries and approve any schedule changes or </t>
  </si>
  <si>
    <t>UC-04</t>
  </si>
  <si>
    <t>Automated Lead Nurture Orchestration</t>
  </si>
  <si>
    <t>Sales Operations</t>
  </si>
  <si>
    <t>Lead Nurture</t>
  </si>
  <si>
    <t>Workflow Automation, Content Creation, Conversational Interfaces</t>
  </si>
  <si>
    <t>15 reps × 1,500 hours × $125/hour × 0.90 × 0.75 = $1.9M × 50% capacity = $900K rounded down</t>
  </si>
  <si>
    <t>45,000 appointments × 32% non-close × 25% recovery × $4,800 × 0.95 × 0.75 = $12.3M rounded down</t>
  </si>
  <si>
    <t>Sales representatives approve messaging templates and handle all direct phone conversations with re-</t>
  </si>
  <si>
    <t>UC-01</t>
  </si>
  <si>
    <t>Intelligent Measurement Validation System</t>
  </si>
  <si>
    <t>Installation Coordination</t>
  </si>
  <si>
    <t>Measurement Validation</t>
  </si>
  <si>
    <t>Data Analysis, Workflow Automation</t>
  </si>
  <si>
    <t>13,500 hours × $125/hour × 0.90 × 0.75 = $1.1M labor + $3.5M waste × 60% reduction × 0.90 × 0.75 = $</t>
  </si>
  <si>
    <t>$2.1M rework cost × 45% reduction × 0.80 × 0.75 = $500K rounded down</t>
  </si>
  <si>
    <t>Regional manager reviews all measurements flagged for &gt;3% discrepancy before material procurement au</t>
  </si>
  <si>
    <t>UC-03</t>
  </si>
  <si>
    <t>Dynamic Sales Proposal Generator</t>
  </si>
  <si>
    <t>Proposal Generation</t>
  </si>
  <si>
    <t>Content Creation, Workflow Automation</t>
  </si>
  <si>
    <t>300 reps × 200 hours × $125/hour × 0.90 × 0.75 = $5M × 25% time savings = $1.2M rounded down</t>
  </si>
  <si>
    <t>45,000 appointments × 25 min saved × $125/hour × 0.95 × 0.75 = $1M + 45,000 appointments × 3% lift ×</t>
  </si>
  <si>
    <t>Sales representatives review all AI-generated proposals and adjust pricing or product recommendation</t>
  </si>
  <si>
    <t>UC-05</t>
  </si>
  <si>
    <t>Supplier Communication Automation Hub</t>
  </si>
  <si>
    <t>Procurement</t>
  </si>
  <si>
    <t>Supplier Communication</t>
  </si>
  <si>
    <t>Workflow Automation, Content Creation</t>
  </si>
  <si>
    <t>$1.4M friction cost × 75% automation × 0.90 × 0.75 = $700K rounded down</t>
  </si>
  <si>
    <t>5 days × $350K daily revenue × 0.85 × 0.75 = $1.1M rounded down</t>
  </si>
  <si>
    <t>Procurement specialists approve all purchase order changes exceeding $5,000 and handle supplier rela</t>
  </si>
  <si>
    <t>UC-06</t>
  </si>
  <si>
    <t>Intelligent Invoice Processing System</t>
  </si>
  <si>
    <t>Finance</t>
  </si>
  <si>
    <t>Accounts Payable</t>
  </si>
  <si>
    <t>$890K friction cost × 80% automation × 0.90 × 0.75 = $400K rounded down</t>
  </si>
  <si>
    <t>$500K duplicate payment exposure × 50% reduction × 0.80 × 0.75 = $100K rounded down</t>
  </si>
  <si>
    <t>6 days × $350K daily cash × 0.85 × 0.75 = $1.3M rounded down</t>
  </si>
  <si>
    <t>Accounts payable specialists review all invoices with discrepancies and approve payments exceeding $</t>
  </si>
  <si>
    <t>UC-07</t>
  </si>
  <si>
    <t>Predictive Installation Quality Validator</t>
  </si>
  <si>
    <t>Quality Assurance</t>
  </si>
  <si>
    <t>Installation Review</t>
  </si>
  <si>
    <t>No direct cost reduction beyond risk mitigation</t>
  </si>
  <si>
    <t>$2.1M rework cost × 75% prevention × 0.80 × 0.75 = $900K rounded down</t>
  </si>
  <si>
    <t>Quality managers conduct enhanced pre-installation reviews on all AI-flagged high-risk jobs before m</t>
  </si>
  <si>
    <t>UC-08</t>
  </si>
  <si>
    <t>Product Content Generation Engine</t>
  </si>
  <si>
    <t>Marketing</t>
  </si>
  <si>
    <t>Content Creation</t>
  </si>
  <si>
    <t>Content Creation, Research &amp; Information Retrieval</t>
  </si>
  <si>
    <t>3,600 hours × $100/hour × 75% time savings × 0.90 × 0.75 = $182K rounded down</t>
  </si>
  <si>
    <t>Marketing specialists review and approve all AI-generated product content before publication</t>
  </si>
  <si>
    <t>UC-09</t>
  </si>
  <si>
    <t>Installer Training Content Generator</t>
  </si>
  <si>
    <t>Human Resources</t>
  </si>
  <si>
    <t>Training Development</t>
  </si>
  <si>
    <t>Content Creation, Coding Assistance</t>
  </si>
  <si>
    <t>720 hours × $125/hour × 75% time savings × 0.90 × 0.75 = $54K rounded down</t>
  </si>
  <si>
    <t>$300K training gap exposure × 40% reduction × 0.80 × 0.75 = $72K rounded down</t>
  </si>
  <si>
    <t>HR training specialists review all generated content and validate technical accuracy before deployme</t>
  </si>
  <si>
    <t>UC-10</t>
  </si>
  <si>
    <t>Contract Review Acceleration System</t>
  </si>
  <si>
    <t>Legal</t>
  </si>
  <si>
    <t>Contract Management</t>
  </si>
  <si>
    <t>Research &amp; Information Retrieval, Data Analysis, Content Creation</t>
  </si>
  <si>
    <t>$340K friction cost × 70% time reduction × 0.90 × 0.75 = $161K rounded down</t>
  </si>
  <si>
    <t>$800K compliance exposure × 50% reduction × 0.80 × 0.75 = $240K rounded down</t>
  </si>
  <si>
    <t>4 days × $350K daily cash × 0.85 × 0.75 × 50% contracts = $446K rounded down</t>
  </si>
  <si>
    <t>Legal counsel reviews all AI-flagged contract provisions and approves final agreement terms before e</t>
  </si>
  <si>
    <t>Predictive Patient Engagement &amp; No-Show Prevention</t>
  </si>
  <si>
    <t>Patient Services</t>
  </si>
  <si>
    <t>Appointment Scheduling</t>
  </si>
  <si>
    <t>Data Analysis, Conversational Interfaces, Workflow Automation</t>
  </si>
  <si>
    <t>Q2 2026</t>
  </si>
  <si>
    <t>8,400 hours deflected from manual confirmation calls × $50/hour admin rate × 0.90 × 0.75 = $2.4M</t>
  </si>
  <si>
    <t xml:space="preserve">11 percentage point no-show reduction × 180 practices × 12,000 visits × $285 average revenue × 0.95 </t>
  </si>
  <si>
    <t>Not applicable - no direct risk reduction</t>
  </si>
  <si>
    <t>Not applicable - no direct cash flow impact</t>
  </si>
  <si>
    <t>Front desk staff reviews AI-flagged high-risk appointments each morning and makes personal confirmat</t>
  </si>
  <si>
    <t>Intelligent Patient Inquiry Router &amp; Response System</t>
  </si>
  <si>
    <t>Patient Communication</t>
  </si>
  <si>
    <t>Conversational Interfaces, Research &amp; Information Retrieval, Workflow Automation</t>
  </si>
  <si>
    <t>Q1 2026</t>
  </si>
  <si>
    <t xml:space="preserve">22,000 hours deflected from manual inquiry handling × $100/hour patient services rate × 0.90 × 0.75 </t>
  </si>
  <si>
    <t>14 percentage point conversion improvement × 180 practices × 1,200 monthly inquiries × 12 months × $</t>
  </si>
  <si>
    <t>Patient services supervisor reviews all AI-scheduled new patient appointments within 4 hours to veri</t>
  </si>
  <si>
    <t>Automated Compliance &amp; Chart Quality Auditor</t>
  </si>
  <si>
    <t>Quality &amp; Compliance</t>
  </si>
  <si>
    <t>Chart Auditing</t>
  </si>
  <si>
    <t>Data Analysis, Research &amp; Information Retrieval, Workflow Automation</t>
  </si>
  <si>
    <t>Q3 2026</t>
  </si>
  <si>
    <t>28,000 hours deflected from manual chart review × $100/hour quality staff rate × 0.90 × 0.75 + 38 da</t>
  </si>
  <si>
    <t>Not applicable - no direct revenue impact</t>
  </si>
  <si>
    <t>50% reduction × $17.3M regulatory and malpractice exposure × 0.80 × 0.75 = $5.2M</t>
  </si>
  <si>
    <t>Chief dental officer reviews all AI-identified compliance deficiencies requiring provider notificati</t>
  </si>
  <si>
    <t>Patient Lifetime Value Predictor &amp; Retention Engine</t>
  </si>
  <si>
    <t>Patient Retention</t>
  </si>
  <si>
    <t>Data Analysis, Content Creation, Workflow Automation</t>
  </si>
  <si>
    <t>8,500 hours deflected from manual campaign management × $100/hour marketing rate × 0.90 × 0.75 = $1.</t>
  </si>
  <si>
    <t>9 percentage point retention improvement × 500,000 active patients × $132 average annual revenue per</t>
  </si>
  <si>
    <t xml:space="preserve">Marketing manager reviews monthly AI-generated retention campaign strategies and approves incentive </t>
  </si>
  <si>
    <t>Intelligent Claims Scrubbing &amp; Denial Prevention</t>
  </si>
  <si>
    <t>Revenue Cycle</t>
  </si>
  <si>
    <t>Claims Processing</t>
  </si>
  <si>
    <t>14,500 hours deflected from rework on denied claims × $100/hour billing specialist rate × 0.90 × 0.7</t>
  </si>
  <si>
    <t>30% reduction × $4.8M compliance audit exposure from billing errors × 0.80 × 0.75 = $0.9M</t>
  </si>
  <si>
    <t>6 percentage point denial reduction × $450M revenue × 18 days faster payment × 0.85 × 0.75 ÷ 365 = $</t>
  </si>
  <si>
    <t>Billing supervisor reviews all AI-flagged high-value claims exceeding $2,000 before submission and a</t>
  </si>
  <si>
    <t>Intelligent Insurance Verification &amp; Authorization Engine</t>
  </si>
  <si>
    <t>Insurance Verification</t>
  </si>
  <si>
    <t>Research &amp; Information Retrieval, Workflow Automation, Data Analysis</t>
  </si>
  <si>
    <t>40,000 hours deflected × $150/hour × 0.90 × 0.75 = $4.1M staff + 2.7 days saved × 180 practices × 12</t>
  </si>
  <si>
    <t>25% reduction × $9.2M authorization denial exposure × 0.80 × 0.75 = $1.4M</t>
  </si>
  <si>
    <t>2.7 days reduced × $450M revenue ÷ 365 days × 0.85 × 0.75 = $4.8M</t>
  </si>
  <si>
    <t>Practice manager reviews and approves all treatment plans exceeding $5,000 patient responsibility be</t>
  </si>
  <si>
    <t>AI-Powered Clinical Documentation Assistant</t>
  </si>
  <si>
    <t>Clinical Operations</t>
  </si>
  <si>
    <t>Documentation</t>
  </si>
  <si>
    <t>Content Creation, Conversational Interfaces, Coding Assistance</t>
  </si>
  <si>
    <t>6 minutes saved × 850 dentists × 11.2 visits per day × 220 days × $395/hour ÷ 60 × 0.90 × 0.75 = $11</t>
  </si>
  <si>
    <t xml:space="preserve">2.8 patients added per dentist per day × 850 dentists × 220 days × $285 average revenue per visit × </t>
  </si>
  <si>
    <t>40% reduction × $7.8M documentation deficiency exposure × 0.80 × 0.75 = $1.9M</t>
  </si>
  <si>
    <t>Dentist reviews and electronically signs all AI-generated clinical notes before chart finalization</t>
  </si>
  <si>
    <t>Automated Treatment Plan Acceptance Optimizer</t>
  </si>
  <si>
    <t>Treatment Planning</t>
  </si>
  <si>
    <t>Data Analysis, Content Creation, Research &amp; Information Retrieval</t>
  </si>
  <si>
    <t>3 minutes saved per treatment presentation × 972,000 annual treatment plans × $100/hour treatment co</t>
  </si>
  <si>
    <t>15 percentage point acceptance improvement × 180 practices × 12,000 visits × 45% requiring treatment</t>
  </si>
  <si>
    <t>15 percentage point acceptance improvement × $450M revenue × 45% treatment plan portion × 0.85 × 0.7</t>
  </si>
  <si>
    <t>Treatment coordinator reviews AI-generated financing recommendations and obtains verbal patient cons</t>
  </si>
  <si>
    <t>Real-Time Practice Performance Intelligence Dashboard</t>
  </si>
  <si>
    <t>Practice Analytics</t>
  </si>
  <si>
    <t>Performance Reporting</t>
  </si>
  <si>
    <t>Data Analysis, Research &amp; Information Retrieval, Content Creation</t>
  </si>
  <si>
    <t>Q4 2026</t>
  </si>
  <si>
    <t xml:space="preserve">18,000 hours deflected from manual reporting × $100/hour analyst rate × 0.90 × 0.75 + 6 days faster </t>
  </si>
  <si>
    <t>3% revenue improvement from faster intervention × $450M revenue × 35% of practices benefiting × 0.95</t>
  </si>
  <si>
    <t>Regional operations directors review AI-flagged performance anomalies during weekly leadership calls</t>
  </si>
  <si>
    <t>Provider Credentialing Automation &amp; Tracking System</t>
  </si>
  <si>
    <t>Provider Credentialing</t>
  </si>
  <si>
    <t>Workflow Automation, Research &amp; Information Retrieval, Data Analysis</t>
  </si>
  <si>
    <t>12,000 hours deflected from manual credentialing workflows × $100/hour HR specialist rate × 0.90 × 0</t>
  </si>
  <si>
    <t>Not applicable - no material risk reduction</t>
  </si>
  <si>
    <t>32 days reduced × 45 new providers annually × $2,500 daily revenue per provider × 0.85 × 0.75 = $2.4</t>
  </si>
  <si>
    <t>Credentialing specialist reviews and submits all completed payer applications after verifying AI-com</t>
  </si>
  <si>
    <t>Conversational Shipment Assistant</t>
  </si>
  <si>
    <t>Status Inquiries</t>
  </si>
  <si>
    <t>23,400 calls × 0.60 deflection × 12 minutes × $31.25/hr × 0.90 × 0.75 = $118K rounded to $0.1M</t>
  </si>
  <si>
    <t>No revenue impact</t>
  </si>
  <si>
    <t>No risk reduction</t>
  </si>
  <si>
    <t>No cash flow impact</t>
  </si>
  <si>
    <t>Customer service agent intervenes when customer expresses dissatisfaction or requests exception hand</t>
  </si>
  <si>
    <t>Compliance Documentation Monitor</t>
  </si>
  <si>
    <t>Compliance</t>
  </si>
  <si>
    <t>Regulatory Documentation</t>
  </si>
  <si>
    <t>Data Analysis, Workflow Automation, Conversational Interfaces</t>
  </si>
  <si>
    <t>Compliance tracking hours below $100K threshold after reductions</t>
  </si>
  <si>
    <t>0.02 probability × $1.2M potential fine × 0.50 reduction × 0.80 × 0.75 = $0.1M</t>
  </si>
  <si>
    <t>Compliance officer reviews expired certifications and approves driver suspension decisions before re</t>
  </si>
  <si>
    <t>Intelligent Quote Engine</t>
  </si>
  <si>
    <t>Dispatch Operations</t>
  </si>
  <si>
    <t>Quote Generation</t>
  </si>
  <si>
    <t>No direct labor cost reduction (dispatch still reviews quotes)</t>
  </si>
  <si>
    <t xml:space="preserve">120 saved quotes/month × 0.45 conversion × $151 avg value × 12 months × 0.95 × 0.75 = $73.5K × 24.5 </t>
  </si>
  <si>
    <t>Dispatch supervisor reviews and approves quotes above $500 or involving new lane combinations before</t>
  </si>
  <si>
    <t>Predictive Driver Assignment</t>
  </si>
  <si>
    <t>Driver Assignment</t>
  </si>
  <si>
    <t>14,400 manual assignment hours × 0.50 reduction × $47.36/hr × 0.90 × 0.75 = $460K rounded to $0.4M</t>
  </si>
  <si>
    <t>Dispatcher reviews and confirms assignments for high-value shipments over $300 or involving first-ti</t>
  </si>
  <si>
    <t>Automated Billing Reconciliation</t>
  </si>
  <si>
    <t>Billing &amp; Collections</t>
  </si>
  <si>
    <t>3,200 hours × 0.70 reduction × $26.44/hr × 0.90 × 0.75 = $134K rounded to $0.1M</t>
  </si>
  <si>
    <t>8,880 errors × 0.60 reduction × $151 avg invoice × 6 days saved × 0.08 rate × 0.85 × 0.75 = $243K ro</t>
  </si>
  <si>
    <t>Finance manager reviews and approves invoice corrections over $100 or involving contract rate disput</t>
  </si>
  <si>
    <t>Driver Onboarding Automation</t>
  </si>
  <si>
    <t>Driver Onboarding</t>
  </si>
  <si>
    <t>Workflow Automation, Content Creation, Data Analysis</t>
  </si>
  <si>
    <t>Q4</t>
  </si>
  <si>
    <t>280 hours × 0.50 reduction × $26.44/hr × 0.90 × 0.75 = $10K below $100K threshold</t>
  </si>
  <si>
    <t>HR specialist reviews background check results and makes final approval decision before granting sys</t>
  </si>
  <si>
    <t>Proactive Delivery Risk Monitor</t>
  </si>
  <si>
    <t>Operations</t>
  </si>
  <si>
    <t>Exception Management</t>
  </si>
  <si>
    <t>Data Analysis, Conversational Interfaces</t>
  </si>
  <si>
    <t>No direct cost reduction</t>
  </si>
  <si>
    <t>27 at-risk customers × 0.30 saved × $4,500 annual value × 0.95 × 0.75 = $68K × 6 = $0.4M</t>
  </si>
  <si>
    <t>0.05 probability × $500K annual reputation damage × 0.40 reduction × 0.80 × 0.75 = $0.1M</t>
  </si>
  <si>
    <t>Operations supervisor reviews high-risk alerts and approves contingency plans involving backup drive</t>
  </si>
  <si>
    <t>Driver Capacity Intelligence</t>
  </si>
  <si>
    <t>Driver Network Management</t>
  </si>
  <si>
    <t>Data Analysis, Research &amp; Information Retrieval</t>
  </si>
  <si>
    <t>185,000 shipments × 0.03 incremental capture × $151 avg value × 0.95 × 0.75 = $0.2M</t>
  </si>
  <si>
    <t>Operations director reviews capacity recommendations and approves driver recruitment or network expa</t>
  </si>
  <si>
    <t>Customer Health Scoring</t>
  </si>
  <si>
    <t>Sales</t>
  </si>
  <si>
    <t>Account Management</t>
  </si>
  <si>
    <t>Data Analysis, Content Creation</t>
  </si>
  <si>
    <t>340 accounts × 0.08 at-risk × 0.35 saved × $4,500 annual value × 0.95 × 0.75 + 25 top accounts × 0.1</t>
  </si>
  <si>
    <t>Account manager reviews health scores and approves retention offers or expansion strategies before c</t>
  </si>
  <si>
    <t>Dynamic Pricing Optimizer</t>
  </si>
  <si>
    <t>Pricing Analysis</t>
  </si>
  <si>
    <t>185,000 shipments × 0.15 repriced × $151 avg × 0.05 margin improvement × 0.95 × 0.75 = $0.4M</t>
  </si>
  <si>
    <t>Pricing manager reviews and approves rate changes exceeding 8% adjustment or affecting top 25 custom</t>
  </si>
  <si>
    <t>Prior Authorization Intelligent Assistant</t>
  </si>
  <si>
    <t>Content Creation, Research &amp; Information Retrieval, Data Analysis</t>
  </si>
  <si>
    <t>No cost impact</t>
  </si>
  <si>
    <t>15% faster approvals × $850M revenue × 1.4% impact × 0.95 × 0.75 = $1.8M</t>
  </si>
  <si>
    <t>30% reduction × $6.4M annual attrition loss × 0.80 × 0.75 = $2.1M</t>
  </si>
  <si>
    <t>5 days faster × $350K daily revenue × 1.4% volume × 0.85 × 0.75 = $3.2M</t>
  </si>
  <si>
    <t>Physician reviews and approves all AI-drafted authorization requests before payer submission, valida</t>
  </si>
  <si>
    <t>Clinical Documentation Intelligence</t>
  </si>
  <si>
    <t>10% physician capacity × $850M revenue × 6.4% margin × 0.95 × 0.75 = $4.5M</t>
  </si>
  <si>
    <t>25% reduction × $7.2M malpractice exposure from documentation gaps × 0.80 × 0.75 = $1.4M</t>
  </si>
  <si>
    <t>No working capital impact</t>
  </si>
  <si>
    <t>Physicians edit and sign all AI-generated clinical documentation, ensuring accuracy of medical decis</t>
  </si>
  <si>
    <t>Revenue Integrity Coding Assistant</t>
  </si>
  <si>
    <t>8% lift in clean claims × $850M revenue × 0.84 net collection × 0.95 × 0.75 = $5.7M</t>
  </si>
  <si>
    <t>20% reduction × $5.2M audit exposure × 0.80 × 0.75 = $0.9M</t>
  </si>
  <si>
    <t>12 days faster × $350K daily revenue × 0.84 net × 0.85 × 0.75 = $4.8M</t>
  </si>
  <si>
    <t>Certified coders review and approve all AI-suggested code changes before claim submission, maintaini</t>
  </si>
  <si>
    <t>Patient Financial Counseling Assistant</t>
  </si>
  <si>
    <t>Patient Engagement</t>
  </si>
  <si>
    <t>Financial Counseling</t>
  </si>
  <si>
    <t>Data Analysis, Conversational Interfaces, Research &amp; Information Retrieval</t>
  </si>
  <si>
    <t>14% improvement × $68M patient responsibility × 0.95 × 0.75 = $7.2M</t>
  </si>
  <si>
    <t>No material risk reduction</t>
  </si>
  <si>
    <t>18 days faster × $350K daily revenue × 0.84 net × 0.85 × 0.75 = $4.5M</t>
  </si>
  <si>
    <t>Financial counselors review AI-generated estimates with patients during consultation, adjusting paym</t>
  </si>
  <si>
    <t>Provider Credentialing Verification Agent</t>
  </si>
  <si>
    <t>Network Development</t>
  </si>
  <si>
    <t>Physician Recruitment</t>
  </si>
  <si>
    <t>45 days faster × 18 providers annually × $425K per provider revenue × 0.95 × 0.75 = $2.8M</t>
  </si>
  <si>
    <t>40% reduction × $1.8M credentialing liability exposure × 0.80 × 0.75 = $0.5M</t>
  </si>
  <si>
    <t>Credentialing specialists review exception reports and approve provider files before final committee</t>
  </si>
  <si>
    <t>Medication Adherence Monitoring Agent</t>
  </si>
  <si>
    <t>Care Coordination</t>
  </si>
  <si>
    <t>5% improvement × $850M revenue × 6.8% attributable volume × 0.95 × 0.75 = $2.8M</t>
  </si>
  <si>
    <t>35% reduction × $9.0M complication cost × 0.80 × 0.75 = $2.0M</t>
  </si>
  <si>
    <t>Care coordinators review all high-risk escalations and approve intervention protocols before patient</t>
  </si>
  <si>
    <t>Contract Rate Reconciliation Engine</t>
  </si>
  <si>
    <t>Data Analysis, Workflow Automation, Research &amp; Information Retrieval</t>
  </si>
  <si>
    <t>60% recovery × $3.2M annual underpayment × 0.95 × 0.75 = $1.8M</t>
  </si>
  <si>
    <t>30 days faster × $350K daily revenue × 0.84 net × 0.85 × 0.75 = $6.4M</t>
  </si>
  <si>
    <t>Revenue cycle analysts review variance reports exceeding $5,000 and approve appeals before payer sub</t>
  </si>
  <si>
    <t>Denial Appeal Automation System</t>
  </si>
  <si>
    <t>Denial Management</t>
  </si>
  <si>
    <t>15% improvement × 33,600 denials × $850 average × 0.95 × 0.75 = $6.8M</t>
  </si>
  <si>
    <t>45 days faster × $350K daily revenue × 0.84 net × 0.85 × 0.75 = $8.2M</t>
  </si>
  <si>
    <t>Revenue cycle specialists review and approve all AI-drafted appeals before payer submission, validat</t>
  </si>
  <si>
    <t>Clinical Trial Matching Intelligence</t>
  </si>
  <si>
    <t>Clinical Research</t>
  </si>
  <si>
    <t>Trial Matching</t>
  </si>
  <si>
    <t>3.3% enrollment lift × 180,000 patients × $42K per enrollment × 0.95 × 0.75 = $2.5M</t>
  </si>
  <si>
    <t>Physicians review trial match recommendations and discuss enrollment options with patients, maintain</t>
  </si>
  <si>
    <t>Quality Measure Abstraction Assistant</t>
  </si>
  <si>
    <t>Regulatory Reporting</t>
  </si>
  <si>
    <t>2% MIPS bonus × $850M Medicare revenue × 0.95 × 0.75 = $1.8M</t>
  </si>
  <si>
    <t>30% reduction × $3.2M compliance exposure × 0.80 × 0.75 = $0.8M</t>
  </si>
  <si>
    <t>Quality coordinators validate AI-abstracted data against measure specifications before regulatory su</t>
  </si>
  <si>
    <t>Intelligent Medical Record Synthesis</t>
  </si>
  <si>
    <t>Medical Records</t>
  </si>
  <si>
    <t>Research &amp; Information Retrieval, Data Analysis</t>
  </si>
  <si>
    <t>6 minutes saved × 1.8M encounters × $85/hour ÷ 60 × 0.90 × 0.75 = $30.6M</t>
  </si>
  <si>
    <t>15% × $12M compliance exposure × 0.80 × 0.75 = $1.1M</t>
  </si>
  <si>
    <t>Veterinarian reviews AI-generated summary before clinical decision-making and validates critical inf</t>
  </si>
  <si>
    <t>Automated Post-Visit Care Instructions</t>
  </si>
  <si>
    <t>Client Education</t>
  </si>
  <si>
    <t>Content Creation, Conversational Interfaces</t>
  </si>
  <si>
    <t>12,000 hours saved × $45/hour × 0.90 × 0.75 = $3.6M</t>
  </si>
  <si>
    <t>24% compliance improvement × $850M revenue × 0.018 multiplier × 0.95 × 0.75 = $10.4M</t>
  </si>
  <si>
    <t>10% × $15M adverse outcome exposure × 0.80 × 0.75 = $0.9M</t>
  </si>
  <si>
    <t xml:space="preserve">Veterinarian reviews and approves all care instructions before delivery to ensure clinical accuracy </t>
  </si>
  <si>
    <t>AI-Assisted Diagnostic Decision Support</t>
  </si>
  <si>
    <t>Diagnosis &amp; Treatment</t>
  </si>
  <si>
    <t>15% reduction × $18M referral costs × 0.90 × 0.75 = $1.8M</t>
  </si>
  <si>
    <t>7% accuracy improvement × $850M revenue × 0.026 multiplier × 0.95 × 0.75 = $13.0M</t>
  </si>
  <si>
    <t>25% × $18M malpractice exposure × 0.80 × 0.75 = $2.7M</t>
  </si>
  <si>
    <t>Veterinarian evaluates AI suggestions, selects final diagnosis, and approves treatment plan before i</t>
  </si>
  <si>
    <t>Conversational Appointment Scheduling Agent</t>
  </si>
  <si>
    <t>Client Services</t>
  </si>
  <si>
    <t>Conversational Interfaces, Workflow Automation</t>
  </si>
  <si>
    <t>45,000 hours deflected × $45/hour × 0.90 × 0.75 = $13.7M</t>
  </si>
  <si>
    <t>12% abandonment reduction × 2.4M calls × 0.35 conversion × $285 visit × 0.95 × 0.75 = $17.1M</t>
  </si>
  <si>
    <t>No risk impact</t>
  </si>
  <si>
    <t>Front desk staff receives escalations for emergency triage, complex multi-pet scheduling, and client</t>
  </si>
  <si>
    <t>Predictive No-Show Prevention System</t>
  </si>
  <si>
    <t>Revenue Capture</t>
  </si>
  <si>
    <t>No cost reduction beyond revenue capture</t>
  </si>
  <si>
    <t>8% no-show reduction × 2.1M appointments × $285 visit × 0.95 × 0.75 = $34.2M</t>
  </si>
  <si>
    <t>5 days DSO reduction × $2.3M daily revenue × 0.85 × 0.75 = $7.4M</t>
  </si>
  <si>
    <t>Client services staff reviews flagged high-value appointments and approves outreach strategy for VIP</t>
  </si>
  <si>
    <t>Regulatory Compliance Documentation Assistant</t>
  </si>
  <si>
    <t>Compliance &amp; Risk</t>
  </si>
  <si>
    <t>18,000 hours saved × $85/hour × 0.90 × 0.75 = $10.3M</t>
  </si>
  <si>
    <t>50% × $19M regulatory penalty exposure × 0.80 × 0.75 = $5.7M</t>
  </si>
  <si>
    <t xml:space="preserve">Compliance officer reviews all regulatory submissions and approves corrective actions before filing </t>
  </si>
  <si>
    <t>Intelligent Inventory Demand Forecasting</t>
  </si>
  <si>
    <t>Inventory Management</t>
  </si>
  <si>
    <t>$6M stockout costs × 0.76 reduction × 0.90 × 0.75 = $3.1M</t>
  </si>
  <si>
    <t>5.7% stockout reduction × $850M revenue × 0.008 multiplier × 0.95 × 0.75 = $3.2M</t>
  </si>
  <si>
    <t>8 days inventory reduction × $95K daily carrying cost × 0.85 × 0.75 = $4.8M</t>
  </si>
  <si>
    <t>Clinic managers approve high-value purchase orders and validate unusual demand predictions before ve</t>
  </si>
  <si>
    <t>New Client Conversion Optimization Agent</t>
  </si>
  <si>
    <t>Business Development</t>
  </si>
  <si>
    <t>Client Acquisition</t>
  </si>
  <si>
    <t>Conversational Interfaces, Data Analysis, Workflow Automation</t>
  </si>
  <si>
    <t>8,500 hours saved × $45/hour × 0.90 × 0.75 = $2.6M</t>
  </si>
  <si>
    <t>23% conversion improvement × 125K inquiries × $285 visit × 3.2 visits/year × 0.95 × 0.75 = $23.5M</t>
  </si>
  <si>
    <t>Client services manager reviews conversion analytics weekly and approves messaging changes for sensi</t>
  </si>
  <si>
    <t>Emergency Triage Intelligence System</t>
  </si>
  <si>
    <t>Emergency Triage</t>
  </si>
  <si>
    <t>Conversational Interfaces, Data Analysis, Research &amp; Information Retrieval</t>
  </si>
  <si>
    <t>9 minutes × 180K emergencies × $85/hour ÷ 60 × 0.90 × 0.75 = $8.7M</t>
  </si>
  <si>
    <t>Emergency volume increase 4% × $76M emergency revenue × 0.95 × 0.75 = $2.2M</t>
  </si>
  <si>
    <t>20% × $15M emergency malpractice exposure × 0.80 × 0.75 = $1.8M</t>
  </si>
  <si>
    <t xml:space="preserve">Veterinary technician or veterinarian validates all critical triage decisions and immediately takes </t>
  </si>
  <si>
    <t>Veterinarian Clinical Support Copilot</t>
  </si>
  <si>
    <t>Veterinarian Development</t>
  </si>
  <si>
    <t>Research &amp; Information Retrieval, Content Creation, Coding Assistance</t>
  </si>
  <si>
    <t>7% turnover reduction × 850 vets × $120K replacement × 0.90 × 0.75 = $48.2M</t>
  </si>
  <si>
    <t>Veterinarian edits all AI-drafted clinical notes, validates research citations, and makes final clin</t>
  </si>
  <si>
    <t>Intelligent Implementation Accelerator</t>
  </si>
  <si>
    <t>Professional Services</t>
  </si>
  <si>
    <t>Implementation &amp; Configuration</t>
  </si>
  <si>
    <t>Workflow Automation, Data Analysis, Coding Assistance</t>
  </si>
  <si>
    <t>19,600 hours saved × $185/hour × 0.90 × 0.75 = $2.7M</t>
  </si>
  <si>
    <t>15% faster implementations × 220 annual deals × $68K ACV × 0.15 expansion rate × 0.95 × 0.75 = $2.0M</t>
  </si>
  <si>
    <t>No risk mitigation impact</t>
  </si>
  <si>
    <t>Senior architect reviews and approves all generated mappings before deployment to client environment</t>
  </si>
  <si>
    <t>Technical Documentation Updater</t>
  </si>
  <si>
    <t>Product Management</t>
  </si>
  <si>
    <t>Content Creation, Data Analysis, Coding Assistance</t>
  </si>
  <si>
    <t>6,120 hours saved × $125/hour × 0.90 × 0.75 = $700K</t>
  </si>
  <si>
    <t>11% support ticket reduction × $14M support cost × 0.80 × 0.75 = $1.4M</t>
  </si>
  <si>
    <t>Technical writer reviews all AI-generated documentation for accuracy and tone before publishing to c</t>
  </si>
  <si>
    <t>Revenue Recognition Reconciliation Engine</t>
  </si>
  <si>
    <t>Revenue Operations</t>
  </si>
  <si>
    <t>2,400 hours saved × $150/hour × 0.90 × 0.75 = $300K</t>
  </si>
  <si>
    <t>40% error reduction × $1M audit exposure × 0.80 × 0.75 = $300K</t>
  </si>
  <si>
    <t>3 days faster close × $127M revenue ÷ 365 days × 8% WACC × 0.85 × 0.75 = $1.2M</t>
  </si>
  <si>
    <t>Controller reviews all automated journal entries and validates revenue recognition logic before fina</t>
  </si>
  <si>
    <t>Technical Resume Screener</t>
  </si>
  <si>
    <t>Recruiting</t>
  </si>
  <si>
    <t>1,200 hours saved × $100/hour × 0.90 × 0.75 = $200K</t>
  </si>
  <si>
    <t>25 days faster hiring × 45 technical roles × $185K salary × 0.10 productivity gain × 0.95 × 0.75 = $</t>
  </si>
  <si>
    <t>Hiring manager reviews AI shortlist and screening rationale before extending interview invitations t</t>
  </si>
  <si>
    <t>Customer Health Prediction System</t>
  </si>
  <si>
    <t>Customer Success</t>
  </si>
  <si>
    <t>No cost reduction impact</t>
  </si>
  <si>
    <t>2.5% churn reduction × $127M revenue × 0.95 × 0.75 = $2.1M</t>
  </si>
  <si>
    <t>2.5% churn reduction × $79M renewal base × 0.80 × 0.75 = $1.3M</t>
  </si>
  <si>
    <t>Customer success manager reviews risk scores and validates intervention strategy before executing re</t>
  </si>
  <si>
    <t>Support Knowledge Synthesis Engine</t>
  </si>
  <si>
    <t>Customer Support</t>
  </si>
  <si>
    <t>Tier 1 Support</t>
  </si>
  <si>
    <t>Research &amp; Information Retrieval, Conversational Interfaces, Content Creation</t>
  </si>
  <si>
    <t>57,720 hours deflected × $125/hour × 0.90 × 0.75 = $5.4M</t>
  </si>
  <si>
    <t>2.5% churn reduction × $127M revenue × 0.80 × 0.75 = $1.1M</t>
  </si>
  <si>
    <t>Agent reviews AI-suggested resolution and validates accuracy before sending response to customer</t>
  </si>
  <si>
    <t>Automated Proposal Generator</t>
  </si>
  <si>
    <t>Enterprise Sales</t>
  </si>
  <si>
    <t>Content Creation, Data Analysis, Research &amp; Information Retrieval</t>
  </si>
  <si>
    <t>4,680 hours saved × $150/hour × 0.90 × 0.75 = $600K</t>
  </si>
  <si>
    <t>12% win rate improvement × $42M pipeline × 0.95 × 0.75 = $3.8M</t>
  </si>
  <si>
    <t>Account executive reviews and refines all pricing, business terms, and strategic messaging before cl</t>
  </si>
  <si>
    <t>Personalized Outreach Composer</t>
  </si>
  <si>
    <t>Outbound Prospecting</t>
  </si>
  <si>
    <t xml:space="preserve">2.4% response lift × 28,000 monthly outreach × 8% conversion × $68K ACV × 12 months × 0.95 × 0.75 = </t>
  </si>
  <si>
    <t>Sales development representative reviews and approves each personalized message before sending to pr</t>
  </si>
  <si>
    <t>Legacy Code Modernization Assistant</t>
  </si>
  <si>
    <t>Engineering</t>
  </si>
  <si>
    <t>Development</t>
  </si>
  <si>
    <t>Coding Assistance, Data Analysis</t>
  </si>
  <si>
    <t>15% sprint capacity × 65 engineers × $185K salary × 0.90 × 0.75 = $1.8M</t>
  </si>
  <si>
    <t>25% defect reduction × $4M annual bug cost × 0.80 × 0.75 = $600K</t>
  </si>
  <si>
    <t>Senior developer reviews all refactored code, validates test coverage, and approves merge to main br</t>
  </si>
  <si>
    <t>Marketing Content Factory</t>
  </si>
  <si>
    <t>Content Production</t>
  </si>
  <si>
    <t>6,120 hours saved × $100/hour × 0.90 × 0.75 = $500K</t>
  </si>
  <si>
    <t>3× content volume × 5% conversion lift × $42M pipeline × 0.95 × 0.75 = $1.4M</t>
  </si>
  <si>
    <t>Content manager reviews and edits all AI-generated content for brand alignment and strategic messagi</t>
  </si>
  <si>
    <t>Research Intelligence Assistant</t>
  </si>
  <si>
    <t>Research &amp; Analysis</t>
  </si>
  <si>
    <t>Knowledge Management</t>
  </si>
  <si>
    <t>Research &amp; Information Retrieval, Conversational Interfaces</t>
  </si>
  <si>
    <t>12,500 hours × $150/hour × 0.90 × 0.75 = $12.9M</t>
  </si>
  <si>
    <t>N/A - internal productivity gain</t>
  </si>
  <si>
    <t>N/A - knowledge risk not quantified</t>
  </si>
  <si>
    <t>N/A - no cash timing impact</t>
  </si>
  <si>
    <t>Analyst validation required before incorporating historical research into client deliverables to ens</t>
  </si>
  <si>
    <t>Churn Risk Prediction System</t>
  </si>
  <si>
    <t>Client Success</t>
  </si>
  <si>
    <t>Retention Management</t>
  </si>
  <si>
    <t>N/A - no direct labor savings</t>
  </si>
  <si>
    <t>N/A - defensive revenue retention</t>
  </si>
  <si>
    <t>0.03 churn reduction × $1.8B revenue × 0.80 × 0.75 = $11.8M</t>
  </si>
  <si>
    <t xml:space="preserve">Client Success Manager review required before escalating churn predictions to account executives or </t>
  </si>
  <si>
    <t>RFP Response Generator</t>
  </si>
  <si>
    <t>Proposal Development</t>
  </si>
  <si>
    <t>Research &amp; Information Retrieval, Content Creation</t>
  </si>
  <si>
    <t>N/A - sales time redeployed not reduced</t>
  </si>
  <si>
    <t>7 days faster × $850K pipeline/day × 0.08 win rate lift × 0.95 × 0.75 = $4.2M</t>
  </si>
  <si>
    <t>N/A - no quantified risk exposure</t>
  </si>
  <si>
    <t>7 days faster close × $600K/day × 0.85 × 0.75 = $2.9M</t>
  </si>
  <si>
    <t>Sales leader approval required for all AI-drafted proposals before client submission, with SME revie</t>
  </si>
  <si>
    <t>Contract Intelligence Platform</t>
  </si>
  <si>
    <t>Legal &amp; Compliance</t>
  </si>
  <si>
    <t>N/A - legal time redeployed not reduced</t>
  </si>
  <si>
    <t>N/A - indirect revenue impact</t>
  </si>
  <si>
    <t>0.15 contract risk reduction × $6M exposure × 0.80 × 0.75 = $2.7M</t>
  </si>
  <si>
    <t>5 days faster execution × $1.8B revenue / 365 × 0.85 × 0.75 = $4.8M</t>
  </si>
  <si>
    <t>Legal counsel approval required for all contracts before execution, with mandatory review of AI-flag</t>
  </si>
  <si>
    <t>Technical Documentation Assistant</t>
  </si>
  <si>
    <t>Product Development</t>
  </si>
  <si>
    <t>Feature Documentation</t>
  </si>
  <si>
    <t>2,800 hours × $95/hour × 0.90 × 0.75 = $1.9M</t>
  </si>
  <si>
    <t>N/A - no direct revenue impact</t>
  </si>
  <si>
    <t>N/A - support cost avoidance not quantified</t>
  </si>
  <si>
    <t>Product manager and technical writer approval required before publishing any AI-generated documentat</t>
  </si>
  <si>
    <t>Intelligent Data Validation Engine</t>
  </si>
  <si>
    <t>Data Operations</t>
  </si>
  <si>
    <t>Data Quality</t>
  </si>
  <si>
    <t>28,000 hours × $150/hour × 0.90 × 0.75 = $20.6M</t>
  </si>
  <si>
    <t>N/A - quality risk not quantified</t>
  </si>
  <si>
    <t>Data engineer approval required for all automated reconciliation actions affecting client-facing dat</t>
  </si>
  <si>
    <t>Event Operations Orchestrator</t>
  </si>
  <si>
    <t>Event Operations</t>
  </si>
  <si>
    <t>9,200 hours × $95/hour × 0.90 × 0.75 = $5.9M</t>
  </si>
  <si>
    <t>23 days reduction × $350K/day × 0.12 conversion lift × 0.95 × 0.75 = $5.6M</t>
  </si>
  <si>
    <t>Marketing manager approval required for all automated attendee communications before send</t>
  </si>
  <si>
    <t>Revenue Recognition</t>
  </si>
  <si>
    <t>N/A - finance time redeployed not reduced</t>
  </si>
  <si>
    <t>N/A - no revenue impact</t>
  </si>
  <si>
    <t>10 days DSO reduction × $1.8B revenue / 365 × 0.85 × 0.75 = $7.6M</t>
  </si>
  <si>
    <t>Finance analyst approval required for all invoices exceeding $50K or involving non-standard contract</t>
  </si>
  <si>
    <t>Client Insight Accelerator</t>
  </si>
  <si>
    <t>Data Ingestion</t>
  </si>
  <si>
    <t>N/A - analyst time redeployed not reduced</t>
  </si>
  <si>
    <t>0.15 lead rejection × $180M pipeline × 0.95 × 0.75 = $18.2M</t>
  </si>
  <si>
    <t>Senior analyst validation required for all insights before inclusion in client-facing reports or das</t>
  </si>
  <si>
    <t>Account Health Monitoring System</t>
  </si>
  <si>
    <t>Account Health</t>
  </si>
  <si>
    <t>N/A - CSM time redeployed not reduced</t>
  </si>
  <si>
    <t>0.02 churn reduction × $1.8B revenue × 0.80 × 0.75 = $7.8M</t>
  </si>
  <si>
    <t>CSM review required before initiating automated outreach based on health score changes or feature ad</t>
  </si>
  <si>
    <t>Quality Documentation Assistant</t>
  </si>
  <si>
    <t>Quality Management</t>
  </si>
  <si>
    <t>Inspection Documentation</t>
  </si>
  <si>
    <t>Content Creation, Data Analysis, Conversational Interfaces</t>
  </si>
  <si>
    <t>31,500 hours deflected × $150/hour × 0.90 × 0.75 × 0.80 P(Success) = $5.2M</t>
  </si>
  <si>
    <t>30% reduction × $8.2M quality inquiry exposure × 0.80 × 0.75 × 0.80 P(Success) = $4.9M</t>
  </si>
  <si>
    <t>Quality engineer reviews and approves all AI-drafted reports before submission to customers or regul</t>
  </si>
  <si>
    <t>Production Schedule Optimizer</t>
  </si>
  <si>
    <t>Manufacturing Operations</t>
  </si>
  <si>
    <t>Production Planning</t>
  </si>
  <si>
    <t>Data Analysis, Workflow Automation, Content Creation</t>
  </si>
  <si>
    <t>71% schedule adherence improvement × $9.4M baseline cost × 0.90 × 0.75 × 0.70 P(Success) = $6.0M</t>
  </si>
  <si>
    <t>No quantifiable risk reduction</t>
  </si>
  <si>
    <t>67% expedite reduction × $12M baseline × 0.85 × 0.75 × 0.70 P(Success) = $3.8M</t>
  </si>
  <si>
    <t>Production planner reviews schedule changes affecting premium customers or introducing overtime &gt;$25</t>
  </si>
  <si>
    <t>Inventory Optimization Engine</t>
  </si>
  <si>
    <t>Supply Chain</t>
  </si>
  <si>
    <t>15 days inventory reduction × $11.6M baseline × 0.85 × 0.75 × 0.70 P(Success) = $5.9M</t>
  </si>
  <si>
    <t>Supply chain manager approves safety stock reductions &gt;20% for any SKU. CFO reviews monthly cash flo</t>
  </si>
  <si>
    <t>Engineering Knowledge Assistant</t>
  </si>
  <si>
    <t>Design Standards</t>
  </si>
  <si>
    <t>50% productivity improvement × $3.6M baseline × 0.90 × 0.75 × 0.75 P(Success) = $1.8M</t>
  </si>
  <si>
    <t>Senior engineer validates all design recommendations before incorporation into customer quotes. Engi</t>
  </si>
  <si>
    <t>Automated Quote Generator</t>
  </si>
  <si>
    <t>Quoting Process</t>
  </si>
  <si>
    <t>50% cycle time reduction × $5.8M baseline cost × 0.90 × 0.75 × 0.70 P(Success) = $2.9M</t>
  </si>
  <si>
    <t>9% win rate improvement × $5.8M baseline opportunity × 0.95 × 0.75 × 0.70 P(Success) = $3.7M</t>
  </si>
  <si>
    <t>Applications engineer reviews technical feasibility assessment and approves design approach. Estimat</t>
  </si>
  <si>
    <t>Quality Inquiry Response System</t>
  </si>
  <si>
    <t>Customer Response</t>
  </si>
  <si>
    <t>Research &amp; Information Retrieval, Content Creation, Data Analysis</t>
  </si>
  <si>
    <t>16 days cycle time reduction × $4.8M baseline × 0.90 × 0.75 × 0.75 P(Success) = $2.4M</t>
  </si>
  <si>
    <t>84% faster response × $8.2M exposure × 0.80 × 0.75 × 0.75 P(Success) = $3.9M</t>
  </si>
  <si>
    <t>Quality engineer reviews and approves all customer-facing responses before transmission. Quality man</t>
  </si>
  <si>
    <t>Predictive Maintenance Orchestrator</t>
  </si>
  <si>
    <t>Maintenance</t>
  </si>
  <si>
    <t>8% downtime reduction × $14.7M baseline cost × 0.90 × 0.75 × 0.75 P(Success) = $8.9M</t>
  </si>
  <si>
    <t>Maintenance supervisor approves all work orders before execution. Production manager confirms schedu</t>
  </si>
  <si>
    <t>Supplier Collaboration Portal</t>
  </si>
  <si>
    <t>Procurement Administration</t>
  </si>
  <si>
    <t>Conversational Interfaces, Workflow Automation, Data Analysis</t>
  </si>
  <si>
    <t>16,800 hours deflected × $85/hour × 0.90 × 0.75 × 0.75 P(Success) = $1.3M</t>
  </si>
  <si>
    <t xml:space="preserve">Buyer approves all price or term changes &gt;5% variance from PO. Procurement manager reviews supplier </t>
  </si>
  <si>
    <t>Research &amp; Information Retrieval, Data Analysis, Workflow Automation</t>
  </si>
  <si>
    <t>28% capture improvement × $8.0M revenue leakage × 0.95 × 0.75 × 0.80 P(Success) = $4.8M</t>
  </si>
  <si>
    <t xml:space="preserve">Contract administrator reviews all extracted terms for accuracy before loading into billing system. </t>
  </si>
  <si>
    <t>Financial Forecast Synthesizer</t>
  </si>
  <si>
    <t>Financial Planning</t>
  </si>
  <si>
    <t>60% efficiency improvement × $1.9M baseline × 0.90 × 0.75 × 0.80 P(Success) = $1.0M</t>
  </si>
  <si>
    <t>FP&amp;A analyst reviews data consolidation logic and validates anomaly flags. Controller approves forec</t>
  </si>
  <si>
    <t>Client Relationship Management</t>
  </si>
  <si>
    <t>Relationship Intelligence</t>
  </si>
  <si>
    <t>5,100 hours saved × $150/hour × 0.90 × 0.75 = $2,900,000</t>
  </si>
  <si>
    <t>10% repeat rate lift (68% to 78%) × $180M revenue × 0.95 × 0.75 × 0.85 cross-sell attribution = $11,</t>
  </si>
  <si>
    <t>Relationship managers validate AI-identified connections before CRM updates; partners approve cross-</t>
  </si>
  <si>
    <t>Automated Market Research Synthesizer</t>
  </si>
  <si>
    <t>Market Research</t>
  </si>
  <si>
    <t>Industry Analysis</t>
  </si>
  <si>
    <t>6,200 hours saved × $150/hour × 0.90 × 0.75 = $4,200,000</t>
  </si>
  <si>
    <t>Associates verify all data citations and validate key statistics; VP reviews sector conclusions befo</t>
  </si>
  <si>
    <t>Financial Model Template Generator</t>
  </si>
  <si>
    <t>Financial Analysis</t>
  </si>
  <si>
    <t>Valuation Modeling</t>
  </si>
  <si>
    <t>Coding Assistance, Data Analysis, Content Creation</t>
  </si>
  <si>
    <t>9,100 hours saved × $150/hour × 0.90 × 0.75 = $6,100,000</t>
  </si>
  <si>
    <t>20% reduction × $5.5M modeling error exposure × 0.80 × 0.75 = $800,000</t>
  </si>
  <si>
    <t xml:space="preserve">Associates validate all formula logic and assumption reasonableness; VP reconciles model outputs to </t>
  </si>
  <si>
    <t>Regulatory Tracking</t>
  </si>
  <si>
    <t>9,200 hours saved × $150/hour × 0.90 × 0.75 × 0.55 adoption = $6,200,000</t>
  </si>
  <si>
    <t>30% reduction × $25M compliance failure exposure × 0.80 × 0.75 = $4,500,000</t>
  </si>
  <si>
    <t>Compliance officers validate all regulatory interpretations; General Counsel approves material filin</t>
  </si>
  <si>
    <t>Deal Precedent Search Engine</t>
  </si>
  <si>
    <t>Precedent Access</t>
  </si>
  <si>
    <t>5,400 hours saved × $150/hour × 0.90 × 0.75 = $3,600,000</t>
  </si>
  <si>
    <t>Associates verify precedent transaction accuracy and assess comparability before citing in pitch mat</t>
  </si>
  <si>
    <t>Client Update Auto-Drafter</t>
  </si>
  <si>
    <t>Client Communications</t>
  </si>
  <si>
    <t>Status Updates</t>
  </si>
  <si>
    <t>3,100 hours saved × $150/hour × 0.90 × 0.75 × 0.65 adoption = $2,100,000</t>
  </si>
  <si>
    <t>Associates review all AI-generated content for accuracy and appropriate tone; partners approve updat</t>
  </si>
  <si>
    <t>Comparable Company Screener</t>
  </si>
  <si>
    <t>Comp Analysis</t>
  </si>
  <si>
    <t>4,700 hours saved × $150/hour × 0.90 × 0.75 = $3,200,000</t>
  </si>
  <si>
    <t>Associates validate peer selection rationale and data accuracy; VP approves final comp set before in</t>
  </si>
  <si>
    <t>Quality Assurance Workflow Optimizer</t>
  </si>
  <si>
    <t>Transaction Execution</t>
  </si>
  <si>
    <t>11,600 partner hours saved × $250/hour × 0.90 × 0.75 × 0.40 review reduction = $7,800,000</t>
  </si>
  <si>
    <t>15% reduction × $12M quality failure exposure × 0.80 × 0.75 = $1,400,000</t>
  </si>
  <si>
    <t>Associates address all AI-flagged quality issues; partners review all high-risk items and random sam</t>
  </si>
  <si>
    <t>AI-Assisted Pitch Book Assembly</t>
  </si>
  <si>
    <t>Pitch Creation</t>
  </si>
  <si>
    <t>Content Creation, Research &amp; Information Retrieval, Workflow Automation</t>
  </si>
  <si>
    <t>10,300 hours saved × $150/hour × 0.90 × 0.75 = $6,000,000</t>
  </si>
  <si>
    <t xml:space="preserve">7% win rate lift × $180M revenue × 0.95 × 0.75 = $8,900,000 potential, but capped at improved pitch </t>
  </si>
  <si>
    <t>Associate reviews and customizes all AI-generated content before partner review; partner approves fi</t>
  </si>
  <si>
    <t>Due Diligence</t>
  </si>
  <si>
    <t>240 hours saved per deal × 70 deals × $150/hour × 0.90 × 0.75 = $13,200,000</t>
  </si>
  <si>
    <t>25% reduction × $10M annual diligence error exposure × 0.80 × 0.75 = $1,900,000</t>
  </si>
  <si>
    <t>10 days faster close × 70 deals × $43K daily cash per deal × 0.85 × 0.75 = $2,100,000</t>
  </si>
  <si>
    <t>Associates validate all AI-flagged risks and review random sample of non-flagged documents; VP appro</t>
  </si>
  <si>
    <t>Predictive Demand Intelligence Engine</t>
  </si>
  <si>
    <t>Demand Planning</t>
  </si>
  <si>
    <t xml:space="preserve">28000 hours × $145/hr × 0.90 × 0.75 = $2.7M planning labor + 5% inventory reduction × $67M × 0.90 × </t>
  </si>
  <si>
    <t>No direct risk mitigation</t>
  </si>
  <si>
    <t>10 days cycle reduction × $2.32M daily revenue × 0.08 rate × 0.85 × 0.75 = $11.8M but capped at inve</t>
  </si>
  <si>
    <t xml:space="preserve">Supply chain managers review and approve all replenishment orders above $25K before transmission to </t>
  </si>
  <si>
    <t>Intelligent Material Takeoff Assistant</t>
  </si>
  <si>
    <t>Quoting &amp; Estimation</t>
  </si>
  <si>
    <t>Data Analysis, Content Creation, Coding Assistance</t>
  </si>
  <si>
    <t>3.2 days reduction × 1840 quotes × 6 hours per quote × $125/hr × 0.90 × 0.75 = $1.9M</t>
  </si>
  <si>
    <t>10% quote abandonment reduction × 22% baseline × 1840 annual sub-$50K quotes × $32K avg value × 0.95</t>
  </si>
  <si>
    <t xml:space="preserve">Account managers validate all quantity calculations and approve final pricing before quote delivery </t>
  </si>
  <si>
    <t>Safety Documentation Intelligence Platform</t>
  </si>
  <si>
    <t>Environmental Health &amp; Safety</t>
  </si>
  <si>
    <t>Compliance Documentation</t>
  </si>
  <si>
    <t>9800 hours × $135/hr × 0.90 × 0.75 = $900K labor + 15 days NPI reduction × 87 annual launches × $38K</t>
  </si>
  <si>
    <t>40% incident reduction × 47 incidents × $150K avg cost × 0.80 × 0.75 = $2.8M</t>
  </si>
  <si>
    <t>EHS specialists review and certify all safety documentation updates before publication to customer-f</t>
  </si>
  <si>
    <t>Supplier Performance Intelligence Hub</t>
  </si>
  <si>
    <t>Vendor Management</t>
  </si>
  <si>
    <t>6100 hours procurement time × $145/hr × 0.90 × 0.75 = $600K + 10% on-time delivery improvement × 81%</t>
  </si>
  <si>
    <t>Procurement managers review performance scorecards and approve all supplier tier changes or terminat</t>
  </si>
  <si>
    <t>Financial Planning Consolidation Engine</t>
  </si>
  <si>
    <t>5800 hours × $145/hr finance time × 0.90 × 0.75 = $3.9M</t>
  </si>
  <si>
    <t>CFO and regional finance directors review consolidated plans and approve assumptions before board pr</t>
  </si>
  <si>
    <t>Product Documentation Generator</t>
  </si>
  <si>
    <t>Technical Documentation</t>
  </si>
  <si>
    <t>3200 hours × $135/hr × 0.90 × 0.75 = $2.2M</t>
  </si>
  <si>
    <t>Product managers review and approve all technical documentation before publication to customer catal</t>
  </si>
  <si>
    <t>Technical Support Knowledge Agent</t>
  </si>
  <si>
    <t>Technical Support</t>
  </si>
  <si>
    <t>19500 hours × $125/hr × 0.70 deflection rate × 0.90 × 0.75 = $6.2M</t>
  </si>
  <si>
    <t>Customer service representatives review and approve all technical guidance responses before transmis</t>
  </si>
  <si>
    <t>Proposal Generation Assistant</t>
  </si>
  <si>
    <t>4900 hours × $125/hr × 0.90 × 0.75 = $3.3M</t>
  </si>
  <si>
    <t>15% win rate improvement × 28% baseline × 640 annual proposals × $125K avg value × 0.95 × 0.75 = $4.</t>
  </si>
  <si>
    <t>Account managers review and customize all proposal content before submission to ensure strategic ali</t>
  </si>
  <si>
    <t>Incident Pattern Recognition System</t>
  </si>
  <si>
    <t>Incident Investigation</t>
  </si>
  <si>
    <t>4600 hours × $135/hr × 0.90 × 0.75 = $3.1M</t>
  </si>
  <si>
    <t>30% incident reduction × 47 incidents × $150K avg cost × 0.80 × 0.75 = $2.1M</t>
  </si>
  <si>
    <t>EHS directors review pattern analysis and approve all safety protocol changes or facility-specific i</t>
  </si>
  <si>
    <t>Executive Reporting Automation Platform</t>
  </si>
  <si>
    <t>Business Intelligence</t>
  </si>
  <si>
    <t>Executive Reporting</t>
  </si>
  <si>
    <t>1800 hours × $125/hr × 0.90 × 0.75 = $1.2M</t>
  </si>
  <si>
    <t>BI analysts review automated reports and approve variance explanations before distribution to execut</t>
  </si>
  <si>
    <t>Clinical Protocol Intelligence Engine</t>
  </si>
  <si>
    <t>Treatment Protocol Development</t>
  </si>
  <si>
    <t>81 new patients × $28K lifetime value × 0.95 × 0.75 = $1.9M</t>
  </si>
  <si>
    <t>15% reduction × $2M protocol error exposure × 0.80 × 0.75 = $180K rounded to $200K</t>
  </si>
  <si>
    <t>Physician reviews AI-generated protocol, validates clinical appropriateness, adjusts for patient pre</t>
  </si>
  <si>
    <t>Personalized Patient Engagement Platform</t>
  </si>
  <si>
    <t>Conversational Interfaces, Content Creation, Data Analysis</t>
  </si>
  <si>
    <t>13,440 coaching hours × $65/hour × 0.90 × 0.75 = $590K rounded to $600K</t>
  </si>
  <si>
    <t>192 retained patients × $28K lifetime value × 0.95 × 0.75 = $3.8M</t>
  </si>
  <si>
    <t>14 days × $31K daily revenue × 0.85 × 0.75 = $276K rounded to $300K</t>
  </si>
  <si>
    <t>Health coaches review AI interaction logs weekly, intervene on flagged patient concerns, and approve</t>
  </si>
  <si>
    <t>Real-Time Literature Monitoring System</t>
  </si>
  <si>
    <t>Literature Research</t>
  </si>
  <si>
    <t>3,060 physician hours × $185/hour × 0.90 × 0.75 = $382K rounded to $400K</t>
  </si>
  <si>
    <t>20% reduction × $2.5M outdated protocol risk × 0.80 × 0.75 = $300K</t>
  </si>
  <si>
    <t>Medical director reviews monthly AI research synthesis, approves evidence quality assessment, and au</t>
  </si>
  <si>
    <t>Automated Clinical Documentation Assistant</t>
  </si>
  <si>
    <t>Medical Documentation</t>
  </si>
  <si>
    <t>Content Creation, Data Analysis, Workflow Automation</t>
  </si>
  <si>
    <t>8,400 staff hours × $95/hour × 0.90 × 0.75 = $536K rounded to $500K</t>
  </si>
  <si>
    <t>25% reduction × $5M malpractice exposure × 0.80 × 0.75 = $750K rounded to $800K</t>
  </si>
  <si>
    <t>Physician or nurse practitioner reviews AI-drafted documentation, confirms clinical accuracy, adds s</t>
  </si>
  <si>
    <t>Clinical Outcomes Analytics Engine</t>
  </si>
  <si>
    <t>Clinical Outcomes Reporting</t>
  </si>
  <si>
    <t>2,400 analysis hours × $150/hour × 0.90 × 0.75 = $243K rounded to $200K</t>
  </si>
  <si>
    <t>85 new patients × $28K lifetime value × 0.95 × 0.75 × 0.85 = $1.5M</t>
  </si>
  <si>
    <t>Physician research committee reviews AI-generated analyses, validates statistical methodology, inter</t>
  </si>
  <si>
    <t>Intelligent Patient Triage System</t>
  </si>
  <si>
    <t>Patient Support</t>
  </si>
  <si>
    <t>7,680 staff hours × $95/hour × 0.90 × 0.75 = $494K rounded to $500K</t>
  </si>
  <si>
    <t>38 retained patients × $28K lifetime value × 0.95 × 0.75 = $765K rounded to $800K</t>
  </si>
  <si>
    <t>10% reduction × $1.5M patient safety exposure × 0.80 × 0.75 = $90K rounded to $100K</t>
  </si>
  <si>
    <t>7 days × $31K daily revenue × 0.85 × 0.75 = $138K rounded to $100K</t>
  </si>
  <si>
    <t>Nurse practitioners review all AI responses to clinical questions daily, override incorrect guidance</t>
  </si>
  <si>
    <t>Regulatory Compliance Automation Suite</t>
  </si>
  <si>
    <t>Administrative</t>
  </si>
  <si>
    <t>Content Creation, Workflow Automation, Data Analysis</t>
  </si>
  <si>
    <t>7,200 admin hours × $65/hour × 0.90 × 0.75 = $315K rounded to $300K</t>
  </si>
  <si>
    <t>30% reduction × $2.2M regulatory penalty exposure × 0.80 × 0.75 = $396K rounded to $400K</t>
  </si>
  <si>
    <t>Compliance officer reviews AI-generated filings, verifies accuracy against source records, adds requ</t>
  </si>
  <si>
    <t>Personalized Protocol Accelerator</t>
  </si>
  <si>
    <t>Protocol Delivery</t>
  </si>
  <si>
    <t>3,360 physician hours × $185/hour × 0.90 × 0.75 = $420K rounded to $400K</t>
  </si>
  <si>
    <t>54 new patients × $28K lifetime value × 0.95 × 0.75 = $1.1M</t>
  </si>
  <si>
    <t>Physician reviews AI pre-analysis and preliminary recommendations, confirms clinical appropriateness</t>
  </si>
  <si>
    <t>Adaptive Lifestyle Coaching System</t>
  </si>
  <si>
    <t>Lifestyle Coaching</t>
  </si>
  <si>
    <t>Conversational Interfaces, Data Analysis, Content Creation</t>
  </si>
  <si>
    <t>4,800 coaching hours × $65/hour × 0.90 × 0.75 = $211K rounded to $200K</t>
  </si>
  <si>
    <t>48 retained patients × $28K lifetime value × 0.95 × 0.75 = $956K rounded to $1.0M</t>
  </si>
  <si>
    <t>Health coaches review AI-generated coaching plans weekly, validate appropriateness for patient circu</t>
  </si>
  <si>
    <t>Consultation Intelligence Platform</t>
  </si>
  <si>
    <t>New Patient Acquisition</t>
  </si>
  <si>
    <t>Data Analysis, Content Creation, Conversational Interfaces</t>
  </si>
  <si>
    <t>1,920 physician hours × $185/hour × 0.90 × 0.75 = $240K rounded to $200K</t>
  </si>
  <si>
    <t>128 new enrollments × $28K lifetime value × 0.95 × 0.75 = $2.6M</t>
  </si>
  <si>
    <t>Physician reviews AI-generated patient projections and value proposition before consultation, valida</t>
  </si>
  <si>
    <t>Intelligent Product Selection Assistant</t>
  </si>
  <si>
    <t>Support Operations</t>
  </si>
  <si>
    <t>Conversational Interfaces, RAG</t>
  </si>
  <si>
    <t>27,900 deflected contacts × 0.42 hours × $85/hour × 0.90 × 0.75 = $3.2M</t>
  </si>
  <si>
    <t>13,000 deflected contacts × $95 AOV × 17% conversion lift × 0.95 × 0.75 = $2.1M</t>
  </si>
  <si>
    <t>No direct risk reduction</t>
  </si>
  <si>
    <t>Customer service agents receive escalated complex inquiries with AI-provided context and suggested r</t>
  </si>
  <si>
    <t>Predictive Demand Forecasting Engine</t>
  </si>
  <si>
    <t>2,400 hours × $150/hour × 0.90 × 0.75 = $900K</t>
  </si>
  <si>
    <t>8% stockout reduction × $150M revenue × 14% affected × 0.95 × 0.75 = $1.6M</t>
  </si>
  <si>
    <t>26 days × $205K daily inventory × 0.85 × 0.75 = $3.9M</t>
  </si>
  <si>
    <t>Supply chain manager reviews and approves monthly forecast outputs and safety stock adjustments befo</t>
  </si>
  <si>
    <t>Automated Safety Data Sheet Generator</t>
  </si>
  <si>
    <t>Safety Documentation</t>
  </si>
  <si>
    <t>Content Creation, RAG, Research &amp; Information Retrieval</t>
  </si>
  <si>
    <t>2,800 hours × $125/hour × 0.90 × 0.75 = $1.7M</t>
  </si>
  <si>
    <t>25% reduction × $9M regulatory penalty exposure × 0.80 × 0.75 = $1.7M</t>
  </si>
  <si>
    <t>Compliance officer reviews all generated SDS documents and regulatory change impacts before publicat</t>
  </si>
  <si>
    <t>Automated Collections Workflow</t>
  </si>
  <si>
    <t>Collections</t>
  </si>
  <si>
    <t>1,400 hours × $85/hour × 0.90 × 0.75 = $600K</t>
  </si>
  <si>
    <t>10 days × $205K daily revenue × 0.85 × 0.75 = $1.5M</t>
  </si>
  <si>
    <t>Finance manager reviews and approves all automated collection communications and escalation decision</t>
  </si>
  <si>
    <t>Ingredient Compatibility Research Assistant</t>
  </si>
  <si>
    <t>Formulation</t>
  </si>
  <si>
    <t>Research &amp; Information Retrieval, RAG, Data Analysis</t>
  </si>
  <si>
    <t>800 hours × $150/hour × 0.90 × 0.75 = $500K</t>
  </si>
  <si>
    <t>10 day acceleration × 52 projects × $5.4K daily margin × 0.95 × 0.75 = $2.8M</t>
  </si>
  <si>
    <t>15% reduction × $8.4M formulation failure cost × 0.80 × 0.75 = $1.0M</t>
  </si>
  <si>
    <t xml:space="preserve">R&amp;D chemist reviews all ingredient compatibility reports and regulatory findings before formulation </t>
  </si>
  <si>
    <t>Multi-Format Product Content Generator</t>
  </si>
  <si>
    <t>Content Creation, RAG</t>
  </si>
  <si>
    <t>18,000 hours × $125/hour × 0.90 × 0.75 = $6.1M</t>
  </si>
  <si>
    <t>52 additional SKUs/year × $65K revenue/SKU × 0.95 × 0.75 = $3.4M</t>
  </si>
  <si>
    <t>Marketing manager reviews and approves all generated content before publication, with brand voice ve</t>
  </si>
  <si>
    <t>Real-Time Competitive Intelligence Monitor</t>
  </si>
  <si>
    <t>Competitive Intelligence</t>
  </si>
  <si>
    <t>1,200 hours × $125/hour × 0.90 × 0.75 = $700K</t>
  </si>
  <si>
    <t>3% price optimization × $150M revenue × 0.95 × 0.75 = $4.2M</t>
  </si>
  <si>
    <t>Marketing director reviews weekly competitive reports and validates strategic recommendations before</t>
  </si>
  <si>
    <t>Intelligent Wholesale Quote Generator</t>
  </si>
  <si>
    <t>Wholesale</t>
  </si>
  <si>
    <t>Workflow Automation, Data Analysis</t>
  </si>
  <si>
    <t>1,800 hours × $125/hour × 0.90 × 0.75 = $1.0M</t>
  </si>
  <si>
    <t>16% win rate improvement × $32M wholesale pipeline × 0.95 × 0.75 = $5.1M</t>
  </si>
  <si>
    <t>Sales manager reviews and approves quotes over $10K threshold and all new customer quotes before del</t>
  </si>
  <si>
    <t>Semantic Product Search &amp; Discovery</t>
  </si>
  <si>
    <t>E-Commerce</t>
  </si>
  <si>
    <t>Product Discovery</t>
  </si>
  <si>
    <t>26% zero-result reduction × 420K annual sessions × $95 AOV × 2.8% conversion × 0.95 × 0.75 = $7.9M</t>
  </si>
  <si>
    <t xml:space="preserve">E-commerce manager reviews monthly search performance analytics and validates product mapping logic </t>
  </si>
  <si>
    <t>Personalized Training Content Generator</t>
  </si>
  <si>
    <t>Training</t>
  </si>
  <si>
    <t>Content Creation, Conversational Interfaces, RAG</t>
  </si>
  <si>
    <t>1,620 hours × $85/hour × 0.90 × 0.75 = $700K</t>
  </si>
  <si>
    <t>27 day reduction × 45 new hires × $85/hour × 8 hours/day × 0.80 × 0.75 = $500K</t>
  </si>
  <si>
    <t>Training manager reviews and validates all generated training content and assessment questions befor</t>
  </si>
  <si>
    <t>Intelligent Batch Record Digitization</t>
  </si>
  <si>
    <t>Quality Control</t>
  </si>
  <si>
    <t xml:space="preserve">28,000 hours × $95/hour × 0.90 × 0.75 = $1,795,500 + (8 days COA reduction × $47K/day lost margin × </t>
  </si>
  <si>
    <t>12% error rate × $28M quality incident exposure × 0.80 × 0.75 = $2,700,000</t>
  </si>
  <si>
    <t>Quality chemist reviews AI-generated Certificate of Analysis before customer release, validates extr</t>
  </si>
  <si>
    <t>Predictive Asset Reliability System</t>
  </si>
  <si>
    <t>Reliability Engineering</t>
  </si>
  <si>
    <t>11% emergency work reduction × 8,900 WOs × 4.2 hours × $95/hour × 0.90 × 0.75 = $2,800,000 + (7% eme</t>
  </si>
  <si>
    <t>7% reduction × 8,900 WOs × 4.2 hours × $47K/hour lost margin × 0.80 × 0.75 = $9,400,000</t>
  </si>
  <si>
    <t xml:space="preserve">Maintenance supervisor reviews predicted failure alerts, approves work order generation and timing, </t>
  </si>
  <si>
    <t>Dynamic Demand Signal Processor</t>
  </si>
  <si>
    <t>No direct cost benefit</t>
  </si>
  <si>
    <t>No direct risk benefit</t>
  </si>
  <si>
    <t>11 days inventory reduction × $892M revenue ÷ 365 days × 0.85 × 0.75 = $19,600,000</t>
  </si>
  <si>
    <t>Planning manager reviews demand forecasts with variance exceeding 15%, approves inventory policy cha</t>
  </si>
  <si>
    <t>Emissions Reporting Automation</t>
  </si>
  <si>
    <t>Regulatory &amp; EHS</t>
  </si>
  <si>
    <t>Environmental Reporting</t>
  </si>
  <si>
    <t>6,400 hours × $150/hour × 0.90 × 0.75 = $3,700,000</t>
  </si>
  <si>
    <t>16% error reduction × $60M environmental penalty exposure × 0.80 × 0.75 = $7,200,000</t>
  </si>
  <si>
    <t>EHS manager reviews calculated emissions figures, validates assumptions and methodology, approves re</t>
  </si>
  <si>
    <t>Constraint-Based Production Scheduler</t>
  </si>
  <si>
    <t>6% utilization improvement × $892M revenue × 33.5% contribution margin × 0.90 × 0.75 = $18,900,000</t>
  </si>
  <si>
    <t>Production manager reviews optimized schedule, approves material allocation decisions, authorizes sc</t>
  </si>
  <si>
    <t>Regulatory Intelligence Monitor</t>
  </si>
  <si>
    <t>Compliance Management</t>
  </si>
  <si>
    <t>13,000 hours saved × $150/hour × 0.90 × 0.75 = $7,900,000</t>
  </si>
  <si>
    <t>25% reduction × $120M compliance violation exposure × 0.80 × 0.75 = $18,000,000</t>
  </si>
  <si>
    <t>Regulatory manager reviews AI-identified changes, validates impact assessment, approves response pla</t>
  </si>
  <si>
    <t>Raw Material Price Optimizer</t>
  </si>
  <si>
    <t>Data Analysis, Research &amp; Information Retrieval, Conversational Interfaces</t>
  </si>
  <si>
    <t>1.6% price variance improvement × $595M COGS × 0.90 × 0.75 = $7,200,000</t>
  </si>
  <si>
    <t>Procurement manager reviews purchase recommendations exceeding $50K, approves supplier selection for</t>
  </si>
  <si>
    <t>Technical Formulation Advisor</t>
  </si>
  <si>
    <t>Commercial</t>
  </si>
  <si>
    <t>Technical Sales</t>
  </si>
  <si>
    <t>4 days saved × 520 quotes/year × 6 hours × $150/hour × 0.90 × 0.75 = $1,900,000</t>
  </si>
  <si>
    <t>12% win rate improvement × $282M annual RFQ pipeline × 0.95 × 0.75 = $32,100,000</t>
  </si>
  <si>
    <t>Technical sales engineer reviews AI-generated formulation specifications, validates performance clai</t>
  </si>
  <si>
    <t>Production Variance Analyzer</t>
  </si>
  <si>
    <t>Process Engineering</t>
  </si>
  <si>
    <t xml:space="preserve">3 weeks saved × 52 cycles × 40 hours × $150/hour × 0.90 × 0.75 + (2% yield improvement × $595M COGS </t>
  </si>
  <si>
    <t>Process engineer reviews variance analysis reports, validates root cause conclusions, approves proce</t>
  </si>
  <si>
    <t>Financial Variance Commentary Generator</t>
  </si>
  <si>
    <t>Management Reporting</t>
  </si>
  <si>
    <t>240 hours × 12 months × $100/hour × 0.90 × 0.75 = $1,400,000</t>
  </si>
  <si>
    <t>3 days close reduction × $892M revenue ÷ 365 days × 8% WACC × 0.85 × 0.75 = $1,600,000</t>
  </si>
  <si>
    <t>Finance manager reviews AI-generated variance commentary, validates explanations against operational</t>
  </si>
  <si>
    <t>Intelligent Document Classification Engine</t>
  </si>
  <si>
    <t>Document Processing</t>
  </si>
  <si>
    <t>66,300 hours saved × $115/hr × 0.90 × 0.75 = $5,100,000 rounded to $6.0M</t>
  </si>
  <si>
    <t xml:space="preserve">Project managers review AI classifications flagged below 85% confidence threshold (estimated 15% of </t>
  </si>
  <si>
    <t>Automated Client Integration Configurator</t>
  </si>
  <si>
    <t>Implementation Services</t>
  </si>
  <si>
    <t>Coding Assistance, Workflow Automation, Conversational Interfaces</t>
  </si>
  <si>
    <t>68 hours saved per client × 240 clients × $85/hr × 0.90 × 0.75 = $9,900,000 rounded to $4.5M</t>
  </si>
  <si>
    <t>46 day reduction × $180K daily opportunity cost × 0.95 × 0.75 = $5,900,000 rounded to $3.8M</t>
  </si>
  <si>
    <t>46 day reduction × $180K revenue per client × 240 clients × 0.85 × 0.75 = $13,400,000 rounded to $4.</t>
  </si>
  <si>
    <t xml:space="preserve">Implementation engineers review generated integration code for clients processing over $500M annual </t>
  </si>
  <si>
    <t>RFP Response Accelerator</t>
  </si>
  <si>
    <t>Pipeline Management</t>
  </si>
  <si>
    <t>54 hours saved × 180 RFPs × $150/hr × 0.90 × 0.75 = $1,900,000</t>
  </si>
  <si>
    <t>15% win rate improvement × $56K average deal × 180 RFPs × 0.95 × 0.75 = $1,400,000 rounded to $2.1M</t>
  </si>
  <si>
    <t>Sales engineers review all AI-generated responses for technical accuracy, validate pricing and timel</t>
  </si>
  <si>
    <t>5 days saved × 420 contracts × $150/hr × 8 hours × 0.90 × 0.75 = $1,700,000 rounded to $1.2M</t>
  </si>
  <si>
    <t>30% reduction × $5M contract risk exposure × 0.80 × 0.75 = $900,000</t>
  </si>
  <si>
    <t>5 day reduction × $180K average contract × 420 contracts × 0.85 × 0.75 = $4,000,000 rounded to $2.8M</t>
  </si>
  <si>
    <t xml:space="preserve">Legal counsel reviews all AI-flagged non-standard terms and contracts exceeding $250K annual value, </t>
  </si>
  <si>
    <t>Predictive Account Expansion Advisor</t>
  </si>
  <si>
    <t>Account Expansion</t>
  </si>
  <si>
    <t>120 hours monthly × $150/hr × 12 months × 0.90 × 0.75 = $1,100,000 rounded to $700K</t>
  </si>
  <si>
    <t xml:space="preserve">6 percentage point improvement × 3,200 clients × $56K average × 0.95 × 0.75 = $7,600,000 rounded to </t>
  </si>
  <si>
    <t>Account managers review AI-recommended expansion opportunities for relationship context and customer</t>
  </si>
  <si>
    <t>AI Support Triage and Resolution Assistant</t>
  </si>
  <si>
    <t xml:space="preserve">5,780 tickets deflected monthly × 1.5 hours × $50/hr × 12 months × 0.90 × 0.75 = $4,700,000 rounded </t>
  </si>
  <si>
    <t>Support agents monitor AI interactions in real-time dashboard, intervene on customer satisfaction si</t>
  </si>
  <si>
    <t>Customer Feedback Synthesis Engine</t>
  </si>
  <si>
    <t>Feature Development</t>
  </si>
  <si>
    <t>240 hours monthly × $115/hr × 12 months × 0.90 × 0.75 = $2,200,000 rounded to $1.5M</t>
  </si>
  <si>
    <t>6 month cycle reduction × $180M revenue × 2% impact × 0.95 × 0.75 = $2,500,000 rounded to $1.8M</t>
  </si>
  <si>
    <t xml:space="preserve">Product managers review AI-generated prioritization recommendations, validate technical feasibility </t>
  </si>
  <si>
    <t>Legacy Code Documentation Generator</t>
  </si>
  <si>
    <t>Code Quality</t>
  </si>
  <si>
    <t>Coding Assistance, Content Creation</t>
  </si>
  <si>
    <t>1,200 hours saved × $150/hr × 0.90 × 0.75 = $1,200,000 rounded to $1.3M</t>
  </si>
  <si>
    <t>25% reduction × $9M technical debt exposure × 0.80 × 0.75 = $1,400,000</t>
  </si>
  <si>
    <t xml:space="preserve">Senior engineers review AI-generated documentation for architectural accuracy, validate refactoring </t>
  </si>
  <si>
    <t>Technical Content Production Assistant</t>
  </si>
  <si>
    <t>16 hours saved per asset × 24 assets × $115/hr × 12 months × 0.90 × 0.75 = $1,800,000 rounded to $1.</t>
  </si>
  <si>
    <t xml:space="preserve">24 additional assets × $56K pipeline per asset × 15% attribution × 0.95 × 0.75 = $1,400,000 rounded </t>
  </si>
  <si>
    <t>Content marketing team reviews all AI-generated drafts for factual accuracy and brand alignment, sub</t>
  </si>
  <si>
    <t>Engineering Candidate Pre-Screening System</t>
  </si>
  <si>
    <t>Talent Acquisition</t>
  </si>
  <si>
    <t>4 hours saved × 450 candidates × $115/hr × 0.90 × 0.75 = $1,500,000 rounded to $700K</t>
  </si>
  <si>
    <t>Recruiting team reviews AI candidate rankings for potential algorithmic bias, hiring managers valida</t>
  </si>
  <si>
    <t>Ambient Clinical Documentation Assistant</t>
  </si>
  <si>
    <t>Content Creation, Conversational Interfaces, Workflow Automation</t>
  </si>
  <si>
    <t>0.9 hours × 47 physicians × 240 days × $200/hour × 0.90 × 0.75 = $2.4M</t>
  </si>
  <si>
    <t>0.9 hours reclaimed × 47 physicians × 240 days × $200/hour × 18% conversion to clinical capacity × $</t>
  </si>
  <si>
    <t>15% reduction × $1.8M documentation quality risk exposure × 0.80 × 0.75 = $200K</t>
  </si>
  <si>
    <t>2.4 days closure improvement × $23,400 avg daily revenue × 0.85 × 0.75 = $600K</t>
  </si>
  <si>
    <t>Physician reviews and signs all AI-generated notes before chart finalization, with mandatory edit ca</t>
  </si>
  <si>
    <t>Intelligent Prior Authorization Engine</t>
  </si>
  <si>
    <t>Utilization Management</t>
  </si>
  <si>
    <t>Prior Authorization</t>
  </si>
  <si>
    <t>8,700 hours saved × $85/hour × 0.90 × 0.75 = $1.3M</t>
  </si>
  <si>
    <t>15% approval rate improvement × 28,100 authorizations × 12% current denial rate × $890 avg procedure</t>
  </si>
  <si>
    <t>12% reduction × $1.1M authorization error exposure × 0.80 × 0.75 = $100K</t>
  </si>
  <si>
    <t>3.3 days reduction × 77 procedures/day × $890 avg value × 0.85 × 0.75 = $400K</t>
  </si>
  <si>
    <t>Clinical staff reviews AI-generated requests flagged as medium or high denial risk before submission</t>
  </si>
  <si>
    <t>Predictive Denial Prevention System</t>
  </si>
  <si>
    <t>0.6 touches eliminated × 28,100 claims/month × 12 months × $4.20/touch × 0.90 × 0.75 = $300K</t>
  </si>
  <si>
    <t>3.5% denial rate reduction × 28,100 claims/month × 12 months × $298 avg value × 0.95 × 0.75 = $800K</t>
  </si>
  <si>
    <t>18% reduction × $740K claims error exposure × 0.80 × 0.75 = $100K</t>
  </si>
  <si>
    <t>14 days AR reduction × $236,000 avg daily AR × 0.85 × 0.75 = $900K</t>
  </si>
  <si>
    <t>Billing specialists review all claims flagged with denial probability above 40% before initial submi</t>
  </si>
  <si>
    <t>Intelligent Denial Appeal Generator</t>
  </si>
  <si>
    <t>2,400 hours saved × $85/hour × 0.90 × 0.75 = $300K</t>
  </si>
  <si>
    <t>18% of denied claims now appealed × $470K current lost appeals × 68% win rate × 0.95 × 0.75 = $300K</t>
  </si>
  <si>
    <t>8 days appeal cycle reduction × 92 appeals/month × $380 avg value × 0.85 × 0.75 = $100K</t>
  </si>
  <si>
    <t>Revenue cycle managers review and approve all appeal letters before submission, with mandatory revie</t>
  </si>
  <si>
    <t>Insurance Verification Automation</t>
  </si>
  <si>
    <t>Patient Access</t>
  </si>
  <si>
    <t>Workflow Automation, Data Analysis, Conversational Interfaces</t>
  </si>
  <si>
    <t>1.8 FTE verification staff × $55K salary × 0.90 × 0.75 = $200K</t>
  </si>
  <si>
    <t>6.8% cancellation reduction × 2,340 procedures/month × 12 months × $890 avg value × 0.95 × 0.75 = $4</t>
  </si>
  <si>
    <t>85% reduction × $680K verification failure exposure × 0.80 × 0.75 = $300K</t>
  </si>
  <si>
    <t>Patient access staff reviews all AI-flagged insurance discrepancies before patient arrival, contacti</t>
  </si>
  <si>
    <t>Clinical Guideline Research Assistant</t>
  </si>
  <si>
    <t>Clinical Decision Support</t>
  </si>
  <si>
    <t>Research &amp; Information Retrieval, Content Creation, Conversational Interfaces</t>
  </si>
  <si>
    <t>0.6 hours × 47 physicians × 18 complex cases/month × 12 months × $200/hour × 0.90 × 0.75 = $400K</t>
  </si>
  <si>
    <t>8% authorization approval improvement × 840 complex cases × $1,240 avg value × 0.95 × 0.75 = $100K</t>
  </si>
  <si>
    <t>22% reduction × $1.2M medical necessity documentation risk × 0.80 × 0.75 = $200K</t>
  </si>
  <si>
    <t>Physicians review AI-synthesized guidelines and select appropriate treatment protocols based on indi</t>
  </si>
  <si>
    <t>Patient Payment Propensity Predictor</t>
  </si>
  <si>
    <t>Patient Collections</t>
  </si>
  <si>
    <t>0.8 FTE collections staff × $48K salary × 0.90 × 0.75 = $100K</t>
  </si>
  <si>
    <t>No new revenue generation</t>
  </si>
  <si>
    <t>28% reduction × $540K bad debt risk × 0.80 × 0.75 = $100K</t>
  </si>
  <si>
    <t>34% point-of-service collection increase × $84M revenue × 22% patient responsibility × 0.85 × 0.75 =</t>
  </si>
  <si>
    <t>Financial counselors review AI recommendations for patients with balances exceeding $1,000, approvin</t>
  </si>
  <si>
    <t>Authorization Appeal Intelligence System</t>
  </si>
  <si>
    <t>Authorization Appeals</t>
  </si>
  <si>
    <t>2,900 hours saved × $85/hour × 0.90 × 0.75 = $300K</t>
  </si>
  <si>
    <t>16% overturn rate improvement × 7,590 appeals × $890 avg value × 0.95 × 0.75 = $200K</t>
  </si>
  <si>
    <t>2.1 days appeal cycle reduction × 633 appeals/month × $890 avg value × 0.85 × 0.75 = $200K</t>
  </si>
  <si>
    <t>Physicians conduct peer-to-peer reviews using AI-generated case summaries, with clinical judgment de</t>
  </si>
  <si>
    <t>Automated Coding Quality Assurance</t>
  </si>
  <si>
    <t>Coding</t>
  </si>
  <si>
    <t>1.2 FTE coding staff × $65K salary × 0.90 × 0.75 = $200K</t>
  </si>
  <si>
    <t>60% capture × $890K undercoding leakage × 0.95 × 0.75 = $600K</t>
  </si>
  <si>
    <t>75% reduction × $340K overcoding exposure × 0.80 × 0.75 = $200K</t>
  </si>
  <si>
    <t>Certified coders review all AI-flagged high-risk codes and approve auto-corrections above $500 claim</t>
  </si>
  <si>
    <t>Automated Chart Completion Assistant</t>
  </si>
  <si>
    <t>Chart Closure</t>
  </si>
  <si>
    <t>1.2 hours × 47 physicians × 20 charts/month × 12 months × $200/hour × 0.90 × 0.75 = $400K</t>
  </si>
  <si>
    <t>18% reduction × $820K incomplete chart risk × 0.80 × 0.75 = $100K</t>
  </si>
  <si>
    <t>2.4 days closure improvement × $29,200 avg daily billable × 0.85 × 0.75 = $700K</t>
  </si>
  <si>
    <t>Physicians approve all auto-populated clinical data and complete required signature elements, with H</t>
  </si>
  <si>
    <t>Intelligent System Sizing Assistant</t>
  </si>
  <si>
    <t>Sales Engineering</t>
  </si>
  <si>
    <t>Technical Quotation</t>
  </si>
  <si>
    <t>Data Analysis, Workflow Automation, Coding Assistance</t>
  </si>
  <si>
    <t>12 hours saved × 1,550 quotes/year × $95/hour × 0.90 × 0.75 = $1.8M</t>
  </si>
  <si>
    <t>12 hours saved × 1,550 quotes/year × $95/hour × 15% win rate lift on faster quotes × 0.95 × 0.75 = $</t>
  </si>
  <si>
    <t>Application engineer reviews and approves all equipment selections, validates calculation assumption</t>
  </si>
  <si>
    <t>Technical Specification Validator</t>
  </si>
  <si>
    <t>Specification Accuracy</t>
  </si>
  <si>
    <t>No direct cost impact</t>
  </si>
  <si>
    <t>1,850 service calls × 50% reduction × $3,200/call × 0.80 × 0.75 = $3.0M</t>
  </si>
  <si>
    <t>Senior application engineer reviews flagged high-risk conditions and specification completeness scor</t>
  </si>
  <si>
    <t>Engineering Onboarding Accelerator</t>
  </si>
  <si>
    <t>Training &amp; Development</t>
  </si>
  <si>
    <t>Engineer Onboarding</t>
  </si>
  <si>
    <t>6 new hires/year × 4 months saved × $95/hour × 160 hours/month × 0.90 × 0.75 = $2.1M</t>
  </si>
  <si>
    <t xml:space="preserve">Senior engineer reviews new hire AI interaction transcripts weekly, validates technical accuracy of </t>
  </si>
  <si>
    <t>Knowledge Base Technical Support</t>
  </si>
  <si>
    <t>14,200 calls × 1.2 hours saved × $95/hour × 60% deflection × 0.90 × 0.75 = $1.7M</t>
  </si>
  <si>
    <t>Field service technician reviews recommended solutions, validates applicability to specific customer</t>
  </si>
  <si>
    <t>Proposal Content Generator</t>
  </si>
  <si>
    <t>Proposal Writing</t>
  </si>
  <si>
    <t>240 proposals × 35 hours saved × $125/hour × 0.90 × 0.75 = $1.3M</t>
  </si>
  <si>
    <t>240 proposals × $425K avg value × 8% win rate lift × 0.95 × 0.75 = $3.8M</t>
  </si>
  <si>
    <t>Proposal manager reviews and edits all AI-generated content for technical accuracy, validates case s</t>
  </si>
  <si>
    <t>Installation Documentation Assistant</t>
  </si>
  <si>
    <t>Field Service</t>
  </si>
  <si>
    <t>Installation Documentation</t>
  </si>
  <si>
    <t>420 installations × 12 hours saved × $95/hour × 0.90 × 0.75 = $600K</t>
  </si>
  <si>
    <t>420 installations × 18% callback rate × 40% reduction × $850/callback × 0.80 × 0.75 = $200K</t>
  </si>
  <si>
    <t>Lead field technician reviews AI-generated drawings for dimensional accuracy, validates equipment li</t>
  </si>
  <si>
    <t>Submittal Compliance Checker</t>
  </si>
  <si>
    <t>Submittal Review</t>
  </si>
  <si>
    <t>850 submittals × 14 hours saved × $125/hour × 0.90 × 0.75 = $900K</t>
  </si>
  <si>
    <t>850 submittals × 5 days saved × $95K project avg × 0.0022 daily rate × 0.85 × 0.75 = $400K</t>
  </si>
  <si>
    <t>Senior engineer reviews all flagged deviations and conflicts, makes accept/reject decisions on subst</t>
  </si>
  <si>
    <t>Manufacturer Data Aggregator</t>
  </si>
  <si>
    <t>Vendor Technical Data</t>
  </si>
  <si>
    <t>23 engineers × 1.8 hours/day × 240 days × $95/hour × 0.90 × 0.75 = $900K</t>
  </si>
  <si>
    <t>Product manager reviews flagged manufacturer specification changes, validates impact on existing pro</t>
  </si>
  <si>
    <t>Demand Forecasting Engine</t>
  </si>
  <si>
    <t>Inventory Planning</t>
  </si>
  <si>
    <t>$18.2M avg inventory × 3.7% rate reduction × 0.85 × 0.75 = $1.8M (stock-out reduction 7.2% to 4.5% w</t>
  </si>
  <si>
    <t>Operations manager reviews AI inventory recommendations, validates against known customer projects a</t>
  </si>
  <si>
    <t>Safety Documentation Generator</t>
  </si>
  <si>
    <t>420 projects × 10 hours saved × $95/hour × 0.90 × 0.75 = $400K</t>
  </si>
  <si>
    <t>Environmental health and safety coordinator reviews generated documentation for regulatory completen</t>
  </si>
  <si>
    <t>Intelligent Customer Service Assistant</t>
  </si>
  <si>
    <t>Contact Center</t>
  </si>
  <si>
    <t>56,070 hours deflected × 0.63 routine inquiries × $48 hourly rate × 0.90 × 0.75 = $2.4M</t>
  </si>
  <si>
    <t xml:space="preserve">Service representatives monitor AI chat sessions in real-time and intervene when customer expresses </t>
  </si>
  <si>
    <t>Automated Regulatory Compliance Monitor</t>
  </si>
  <si>
    <t>10,200 hours saved × $85 hourly rate × 0.90 × 0.75 = $620,000</t>
  </si>
  <si>
    <t>0.08 recall probability × $4.2M average cost × 0.60 reduction × 0.80 × 0.75 = $1.5M</t>
  </si>
  <si>
    <t>Compliance specialists review AI-identified regulatory impacts and approve recommended certification</t>
  </si>
  <si>
    <t>Predictive Collections Prioritization</t>
  </si>
  <si>
    <t>$847M revenue × 0.047 DSO ratio × 6 days reduction × 0.85 × 0.75 × 0.65 = $2.8M</t>
  </si>
  <si>
    <t>Collections managers review AI prioritization daily and adjust based on relationship factors not vis</t>
  </si>
  <si>
    <t>Intelligent Supplier Onboarding Assistant</t>
  </si>
  <si>
    <t>Supplier Onboarding</t>
  </si>
  <si>
    <t>$1.9M onboarding cost × 0.62 time reduction × 0.90 × 0.75 = $910,000</t>
  </si>
  <si>
    <t>Procurement specialists review flagged documentation issues and approve supplier activation. Legal t</t>
  </si>
  <si>
    <t>AI-Powered Safety Content Generator</t>
  </si>
  <si>
    <t>$1.6M production cost × 0.58 time reduction × 0.90 × 0.75 = $720,000</t>
  </si>
  <si>
    <t>10 additional bulletins × $4,200 avg customer value × 18,500 customers × 0.003 conversion × 0.95 × 0</t>
  </si>
  <si>
    <t>Marketing managers review AI-generated bulletins for brand voice consistency and factual accuracy. L</t>
  </si>
  <si>
    <t>Strategic Account Intelligence Platform</t>
  </si>
  <si>
    <t>Account Planning</t>
  </si>
  <si>
    <t>$2.4M planning inefficiency × 0.55 reduction × 0.90 × 0.75 = $1.2M</t>
  </si>
  <si>
    <t>$190M pipeline × 0.063 cross-sell lift × 0.95 × 0.75 × 0.70 = $8.4M</t>
  </si>
  <si>
    <t>Account executives review AI-generated insights and validate recommended actions against relationshi</t>
  </si>
  <si>
    <t>Intelligent Product Data Extraction &amp; Normalization</t>
  </si>
  <si>
    <t>Catalog Operations</t>
  </si>
  <si>
    <t>59,800 hours saved × $85 hourly rate × 0.90 × 0.75 = $3.6M</t>
  </si>
  <si>
    <t>12% supplier partnership increase × $42M addressable revenue × 0.95 × 0.75 × 0.70 = $2.8M</t>
  </si>
  <si>
    <t>Catalog specialists review AI-generated product data cards for accuracy and completeness before publ</t>
  </si>
  <si>
    <t>Demand Forecasting</t>
  </si>
  <si>
    <t>$28M carrying cost reduction × 0.60 inventory optimization × 0.90 × 0.75 = $11.3M</t>
  </si>
  <si>
    <t>$127M tied inventory × 0.18 reduction × 0.85 × 0.75 = $12.4M</t>
  </si>
  <si>
    <t>Inventory planners review forecast variances exceeding 25% week-over-week and approve recommended pu</t>
  </si>
  <si>
    <t>AI-Assisted Proposal Generation</t>
  </si>
  <si>
    <t>2,850 proposals × 10 hours saved × $150 hourly rate × 0.90 × 0.75 = $1.4M</t>
  </si>
  <si>
    <t>$190M pipeline × 0.08 win rate lift × 0.95 × 0.75 × 0.70 = $10.1M</t>
  </si>
  <si>
    <t xml:space="preserve">Account executives review AI-generated proposals for strategic positioning, adjust pricing based on </t>
  </si>
  <si>
    <t>Dynamic Inventory Rebalancing System</t>
  </si>
  <si>
    <t>Inventory Allocation</t>
  </si>
  <si>
    <t>$6.7M allocation inefficiency × 0.68 improvement × 0.90 × 0.75 = $4.0M</t>
  </si>
  <si>
    <t>Regional inventory managers review and approve transfer recommendations exceeding 500 units or $25,0</t>
  </si>
  <si>
    <t>35,250 hours saved × $120/hr × 0.90 × 0.75 = $2,854,125 → $2.8M, plus 4% productivity gain on $20M e</t>
  </si>
  <si>
    <t>18% design rework rate × $7.4M annual rework cost × 15% reduction × 0.80 × 0.75 = $1,001,400 → $1.0M</t>
  </si>
  <si>
    <t>Engineers validate retrieved documentation relevance before incorporating into active design work</t>
  </si>
  <si>
    <t>Quality Inspection Co-Pilot</t>
  </si>
  <si>
    <t>Inspection</t>
  </si>
  <si>
    <t>16,800 hours saved (60% of 28K) × $78/hr × 0.90 × 0.75 = $887,760 → $800K, plus $800K rework avoidan</t>
  </si>
  <si>
    <t>4% defect reduction × 16,800 units/yr × $450 avg rework cost × 0.95 × 0.75 = $2,151,000 → $2.1M capa</t>
  </si>
  <si>
    <t>6% defect escape rate × 16,800 units × $1,200 warranty cost × 33% reduction × 0.80 × 0.75 = $1,596,4</t>
  </si>
  <si>
    <t>Quality inspectors review and approve all AI-flagged potential defects before rejection or rework de</t>
  </si>
  <si>
    <t>Supplier Risk Predictor</t>
  </si>
  <si>
    <t>5,100 hours saved (60% of 8.5K) × $78/hr × 0.90 × 0.75 = $269,730 → $200K, plus expedite cost saving</t>
  </si>
  <si>
    <t>12% delivery variance × $42M procurement × $2.8M disruption cost × 50% reduction × 0.80 × 0.75 = $4,</t>
  </si>
  <si>
    <t>6 days lead time reduction × $42M annual procurement / 365 × 0.85 × 0.75 = $488,219 → $400K, plus in</t>
  </si>
  <si>
    <t>Procurement specialists review AI risk scores and approve mitigation actions before supplier engagem</t>
  </si>
  <si>
    <t>Regulatory Compliance Assistant</t>
  </si>
  <si>
    <t>Regulatory Affairs</t>
  </si>
  <si>
    <t>1,680 hours saved (60% of 2.8K) × $120/hr × 0.90 × 0.75 = $136,080 → $100K, phased adoption</t>
  </si>
  <si>
    <t>8% certification delay risk × 47 products × $850K avg revenue impact × 40% reduction × 0.80 × 0.75 =</t>
  </si>
  <si>
    <t>Regulatory affairs specialists review and attest all submissions for accuracy before regulatory body</t>
  </si>
  <si>
    <t>Customer Performance Report Generator</t>
  </si>
  <si>
    <t>2,760 hours saved (11.25 hrs × 245 customers) × $92/hr × 0.90 × 0.75 = $171,828 → $100K, plus capaci</t>
  </si>
  <si>
    <t>3% retention improvement × $278M renewal base × 0.95 × 0.75 = $5,944,125 → $5.9M, 25% attribution</t>
  </si>
  <si>
    <t>Account managers review reports for strategic accuracy and approve recommendations before customer p</t>
  </si>
  <si>
    <t>Technical Support Deflection Assistant</t>
  </si>
  <si>
    <t>29,400 inquiries deflected (70% of 42K) × 1.8 hrs × $92/hr × 0.90 × 0.75 = $3,287,460 → $3.2M</t>
  </si>
  <si>
    <t>15% escalation rate × 42K inquiries × $180 resolution cost × 12% improvement × 0.80 × 0.75 = $653,18</t>
  </si>
  <si>
    <t xml:space="preserve">Application engineers receive escalated complex inquiries with AI-generated summary and recommended </t>
  </si>
  <si>
    <t>480 hours saved per RFP × 85 RFPs × $120/hr × 0.90 × 0.75 = $3,304,800 total, 33% first year adoptio</t>
  </si>
  <si>
    <t>7% win rate improvement (38% to 45%) × 85 competitive RFPs × $1.1M avg contract × 0.95 × 0.75 = $4,9</t>
  </si>
  <si>
    <t>Sales engineers review and approve all technical claims and solution architecture before customer su</t>
  </si>
  <si>
    <t>Root Cause Analysis Accelerator</t>
  </si>
  <si>
    <t>Non-Conformance Management</t>
  </si>
  <si>
    <t>3,400 events × 4.5 hrs saved × $78/hr × 0.90 × 0.75 = $806,490 → $800K, plus faster resolution value</t>
  </si>
  <si>
    <t xml:space="preserve">22% recurrence rate × 3,400 events × $2,100 avg impact × 40% reduction × 0.80 × 0.75 = $3,780,480 → </t>
  </si>
  <si>
    <t>Quality engineers validate AI-generated hypotheses and approve final root cause determinations befor</t>
  </si>
  <si>
    <t>Test Protocol Generator</t>
  </si>
  <si>
    <t>Design Validation</t>
  </si>
  <si>
    <t>8,400 hours saved (70% of 12K) × $120/hr × 0.90 × 0.75 = $680,400 → $600K, plus 18% rework reduction</t>
  </si>
  <si>
    <t xml:space="preserve">18% protocol rework × $8.2M validation cost × 25% reduction × 0.80 × 0.75 = $2,214,000 → $2.2M, 50% </t>
  </si>
  <si>
    <t xml:space="preserve">Test engineers review and approve protocols for regulatory compliance and technical adequacy before </t>
  </si>
  <si>
    <t>Demand Forecast Reconciliation Engine</t>
  </si>
  <si>
    <t>3,060 hours saved annually (255 hrs × 12 mo) × $98/hr × 0.90 × 0.75 = $203,067 → $200K, plus invento</t>
  </si>
  <si>
    <t>1.2 inventory turn improvement × $45M avg inventory × 8% WACC × 0.85 × 0.75 = $2,754,000 → $2.7M</t>
  </si>
  <si>
    <t>Demand planners review variance explanations and approve material allocation changes before producti</t>
  </si>
  <si>
    <t>Feature Planning</t>
  </si>
  <si>
    <t>9,000 deflected analysis hours × $185/hour × 0.90 × 0.75 = $2.5M</t>
  </si>
  <si>
    <t>12% faster feature delivery × 8% revenue impact per quarter × $45M revenue × 0.95 × 0.75 = $2.8M</t>
  </si>
  <si>
    <t>N/A</t>
  </si>
  <si>
    <t>Product leadership reviews synthesized themes and AI-recommended priorities in monthly roadmap plann</t>
  </si>
  <si>
    <t>Dynamic Proposal Generator</t>
  </si>
  <si>
    <t>Content Creation, Data Analysis</t>
  </si>
  <si>
    <t>4,800 deflected proposal hours × $150/hour × 0.90 × 0.75 = $1.2M</t>
  </si>
  <si>
    <t>4-day sales cycle reduction × 8% deal velocity impact × $45M revenue × 1.35 growth multiplier × 0.95</t>
  </si>
  <si>
    <t>Sales representative reviews generated proposal for accuracy of ROI assumptions and strategic recomm</t>
  </si>
  <si>
    <t>Contextual Support Intelligence System</t>
  </si>
  <si>
    <t>Ticket Resolution</t>
  </si>
  <si>
    <t>24,000 deflected support hours × $95/hour × 0.90 × 0.75 = $5.1M</t>
  </si>
  <si>
    <t>28% ticket deflection × 2% retention impact × $45M revenue × 0.95 × 0.75 = $1.9M</t>
  </si>
  <si>
    <t>Support agent reviews AI-suggested resolution steps and validates solution appropriateness for custo</t>
  </si>
  <si>
    <t>Customer Content Factory</t>
  </si>
  <si>
    <t>7,800 deflected content creation hours × $125/hour × 0.90 × 0.75 = $1.7M</t>
  </si>
  <si>
    <t>100% content output increase × 3% lead generation impact × $45M revenue × 1.35 growth multiplier × 0</t>
  </si>
  <si>
    <t>Content marketing manager reviews AI-generated drafts for strategic messaging alignment, factual acc</t>
  </si>
  <si>
    <t>Intelligent Onboarding Assistant</t>
  </si>
  <si>
    <t>Onboarding</t>
  </si>
  <si>
    <t>32,000 deflected onboarding hours × $150/hour × 0.90 × 0.75 = $4.8M</t>
  </si>
  <si>
    <t>15% reduction in time-to-first-campaign × 35% improvement in early-stage retention × $45M base reven</t>
  </si>
  <si>
    <t xml:space="preserve">Customer Success Manager reviews and approves AI-generated campaign strategy before presentation to </t>
  </si>
  <si>
    <t>Proactive Campaign Performance Advisor</t>
  </si>
  <si>
    <t>11,250 deflected QBR hours × $150/hour × 0.90 × 0.75 = $3.4M</t>
  </si>
  <si>
    <t>7% retention rate improvement × $45M revenue × 0.95 × 0.75 = $5.7M</t>
  </si>
  <si>
    <t>Customer Success Manager validates performance insights and recommendation priorities before custome</t>
  </si>
  <si>
    <t>Carrier Compliance Intelligence Platform</t>
  </si>
  <si>
    <t/>
  </si>
  <si>
    <t>14,500 deflected compliance monitoring hours × $185/hour × 0.90 × 0.75 = $2.7M</t>
  </si>
  <si>
    <t>75% reduction × $180K annual penalties × 12-year horizon × 0.80 × 0.75 = $1.6M</t>
  </si>
  <si>
    <t>Product Manager reviews AI-generated impact assessment and feature recommendations before roadmap pr</t>
  </si>
  <si>
    <t>Intelligent Sales Research Assistant</t>
  </si>
  <si>
    <t>Lead Qualification</t>
  </si>
  <si>
    <t>7,200 deflected research hours × $150/hour × 0.90 × 0.75 = $1.9M</t>
  </si>
  <si>
    <t>9% conversion rate improvement × 18% baseline conversion × $45M revenue × 1.35 growth multiplier × 0</t>
  </si>
  <si>
    <t>Sales representative reviews AI-generated prospect profile and validates recommended use cases again</t>
  </si>
  <si>
    <t>Automated Knowledge Base Maintenance</t>
  </si>
  <si>
    <t>3,600 deflected documentation hours × $125/hour × 0.90 × 0.75 = $800K</t>
  </si>
  <si>
    <t>40% reduction × $200K annual customer confusion cost × 8-year horizon × 0.80 × 0.75 = $900K</t>
  </si>
  <si>
    <t>Technical writer reviews AI-generated article updates for technical accuracy and brand voice consist</t>
  </si>
  <si>
    <t>API Documentation Automation</t>
  </si>
  <si>
    <t>API Documentation</t>
  </si>
  <si>
    <t>4,200 deflected documentation hours × $185/hour × 0.90 × 0.75 = $1.2M</t>
  </si>
  <si>
    <t>28% documentation coverage improvement × 5% developer adoption impact × $45M revenue × 1.35 growth m</t>
  </si>
  <si>
    <t>Senior engineer reviews generated documentation for technical accuracy and validates code examples e</t>
  </si>
  <si>
    <t>Intelligent Proposal Assembly System</t>
  </si>
  <si>
    <t>Research &amp; Information Retrieval, Content Creation, Workflow Automation</t>
  </si>
  <si>
    <t>14,200 hours × $185/hr × 0.90 × 0.75 = $1.8M proposal time + 8,400 hours × $285/hr × 0.90 × 0.75 = $</t>
  </si>
  <si>
    <t>120 incremental pursuits × $375K avg value × 6% win rate lift × 0.95 × 0.75 = $1.9M</t>
  </si>
  <si>
    <t>12 days acceleration × $123K daily revenue × 0.85 × 0.75 = $940K rounded to $800K</t>
  </si>
  <si>
    <t>Senior strategist reviews and approves all AI-assembled proposal sections, customizes strategic posi</t>
  </si>
  <si>
    <t>Adaptive Content Brief Generator</t>
  </si>
  <si>
    <t>Content Briefing</t>
  </si>
  <si>
    <t>18 hours × 280 projects × $185/hr × 0.90 × 0.75 = $1.7M rounded to $1.8M</t>
  </si>
  <si>
    <t>28% reduction in rework × $6.2M annual rework cost × 0.80 × 0.75 = $1.3M</t>
  </si>
  <si>
    <t>No material cash flow impact</t>
  </si>
  <si>
    <t>Content strategist reviews AI-generated brief for creative accuracy, validates brand guideline compl</t>
  </si>
  <si>
    <t>Multi-Stage Content Quality Assistant</t>
  </si>
  <si>
    <t>Quality Review</t>
  </si>
  <si>
    <t>12 hours × 280 projects × $125/hr × 0.90 × 0.75 = $2.3M rounded to $2.4M</t>
  </si>
  <si>
    <t xml:space="preserve">16% reduction in client dissatisfaction × $7.4M client retention risk × 0.80 × 0.75 = $890K rounded </t>
  </si>
  <si>
    <t>Senior content reviewer validates AI quality findings, makes final judgment on creative execution an</t>
  </si>
  <si>
    <t>Intelligent Pitch Deck Composer</t>
  </si>
  <si>
    <t>Pitch Preparation</t>
  </si>
  <si>
    <t>24 hours × 180 pitches × $285/hr × 0.90 × 0.75 = $3.1M rounded to $3.2M</t>
  </si>
  <si>
    <t>90 incremental pitches × $375K avg value × 5% win rate lift × 0.95 × 0.75 = $1.5M rounded to $1.6M</t>
  </si>
  <si>
    <t>Business development director reviews AI-composed pitch deck, customizes strategic positioning based</t>
  </si>
  <si>
    <t>Project Onboarding Packet Assembler</t>
  </si>
  <si>
    <t>Client Management</t>
  </si>
  <si>
    <t>Onboarding Documentation</t>
  </si>
  <si>
    <t>8 hours × 140 projects × $125/hr × 0.90 × 0.75 = $850K rounded to $900K</t>
  </si>
  <si>
    <t>11 days × $123K daily revenue × 0.85 × 0.75 = $1.3M rounded to $1.4M</t>
  </si>
  <si>
    <t>Account manager reviews AI-assembled onboarding packet, validates project-specific details, customiz</t>
  </si>
  <si>
    <t>AI-Enhanced Invoice Narrative System</t>
  </si>
  <si>
    <t>Invoicing Operations</t>
  </si>
  <si>
    <t>2.5 hours × 140 clients × 12 months × $125/hr × 0.90 × 0.75 = $660K rounded to $700K</t>
  </si>
  <si>
    <t>7 days × $123K daily revenue × 0.85 × 0.75 = $1.0M rounded to $1.1M</t>
  </si>
  <si>
    <t>Finance manager validates AI-generated invoice narratives against actual work performed, adjusts lan</t>
  </si>
  <si>
    <t>AI-Powered Research Synthesis Engine</t>
  </si>
  <si>
    <t>Strategy Consulting</t>
  </si>
  <si>
    <t>32 hours × 140 engagements × $285/hr × 0.90 × 0.75 = $2.4M rounded to $2.5M</t>
  </si>
  <si>
    <t>32 hours saved × 140 engagements × $285/hr converted to billable × 0.95 × 0.75 = $900K + strategic d</t>
  </si>
  <si>
    <t>Strategy consultant validates all synthesized research findings, verifies source accuracy, adds indu</t>
  </si>
  <si>
    <t>Automated Competitive Intelligence Monitor</t>
  </si>
  <si>
    <t>Competitive Analysis</t>
  </si>
  <si>
    <t>8 hours × 140 engagements × $185/hr × 0.90 × 0.75 = $1.3M rounded to $1.4M</t>
  </si>
  <si>
    <t xml:space="preserve">Competitive insights enabling 3% win rate lift × 45 pursuits/qtr × 4 qtrs × $375K avg × 0.95 × 0.75 </t>
  </si>
  <si>
    <t>Strategy consultant validates AI-identified competitive insights, assesses strategic significance fo</t>
  </si>
  <si>
    <t>Intelligent Status Report Generator</t>
  </si>
  <si>
    <t>Status Reporting</t>
  </si>
  <si>
    <t>3 hours × 140 projects × 52 weeks × $125/hr × 0.90 × 0.75 = $1.5M rounded to $1.6M</t>
  </si>
  <si>
    <t>12% improvement in client satisfaction × $6.8M retention risk × 0.80 × 0.75 = $650K rounded to $600K</t>
  </si>
  <si>
    <t>Account manager validates AI-generated status narrative, adds strategic context for delays or risks,</t>
  </si>
  <si>
    <t>Semantic Knowledge Retrieval System</t>
  </si>
  <si>
    <t>12 minutes × 280 consultants × 220 workdays × $185/hr × 0.90 × 0.75 = $2.0M rounded to $2.1M</t>
  </si>
  <si>
    <t>Consultant validates relevance of AI-retrieved prior work for current engagement context, adapts reu</t>
  </si>
  <si>
    <t>Pitch Intelligence Assistant</t>
  </si>
  <si>
    <t>7% win rate lift × $190M annual pitch pipeline × 0.95 × 0.75 = $9.4M × 0.40 adoption = $3.8M</t>
  </si>
  <si>
    <t>Strategy directors review and validate all market insights before inclusion in client-facing pitch m</t>
  </si>
  <si>
    <t>Knowledge Discovery Engine</t>
  </si>
  <si>
    <t>Case Study Retrieval</t>
  </si>
  <si>
    <t>Account strategists review retrieved case studies for relevance to current client context and approv</t>
  </si>
  <si>
    <t>Code Quality Assessment System</t>
  </si>
  <si>
    <t>Technology Delivery</t>
  </si>
  <si>
    <t>Code Review</t>
  </si>
  <si>
    <t>35% defect reduction × $4.8M post-launch remediation × 0.80 × 0.75 = $1.0M rounded to $1.2M</t>
  </si>
  <si>
    <t>Technical leads review all critical and high-severity findings for business impact assessment before</t>
  </si>
  <si>
    <t>Creative Asset Versioning Engine</t>
  </si>
  <si>
    <t>Creative Services</t>
  </si>
  <si>
    <t>Asset Production</t>
  </si>
  <si>
    <t>7 days campaign acceleration × $52K daily revenue × 30 campaigns × 0.85 × 0.75 = $7.0M × 0.19 margin</t>
  </si>
  <si>
    <t>Art directors review randomized samples of 15% of generated variants for brand compliance and qualit</t>
  </si>
  <si>
    <t>Scope Change Documentation System</t>
  </si>
  <si>
    <t>Project Management</t>
  </si>
  <si>
    <t>Scope Documentation</t>
  </si>
  <si>
    <t>12% reduction × $12M scope dispute exposure × 0.80 × 0.75 = $0.9M rounded to $1.1M</t>
  </si>
  <si>
    <t>7 days change order acceleration × $41K daily revenue × 85 changes × 0.85 × 0.75 = $1.7M</t>
  </si>
  <si>
    <t>Project managers review all AI-flagged scope changes for accuracy and business impact before initiat</t>
  </si>
  <si>
    <t>Consumer Insights Synthesis Platform</t>
  </si>
  <si>
    <t>Strategy &amp; Planning</t>
  </si>
  <si>
    <t>Consumer Insights</t>
  </si>
  <si>
    <t xml:space="preserve">Strategy leads validate statistical significance of identified patterns and assess cultural context </t>
  </si>
  <si>
    <t>Brand Compliance Guardian</t>
  </si>
  <si>
    <t>Brand Compliance</t>
  </si>
  <si>
    <t>18% reduction × $7M brand compliance incidents × 0.80 × 0.75 = $0.8M</t>
  </si>
  <si>
    <t>Creative directors review all flagged violations for severity assessment and make final determinatio</t>
  </si>
  <si>
    <t>Project Margin Forecasting Model</t>
  </si>
  <si>
    <t>Budget Forecasting</t>
  </si>
  <si>
    <t>20% reduction × $9.3M margin variance exposure × 0.80 × 0.75 = $1.1M rounded to $1.4M</t>
  </si>
  <si>
    <t>Finance business partners review margin predictions for reasonableness and validate recommended inte</t>
  </si>
  <si>
    <t>Onboarding Knowledge Assistant</t>
  </si>
  <si>
    <t>Talent Development</t>
  </si>
  <si>
    <t xml:space="preserve">Talent development managers review AI-generated learning paths for role appropriateness and monitor </t>
  </si>
  <si>
    <t>Contract Redlining</t>
  </si>
  <si>
    <t>14% reduction × $6.2M contract dispute exposure × 0.80 × 0.75 = $0.5M rounded to $0.6M</t>
  </si>
  <si>
    <t>5 days contract acceleration × $37K daily revenue × 48 new clients × 0.85 × 0.75 = $1.1M</t>
  </si>
  <si>
    <t xml:space="preserve">Legal counsel reviews all AI-suggested contract language before client submission and approves risk </t>
  </si>
  <si>
    <t>Biometric Data Normalization Engine</t>
  </si>
  <si>
    <t>Biometric Data Processing</t>
  </si>
  <si>
    <t>18,500 hours × $125/hour × 75% time reduction × 0.90 × 0.75 = $17.0M</t>
  </si>
  <si>
    <t>15% reduction × $15M data quality exposure × 0.80 × 0.75 = $1.8M</t>
  </si>
  <si>
    <t>Clinical quality assurance specialists review and approve all flagged data anomalies and outlier val</t>
  </si>
  <si>
    <t>Real-Time Health Insight Generator</t>
  </si>
  <si>
    <t>Health Risk Assessment</t>
  </si>
  <si>
    <t>14 percentage point engagement lift × $180M revenue × 0.48 revenue correlation × 0.95 × 0.75 = $12.1</t>
  </si>
  <si>
    <t>25% reduction × $18M undetected high-risk exposure × 0.80 × 0.75 = $2.7M</t>
  </si>
  <si>
    <t>Licensed health coaches review and approve all clinical recommendations and member-facing health gui</t>
  </si>
  <si>
    <t>Intelligent Member Support Assistant</t>
  </si>
  <si>
    <t>Contact Center Operations</t>
  </si>
  <si>
    <t>285,000 contacts × 68% tier-one × 60% deflection × 8.4 min × $65/hour ÷ 60 min × 0.90 × 0.75 = $7.3M</t>
  </si>
  <si>
    <t>Support specialists monitor AI conversations in real-time and intervene on escalated cases or member</t>
  </si>
  <si>
    <t>Personalized Engagement Recommendation Engine</t>
  </si>
  <si>
    <t>Member Engagement</t>
  </si>
  <si>
    <t>Program Personalization</t>
  </si>
  <si>
    <t>10 percentage point engagement lift × $180M revenue × 0.36 revenue correlation × 0.95 × 0.75 = $9.7M</t>
  </si>
  <si>
    <t>Wellness program managers review and approve recommended interventions for high-risk members or sens</t>
  </si>
  <si>
    <t>HIPAA Audit Documentation Assistant</t>
  </si>
  <si>
    <t>Compliance &amp; Legal</t>
  </si>
  <si>
    <t>32 annual audits × 124 hours × 70% time reduction × $125/hour × 0.90 × 0.75 = $2.7M</t>
  </si>
  <si>
    <t>20% reduction × $12M compliance penalty exposure × 0.80 × 0.75 = $1.4M</t>
  </si>
  <si>
    <t>Privacy counsel reviews and approves all audit response content and legal assertions before regulato</t>
  </si>
  <si>
    <t>Product Development Documentation Accelerator</t>
  </si>
  <si>
    <t>Feature Delivery</t>
  </si>
  <si>
    <t>24 features/year × 34 days × 60% time reduction × 6 hours/day × $125/hour × 0.90 × 0.75 = $4.0M</t>
  </si>
  <si>
    <t>Engineering leads review and approve all technical documentation for accuracy, completeness, and sec</t>
  </si>
  <si>
    <t>Predictive Churn Intelligence System</t>
  </si>
  <si>
    <t>Client Retention</t>
  </si>
  <si>
    <t>4 percentage point retention lift × $180M revenue × 0.85 revenue at risk × 0.95 × 0.75 = $22.8M</t>
  </si>
  <si>
    <t>Client success directors review churn risk scores and approve recommended intervention strategies be</t>
  </si>
  <si>
    <t>RFP Response Acceleration Platform</t>
  </si>
  <si>
    <t>180 RFPs × 42 days × 18 days reduction × 4 hours/day × $95/hour × 0.90 × 0.75 = $4.8M</t>
  </si>
  <si>
    <t>8 percentage point win rate lift × 180 annual RFPs × $400K avg contract × 0.95 × 0.75 = $6.8M</t>
  </si>
  <si>
    <t>37 days cycle reduction × $450K daily cash impact × 0.85 × 0.75 = $8.1M</t>
  </si>
  <si>
    <t>Sales directors review and approve all proposal content, pricing scenarios, and compliance assertion</t>
  </si>
  <si>
    <t>Client Health Outcome Report Generator</t>
  </si>
  <si>
    <t>Data Analytics</t>
  </si>
  <si>
    <t>Client Reporting</t>
  </si>
  <si>
    <t>450 clients × 4 reports/year × 28 hours × 65% time reduction × $95/hour × 0.90 × 0.75 = $6.1M</t>
  </si>
  <si>
    <t>Senior health data analysts review statistical methodologies, validate outcome claims, and approve n</t>
  </si>
  <si>
    <t>Revenue Contract Modeling Assistant</t>
  </si>
  <si>
    <t>450 contracts × 12 hours × 70% time reduction × $95/hour × 0.90 × 0.75 = $3.2M</t>
  </si>
  <si>
    <t>30% reduction × $5M pricing error exposure × 0.80 × 0.75 = $0.9M</t>
  </si>
  <si>
    <t>18 days cycle reduction × $220K daily cash impact × 0.85 × 0.75 = $3.8M</t>
  </si>
  <si>
    <t>Finance managers review pricing calculations, discount approvals, and revenue recognition assumption</t>
  </si>
  <si>
    <t>AI-Powered Labor Scheduling</t>
  </si>
  <si>
    <t>Labor Management</t>
  </si>
  <si>
    <t>Data Analysis (demand forecasting), Workflow Automation (schedule generation)</t>
  </si>
  <si>
    <t xml:space="preserve">185 locations × (15 - 8) hrs/week × 52 weeks × $35/hr × 0.90 × 0.75 + 2% labor efficiency × $320M × </t>
  </si>
  <si>
    <t>No direct revenue benefit quantified</t>
  </si>
  <si>
    <t>No direct risk mitigation benefit quantified</t>
  </si>
  <si>
    <t>No direct cash flow benefit quantified</t>
  </si>
  <si>
    <t>Managers review and approve weekly schedules before publication, with mandatory approval of any sche</t>
  </si>
  <si>
    <t>Automated Food Safety Compliance</t>
  </si>
  <si>
    <t>Food Safety Documentation</t>
  </si>
  <si>
    <t>Data Analysis (anomaly detection), Conversational Interfaces (voice logging), Workflow Automation (documentation)</t>
  </si>
  <si>
    <t>185 locations × (6 - 2) hrs/week × 52 weeks × $35/hr × 0.90 × 0.75 = $1.6M</t>
  </si>
  <si>
    <t>(2.4 - 1.2) incidents × 185 locations × $6K avg cost × 0.80 × 0.75 = $1.3M</t>
  </si>
  <si>
    <t xml:space="preserve">Store managers review and digitally sign off on all auto-generated compliance reports weekly before </t>
  </si>
  <si>
    <t>Predictive Equipment Maintenance</t>
  </si>
  <si>
    <t>Equipment Maintenance</t>
  </si>
  <si>
    <t>Data Analysis (pattern recognition, anomaly detection), Workflow Automation (work order generation)</t>
  </si>
  <si>
    <t>185 locations × 9 hrs saved × $125 emergency rate premium × 0.90 × 0.75 = $1.5M</t>
  </si>
  <si>
    <t>(18 - 9) hrs × 185 locations × $950 avg hourly revenue × 0.95 × 0.75 = $1.7M</t>
  </si>
  <si>
    <t>0.15 × $6.5M annual equipment incidents × 0.80 × 0.75 = $0.8M</t>
  </si>
  <si>
    <t>Maintenance supervisors review and approve all predictive maintenance work orders, with emergency re</t>
  </si>
  <si>
    <t>AI Training Coach</t>
  </si>
  <si>
    <t>Content Creation (personalized learning paths), Conversational Interfaces (Q&amp;A), Data Analysis (competency assessment)</t>
  </si>
  <si>
    <t>(45 - 25) days × 0.30 productivity loss × (110% × 4200 employees) × $18/hr × 8 hrs/day × 0.90 × 0.75</t>
  </si>
  <si>
    <t xml:space="preserve">Store managers conduct final skills assessments and certify new hires for independent work, with AI </t>
  </si>
  <si>
    <t>Order Accuracy Advisor</t>
  </si>
  <si>
    <t>Customer Experience</t>
  </si>
  <si>
    <t>Order Accuracy</t>
  </si>
  <si>
    <t>Data Analysis (error pattern recognition), Conversational Interfaces (order confirmation), Workflow Automation (quality alerts)</t>
  </si>
  <si>
    <t>(3.8% - 1.8%) × 52M transactions × $8.60 avg × 0.32 food cost × 0.90 × 0.75 = $2.5M</t>
  </si>
  <si>
    <t>0.02 error rate reduction × 52M transactions × $2.50 customer recovery × 0.80 × 0.75 = $0.6M</t>
  </si>
  <si>
    <t xml:space="preserve">Kitchen managers review error pattern reports weekly and approve any procedural changes recommended </t>
  </si>
  <si>
    <t>Predictive Inventory Optimization</t>
  </si>
  <si>
    <t>Data Analysis (pattern recognition, forecasting), Workflow Automation (order generation)</t>
  </si>
  <si>
    <t>(4.1% - 2.5%) × $320M × 0.32 food cost × 0.90 × 0.75 + 77K hours × $35/hr × 0.50 time saved × 0.90 ×</t>
  </si>
  <si>
    <t>2.3% stockout reduction × $320M revenue × 0.50 recapture × 0.95 × 0.75 = $3.5M</t>
  </si>
  <si>
    <t>(8.5 - 5.8) days × $280K daily inventory × 0.08 rate × 0.85 × 0.75 = $1.8M</t>
  </si>
  <si>
    <t>Store managers review and approve all AI-generated orders before transmission to suppliers, with man</t>
  </si>
  <si>
    <t>Dynamic Menu Personalization</t>
  </si>
  <si>
    <t>Sales &amp; Marketing</t>
  </si>
  <si>
    <t>Data Analysis (customer segmentation), Content Creation (menu generation)</t>
  </si>
  <si>
    <t>No direct cost reduction benefit quantified</t>
  </si>
  <si>
    <t>($9.20 - $8.60) × 52M transactions × 0.95 × 0.75 = $16.3M</t>
  </si>
  <si>
    <t>Marketing team reviews and approves all menu recommendation algorithms monthly, with pricing changes</t>
  </si>
  <si>
    <t>Intelligent Hiring Assistant</t>
  </si>
  <si>
    <t>Recruiting &amp; Retention</t>
  </si>
  <si>
    <t>Data Analysis (candidate screening), Conversational Interfaces (interview scheduling), Content Creation (job postings)</t>
  </si>
  <si>
    <t>(110% - 85%) × 4200 employees × ($1400 recruiting + 40 hrs × $35/hr training) × 0.90 × 0.75 = $4.8M</t>
  </si>
  <si>
    <t>Hiring managers conduct final interviews with all AI-screened candidates and make all hiring decisio</t>
  </si>
  <si>
    <t>Automated Invoice Processing</t>
  </si>
  <si>
    <t>Data Analysis (document classification, pattern matching), Workflow Automation (three-way matching)</t>
  </si>
  <si>
    <t>185 locations × 120 invoices/month × 0.25 hrs × $35/hr × 0.90 × 0.75 = $0.5M</t>
  </si>
  <si>
    <t>0.02 early pay discount × $320M × 0.32 food cost × 0.65 capture rate × 0.85 × 0.75 = $3.2M</t>
  </si>
  <si>
    <t>AP team reviews all flagged discrepancies and approves invoices exceeding $5K before payment process</t>
  </si>
  <si>
    <t>Multi-Unit Performance Intelligence</t>
  </si>
  <si>
    <t>Multi-Unit Oversight</t>
  </si>
  <si>
    <t>Data Analysis (performance benchmarking, anomaly detection), Conversational Interfaces (Q&amp;A dashboards)</t>
  </si>
  <si>
    <t>18 district managers × 8 hrs/week × 52 weeks × $55/hr × 0.50 time saved × 0.90 × 0.75 = $1.8M</t>
  </si>
  <si>
    <t>0.03 revenue lift × $320M × 0.50 attributable locations × 0.95 × 0.75 = $4.8M</t>
  </si>
  <si>
    <t>District managers review AI-generated performance briefs and determine intervention priorities, with</t>
  </si>
  <si>
    <t>Market Intelligence Pricing Optimizer</t>
  </si>
  <si>
    <t>Pricing Strategy</t>
  </si>
  <si>
    <t>5% price lift × $385K avg × 14,500 transactions × 0.45 adoption × 0.95 × 0.75 = $11.9M, rounded down</t>
  </si>
  <si>
    <t>No quantified risk impact</t>
  </si>
  <si>
    <t xml:space="preserve">Agents review AI pricing recommendations against market intuition; validate competitive positioning </t>
  </si>
  <si>
    <t>Intelligent Transaction Orchestrator</t>
  </si>
  <si>
    <t>Transaction Coordination</t>
  </si>
  <si>
    <t>Workflow Automation, Conversational Interfaces, Data Analysis</t>
  </si>
  <si>
    <t>35,000 hours × $65/hr × 0.90 × 0.75 = $1.5M, rounded down to $1.4M</t>
  </si>
  <si>
    <t>3.7 days × $220K/day × 0.85 × 0.75 = $4.1M, rounded down to $3.8M</t>
  </si>
  <si>
    <t>Transaction coordinator reviews and approves all auto-generated communications before sending; valid</t>
  </si>
  <si>
    <t>AI-Powered Listing Content Generator</t>
  </si>
  <si>
    <t>Marketing Operations</t>
  </si>
  <si>
    <t>Listing Preparation</t>
  </si>
  <si>
    <t>13,800 hours × $85/hr × 0.90 × 0.75 = $1.5M, rounded down to $1.3M</t>
  </si>
  <si>
    <t>8% price lift × $385K avg × 14,500 transactions × 0.35 adoption × 0.95 × 0.75 = $20.8M, rounded down</t>
  </si>
  <si>
    <t>Listing agent reviews and edits all AI-generated content before publication; validates factual accur</t>
  </si>
  <si>
    <t>Adaptive Agent Coaching System</t>
  </si>
  <si>
    <t>Agent Development</t>
  </si>
  <si>
    <t>Performance Coaching</t>
  </si>
  <si>
    <t>Data Analysis, Conversational Interfaces, Content Creation</t>
  </si>
  <si>
    <t xml:space="preserve">23% to 14% attrition × 150 annual hires × $85K replacement cost × 0.90 × 0.75 = $2.3M, rounded down </t>
  </si>
  <si>
    <t>4 additional transactions × 650 agents × $2,800 avg commission × 0.40 adoption × 0.95 × 0.75 = $10.4</t>
  </si>
  <si>
    <t>Sales managers review AI-flagged performance concerns before agent outreach; approve personalized co</t>
  </si>
  <si>
    <t>Automated CMA Intelligence Engine</t>
  </si>
  <si>
    <t>Market Analysis</t>
  </si>
  <si>
    <t>34,800 hours × $85/hr × 0.90 × 0.75 = $2.8M, rounded down to $2.5M</t>
  </si>
  <si>
    <t>Agents review comparable property selections for appropriateness; validate valuation adjustments aga</t>
  </si>
  <si>
    <t>Jurisdiction-Aware Compliance Assistant</t>
  </si>
  <si>
    <t>Disclosure Management</t>
  </si>
  <si>
    <t>Research &amp; Information Retrieval, Workflow Automation, Content Creation</t>
  </si>
  <si>
    <t>12% to 3% error reduction × 14,500 transactions × $40 rework cost × 0.90 × 0.75 = $250K, rounded dow</t>
  </si>
  <si>
    <t>0.08 probability × $35M penalty exposure × 0.80 × 0.75 = $2.4M, rounded down to $2.1M</t>
  </si>
  <si>
    <t>Compliance officer reviews regulatory interpretation for complex scenarios; validates AI-generated d</t>
  </si>
  <si>
    <t>Intelligent Client Communication Hub</t>
  </si>
  <si>
    <t>Communication</t>
  </si>
  <si>
    <t>Conversational Interfaces, Research &amp; Information Retrieval, Content Creation</t>
  </si>
  <si>
    <t>16,800 hours × $95/hr × 0.90 × 0.75 = $1.6M, rounded down to $1.4M</t>
  </si>
  <si>
    <t xml:space="preserve">2% retention improvement × 73% baseline × 14,500 transactions × $2,800 avg commission × 0.95 × 0.75 </t>
  </si>
  <si>
    <t>Agents review and approve AI-drafted responses for non-routine inquiries; validate accuracy of trans</t>
  </si>
  <si>
    <t>Proactive Relationship Nurture Engine</t>
  </si>
  <si>
    <t>Relationship Management</t>
  </si>
  <si>
    <t xml:space="preserve">$210 per new client cost reduction × 2,500 new relationships × 0.90 × 0.75 = $470K, rounded down to </t>
  </si>
  <si>
    <t>6% referral rate improvement × 14,500 transactions × $2,800 avg commission × 0.95 × 0.75 = $9.9M, ro</t>
  </si>
  <si>
    <t xml:space="preserve">Agents review AI-identified high-intent prospects before prioritized outreach; approve personalized </t>
  </si>
  <si>
    <t>Accelerated Onboarding Intelligence</t>
  </si>
  <si>
    <t>160 hours saved × 150 new agents × $95/hr × 0.90 × 0.75 = $1.7M, rounded down to $1.5M</t>
  </si>
  <si>
    <t>30 days faster productivity × 150 new agents × 1.8 transactions/month × $2,800 commission × 0.95 × 0</t>
  </si>
  <si>
    <t>Training managers review personalized learning paths before deployment; validate knowledge assessmen</t>
  </si>
  <si>
    <t>Automated Transaction Status Reporter</t>
  </si>
  <si>
    <t>Party Communication</t>
  </si>
  <si>
    <t>25,500 hours × $65/hr × 0.90 × 0.75 = $1.7M, rounded down to $1.5M</t>
  </si>
  <si>
    <t>Transaction coordinators review system-detected delays before alerting parties; validate milestone c</t>
  </si>
  <si>
    <t>Automated Inspection Report Generation</t>
  </si>
  <si>
    <t>Field Operations</t>
  </si>
  <si>
    <t>Safety Inspections</t>
  </si>
  <si>
    <t>8,900 hours × $150/hr × 70% time reduction × 0.90 × 0.75 = $630K rounded to $600K, plus $200K qualit</t>
  </si>
  <si>
    <t>5% × $5M compliance exposure × 0.80 × 0.75 = $150K rounded to $200K</t>
  </si>
  <si>
    <t>Field supervisor reviews and approves AI-generated reports before submission to regulatory database,</t>
  </si>
  <si>
    <t>Regulatory Filing Intelligence Assistant</t>
  </si>
  <si>
    <t>Regulatory Compliance</t>
  </si>
  <si>
    <t>Commission Filings</t>
  </si>
  <si>
    <t>$2.8M annual burden × 65% reduction × 0.90 × 0.75 = $1.23M rounded to $1.2M, plus $500K from reduced</t>
  </si>
  <si>
    <t>10% × $6.7M penalty exposure × 0.80 × 0.75 = $402K rounded to $400K</t>
  </si>
  <si>
    <t>Regulatory affairs director reviews compiled data for accuracy and approves narrative content before</t>
  </si>
  <si>
    <t>Interactive Technical Knowledge Base</t>
  </si>
  <si>
    <t>Knowledge Transfer</t>
  </si>
  <si>
    <t>85 techs × 180 days × $85/hr × 22% reduction × 0.90 × 0.75 = $865K rounded to $900K</t>
  </si>
  <si>
    <t>25% × $2.7M knowledge loss exposure × 0.80 × 0.75 = $405K rounded to $500K</t>
  </si>
  <si>
    <t>Subject matter experts validate AI-generated technical guidance before publication to knowledge base</t>
  </si>
  <si>
    <t>Automated Contract Compliance Screening</t>
  </si>
  <si>
    <t>180 contracts × 8 hours × $150/hr × 50% reduction × 0.90 × 0.75 = $194K rounded to $200K</t>
  </si>
  <si>
    <t>8% × $4.2M contract dispute exposure × 0.80 × 0.75 = $201K rounded to $200K</t>
  </si>
  <si>
    <t xml:space="preserve">Procurement manager and legal counsel review AI-flagged contract provisions and validate compliance </t>
  </si>
  <si>
    <t>Customer Service Knowledge Assistant</t>
  </si>
  <si>
    <t>35 reps × 1,820 hours × $100/hr × 30% time savings × 0.90 × 0.75 = $1.29M rounded to $900K</t>
  </si>
  <si>
    <t xml:space="preserve">14% FCR improvement × 124,000 calls × 2% conversion to new service × $185 avg value × 0.95 × 0.75 = </t>
  </si>
  <si>
    <t xml:space="preserve">Customer service representative validates AI-provided information before communicating to customer, </t>
  </si>
  <si>
    <t>Intelligent Emergency Dispatch Optimization</t>
  </si>
  <si>
    <t>Emergency Dispatch</t>
  </si>
  <si>
    <t xml:space="preserve">0.5 hours savings × 8,500 emergency calls × $85/hr technician rate × 0.90 × 0.75 = $326K rounded to </t>
  </si>
  <si>
    <t>20% × $5M safety incident exposure × 0.80 × 0.75 = $600K</t>
  </si>
  <si>
    <t>Dispatch supervisor reviews and approves AI routing recommendations for all emergency calls before t</t>
  </si>
  <si>
    <t>Automated Root Cause Analysis</t>
  </si>
  <si>
    <t>Asset Management</t>
  </si>
  <si>
    <t>Incident Analysis</t>
  </si>
  <si>
    <t>340 incidents × 12 hours × $150/hr × 50% time reduction × 0.90 × 0.75 = $275K rounded to $300K</t>
  </si>
  <si>
    <t>15% improvement × $3.2M repeat incident cost × 0.80 × 0.75 = $288K rounded to $300K</t>
  </si>
  <si>
    <t>Senior engineer reviews AI-generated root cause analysis and validates recommended corrective action</t>
  </si>
  <si>
    <t>Predictive Asset Failure Risk Scoring</t>
  </si>
  <si>
    <t>Predictive Maintenance</t>
  </si>
  <si>
    <t>Data Analysis</t>
  </si>
  <si>
    <t>340 outages × 4.7 hours × $85/hr × 25% reduction × 0.90 × 0.75 = $230K rounded to $400K including av</t>
  </si>
  <si>
    <t>30% × $5M unplanned outage cost × 0.80 × 0.75 = $900K rounded to $1.2M</t>
  </si>
  <si>
    <t>90 days deferred × $45M annual capex ÷ 365 × 0.85 × 0.75 = $6.6M rounded to $1.4M conservative</t>
  </si>
  <si>
    <t>Asset management director reviews quarterly risk score outputs and validates prioritization logic be</t>
  </si>
  <si>
    <t>Capital Expenditure Optimization Engine</t>
  </si>
  <si>
    <t>Capital Planning</t>
  </si>
  <si>
    <t>800 hours biennial × $150/hr ÷ 2 years × 60% reduction × 0.90 × 0.75 = $162K rounded to $200K</t>
  </si>
  <si>
    <t>120 days better timing × $45M capex ÷ 365 × 0.85 × 0.75 = $2.83M rounded to $2.3M</t>
  </si>
  <si>
    <t>Chief engineer and CFO jointly review AI-generated capital allocation scenarios and validate priorit</t>
  </si>
  <si>
    <t>Design Package Compliance Review</t>
  </si>
  <si>
    <t>Design Review</t>
  </si>
  <si>
    <t>220 reviews × 8 hours × $150/hr × 40% reduction × 0.90 × 0.75 = $213K rounded to $200K</t>
  </si>
  <si>
    <t>10% × $3.3M design error exposure × 0.80 × 0.75 = $198K rounded to $200K</t>
  </si>
  <si>
    <t>3 days faster × 220 projects × $2,100 avg daily carrying cost × 0.85 × 0.75 = $296K rounded to $300K</t>
  </si>
  <si>
    <t>Licensed professional engineer reviews AI-flagged compliance issues and validates design approval be</t>
  </si>
  <si>
    <t>Predictive Supplier Risk Monitor</t>
  </si>
  <si>
    <t>Supplier Risk Monitoring</t>
  </si>
  <si>
    <t>75% reduction × $41M disruption cost × 0.60 effectiveness × 0.80 × 0.75 = $14.7M</t>
  </si>
  <si>
    <t>Procurement manager reviews AI risk assessment and alternate sourcing recommendations before authori</t>
  </si>
  <si>
    <t>Automated Quote Configuration Engine</t>
  </si>
  <si>
    <t>Custom Quote Generation</t>
  </si>
  <si>
    <t>4,800 quotes × 2.5 days saved × $185/hour × 8 hours × 0.90 × 0.75 = $9.8M</t>
  </si>
  <si>
    <t>5% conversion lift × $127M pipeline × 2.1 quote cycles/year × 0.95 × 0.75 = $19.0M</t>
  </si>
  <si>
    <t>No quantified risk reduction</t>
  </si>
  <si>
    <t>Sales engineer reviews AI pricing and lead time estimates, adjusts for strategic factors, and approv</t>
  </si>
  <si>
    <t>Quality Pattern Recognition System</t>
  </si>
  <si>
    <t>Quality</t>
  </si>
  <si>
    <t>Indirect through scrap reduction</t>
  </si>
  <si>
    <t>35% reduction × $8.4M NCR burden × 0.80 × 0.75 + 0.9% scrap improvement × $847M revenue × 0.08 margi</t>
  </si>
  <si>
    <t>Quality manager reviews AI-identified patterns and validates root cause hypotheses before implementi</t>
  </si>
  <si>
    <t>Engineering Knowledge Synthesis Platform</t>
  </si>
  <si>
    <t>5.3 months × 45 engineers/year × $185/hour × 160 hours × 0.90 × 0.75 = $9.0M</t>
  </si>
  <si>
    <t>40% reduction × $11.4M knowledge loss risk × 0.80 × 0.75 = $2.7M + 20% project delay reduction × $9.</t>
  </si>
  <si>
    <t xml:space="preserve">Senior engineer validates AI-synthesized design guidance and approves knowledge base entries before </t>
  </si>
  <si>
    <t>Contract Variance Reconciliation System</t>
  </si>
  <si>
    <t>Contract Reconciliation</t>
  </si>
  <si>
    <t>280 disputes × 11 days × $150/hour × 8 hours × 0.90 × 0.75 = $5.0M</t>
  </si>
  <si>
    <t xml:space="preserve">11 days × $9.2M/22 days average × 0.85 × 0.75 = $2.9M + improved DSO 5 days × $847M/365 × 0.08 WACC </t>
  </si>
  <si>
    <t xml:space="preserve">Contract administrator reviews AI reconciliation analysis and approves variance explanations before </t>
  </si>
  <si>
    <t>Technical Drawing Intelligence Assistant</t>
  </si>
  <si>
    <t>7,900 packages × 7.7 hours saved × $185/hour × 0.90 × 0.75 = $16.9M</t>
  </si>
  <si>
    <t>Design engineer reviews AI-generated drawing annotations for technical accuracy and approves for rel</t>
  </si>
  <si>
    <t>Engineering Change Intelligence Engine</t>
  </si>
  <si>
    <t>Change Management</t>
  </si>
  <si>
    <t>Workflow Automation, Data Analysis, Content Creation</t>
  </si>
  <si>
    <t>28,000 hours × $185/hour × 0.70 reduction × 0.90 × 0.75 = $24.5M</t>
  </si>
  <si>
    <t>11 days × $2.3M/day WIP × 0.85 × 0.75 = $16.2M + 8 days × $847M/365 × 0.08 WACC × 0.85 × 0.75 = $5.1</t>
  </si>
  <si>
    <t>Lead engineer reviews AI-generated impact analysis and approves routing path before automated distri</t>
  </si>
  <si>
    <t>Intelligent Quality Documentation Assistant</t>
  </si>
  <si>
    <t>31,000 hours × $125/hour × 0.60 reduction × 0.90 × 0.75 = $15.8M</t>
  </si>
  <si>
    <t>15% reduction × $11M audit/certification risk × 0.80 × 0.75 = $1.0M</t>
  </si>
  <si>
    <t>3.6 days × $2.3M/day WIP × 0.85 × 0.75 = $5.3M + 4 days × $847M/365 × 0.08 WACC × 0.85 × 0.75 = $6.4</t>
  </si>
  <si>
    <t>Quality engineer reviews AI-drafted FAI report and validates dimensional interpretations before cust</t>
  </si>
  <si>
    <t>Customer Service Knowledge Navigator</t>
  </si>
  <si>
    <t>Order Management</t>
  </si>
  <si>
    <t>Conversational Interfaces, Research &amp; Information Retrieval, Data Analysis</t>
  </si>
  <si>
    <t>42,000 hours × $95/hour × 0.50 deflection × 0.90 × 0.75 = $13.5M</t>
  </si>
  <si>
    <t>Service representative reviews AI-drafted response for accuracy and tone before sending to customer.</t>
  </si>
  <si>
    <t>Production Schedule Optimization Agent</t>
  </si>
  <si>
    <t>Production Scheduling</t>
  </si>
  <si>
    <t>Workflow Automation, Data Analysis, Research &amp; Information Retrieval</t>
  </si>
  <si>
    <t>Indirect through capacity optimization</t>
  </si>
  <si>
    <t>50% reduction × $6.2M late delivery penalty × 0.80 × 0.75 = $1.9M</t>
  </si>
  <si>
    <t>21 days × $183M WIP / 79 days baseline × 0.85 × 0.75 = $29.4M</t>
  </si>
  <si>
    <t>Production planner reviews AI-generated schedule, validates customer priority rankings, and approves</t>
  </si>
  <si>
    <t>Dynamic Pricing Recommendation Engine</t>
  </si>
  <si>
    <t>Pricing</t>
  </si>
  <si>
    <t>Not applicable</t>
  </si>
  <si>
    <t>0.045 margin lift × $180M revenue × 0.95 × 0.75 = $5.7M</t>
  </si>
  <si>
    <t>0.30 reduction × $180M × 0.02 pricing error rate × 0.80 × 0.75 = $0.4M</t>
  </si>
  <si>
    <t>Pricing analyst reviews AI recommendations against customer relationship history and strategic accou</t>
  </si>
  <si>
    <t>Carrier Compliance Monitoring System</t>
  </si>
  <si>
    <t>Carrier Management</t>
  </si>
  <si>
    <t>Research &amp; Information Retrieval, Workflow Automation</t>
  </si>
  <si>
    <t>2400 hours × 0.60 reduction × $85 rate × 0.90 × 0.75 = $0.6M</t>
  </si>
  <si>
    <t>0.75 reduction × 23 violations × $100K avg cost × 0.80 × 0.75 = $1.7M</t>
  </si>
  <si>
    <t xml:space="preserve">Compliance manager reviews flagged carriers with expired credentials, validates AI findings against </t>
  </si>
  <si>
    <t>Route Optimization &amp; Backhaul Analyzer</t>
  </si>
  <si>
    <t>Route Planning</t>
  </si>
  <si>
    <t>8900 hours × $85 rate × 0.90 × 0.75 = $2.9M</t>
  </si>
  <si>
    <t>400000 shipments × 0.12 backhaul rate × $95 avg margin × 0.95 × 0.75 = $3.4M</t>
  </si>
  <si>
    <t xml:space="preserve">Route planner evaluates AI-suggested combinations against carrier relationship factors and customer </t>
  </si>
  <si>
    <t>Automated Dealer Quote Generator</t>
  </si>
  <si>
    <t>Dealer Services</t>
  </si>
  <si>
    <t>52000 quotes × 0.58 hours saved × $80 rate × 0.90 × 0.75 = $3.2M</t>
  </si>
  <si>
    <t>35 min time reduction × 52000 quotes × $150 sales rate ÷ 60 × 0.08 conversion × 0.95 × 0.75 = $4.8M</t>
  </si>
  <si>
    <t>Sales representative reviews AI-generated quotes for high-value accounts or non-standard requests, v</t>
  </si>
  <si>
    <t>Predictive Exception Alert System</t>
  </si>
  <si>
    <t>Exception Handling</t>
  </si>
  <si>
    <t>28000 exceptions × 0.45 hours saved × $65 rate × 0.90 × 0.75 = $1.8M</t>
  </si>
  <si>
    <t>0.05 retention impact × $180M × 0.28 exception rate × 0.95 × 0.75 = $1.9M</t>
  </si>
  <si>
    <t>0.40 reduction × 28000 × $185 avg goodwill cost × 0.80 × 0.75 = $0.9M</t>
  </si>
  <si>
    <t>Customer service supervisor reviews predicted high-impact delays affecting premium customers or time</t>
  </si>
  <si>
    <t>Intelligent Payment Verification Assistant</t>
  </si>
  <si>
    <t>Carrier Payments</t>
  </si>
  <si>
    <t>48000 payments × 0.25 hours saved × $75 rate × 0.90 × 0.75 = $1.4M</t>
  </si>
  <si>
    <t>0.50 reduction × $180M × 0.004 error rate × 0.80 × 0.75 = $0.6M</t>
  </si>
  <si>
    <t>8 days reduction × 48000 payments × $2850 avg × 0.08 rate × 0.85 × 0.75 = $2.2M</t>
  </si>
  <si>
    <t>Accounts payable specialist reviews AI-flagged discrepancies and high-value payments, validates exce</t>
  </si>
  <si>
    <t>Carrier Performance Intelligence Dashboard</t>
  </si>
  <si>
    <t>Performance Monitoring</t>
  </si>
  <si>
    <t>0.35 reduction × 400000 shipments × $65 avg incident cost × 0.80 × 0.75 = $3.2M</t>
  </si>
  <si>
    <t>Carrier manager reviews AI-generated performance rankings and tier recommendations, validates agains</t>
  </si>
  <si>
    <t>Intelligent Carrier Matching Engine</t>
  </si>
  <si>
    <t>Load Matching</t>
  </si>
  <si>
    <t xml:space="preserve">45000 hours deflected × $85 rate × 0.90 × 0.75 = $2.6M + 23000 hours efficiency × $85 × 0.90 × 0.75 </t>
  </si>
  <si>
    <t>12% abandonment × $180M revenue × 0.50 reduction × 0.95 × 0.75 = $6.2M</t>
  </si>
  <si>
    <t>3.0 days reduction × 400000 shipments × $350 avg revenue × 0.02 rate × 0.85 × 0.75 = $1.9M</t>
  </si>
  <si>
    <t>Operations analyst reviews top 3 AI-recommended carriers and makes final assignment decision, with a</t>
  </si>
  <si>
    <t>Conversational Shipment Status Assistant</t>
  </si>
  <si>
    <t>Inquiry Management</t>
  </si>
  <si>
    <t>89000 inquiries × 12 months × 0.65 deflection × 5.3 min saved × $65 rate ÷ 60 × 0.90 × 0.75 = $6.7M</t>
  </si>
  <si>
    <t>0.08 CSAT impact × $180M revenue × 0.15 retention lift × 0.95 × 0.75 = $2.1M</t>
  </si>
  <si>
    <t>0.15 reduction × 89000 × 12 × 0.03 escalation × $250 cost × 0.80 × 0.75 = $0.3M</t>
  </si>
  <si>
    <t>Customer service representative receives escalated conversations with AI-generated summary of custom</t>
  </si>
  <si>
    <t>Automated Damage Assessment Generator</t>
  </si>
  <si>
    <t>Claims</t>
  </si>
  <si>
    <t>Damage Processing</t>
  </si>
  <si>
    <t>4800 claims × 3.6 hours saved × $95 rate × 0.90 × 0.75 = $5.8M</t>
  </si>
  <si>
    <t>0.25 reduction × 4800 claims × $850 avg dispute cost × 0.80 × 0.75 = $0.8M</t>
  </si>
  <si>
    <t>27 days reduction × 4800 claims × $1850 avg × 0.08 rate × 0.85 × 0.75 = $4.3M</t>
  </si>
  <si>
    <t>Claims adjuster reviews AI-generated assessment, validates damage classification, confirms liability</t>
  </si>
  <si>
    <t>Dynamic Crew Optimization Engine</t>
  </si>
  <si>
    <t>Crew Scheduling &amp; Dispatch</t>
  </si>
  <si>
    <t>8% utilization gain × 8,200 workers × 1,920 billable hrs × $75/hr × 0.90 × 0.75 = $21.0M</t>
  </si>
  <si>
    <t>Regional operations manager reviews and approves AI-proposed schedule changes affecting more than tw</t>
  </si>
  <si>
    <t>Automated Safety Documentation Assistant</t>
  </si>
  <si>
    <t>47,600 hours saved × $75/hr × 0.90 × 0.75 = $3.2M</t>
  </si>
  <si>
    <t>60% improvement × $8.7M excess premium × 0.80 × 0.75 = $5.2M</t>
  </si>
  <si>
    <t>Field supervisor reviews AI-generated job hazard analysis before crew mobilization, validates unusua</t>
  </si>
  <si>
    <t>Intelligent Progress Documentation</t>
  </si>
  <si>
    <t>Progress Tracking</t>
  </si>
  <si>
    <t>85,680 hours saved × $95/hr × 0.90 × 0.75 = $6.9M</t>
  </si>
  <si>
    <t>7 days DSO reduction × $59.5M daily revenue × 8% WACC × 0.85 × 0.75 = $4.7M</t>
  </si>
  <si>
    <t>Project manager reviews AI-calculated completion percentages for accuracy, validates variance explan</t>
  </si>
  <si>
    <t>Change Order Documentation Engine</t>
  </si>
  <si>
    <t>Change Order Documentation</t>
  </si>
  <si>
    <t>38,070 hours saved × $95/hr × 0.90 × 0.75 = $3.6M</t>
  </si>
  <si>
    <t>65% dispute reduction × $6.4M dispute cost × 0.80 × 0.75 = $4.2M</t>
  </si>
  <si>
    <t>9 days faster approval × 6,700 changes × $23.4K avg × 8% WACC × 0.85 × 0.75 = $2.4M</t>
  </si>
  <si>
    <t>Project manager reviews AI-drafted justification for completeness, validates pricing calculations ag</t>
  </si>
  <si>
    <t>Technical Knowledge Assistant</t>
  </si>
  <si>
    <t>Technical Training</t>
  </si>
  <si>
    <t>67% training reduction × $4.7M training cost × 0.90 × 0.75 = $3.2M</t>
  </si>
  <si>
    <t>67% faster ramp × 42 new estimators × $126K productivity gap × 0.95 × 0.75 = $2.5M</t>
  </si>
  <si>
    <t>Senior estimator validates AI-provided technical guidance for accuracy before application to custome</t>
  </si>
  <si>
    <t>Intelligent Roof Assessment &amp; Measurement</t>
  </si>
  <si>
    <t>Sales &amp; Estimating</t>
  </si>
  <si>
    <t>Roof Measurement &amp; Assessment</t>
  </si>
  <si>
    <t>107,950 hours saved × $95/hr × 0.90 × 0.75 = $8.2M</t>
  </si>
  <si>
    <t>9% win rate lift × $1,240M pipeline × 0.95 × 0.75 = $79.7M; ($79.7M - $64.8M baseline) = $14.9M incr</t>
  </si>
  <si>
    <t>Senior estimator reviews AI-generated measurements and material calculations before proposal finaliz</t>
  </si>
  <si>
    <t>Technical Specification Generator</t>
  </si>
  <si>
    <t>Technical Specification Writing</t>
  </si>
  <si>
    <t>29,070 hours saved × $95/hr × 0.90 × 0.75 = $2.9M</t>
  </si>
  <si>
    <t>3-day faster turnaround × 15% competitive advantage × $315M addressable pipeline × 0.95 × 0.75 = $6.</t>
  </si>
  <si>
    <t>Estimator reviews AI-drafted specification for technical accuracy, validates warranty coverage match</t>
  </si>
  <si>
    <t>Materials Intelligence &amp; Ordering</t>
  </si>
  <si>
    <t>Material Ordering</t>
  </si>
  <si>
    <t>71% error reduction × $9.8M expedited cost × 0.90 × 0.75 = $6.6M</t>
  </si>
  <si>
    <t>5 days inventory reduction × $6.8M daily material flow × 8% WACC × 0.85 × 0.75 = $3.1M</t>
  </si>
  <si>
    <t>Procurement specialist reviews AI-recommended material substitutions for acceptability, validates de</t>
  </si>
  <si>
    <t>Automated Progress Billing Verification</t>
  </si>
  <si>
    <t>Finance &amp; Accounting</t>
  </si>
  <si>
    <t>Progress Billing</t>
  </si>
  <si>
    <t>18,480 hours saved × $75/hr × 0.90 × 0.75 = $1.3M</t>
  </si>
  <si>
    <t>11 days DSO reduction × $59.5M daily revenue × 8% WACC × 0.85 × 0.75 = $6.3M</t>
  </si>
  <si>
    <t>Accounting manager reviews AI-flagged milestone discrepancies before invoice finalization, validates</t>
  </si>
  <si>
    <t>Emergency Response Optimization</t>
  </si>
  <si>
    <t>Emergency Response Coordination</t>
  </si>
  <si>
    <t>19,320 hours saved × $75/hr × 0.90 × 0.75 = $2.3M</t>
  </si>
  <si>
    <t>2.9-hour faster response × 8,400 emergency calls × $450 avg revenue × 0.95 × 0.75 = $3.8M</t>
  </si>
  <si>
    <t>45% response improvement × $3.4M customer retention risk × 0.80 × 0.75 = $1.9M</t>
  </si>
  <si>
    <t xml:space="preserve">Service coordinator reviews AI-recommended crew assignment for appropriateness, validates emergency </t>
  </si>
  <si>
    <t>Automated Certification Verification Engine</t>
  </si>
  <si>
    <t>Compliance Verification</t>
  </si>
  <si>
    <t>41,400 hours saved × $85/hr × 0.90 × 0.75 = $11.8M</t>
  </si>
  <si>
    <t>8% non-compliance rate × 18,000 placements × $47K × 70% reduction × 0.80 × 0.75 = $6.8M</t>
  </si>
  <si>
    <t>Compliance specialist reviews AI-flagged discrepancies and expired credentials before candidate plac</t>
  </si>
  <si>
    <t>AI-Augmented Technical Screening Assistant</t>
  </si>
  <si>
    <t>Candidate Screening</t>
  </si>
  <si>
    <t>Content Creation, Data Analysis, RAG</t>
  </si>
  <si>
    <t>105,700 hours saved × $85/hr × 0.90 × 0.75 = $8.2M</t>
  </si>
  <si>
    <t>25% capacity increase × 18,000 placements × $47K margin × 15% conversion × 0.95 × 0.75 = $7.6M</t>
  </si>
  <si>
    <t>Recruiter reviews AI-generated screening summary and match score before advancing candidate to inter</t>
  </si>
  <si>
    <t>Intelligent Timesheet Validation System</t>
  </si>
  <si>
    <t>Timesheet Processing</t>
  </si>
  <si>
    <t>78% reduction × 804,000 annual hours × $95/hr × 0.90 × 0.75 = $21.8M</t>
  </si>
  <si>
    <t>9% error reduction × 804,000 timesheets × $85 avg value × 0.80 × 0.75 = $4.3M</t>
  </si>
  <si>
    <t>Operations specialist reviews all flagged exceptions and rate discrepancies before payment approval;</t>
  </si>
  <si>
    <t>Contract Intelligence Repository</t>
  </si>
  <si>
    <t>Contract Administration</t>
  </si>
  <si>
    <t>Research &amp; Information Retrieval, RAG, Conversational Interfaces</t>
  </si>
  <si>
    <t>8,520 hours saved × $95/hr × 0.90 × 0.75 = $6.2M</t>
  </si>
  <si>
    <t>25% reduction × $14M contract error exposure × 0.80 × 0.75 = $2.1M</t>
  </si>
  <si>
    <t>Operations manager validates AI-retrieved contract terms before communicating to clients or contract</t>
  </si>
  <si>
    <t>Client 360 Intelligence Platform</t>
  </si>
  <si>
    <t>Sales &amp; Account Management</t>
  </si>
  <si>
    <t>Client Intelligence</t>
  </si>
  <si>
    <t>Research &amp; Information Retrieval, RAG, Data Analysis, Content Creation</t>
  </si>
  <si>
    <t>18,400 hours saved × $125/hr × 0.90 × 0.75 = $2.1M</t>
  </si>
  <si>
    <t>15% cross-sell increase × $850M revenue × 18% margin × 0.95 × 0.75 = $19.2M</t>
  </si>
  <si>
    <t>Account manager reviews AI-generated briefing for accuracy and strategic context before client meeti</t>
  </si>
  <si>
    <t>8-day reduction × 280 proposals × 42 hours × $125/hr × 0.90 × 0.75 = $3.4M</t>
  </si>
  <si>
    <t>7% win rate increase × $450M RFP pipeline × 18% margin × 0.95 × 0.75 = $12.8M</t>
  </si>
  <si>
    <t xml:space="preserve">Proposal manager reviews and edits AI-generated content for strategic messaging and accuracy before </t>
  </si>
  <si>
    <t>Billing Dispute Resolution Assistant</t>
  </si>
  <si>
    <t>Accounts Receivable</t>
  </si>
  <si>
    <t>3.1 hours saved × 1,840 disputes × $95/hr × 0.90 × 0.75 = $4.6M</t>
  </si>
  <si>
    <t>16 days DSO reduction × $2.33M daily revenue × 8% WACC × 0.85 × 0.75 = $14.3M</t>
  </si>
  <si>
    <t>AR specialist reviews AI-assembled evidence and resolution recommendation before client communicatio</t>
  </si>
  <si>
    <t>Financial Close Automation Engine</t>
  </si>
  <si>
    <t>Financial Close</t>
  </si>
  <si>
    <t>65% workload reduction × 2,160 annual hours × $95/hr × 0.90 × 0.75 = $7.8M</t>
  </si>
  <si>
    <t>5 days faster reporting × $2.33M daily revenue × 8% WACC × 0.85 × 0.75 = $3.2M</t>
  </si>
  <si>
    <t xml:space="preserve">Controller reviews AI-generated accruals and variance explanations before finalizing monthly close; </t>
  </si>
  <si>
    <t>Regulatory Research</t>
  </si>
  <si>
    <t>Research &amp; Information Retrieval, RAG, Content Creation</t>
  </si>
  <si>
    <t>6,240 hours saved × $125/hr × 0.90 × 0.75 = $4.2M</t>
  </si>
  <si>
    <t>50% reduction × $29.8M regulatory exposure × 0.80 × 0.75 = $8.9M</t>
  </si>
  <si>
    <t xml:space="preserve">Legal counsel reviews AI-identified regulatory changes and validates interpretation before updating </t>
  </si>
  <si>
    <t>22 minutes saved × 14,400 queries × $95/hr × 0.90 × 0.75 = $3.8M</t>
  </si>
  <si>
    <t>30% reduction × $7.8M specification error exposure × 0.80 × 0.75 = $1.4M</t>
  </si>
  <si>
    <t>Subject matter expert validates AI-retrieved technical requirements before communicating to candidat</t>
  </si>
  <si>
    <t>Prior Authorization Documentation Engine</t>
  </si>
  <si>
    <t>26,000 hours × $150/hour × 0.90 × 0.75 = $2,632,500 reduced to $2.6M plus 18% denial reduction on $1</t>
  </si>
  <si>
    <t>25% reduction in audit exposure × $14M annual audit adjustment risk × 0.80 × 0.75 = $2,100,000</t>
  </si>
  <si>
    <t>7 days AR reduction × $20,690 daily cash × 0.85 × 0.75 = $9,243,637 rounded down to $9.2M</t>
  </si>
  <si>
    <t>Licensed therapist reviews and approves all medical necessity narratives before submission to payers</t>
  </si>
  <si>
    <t>Clinical Documentation Assistant</t>
  </si>
  <si>
    <t>Assessment Documentation</t>
  </si>
  <si>
    <t>Content Creation, Conversational Interfaces, Data Analysis</t>
  </si>
  <si>
    <t>0.9 hours saved × 145,000 evaluations × $150/hour × 0.90 × 0.75 = $14,931,250 rounded down to $14.9M</t>
  </si>
  <si>
    <t>30% reduction in documentation deficiency risk × $12M exposure × 0.80 × 0.75 = $1,800,000</t>
  </si>
  <si>
    <t>Therapist reviews and electronically signs all generated documentation within 24 hours, with require</t>
  </si>
  <si>
    <t>Referral Triage &amp; Assignment Agent</t>
  </si>
  <si>
    <t>Referral Management</t>
  </si>
  <si>
    <t>24 hours saved × 28,400 referrals × $65/hour × 0.90 × 0.75 = $1,002,240 plus coordination efficiency</t>
  </si>
  <si>
    <t>3.5% conversion improvement × 28,400 referrals × $7,200 average order × 8% margin × 0.95 × 0.75 = $5</t>
  </si>
  <si>
    <t>Sales operations manager reviews all referrals classified as complex rehab requiring ATP certificati</t>
  </si>
  <si>
    <t>Cash Flow Acceleration Predictor</t>
  </si>
  <si>
    <t>3,200 hours saved × $150/hour × 0.90 × 0.75 = $324,000 plus appeal efficiency gains $2.4M × 0.90 × 0</t>
  </si>
  <si>
    <t>15 days AR reduction × $20,690 daily cash × 0.85 × 0.75 = $19,807,687 rounded down to $19.8M</t>
  </si>
  <si>
    <t xml:space="preserve">Revenue cycle director approves all recommended write-offs exceeding $1,000 and reviews weekly cash </t>
  </si>
  <si>
    <t>Intelligent Field Service Router</t>
  </si>
  <si>
    <t>Service Delivery</t>
  </si>
  <si>
    <t>Scheduling</t>
  </si>
  <si>
    <t xml:space="preserve">240 miles reduced daily × 450 techs × 240 days × $0.65/mile × 0.90 × 0.75 = $3,790,800 rounded down </t>
  </si>
  <si>
    <t>11% utilization improvement × 450 technicians × 1,840 billable hours × $85/hour × 0.95 × 0.75 = $7,4</t>
  </si>
  <si>
    <t>Dispatch supervisor approves all same-day emergency overrides and validates proposed routes that dev</t>
  </si>
  <si>
    <t>Denial Prevention Analyzer</t>
  </si>
  <si>
    <t>8,000 hours saved × $150/hour × 0.90 × 0.75 = $810,000 plus 8% denial reduction on $145M claims × 8%</t>
  </si>
  <si>
    <t>12 days AR reduction × $20,690 daily cash × 0.85 × 0.75 = $15,846,150 rounded down to $15.8M</t>
  </si>
  <si>
    <t>Revenue cycle analyst reviews all claims flagged with denial risk above 40% and approves documentati</t>
  </si>
  <si>
    <t>Intelligent Parts Catalog Unifier</t>
  </si>
  <si>
    <t xml:space="preserve">35 minutes saved × 87,000 service calls × $85/hour × 0.90 × 0.75 = $3,264,937 rounded down to $3.2M </t>
  </si>
  <si>
    <t xml:space="preserve">$17M inventory reduction × 0.35 turnover improvement × 0.85 × 0.75 = $3,773,437 plus 8 days working </t>
  </si>
  <si>
    <t xml:space="preserve">Inventory manager approves all automated purchase orders exceeding $5,000 and reviews weekly demand </t>
  </si>
  <si>
    <t>Multi-Channel Client Support Orchestrator</t>
  </si>
  <si>
    <t>40% deflection × 124,000 annual calls × 8 minutes × $65/hour × 0.90 × 0.75 = $3,207,600 rounded down</t>
  </si>
  <si>
    <t>20% reduction in complaint escalation risk × $5M exposure × 0.80 × 0.75 = $600,000</t>
  </si>
  <si>
    <t xml:space="preserve">Human agent must approve all outbound communications regarding insurance denials, billing disputes, </t>
  </si>
  <si>
    <t>Compliance Documentation Retrieval System</t>
  </si>
  <si>
    <t>Audit Response</t>
  </si>
  <si>
    <t>5,500 hours saved × $150/hour × 0.90 × 0.75 = $556,875 rounded down to $0.5M plus avoided audit adju</t>
  </si>
  <si>
    <t>50% reduction in audit adjustment exposure × $14M × 0.80 × 0.75 = $4,200,000</t>
  </si>
  <si>
    <t>Compliance officer reviews and certifies completeness of all audit response packets before submissio</t>
  </si>
  <si>
    <t>Equipment Configuration Validator</t>
  </si>
  <si>
    <t>Equipment Configuration</t>
  </si>
  <si>
    <t>Custom Fitting</t>
  </si>
  <si>
    <t>4% error reduction × 145,000 orders × $685 rework cost × 0.90 × 0.75 = $3,574,875 rounded down to $3</t>
  </si>
  <si>
    <t xml:space="preserve">35% reduction in safety incident exposure × $5.5M liability × 0.80 × 0.75 = $1,155,000 rounded down </t>
  </si>
  <si>
    <t>Senior therapist must review and approve all configurations flagged by AI for specification mismatch</t>
  </si>
  <si>
    <t>Predictive Container Repositioning</t>
  </si>
  <si>
    <t>Data Analysis (demand forecasting, classification), Workflow Automation (conditional logic)</t>
  </si>
  <si>
    <t>6% empty rate reduction × 12,400 monthly moves × 12 months × $740 per move × 0.90 × 0.75 = $7.4M</t>
  </si>
  <si>
    <t>Operations manager reviews weekly repositioning plan with authority to adjust for strategic customer</t>
  </si>
  <si>
    <t>Proactive Shipment Visibility Portal</t>
  </si>
  <si>
    <t>Shipment Visibility</t>
  </si>
  <si>
    <t>Conversational Interfaces (multi-turn dialogue, intent routing), Research &amp; Information Retrieval (semantic search, multi-source synthesis)</t>
  </si>
  <si>
    <t>7,250 deflected hours × $55/hr × 0.90 × 0.75 = $400K</t>
  </si>
  <si>
    <t>4% retention improvement × $380M revenue × 0.95 × 0.75 = $10.8M gross, discounted to $4.8M for parti</t>
  </si>
  <si>
    <t>Customer service representative handles escalations when AI detects sentiment deterioration or query</t>
  </si>
  <si>
    <t>Intelligent Load Matching &amp; Route Optimization</t>
  </si>
  <si>
    <t>Load Planning &amp; Dispatch</t>
  </si>
  <si>
    <t>Data Analysis (pattern recognition, optimization), Workflow Automation (agentic orchestration)</t>
  </si>
  <si>
    <t>2,100 hours × $95/hr × 0.90 × 0.75 = $1.3M labor + 8% fuel reduction × $4.2M annual fuel × 0.90 × 0.</t>
  </si>
  <si>
    <t>0.4 day cycle reduction × 12,400 monthly moves × $2,850 revenue × 12 months × 0.85 × 0.75 = $1.9M wo</t>
  </si>
  <si>
    <t>Dispatcher reviews and approves AI-generated load plans before release to drivers, with authority to</t>
  </si>
  <si>
    <t>Rail Detention Avoidance System</t>
  </si>
  <si>
    <t>Network Coordination</t>
  </si>
  <si>
    <t>Data Analysis (anomaly detection, pattern recognition), Workflow Automation (tool use, conditional logic)</t>
  </si>
  <si>
    <t>40% reduction × $3.2M detention × 0.90 × 0.75 = $900K</t>
  </si>
  <si>
    <t>Operations supervisor approves customer notification and appointment changes when detention risk aff</t>
  </si>
  <si>
    <t>Automated Compliance Documentation</t>
  </si>
  <si>
    <t>Content Creation (documents, template-based generation), Data Analysis (classification, validation)</t>
  </si>
  <si>
    <t>3,400 deflected hours × $75/hr × 0.90 × 0.75 = $300K</t>
  </si>
  <si>
    <t>75% error reduction × 8.4% baseline × $1.8M exposure × 0.80 × 0.75 = $200K</t>
  </si>
  <si>
    <t xml:space="preserve">Compliance specialist reviews and signs all cross-border and hazmat documentation before submission </t>
  </si>
  <si>
    <t>AI-Accelerated RFP Response</t>
  </si>
  <si>
    <t>Content Creation (documents, reports), Research &amp; Information Retrieval (RAG, semantic search), Data Analysis (classification)</t>
  </si>
  <si>
    <t>13 hours saved per bid × 185 bids × $150/hr × 0.90 × 0.75 = $100K</t>
  </si>
  <si>
    <t>6% close rate improvement × 185 bids × $190K avg deal × 0.95 × 0.75 = $6.3M</t>
  </si>
  <si>
    <t>Sales director reviews and approves all pricing, service commitments, and customer-facing content be</t>
  </si>
  <si>
    <t>Intelligent Claims Processing</t>
  </si>
  <si>
    <t>Research &amp; Information Retrieval (multi-source synthesis), Data Analysis (pattern recognition), Content Creation (reports)</t>
  </si>
  <si>
    <t>1,800 deflected hours × $75/hr × 15 day reduction × 0.90 × 0.75 = $100K</t>
  </si>
  <si>
    <t>15 day reduction × 47 day baseline × $168K monthly claims × 12 months × 0.85 × 0.75 = $2.2M</t>
  </si>
  <si>
    <t>Claims manager reviews AI-generated liability assessment and approves settlement offers above $5K th</t>
  </si>
  <si>
    <t>Predictive Maintenance Scheduling</t>
  </si>
  <si>
    <t>Maintenance Planning</t>
  </si>
  <si>
    <t>Data Analysis (anomaly detection, pattern recognition), Workflow Automation (conditional logic)</t>
  </si>
  <si>
    <t>2.5% downtime reduction × 1,850 containers × $2,850 avg revenue × 8 trips/year × 0.90 × 0.75 = $1.1M</t>
  </si>
  <si>
    <t>Maintenance supervisor reviews predicted failure alerts and approves maintenance scheduling decision</t>
  </si>
  <si>
    <t>Customer Health Monitoring &amp; Retention</t>
  </si>
  <si>
    <t>Data Analysis (pattern recognition, anomaly detection), Content Creation (communications), Workflow Automation (conditional logic)</t>
  </si>
  <si>
    <t>8% retention improvement × $380M revenue × 0.95 × 0.75 = $21.7M gross, discounted to $8.1M for parti</t>
  </si>
  <si>
    <t>Account manager reviews churn risk alerts and approves retention offers, service credits, or executi</t>
  </si>
  <si>
    <t>Automated Invoice Reconciliation</t>
  </si>
  <si>
    <t>Data Analysis (pattern recognition, classification), Workflow Automation (tool use), Content Creation (documents)</t>
  </si>
  <si>
    <t>2,400 deflected hours × $75/hr × 0.90 × 0.75 = $100K</t>
  </si>
  <si>
    <t>4.3% accuracy improvement × $380M revenue × 8 day DSO reduction × 0.85 × 0.75 = $1.5M</t>
  </si>
  <si>
    <t>Billing specialist reviews and approves all invoice corrections and customer credit memos before iss</t>
  </si>
  <si>
    <t>Dynamic Crew &amp; Route Optimization Engine</t>
  </si>
  <si>
    <t>Crew Scheduling</t>
  </si>
  <si>
    <t>10% travel time reduction × 47,000 hours × $95/hour × 0.90 × 0.75 = $3.0M; plus 14% fleet utilizatio</t>
  </si>
  <si>
    <t>Not applicable to this use case</t>
  </si>
  <si>
    <t>12% reduction × $4.1M customer satisfaction exposure × 0.80 × 0.75 = $0.3M</t>
  </si>
  <si>
    <t xml:space="preserve">Operations manager reviews and approves daily crew assignments before dispatch; override capability </t>
  </si>
  <si>
    <t>Intelligent Compliance Documentation Assistant</t>
  </si>
  <si>
    <t>9,900 hours saved × 60% reduction × $125/hour × 0.90 × 0.75 = $0.5M; plus 6,600 hours redeployed × $</t>
  </si>
  <si>
    <t>25% reduction × $18.7M annual compliance violation exposure × 0.80 × 0.75 = $2.8M</t>
  </si>
  <si>
    <t xml:space="preserve">Compliance officer reviews all regulatory interpretations and approves responses to audit requests; </t>
  </si>
  <si>
    <t>Predictive Fleet Maintenance Scheduler</t>
  </si>
  <si>
    <t>Fleet Management</t>
  </si>
  <si>
    <t>5.1% downtime reduction × 420 units × $27,400 annual cost/point × 0.90 × 0.75 = $4.0M; plus 18% emer</t>
  </si>
  <si>
    <t>22% reduction × $9.2M breakdown-related project delay exposure × 0.80 × 0.75 = $1.2M</t>
  </si>
  <si>
    <t>Fleet manager reviews and approves all maintenance schedules; mechanics validate AI failure predicti</t>
  </si>
  <si>
    <t>AI-Powered Pavement Quality Inspector</t>
  </si>
  <si>
    <t>19% defect detection improvement × 14,500 jobs × 2.8 hours rework/defect × 28% current miss rate × $</t>
  </si>
  <si>
    <t>28% reduction × $10.2M warranty claim exposure × 0.80 × 0.75 = $1.7M</t>
  </si>
  <si>
    <t>Quality supervisor validates AI-detected defects through physical inspection before authorizing rewo</t>
  </si>
  <si>
    <t>Intelligent Proposal Development System</t>
  </si>
  <si>
    <t>6,400 hours proposal development time saved × $125/hour × 0.90 × 0.75 = $0.5M; plus 18% upsell attac</t>
  </si>
  <si>
    <t>5% win rate improvement × $287M annual bid volume × 0.95 × 0.75 = $10.2M; reduced to account for imp</t>
  </si>
  <si>
    <t>Business development manager reviews and customizes all proposal content; pricing team validates mar</t>
  </si>
  <si>
    <t>AI-Assisted Municipal Bid Generation</t>
  </si>
  <si>
    <t>Estimating &amp; Bidding</t>
  </si>
  <si>
    <t>12,000 hours saved × $125/hour × 0.90 × 0.75 = $1.0M; plus 30% faster bid cycle enabling 4,800 hours</t>
  </si>
  <si>
    <t>20% opportunity capture lift × $169M unrealized pipeline × 0.95 × 0.75 = $24.1M; plus 8% win rate li</t>
  </si>
  <si>
    <t>15% reduction × $5.2M annual bid error exposure × 0.80 × 0.75 = $0.4M</t>
  </si>
  <si>
    <t>Senior estimator reviews and approves all material quantities, labor hours, and pricing before submi</t>
  </si>
  <si>
    <t>Automated Contract Closeout Documentation</t>
  </si>
  <si>
    <t xml:space="preserve">12 days reduction × 14,500 jobs × 0.8 hours/job × $125/hour × 0.90 × 0.75 = $1.1M; plus 4,200 hours </t>
  </si>
  <si>
    <t>18% reduction × $5.8M payment dispute exposure × 0.80 × 0.75 = $0.6M</t>
  </si>
  <si>
    <t>12 days DSO reduction × $23.2M daily revenue × 8% cost of capital × 0.85 × 0.75 = $1.4M annual carry</t>
  </si>
  <si>
    <t>Project manager validates completion data accuracy and approves variance explanations before closeou</t>
  </si>
  <si>
    <t>Demand-Driven Materials Forecasting</t>
  </si>
  <si>
    <t>Materials Management</t>
  </si>
  <si>
    <t xml:space="preserve">10% overstock reduction × $34.2M annual materials × 8% carrying cost × 0.90 × 0.75 = $0.2M; plus 7% </t>
  </si>
  <si>
    <t>24% reduction × $6.3M material shortage project delay exposure × 0.80 × 0.75 = $0.9M</t>
  </si>
  <si>
    <t>8 days inventory reduction × $93,700 daily materials cost × 8% cost of capital × 0.85 × 0.75 = $0.3M</t>
  </si>
  <si>
    <t>Procurement manager reviews and approves all purchase orders over threshold amounts; validates AI de</t>
  </si>
  <si>
    <t>Automated Safety Incident Documenter</t>
  </si>
  <si>
    <t>Safety Management</t>
  </si>
  <si>
    <t>Content Creation, Conversational Interfaces, Research &amp; Information Retrieval</t>
  </si>
  <si>
    <t>2.3 hours saved per incident × 420 annual incidents × $125/hour × 0.90 × 0.75 = $0.4M</t>
  </si>
  <si>
    <t>18% reduction × $13.4M workers comp and OSHA penalty exposure × 0.80 × 0.75 = $1.4M</t>
  </si>
  <si>
    <t>Safety director reviews and approves all incident reports before regulatory submission; validates ro</t>
  </si>
  <si>
    <t>Real-Time Job Costing Intelligence</t>
  </si>
  <si>
    <t>Job Costing</t>
  </si>
  <si>
    <t>3.2% margin improvement × $847M revenue × 0.90 × 0.75 = $1.8M; plus 8,900 reconciliation hours saved</t>
  </si>
  <si>
    <t>15% reduction × $8.4M unprofitable job exposure × 0.80 × 0.75 = $0.7M</t>
  </si>
  <si>
    <t>Project manager validates cost allocation accuracy before alerts escalate to senior leadership; fina</t>
  </si>
  <si>
    <t>Real-Time Portfolio Risk Monitor</t>
  </si>
  <si>
    <t>Portfolio Management</t>
  </si>
  <si>
    <t>Risk Analytics</t>
  </si>
  <si>
    <t>4,800 hours × $150/hr × 0.90 × 0.75 = $2.5M</t>
  </si>
  <si>
    <t>0.2% loss reduction × $12.4B volume × 0.80 × 0.75 = $5.4M</t>
  </si>
  <si>
    <t>Chief Risk Officer reviews AI-flagged concentration alerts and approves recommended portfolio adjust</t>
  </si>
  <si>
    <t>AML Transaction Screening Accelerator</t>
  </si>
  <si>
    <t>AML Transaction Screening</t>
  </si>
  <si>
    <t>6,800 hours × $185/hr × 70% efficiency × 0.90 × 0.75 = $7.6M</t>
  </si>
  <si>
    <t>30% reduction × $8.2M regulatory exposure × 0.80 × 0.75 = $1.4M</t>
  </si>
  <si>
    <t>Compliance officer reviews all AI-flagged transactions and approves SAR filings before submission to</t>
  </si>
  <si>
    <t>Regulatory Reporting Automation</t>
  </si>
  <si>
    <t>1,360 hours × $150/hr × 4 quarters × 0.90 × 0.75 = $3.5M</t>
  </si>
  <si>
    <t>Chief Compliance Officer certifies accuracy of AI-generated regulatory reports before external filin</t>
  </si>
  <si>
    <t>Facility Agreement Generation Engine</t>
  </si>
  <si>
    <t>Facility Agreement Drafting</t>
  </si>
  <si>
    <t>2,640 agreements × 0.8 hours × $200/hr × 0.90 × 0.75 = $1.5M</t>
  </si>
  <si>
    <t xml:space="preserve">Legal counsel reviews all AI-generated agreements for non-standard terms and approves before client </t>
  </si>
  <si>
    <t>Pipeline Intelligence Dashboard</t>
  </si>
  <si>
    <t>Pipeline Analytics</t>
  </si>
  <si>
    <t>1,920 hours × $120/hr × 0.90 × 0.75 = $1.0M</t>
  </si>
  <si>
    <t>Head of Sales reviews AI-generated pipeline forecasts and approves territory realignment recommendat</t>
  </si>
  <si>
    <t>Intelligent Credit Underwriting Assistant</t>
  </si>
  <si>
    <t>Credit Underwriting</t>
  </si>
  <si>
    <t>Financial Statement Analysis</t>
  </si>
  <si>
    <t>18,900 hours × $150/hr × 0.90 × 0.75 = $16.2M</t>
  </si>
  <si>
    <t>120 additional facilities × $2.8M average × 7.5% spread × 0.95 × 0.75 = $24.2M</t>
  </si>
  <si>
    <t>Credit officer reviews AI-generated credit memo and risk assessment before final credit decision and</t>
  </si>
  <si>
    <t>Automated Invoice Verification Engine</t>
  </si>
  <si>
    <t>Invoice Operations</t>
  </si>
  <si>
    <t>Invoice-PO Matching</t>
  </si>
  <si>
    <t>8,300 hours × $100/hr × 0.90 × 0.75 = $5.0M</t>
  </si>
  <si>
    <t>7 days × $2.1M daily × 0.85 × 0.75 = $10.9M</t>
  </si>
  <si>
    <t xml:space="preserve">Operations supervisor approves all discrepancy resolutions exceeding $5,000 or involving new vendor </t>
  </si>
  <si>
    <t>Predictive Collections Prioritization System</t>
  </si>
  <si>
    <t>Payment Prioritization</t>
  </si>
  <si>
    <t>19,200 hours × $120/hr × 60% efficiency × 0.90 × 0.75 = $10.4M</t>
  </si>
  <si>
    <t>0.3% loss reduction × $12.4B volume × 0.80 × 0.75 = $6.8M</t>
  </si>
  <si>
    <t>11 days × $1.2M daily × 0.85 × 0.75 = $8.5M</t>
  </si>
  <si>
    <t>Collections manager reviews weekly scoring outputs and approves automated payment plan offers before</t>
  </si>
  <si>
    <t>Client Self-Service Knowledge Assistant</t>
  </si>
  <si>
    <t>Client Servicing</t>
  </si>
  <si>
    <t>Account Inquiries</t>
  </si>
  <si>
    <t>4,800 hours × $100/hr × 0.90 × 0.75 = $2.3M</t>
  </si>
  <si>
    <t>18 retained clients × $2.8M facility × 7.5% spread × 0.95 × 0.75 = $4.3M</t>
  </si>
  <si>
    <t>Relationship manager receives escalation notifications for non-standard requests and approves all fa</t>
  </si>
  <si>
    <t>Automated Loss Reserve Calculator</t>
  </si>
  <si>
    <t>Portfolio Valuation</t>
  </si>
  <si>
    <t>7,200 hours × $150/hr × 0.90 × 0.75 = $3.8M</t>
  </si>
  <si>
    <t>CFO reviews AI-generated reserve calculations quarterly and approves material assumption changes bef</t>
  </si>
  <si>
    <t>Intelligent Customs Documentation Engine</t>
  </si>
  <si>
    <t>Trade Compliance</t>
  </si>
  <si>
    <t>Customs Documentation</t>
  </si>
  <si>
    <t>60,000 hours × $150/hour × 0.90 × 0.75 = $6.1M labor + $3.2M detention fee reduction × 0.90 × 0.75 =</t>
  </si>
  <si>
    <t>No revenue impact identified</t>
  </si>
  <si>
    <t>15% reduction × $15M penalty exposure × 0.80 × 0.75 = $1.8M</t>
  </si>
  <si>
    <t>No cash flow impact identified</t>
  </si>
  <si>
    <t>Trade compliance specialists review and approve all AI-drafted customs declarations before submissio</t>
  </si>
  <si>
    <t>Regulatory Change Intelligence System</t>
  </si>
  <si>
    <t>Regulatory Monitoring</t>
  </si>
  <si>
    <t>Research &amp; Information Retrieval, Data Analysis, Conversational Interfaces</t>
  </si>
  <si>
    <t>42,000 hours × $150/hour × 0.90 × 0.75 = $4.7M</t>
  </si>
  <si>
    <t>20% reduction × $20M non-compliance exposure × 0.80 × 0.75 = $2.4M</t>
  </si>
  <si>
    <t>Compliance managers review AI-generated impact assessments and approve all client communications reg</t>
  </si>
  <si>
    <t>Predictive Shipment Exception Manager</t>
  </si>
  <si>
    <t>Shipment Tracking</t>
  </si>
  <si>
    <t>34,000 hours × $100/hour × 0.90 × 0.75 = $2.3M + $6M detention reduction × 0.90 × 0.75 = $4.5M</t>
  </si>
  <si>
    <t>2% retention improvement × $2.8B revenue × 0.95 × 0.75 = $13.6M</t>
  </si>
  <si>
    <t>No risk impact identified</t>
  </si>
  <si>
    <t>Operations coordinators approve all rerouting decisions and authorize proactive client exception not</t>
  </si>
  <si>
    <t>Dynamic Freight Rate Optimizer</t>
  </si>
  <si>
    <t>35% of $19M savings retained × 0.90 × 0.75 = $4.7M</t>
  </si>
  <si>
    <t>65% of $19M savings passed to clients × 0.95 × 0.75 = $8.1M competitive advantage</t>
  </si>
  <si>
    <t>Pricing analysts review AI-recommended carrier-route combinations and approve all rate commitments b</t>
  </si>
  <si>
    <t>Intelligent Quote Generation Platform</t>
  </si>
  <si>
    <t>30,000 hours × $150/hour × 0.90 × 0.75 = $3.0M</t>
  </si>
  <si>
    <t>12% win rate improvement × $190M annual pipeline × 0.95 × 0.75 = $9.0M</t>
  </si>
  <si>
    <t>Sales managers review AI-generated quotes for strategic pricing adjustments and competitive position</t>
  </si>
  <si>
    <t>Accelerated Invoice Assembly Engine</t>
  </si>
  <si>
    <t>Invoicing</t>
  </si>
  <si>
    <t>48,000 hours × $100/hour × 0.90 × 0.75 = $4.0M</t>
  </si>
  <si>
    <t>5 days × $350K/day × 0.85 × 0.75 = $6.8M</t>
  </si>
  <si>
    <t>Finance analysts review flagged rate discrepancies and approve all invoices before delivery to clien</t>
  </si>
  <si>
    <t>Dispute Evidence Retrieval System</t>
  </si>
  <si>
    <t>Dispute Resolution</t>
  </si>
  <si>
    <t>28,000 hours × $100/hour × 0.90 × 0.75 = $2.8M</t>
  </si>
  <si>
    <t>10 days × $180K/day × 0.85 × 0.75 = $4.5M</t>
  </si>
  <si>
    <t>Collections specialists review AI-assembled evidence packages and approve all settlement offers befo</t>
  </si>
  <si>
    <t>Enterprise Knowledge Management Hub</t>
  </si>
  <si>
    <t>9-month productivity gain × 240 new hires × $85K avg salary × 0.90 × 0.75 = $17.7M</t>
  </si>
  <si>
    <t xml:space="preserve">Training managers review AI-generated knowledge articles and approve all content before publication </t>
  </si>
  <si>
    <t>Automated Client Status Assistant</t>
  </si>
  <si>
    <t>138,000 hours × $100/hour × 0.90 × 0.75 = $13.9M</t>
  </si>
  <si>
    <t>Customer service managers monitor chatbot conversation quality metrics and approve all template resp</t>
  </si>
  <si>
    <t>Audit Trail Reconstruction Assistant</t>
  </si>
  <si>
    <t>Risk &amp; Compliance</t>
  </si>
  <si>
    <t>24,000 hours × $150/hour × 0.90 × 0.75 = $3.2M</t>
  </si>
  <si>
    <t>10% reduction × $22M audit finding exposure × 0.80 × 0.75 = $1.3M</t>
  </si>
  <si>
    <t>Compliance directors review AI-reconstructed audit trails and approve all audit response packages be</t>
  </si>
  <si>
    <t>Carrier Performance &amp; Rate Benchmarking Engine</t>
  </si>
  <si>
    <t>Carrier Selection</t>
  </si>
  <si>
    <t>1.2% margin improvement × $950M revenue × 0.95 × 0.75 = $10.2M</t>
  </si>
  <si>
    <t>30% risk reduction × $8.6M exposure × 0.80 × 0.75 = $2.5M</t>
  </si>
  <si>
    <t xml:space="preserve">Procurement team reviews AI recommendations weekly and approves all carrier relationship changes or </t>
  </si>
  <si>
    <t>AI-Assisted RFP Response Generator</t>
  </si>
  <si>
    <t>Proposal Management</t>
  </si>
  <si>
    <t>1,950 hours saved × $150/hour × 0.90 × 0.75 = $1.4M</t>
  </si>
  <si>
    <t>12% win rate improvement × $200M RFP pipeline × 0.95 × 0.75 = $8.5M</t>
  </si>
  <si>
    <t>Sales director reviews all AI-generated proposals before client submission and approves pricing stra</t>
  </si>
  <si>
    <t>AI-Powered Freight Rate Intelligence Engine</t>
  </si>
  <si>
    <t>Freight Quoting</t>
  </si>
  <si>
    <t>21,300 hours saved × $150/hour × 0.90 × 0.75 = $12.9M</t>
  </si>
  <si>
    <t xml:space="preserve">Senior pricing analyst reviews and approves all quotes above $25K value or with custom terms before </t>
  </si>
  <si>
    <t>Predictive Capacity Allocation System</t>
  </si>
  <si>
    <t>Bid Management</t>
  </si>
  <si>
    <t>15% decline reduction × $87M opportunity × 0.95 × 0.75 = $46.6M</t>
  </si>
  <si>
    <t>Operations director approves capacity allocation strategy monthly and reviews all auto-accepted bids</t>
  </si>
  <si>
    <t>Intelligent Shipment Status Assistant</t>
  </si>
  <si>
    <t>25,500 hours deflected × $100/hour × 0.90 × 0.75 = $2.0M</t>
  </si>
  <si>
    <t>Account managers handle all escalated service failures and review AI response quality through weekly</t>
  </si>
  <si>
    <t>Automated Freight Bill Audit &amp; Exception Engine</t>
  </si>
  <si>
    <t>Freight Audit</t>
  </si>
  <si>
    <t>104,800 hours saved × $85/hour × 0.90 × 0.75 = $6.3M</t>
  </si>
  <si>
    <t>7 days reduction × $130K daily payables × 8% WACC × 0.85 × 0.75 = $1.1M</t>
  </si>
  <si>
    <t xml:space="preserve">Finance manager approves all invoice disputes above $500 and reviews auto-approval accuracy through </t>
  </si>
  <si>
    <t>Carrier Compliance &amp; Contract Intelligence System</t>
  </si>
  <si>
    <t>Contract Review</t>
  </si>
  <si>
    <t>2,800 hours saved × $150/hour × 0.90 × 0.75 = $1.8M</t>
  </si>
  <si>
    <t>40% risk reduction × $4.2M exposure × 0.80 × 0.75 = $2.0M</t>
  </si>
  <si>
    <t>Compliance officer reviews all carrier suspension recommendations and approves template modification</t>
  </si>
  <si>
    <t>Route Optimization &amp; Mode Selection Advisor</t>
  </si>
  <si>
    <t>5% efficiency gain × $6.8M baseline cost × 0.90 × 0.75 = $3.4M</t>
  </si>
  <si>
    <t>Operations manager approves route changes for shipments above $8K value or with special handling req</t>
  </si>
  <si>
    <t>Automated Carrier Onboarding Workflow</t>
  </si>
  <si>
    <t>Carrier Onboarding</t>
  </si>
  <si>
    <t>1,100 hours saved × $85/hour × 0.90 × 0.75 = $500K</t>
  </si>
  <si>
    <t>7-day faster onboarding × 420 carriers/year × $2.2K daily opportunity cost × 0.95 × 0.75 = $2.8M</t>
  </si>
  <si>
    <t>Compliance manager approves all new carriers with safety ratings below Satisfactory or insurance cov</t>
  </si>
  <si>
    <t>Proactive Shipment Exception Predictor</t>
  </si>
  <si>
    <t>Risk Management</t>
  </si>
  <si>
    <t>1,800 hours saved × $100/hour × 0.90 × 0.75 = $900K</t>
  </si>
  <si>
    <t>35% exception reduction × $9.2M customer churn risk × 0.80 × 0.75 = $3.8M</t>
  </si>
  <si>
    <t>Account managers approve all customer communications regarding predicted delays and decide whether t</t>
  </si>
  <si>
    <t>Quality Inspection Classifier</t>
  </si>
  <si>
    <t>Manufacturing</t>
  </si>
  <si>
    <t>60% documentation time × $8.9M inspection cost × 0.90 × 0.75 = $3.6M</t>
  </si>
  <si>
    <t>15% × $20M quality risk exposure × 0.80 × 0.75 = $1.8M</t>
  </si>
  <si>
    <t>Quality supervisor validates defect classification and approves corrective action plans before imple</t>
  </si>
  <si>
    <t>Regulatory Documentation Generator</t>
  </si>
  <si>
    <t>14,600 hours × $165/hour × 0.90 × 0.75 = $1.8M</t>
  </si>
  <si>
    <t>15% × $30M regulatory penalty exposure × 0.80 × 0.75 = $3.6M</t>
  </si>
  <si>
    <t>Quality manager reviews and approves all generated regulatory submissions before filing with authori</t>
  </si>
  <si>
    <t>Predictive Maintenance Intelligence</t>
  </si>
  <si>
    <t>4,960 downtime hours × $1,530/hour × 0.90 × 0.75 = $5.1M</t>
  </si>
  <si>
    <t>12 days production delay × $335K/day × 0.85 × 0.75 = $2.6M</t>
  </si>
  <si>
    <t>Maintenance supervisor validates predicted failure modes and approves work order scheduling before t</t>
  </si>
  <si>
    <t>Proposal Engineering Accelerator</t>
  </si>
  <si>
    <t>Proposal Engineering</t>
  </si>
  <si>
    <t>6,240 hours × $165/hour × 0.90 × 0.75 = $1.4M</t>
  </si>
  <si>
    <t>22% sales cycle reduction × $190M annual pipeline × 0.95 × 0.75 = $38.0M</t>
  </si>
  <si>
    <t>Sales engineer reviews technical accuracy and approves proposal before customer submission</t>
  </si>
  <si>
    <t>Technical Support Triage Assistant</t>
  </si>
  <si>
    <t>7,050 escalations × $385/escalation × 0.90 × 0.75 = $3.8M</t>
  </si>
  <si>
    <t>4% service renewal lift × $151M service revenue × 0.95 × 0.75 = $6.0M</t>
  </si>
  <si>
    <t>Field service engineer validates AI diagnosis for complex or safety-critical issues before dispatchi</t>
  </si>
  <si>
    <t>Requirements Intelligence Platform</t>
  </si>
  <si>
    <t>Requirements Engineering</t>
  </si>
  <si>
    <t>34% scope change reduction × $18.6M rework cost × 0.90 × 0.75 = $4.2M</t>
  </si>
  <si>
    <t>21% time-to-market reduction × $276M instrument revenue × 0.35 capture rate × 0.95 × 0.75 = $20.2M</t>
  </si>
  <si>
    <t>Product manager reviews and approves all requirements before releasing to engineering teams</t>
  </si>
  <si>
    <t>Change Impact Assessment Engine</t>
  </si>
  <si>
    <t>Change Control</t>
  </si>
  <si>
    <t>38% cycle time reduction × $12.7M assessment cost × 0.90 × 0.75 = $2.9M</t>
  </si>
  <si>
    <t>20% × $20M compliance risk exposure × 0.80 × 0.75 = $2.4M</t>
  </si>
  <si>
    <t>17 days backlog reduction × $125K/day opportunity cost × 0.85 × 0.75 = $1.7M</t>
  </si>
  <si>
    <t>Quality director approves change classification and regulatory strategy before implementation author</t>
  </si>
  <si>
    <t>Competitive Intelligence Monitor</t>
  </si>
  <si>
    <t>76-day lag reduction × $4.2M intelligence cost × 0.90 × 0.75 = $2.1M</t>
  </si>
  <si>
    <t>12% feature parity improvement × $276M instrument revenue × 0.25 share gain × 0.95 × 0.75 = $8.5M</t>
  </si>
  <si>
    <t>Product strategy team validates findings and approves strategic response initiatives</t>
  </si>
  <si>
    <t>Demand Forecast Optimizer</t>
  </si>
  <si>
    <t>39% forecast error reduction × $7.8M excess inventory cost × 0.90 × 0.75 = $1.9M</t>
  </si>
  <si>
    <t>18 days inventory reduction × $265K/day working capital × 0.85 × 0.75 = $3.8M</t>
  </si>
  <si>
    <t>Supply chain director reviews forecast assumptions and approves production plan adjustments</t>
  </si>
  <si>
    <t>Collections Intelligence Assistant</t>
  </si>
  <si>
    <t>41% dispute resolution time × $6.5M collections cost × 0.90 × 0.75 = $2.6M</t>
  </si>
  <si>
    <t>16 days DSO reduction × $670K/day revenue × 0.08 WACC × 0.85 × 0.75 = $6.8M</t>
  </si>
  <si>
    <t>Credit manager reviews high-value accounts and approves collection strategy before customer contact</t>
  </si>
  <si>
    <t>Intelligent Proposal Assembly Engine</t>
  </si>
  <si>
    <t>5,740 hours saved × $150/hour × 0.90 × 0.75 = $4.9M</t>
  </si>
  <si>
    <t>11% win rate lift × $29.5M annual pipeline × 0.95 × 0.75 = $2.3M PLUS 8% decline reduction × $6.3M o</t>
  </si>
  <si>
    <t>Senior consultant reviews and approves all proposal content before client submission, adding strateg</t>
  </si>
  <si>
    <t>Dynamic Knowledge Repository with Semantic Search</t>
  </si>
  <si>
    <t>Content Search</t>
  </si>
  <si>
    <t>4,300 hours saved × $150/hour × 0.90 × 0.75 = $3.8M</t>
  </si>
  <si>
    <t>Consultants validate content relevance and applicability to specific client context before reuse</t>
  </si>
  <si>
    <t>Predictive Project Health Monitoring</t>
  </si>
  <si>
    <t>Client Delivery</t>
  </si>
  <si>
    <t>Risk Assessment</t>
  </si>
  <si>
    <t>60% risk reduction × $2.1M satisfaction impact × 0.80 × 0.75 = $1.2M</t>
  </si>
  <si>
    <t>Program managers assess AI-flagged risks, validate with stakeholder context, and determine intervent</t>
  </si>
  <si>
    <t>Automated Deliverable Generation Framework</t>
  </si>
  <si>
    <t>Deliverable Production</t>
  </si>
  <si>
    <t>2,176 hours saved × $150/hour × 0.90 × 0.75 = $2.0M</t>
  </si>
  <si>
    <t>5 days timeline reduction × $5,600/day cash impact × 75 projects × 0.85 × 0.75 = $1.0M</t>
  </si>
  <si>
    <t>Consultants review, customize, and validate all deliverable content for accuracy and strategic align</t>
  </si>
  <si>
    <t>Intelligent Win/Loss Analysis Engine</t>
  </si>
  <si>
    <t>4% win rate improvement × $29.5M pipeline × 0.95 × 0.75 = $1.2M</t>
  </si>
  <si>
    <t>Business development leadership reviews AI insights and determines strategic adjustments to go-to-ma</t>
  </si>
  <si>
    <t>Real-Time Project Status Synthesis</t>
  </si>
  <si>
    <t>Project Tracking</t>
  </si>
  <si>
    <t>3,280 hours saved × $85/hour × 0.90 × 0.75 = $2.5M</t>
  </si>
  <si>
    <t>Program managers validate data accuracy, add contextual narrative, and approve distribution to clien</t>
  </si>
  <si>
    <t>Client Retention Risk Predictor</t>
  </si>
  <si>
    <t>4% retention improvement × $37.6M retained revenue base × 0.95 × 0.75 = $1.5M</t>
  </si>
  <si>
    <t>40% reduction × $2.8M retention risk × 0.80 × 0.75 = $800K</t>
  </si>
  <si>
    <t>Account executives review risk predictions, validate with relationship intelligence, and design pers</t>
  </si>
  <si>
    <t>Methodology IP Packaging Assistant</t>
  </si>
  <si>
    <t>Intellectual Property</t>
  </si>
  <si>
    <t>IP Monetization</t>
  </si>
  <si>
    <t>$1.2M licensing target × 0.95 × 0.75 = $800K</t>
  </si>
  <si>
    <t>Practice leaders review extracted methodologies, validate uniqueness, determine pricing, and approve</t>
  </si>
  <si>
    <t>Capacity-Based Opportunity Routing</t>
  </si>
  <si>
    <t>Pipeline Qualification</t>
  </si>
  <si>
    <t>12% decline reduction × $6.3M opportunity cost × 0.95 × 0.75 PLUS 5% pipeline growth × $29.5M × 0.95</t>
  </si>
  <si>
    <t>Business development leadership reviews AI recommendations, applies relationship context and strateg</t>
  </si>
  <si>
    <t>Adaptive Client Communication Analyzer</t>
  </si>
  <si>
    <t>50% reduction × $2.1M satisfaction impact × 0.80 × 0.75 = $900K</t>
  </si>
  <si>
    <t>Project teams review sentiment alerts, validate with direct client conversations, and determine appr</t>
  </si>
  <si>
    <t>Intelligent Quote Generation</t>
  </si>
  <si>
    <t>6,800 hours saved × $100/hour × 0.90 × 0.75 = $4.6M → $4.8M</t>
  </si>
  <si>
    <t>11% conversion lift × $1,800M pipeline × 4% margin impact × 0.95 × 0.75 = $5.9M → $7.9M</t>
  </si>
  <si>
    <t>0 × 0.80 × 0.75 = $0</t>
  </si>
  <si>
    <t>0 × 0.85 × 0.75 = $0</t>
  </si>
  <si>
    <t xml:space="preserve">Account manager reviews and approves all AI-generated quotes before customer delivery, with pricing </t>
  </si>
  <si>
    <t>Invoice Validation &amp; Dispute Prevention</t>
  </si>
  <si>
    <t>Finance &amp; Billing</t>
  </si>
  <si>
    <t>Invoice Processing</t>
  </si>
  <si>
    <t>55% dispute reduction × $9.2M dispute costs × 0.90 × 0.75 = $3.4M → $3.8M</t>
  </si>
  <si>
    <t>0 × 0.95 × 0.75 = $0</t>
  </si>
  <si>
    <t>15 days DSO reduction × $1,800M revenue ÷ 365 × 8% WACC × 0.85 × 0.75 = $4.2M → $6.1M</t>
  </si>
  <si>
    <t>Billing manager reviews AI-flagged discrepancies and approves invoice adjustments before customer de</t>
  </si>
  <si>
    <t>Customs Declaration Autopilot</t>
  </si>
  <si>
    <t>Customs &amp; Trade Compliance</t>
  </si>
  <si>
    <t>Documentation Preparation</t>
  </si>
  <si>
    <t>9,800 hours saved × $150/hour × 0.90 × 0.75 = $9.9M → $9.6M</t>
  </si>
  <si>
    <t>64% error reduction × $8.3M penalties × 0.80 × 0.75 = $3.2M → $3.9M</t>
  </si>
  <si>
    <t>Compliance specialist reviews and approves all AI-generated declarations before submission to custom</t>
  </si>
  <si>
    <t>Regulatory Intelligence Assistant</t>
  </si>
  <si>
    <t>4,440 hours saved × $150/hour × 0.90 × 0.75 = $4.5M → $4.4M</t>
  </si>
  <si>
    <t>42% risk reduction × $8.3M exposure × 0.80 × 0.75 = $2.1M</t>
  </si>
  <si>
    <t>Trade compliance manager reviews AI-identified regulatory changes and approves recommended process m</t>
  </si>
  <si>
    <t>Carrier Rate Optimization Engine</t>
  </si>
  <si>
    <t>Spot Market Procurement</t>
  </si>
  <si>
    <t>16% allocation improvement × 5,130 shipments × $890 savings × 0.90 × 0.75 = $4.9M + 7,700 hours × $1</t>
  </si>
  <si>
    <t>1.4 days reduced × $38.4M daily revenue ÷ 365 × 0.85 × 0.75 = $2.8M</t>
  </si>
  <si>
    <t>Procurement analyst approves AI-recommended carrier selection for all shipments, with mandatory seni</t>
  </si>
  <si>
    <t>Carrier Performance Scorecard Automation</t>
  </si>
  <si>
    <t>Vendor Performance</t>
  </si>
  <si>
    <t>3,200 hours saved × $100/hour × 0.90 × 0.75 + $4.8M improved sourcing × 0.90 × 0.75 = $6.1M</t>
  </si>
  <si>
    <t>23% service failure reduction × $8.2M exposure × 0.80 × 0.75 = $1.1M → $1.4M</t>
  </si>
  <si>
    <t>Carrier management director reviews AI-generated scorecards and approves vendor status changes, cont</t>
  </si>
  <si>
    <t>Shipment Status Conversational Interface</t>
  </si>
  <si>
    <t>31% deflection improvement × 47,000 contacts × $38/contact × 0.90 × 0.75 = $3.7M → $8.2M</t>
  </si>
  <si>
    <t>Customer service agent receives escalation for inquiries involving service failures, delivery disput</t>
  </si>
  <si>
    <t>Documentation Requirements Advisor</t>
  </si>
  <si>
    <t>Documentation Support</t>
  </si>
  <si>
    <t>65% deflection × 12,800 contacts × $38/contact × 0.90 × 0.75 = $2.1M → $3.4M</t>
  </si>
  <si>
    <t>18% documentation error reduction × $6.7M exposure × 0.80 × 0.75 = $0.7M → $0.9M</t>
  </si>
  <si>
    <t>Documentation specialist reviews edge cases involving restricted goods, unusual destinations, or reg</t>
  </si>
  <si>
    <t>0 × 0.90 × 0.75 = $0</t>
  </si>
  <si>
    <t>2.8% margin improvement × $1,800M revenue × 0.95 × 0.75 = $35.9M → $12.1M</t>
  </si>
  <si>
    <t>Pricing strategy team reviews AI recommendations and sets pricing guardrails for each customer segme</t>
  </si>
  <si>
    <t>Demand Forecasting &amp; Capacity Planning</t>
  </si>
  <si>
    <t>Operations Planning</t>
  </si>
  <si>
    <t>Capacity Forecasting</t>
  </si>
  <si>
    <t>50% overrun reduction × $18.3M excess costs × 0.90 × 0.75 = $6.2M → $9.8M</t>
  </si>
  <si>
    <t>38% capacity risk reduction × $12.3M exposure × 0.80 × 0.75 = $2.8M</t>
  </si>
  <si>
    <t>Operations director reviews AI-generated forecasts and approves capacity commitments with carrier pa</t>
  </si>
  <si>
    <t>Intelligent Technical Documentation Generator</t>
  </si>
  <si>
    <t>38,000 hours saved × $165/hour × 0.90 × 0.75 = $4,207,500 rounded to $5.0M</t>
  </si>
  <si>
    <t>20% reduction × $9.2M compliance exposure × 0.80 × 0.75 = $1,104,000 rounded to $1.4M</t>
  </si>
  <si>
    <t>Senior engineer reviews and approves all technical specifications and safety-critical content before</t>
  </si>
  <si>
    <t>Predictive Maintenance Intelligence Platform</t>
  </si>
  <si>
    <t>Maintenance Operations</t>
  </si>
  <si>
    <t>30% reduction × $8.7M emergency costs × 0.90 × 0.75 + 13% travel reduction × $5.3M × 0.90 × 0.75 = $</t>
  </si>
  <si>
    <t>25% reduction × $18M downtime exposure × 0.80 × 0.75 = $2,700,000 rounded to $2.7M</t>
  </si>
  <si>
    <t>Service manager approves all preventive maintenance schedules and emergency service dispatches based</t>
  </si>
  <si>
    <t>Intelligent Dispatch Optimizer</t>
  </si>
  <si>
    <t>Dispatch Optimization</t>
  </si>
  <si>
    <t>13% travel reduction × $3.7M dispatch costs × 0.90 × 0.75 = $1,624,050 rounded to $1.6M</t>
  </si>
  <si>
    <t>Regional service managers override AI routing decisions for customer priority situations</t>
  </si>
  <si>
    <t>Technical Support Chatbot</t>
  </si>
  <si>
    <t>24% resolution improvement × 8,400 tickets × 2.5 hours × $140/hour × 0.90 × 0.75 = $1,323,000 rounde</t>
  </si>
  <si>
    <t>Support technicians handle all escalated issues and review chatbot responses quarterly for accuracy</t>
  </si>
  <si>
    <t>Project Risk Intelligence System</t>
  </si>
  <si>
    <t>Cost reduction realized through risk mitigation</t>
  </si>
  <si>
    <t>5% failure reduction × 84 projects × $428K × 2.0 failure multiplier × 0.80 × 0.75 = $3,427,680 round</t>
  </si>
  <si>
    <t>Project managers review all risk assessments and approve mitigation plans before project kickoff</t>
  </si>
  <si>
    <t>Automated Invoice Validation Engine</t>
  </si>
  <si>
    <t>Invoice Validation</t>
  </si>
  <si>
    <t>73% automation × 1,008 invoices × 4 hours × $100/hour × 0.90 × 0.75 = $498,096 rounded to $0.5M</t>
  </si>
  <si>
    <t>25% reduction × $4.2M billing dispute exposure × 0.80 × 0.75 = $630,000 rounded to $0.6M</t>
  </si>
  <si>
    <t>15 days improvement × $180M revenue / 365 × 8% WACC × 0.85 × 0.75 = $1,507,397 rounded to $1.5M</t>
  </si>
  <si>
    <t>Finance controllers review and approve all invoices flagged by AI validation rules before customer t</t>
  </si>
  <si>
    <t>Proposal Intelligence Engine</t>
  </si>
  <si>
    <t>90 hours saved × 290 proposals × $185/hour × 0.90 × 0.75 = $3,468,562 rounded to $3.5M</t>
  </si>
  <si>
    <t>9% win rate lift × $270M pipeline × 0.95 × 0.75 = $17,298,750 + 15% capacity gain × $34M declined op</t>
  </si>
  <si>
    <t>Sales engineers review and customize all technical solutions and pricing before customer submission</t>
  </si>
  <si>
    <t>Regulatory Compliance Navigator</t>
  </si>
  <si>
    <t>55 days saved × 24 projects × $165/hour × 8 hours × 0.90 × 0.75 = $1,881,720 rounded to $1.9M</t>
  </si>
  <si>
    <t>30% reduction × $18.9M non-compliance exposure × 0.80 × 0.75 = $3,402,000 rounded to $3.6M</t>
  </si>
  <si>
    <t>55 days faster × 24 projects × $428K avg contract × 8% WACC × 0.85 × 0.75 = $3,763,392 rounded to $3</t>
  </si>
  <si>
    <t>Compliance officers validate all regulatory interpretations and approve certification submissions</t>
  </si>
  <si>
    <t>Smart Inventory Optimization System</t>
  </si>
  <si>
    <t>Cost reduction realized through cash flow improvement</t>
  </si>
  <si>
    <t>20% reduction × $7.4M stockout exposure × 0.80 × 0.75 = $888,000 rounded to $0.9M</t>
  </si>
  <si>
    <t>$2.1M stock reduction × 8% WACC × 0.85 × 0.75 + 7 days improvement × $180M revenue / 365 × 0.85 × 0.</t>
  </si>
  <si>
    <t>Supply chain manager approves all purchase orders above $25K and reviews monthly optimization recomm</t>
  </si>
  <si>
    <t>PLC Code Reusability Assistant</t>
  </si>
  <si>
    <t>Code Reusability</t>
  </si>
  <si>
    <t>Coding Assistance, Research &amp; Information Retrieval, Data Analysis</t>
  </si>
  <si>
    <t>40% time reduction × $5.9M programming costs × 0.90 × 0.75 = $3,564,600 rounded to $3.6M</t>
  </si>
  <si>
    <t>15% reduction × $8.4M code quality exposure × 0.80 × 0.75 = $756,000 rounded to $0.8M</t>
  </si>
  <si>
    <t>Control engineers validate all reused code modules for safety compliance and site-specific requireme</t>
  </si>
  <si>
    <t>Intelligent Proposal Configuration Engine</t>
  </si>
  <si>
    <t>Technical Proposals</t>
  </si>
  <si>
    <t>15,400 hours deflected × $125/hr × 0.90 × 0.75 × 1.0 = $1.3M PLUS 3.2 FTE proposal coordinators × $7</t>
  </si>
  <si>
    <t>12% win rate lift × $95.8M addressable pipeline × 0.95 × 0.75 × 1.0 = $8.2M PLUS 8% faster cycle × $</t>
  </si>
  <si>
    <t>Senior engineer reviews and approves AI-generated configuration before pricing finalization and cust</t>
  </si>
  <si>
    <t>Demand Forecasting Intelligence Hub</t>
  </si>
  <si>
    <t>25% reduction × $9.6M obsolescence &amp; expedite costs × 0.90 × 0.75 × 0.9 = $1.5M PLUS 5,200 hours sav</t>
  </si>
  <si>
    <t>32 days inventory reduction × $950K/day × 8% rate × 0.85 × 0.75 × 0.9 = $5.4M PLUS 18 days payable e</t>
  </si>
  <si>
    <t>Demand planning manager reviews and adjusts AI forecasts monthly before release to procurement and p</t>
  </si>
  <si>
    <t>Quality Root Cause Analyzer</t>
  </si>
  <si>
    <t>28% reduction × $6.8M rework costs × 0.90 × 0.75 × 0.85 = $1.1M PLUS 3,800 hours saved × $125/hr × 0</t>
  </si>
  <si>
    <t>35% reduction × $4.8M warranty exposure × 0.80 × 0.75 × 0.9 = $0.9M PLUS 40% reduction × $840K compl</t>
  </si>
  <si>
    <t>Quality engineer validates AI-identified root cause and approves recommended corrective actions befo</t>
  </si>
  <si>
    <t>Proposal Assembly Automation</t>
  </si>
  <si>
    <t xml:space="preserve">9,200 hours proposal writers × $110/hr × 0.90 × 0.75 × 1.0 = $1.0M PLUS 1.8 FTE coordinators × $78K </t>
  </si>
  <si>
    <t>Proposal manager reviews complete draft for accuracy, tone, and strategic positioning before externa</t>
  </si>
  <si>
    <t>Technical Training Companion</t>
  </si>
  <si>
    <t>17 days faster productivity × 140 new hires × $95/hr × 8 hr/day × 0.90 × 0.75 × 0.9 = $1.1M PLUS 6,8</t>
  </si>
  <si>
    <t>18% reduction × $2.1M turnover costs × 0.80 × 0.75 × 0.8 = $0.3M</t>
  </si>
  <si>
    <t>Senior technician reviews trainee performance metrics and AI interaction logs weekly to identify kno</t>
  </si>
  <si>
    <t>Collections Prioritization Engine</t>
  </si>
  <si>
    <t>4,200 hours AR specialist time × $85/hr × 0.90 × 0.75 × 1.0 = $0.3M PLUS 28% reduction × $950K bad d</t>
  </si>
  <si>
    <t>10 days DSO reduction × $2.3M/day × 8% rate × 0.85 × 0.75 × 0.9 = $2.2M</t>
  </si>
  <si>
    <t>Collections manager reviews AI priority rankings daily and overrides for strategic accounts or speci</t>
  </si>
  <si>
    <t>Service Operations</t>
  </si>
  <si>
    <t>Maintenance Scheduling</t>
  </si>
  <si>
    <t>1,680 emergency calls avoided × $840 premium × 0.90 × 0.75 × 0.9 = $2.3M PLUS 8,100 hours saved × $9</t>
  </si>
  <si>
    <t>22% reduction × $10.2M customer churn risk × 0.80 × 0.75 × 0.9 = $1.2M PLUS 12% reduction × $4.8M wa</t>
  </si>
  <si>
    <t>Service manager approves auto-generated maintenance schedules weekly and reviews critical failure pr</t>
  </si>
  <si>
    <t>Service Documentation Assistant</t>
  </si>
  <si>
    <t>Field Documentation</t>
  </si>
  <si>
    <t>Conversational Interfaces, Content Creation, Workflow Automation</t>
  </si>
  <si>
    <t>14,200 hours technician time saved × $95/hr × 0.90 × 0.75 × 1.0 = $1.3M PLUS 4.8 FTE admin transcrip</t>
  </si>
  <si>
    <t>Technician reviews and confirms AI-generated work order before submission at end of service call</t>
  </si>
  <si>
    <t>Contract Compliance Reviewer</t>
  </si>
  <si>
    <t>5,600 hours legal review × $185/hr × 0.90 × 0.75 × 0.9 = $0.7M PLUS 0.8 FTE paralegals × $68K × 0.90</t>
  </si>
  <si>
    <t>45% reduction × $2.2M contract dispute costs × 0.80 × 0.75 × 0.85 = $0.6M</t>
  </si>
  <si>
    <t>Legal counsel reviews AI-flagged risk areas and approves contract before signature authority delegat</t>
  </si>
  <si>
    <t>6,400 hours planner time × $110/hr × 0.90 × 0.75 × 1.0 = $0.7M PLUS 18% reduction × $3.1M expedite &amp;</t>
  </si>
  <si>
    <t>5% late delivery reduction × $38.2M revenue at risk × 0.95 × 0.75 × 0.9 = $1.9M</t>
  </si>
  <si>
    <t>Production manager reviews AI-generated schedule each morning and overrides for rush orders or maint</t>
  </si>
  <si>
    <t>Safety Inspection Automation Suite</t>
  </si>
  <si>
    <t>Safety &amp; Compliance</t>
  </si>
  <si>
    <t>Inspection Administration</t>
  </si>
  <si>
    <t>14,000 hours deflected × $125/hour × 0.90 × 0.75 = $1.2M PLUS 6,800 hours reclaimed for proactive pr</t>
  </si>
  <si>
    <t>No direct revenue impact quantified</t>
  </si>
  <si>
    <t>18% reduction in incident rate × $34M client exposure × 0.15 SitelogIQ liability share × 0.80 × 0.75</t>
  </si>
  <si>
    <t xml:space="preserve">Safety manager validates AI-generated findings and approves inspection reports before submission to </t>
  </si>
  <si>
    <t>Client Onboarding Accelerator</t>
  </si>
  <si>
    <t>8,200 hours deflected × $125/hour × 0.90 × 0.75 = $619K PLUS 2,800 hours reclaimed × $125/hour × 0.2</t>
  </si>
  <si>
    <t>18% faster time to value × 340 new clients × $97K ACV × 0.15 value capture × 0.95 × 0.75 = $665K PLU</t>
  </si>
  <si>
    <t>28% reduction in implementation failures × $2.2M annual exposure × 0.80 × 0.75 = $370K rounded to $4</t>
  </si>
  <si>
    <t>19 days faster onboarding × 340 clients × $97K ACV ÷ 365 days × 0.85 × 0.75 = $1.5M PLUS 12% improve</t>
  </si>
  <si>
    <t>Implementation manager reviews AI-generated configuration and training plan before client presentati</t>
  </si>
  <si>
    <t>Intelligent Support Triage System</t>
  </si>
  <si>
    <t>6,400 hours deflected × $150/hour × 0.90 × 0.75 = $648K PLUS 2,200 hours reclaimed × $150/hour × 0.4</t>
  </si>
  <si>
    <t>0.8% retention improvement from faster resolution × $180M revenue × 0.95 × 0.75 = $1.0M PLUS 18% NPS</t>
  </si>
  <si>
    <t>35% reduction in support escalation failures × $2.4M customer satisfaction risk × 0.80 × 0.75 = $504</t>
  </si>
  <si>
    <t>Support engineer reviews AI resolution quality through random sampling and validates routing decisio</t>
  </si>
  <si>
    <t>Contract Review Accelerator</t>
  </si>
  <si>
    <t>2,800 hours deflected × $125/hour × 0.90 × 0.75 = $236K rounded to $340K</t>
  </si>
  <si>
    <t>22% sales cycle acceleration × $52M pipeline × 0.09 value capture × 0.95 × 0.75 = $822K PLUS 1.2% wi</t>
  </si>
  <si>
    <t>42% reduction in unfavorable terms accepted × $6.8M annual exposure × 0.80 × 0.75 = $1.7M PLUS 28% r</t>
  </si>
  <si>
    <t>3.3 days faster contract turnaround × 680 contracts × $97K ACV ÷ 365 days × 0.85 × 0.75 = $940K PLUS</t>
  </si>
  <si>
    <t>General counsel or contract attorney reviews AI-identified issues and approves redline recommendatio</t>
  </si>
  <si>
    <t>Intelligent RFI Response Assistant</t>
  </si>
  <si>
    <t>Project Support</t>
  </si>
  <si>
    <t>RFI Management</t>
  </si>
  <si>
    <t>25,000 hours deflected × $150/hour × 0.90 × 0.75 = $2.5M PLUS 8,500 hours reclaimed for strategic wo</t>
  </si>
  <si>
    <t xml:space="preserve">15% reduction in client delay costs × $100M addressable impact × 0.95 × 0.75 × 1.0 = $10.7M PLUS 2% </t>
  </si>
  <si>
    <t>22% reduction in RFI-related disputes × $19M annual exposure × 0.80 × 0.75 = $2.5M PLUS 15% reductio</t>
  </si>
  <si>
    <t>12 days faster project closeout × 280 projects × $3,800/day average billings × 0.85 × 0.75 = $2.0M r</t>
  </si>
  <si>
    <t xml:space="preserve">Project manager or superintendent reviews and approves all AI-drafted responses before transmission </t>
  </si>
  <si>
    <t>Drawing Conflict Detection Engine</t>
  </si>
  <si>
    <t>Document Control</t>
  </si>
  <si>
    <t>Drawing Management</t>
  </si>
  <si>
    <t>19,000 hours deflected × $125/hour × 0.90 × 0.75 = $1.6M PLUS 4,200 hours reclaimed × $125/hour × 0.</t>
  </si>
  <si>
    <t>1.5% retention improvement from quality reputation × $180M revenue × 0.95 × 0.75 = $1.9M PLUS 12% re</t>
  </si>
  <si>
    <t>35% reduction in drawing conflicts × $215M client exposure × 0.18 SitelogIQ liability share × 0.80 ×</t>
  </si>
  <si>
    <t>8 days faster drawing approval cycles × 280 projects × $3,800/day × 0.85 × 0.75 = $680K</t>
  </si>
  <si>
    <t>Document control manager reviews flagged conflicts and determines resolution priority before issuing</t>
  </si>
  <si>
    <t>Incident Investigation Copilot</t>
  </si>
  <si>
    <t>5,200 hours deflected × $125/hour × 0.90 × 0.75 = $439K PLUS 2,100 hours reclaimed × $125/hour × 0.3</t>
  </si>
  <si>
    <t>32% improvement in root cause accuracy × $8.4M preventable recurrence costs × 0.80 × 0.75 = $1.6M PL</t>
  </si>
  <si>
    <t>Safety director reviews causal analysis and corrective actions before finalizing investigation repor</t>
  </si>
  <si>
    <t>Lead Intelligence &amp; Qualification Engine</t>
  </si>
  <si>
    <t>3,800 hours deflected × $100/hour × 0.90 × 0.75 = $257K PLUS 1,200 hours reclaimed × $100/hour × 0.3</t>
  </si>
  <si>
    <t>28% improvement in lead-to-opportunity conversion × 4,200 annual leads × $97K ACV × 0.12 baseline co</t>
  </si>
  <si>
    <t>No material risk reduction quantified</t>
  </si>
  <si>
    <t>8 days faster qualification × 1,680 qualified leads × $97K ACV × 0.18 conversion ÷ 365 days × 0.85 ×</t>
  </si>
  <si>
    <t xml:space="preserve">Sales development representative reviews AI-generated qualification scorecard and approves outreach </t>
  </si>
  <si>
    <t>Revenue Recognition Automation Assistant</t>
  </si>
  <si>
    <t>10,200 hours deflected annually × $125/hour × 0.90 × 0.75 = $862K PLUS 3,100 hours reclaimed × $125/</t>
  </si>
  <si>
    <t>35% reduction in revenue recognition errors × $2.8M restatement risk × 0.80 × 0.75 = $588K rounded t</t>
  </si>
  <si>
    <t xml:space="preserve">3.7 days faster close cycle × 12 months × $18.7M monthly revenue recognition × 0.02 working capital </t>
  </si>
  <si>
    <t>Revenue controller reviews AI-generated schedules and validates journal entries before posting to ge</t>
  </si>
  <si>
    <t>Code Generation for Standard Features</t>
  </si>
  <si>
    <t>6,800 hours deflected × $125/hour × 0.90 × 0.75 = $573K PLUS 2,400 hours reclaimed × $125/hour × 0.2</t>
  </si>
  <si>
    <t>18% reduction in code defects × $3.4M technical debt costs × 0.80 × 0.75 = $367K rounded to $420K</t>
  </si>
  <si>
    <t>Senior engineer reviews AI-generated code for security vulnerabilities, architectural alignment, and</t>
  </si>
  <si>
    <t>AI-Augmented Technical Documentation Generator</t>
  </si>
  <si>
    <t>38,000 hours × 60% reduction × $150/hour × 0.90 × 0.75 = $3,078,000 → $3.1M</t>
  </si>
  <si>
    <t xml:space="preserve">Senior engineer reviews AI-generated technical content for accuracy, approves regulatory compliance </t>
  </si>
  <si>
    <t>Predictive Quality Analytics Engine</t>
  </si>
  <si>
    <t>21,000 hours × 40% reduction × $100/hour × 0.90 × 0.75 = $567,000 → $500K plus defect reduction bene</t>
  </si>
  <si>
    <t>1.6% defect reduction × $180M revenue × 3.5% rework cost × 0.80 × 0.75 = $4,104,000 → $4.1M</t>
  </si>
  <si>
    <t>Quality engineer validates flagged anomalies against process knowledge, approves recommended correct</t>
  </si>
  <si>
    <t>Automated Supplier Qualification Assistant</t>
  </si>
  <si>
    <t>Supplier Qualification</t>
  </si>
  <si>
    <t>340 suppliers × 36 hours/supplier × 65% reduction × $100/hour × 0.90 × 0.75 = $2,020,800 → $2.0M</t>
  </si>
  <si>
    <t>75 days reduction × $85K daily working capital × 25% onboarding rate × 0.85 × 0.75 = $1,532,812 → $1</t>
  </si>
  <si>
    <t xml:space="preserve">Procurement manager reviews AI assessment of supplier qualifications, validates high-risk findings, </t>
  </si>
  <si>
    <t>Design Change Workflow Orchestrator</t>
  </si>
  <si>
    <t>Design Change Management</t>
  </si>
  <si>
    <t>480 changes × 8 stakeholders × 2.5 hours/review × 35% reduction × $150/hour × 0.90 × 0.75 = $1,134,0</t>
  </si>
  <si>
    <t>22 day cycle reduction × 480 changes/year × $850 daily opportunity cost × 0.95 × 0.75 = $4,525,200 →</t>
  </si>
  <si>
    <t>Engineering manager approves AI-determined routing logic, validates stakeholder selection for critic</t>
  </si>
  <si>
    <t>Materials Traceability Intelligence System</t>
  </si>
  <si>
    <t>Materials Traceability</t>
  </si>
  <si>
    <t>8,200 hours × 70% reduction × $100/hour × 0.90 × 0.75 = $2,169,000 → $2.2M</t>
  </si>
  <si>
    <t>8% probability × $18M recall cost × 35% reduction × 0.80 × 0.75 = $2,721,600 → $2.7M</t>
  </si>
  <si>
    <t>Quality specialist validates AI-generated traceability chains for critical flight safety items, veri</t>
  </si>
  <si>
    <t>Regulatory Audit Evidence Repository</t>
  </si>
  <si>
    <t>Audit Preparation</t>
  </si>
  <si>
    <t>4 audits/year × 280 hours/audit × 65% reduction × $125/hour × 0.90 × 0.75 = $869,400 → $900K</t>
  </si>
  <si>
    <t>12% probability × $22M certification risk × 25% reduction × 0.80 × 0.75 = $3,564,000 → $3.6M</t>
  </si>
  <si>
    <t>Quality manager reviews AI-assembled audit packages for completeness, validates evidence relevance t</t>
  </si>
  <si>
    <t>Program Performance Variance Analyzer</t>
  </si>
  <si>
    <t>Program Performance Analysis</t>
  </si>
  <si>
    <t>65 contracts × 42 hours/contract × 50% reduction × $110/hour × 0.90 × 0.75 = $677,925 → $700K</t>
  </si>
  <si>
    <t>25 day acceleration × 65 contracts × $950/day × 0.85 × 0.75 = $1,234,687 → $1.2M</t>
  </si>
  <si>
    <t>Program controller validates AI-calculated variances against program knowledge, reviews forecast ass</t>
  </si>
  <si>
    <t>Technical Knowledge Preservation System</t>
  </si>
  <si>
    <t>12,500 engineering questions × 2.2 hours × 50% deflection × $150/hour × 0.90 × 0.75 = $1,846,875 → $</t>
  </si>
  <si>
    <t>18% probability × $15M program loss × 30% reduction × 0.80 × 0.75 = $4,860,000 → $4.8M</t>
  </si>
  <si>
    <t>Senior engineer validates AI-captured design rationale for technical accuracy, approves knowledge ba</t>
  </si>
  <si>
    <t>4,800 proposal hours × 55% reduction × $150/hour × 0.90 × 0.75 = $1,663,200 → $1.6M</t>
  </si>
  <si>
    <t>12% win rate improvement × $180M pipeline × 50% margin × 0.95 × 0.75 = $10,773,000 → $10.8M</t>
  </si>
  <si>
    <t>Sales engineer reviews assembled proposal for customer-specific requirements, validates technical ap</t>
  </si>
  <si>
    <t>Intelligent Technical Support Assistant</t>
  </si>
  <si>
    <t>6,200 escalations × 3.5 hours × 62% deflection × $150/hour × 0.90 × 0.75 = $1,814,850 → $1.8M</t>
  </si>
  <si>
    <t>Technical support specialist reviews AI-generated responses before customer delivery, validates tech</t>
  </si>
  <si>
    <t>Membership Operations</t>
  </si>
  <si>
    <t xml:space="preserve">3% retention lift × $298M membership revenue × 0.95 × 0.75 = $6.4M + 15% lifetime extension × $298M </t>
  </si>
  <si>
    <t>12% reduction × $8.7M annual churn loss × 0.80 × 0.75 = $900K</t>
  </si>
  <si>
    <t>18-day payment timing improvement × 298,000 members × $27 avg monthly × 0.85 × 0.75 / 12 = $1.7M</t>
  </si>
  <si>
    <t>Member services manager approves retention offer value and outreach timing before system initiates c</t>
  </si>
  <si>
    <t>Automated Regional Performance Briefings</t>
  </si>
  <si>
    <t>Regional Management</t>
  </si>
  <si>
    <t>Site Oversight</t>
  </si>
  <si>
    <t>22,000 hours saved × $125 regional manager rate × 0.90 × 0.75 = $1.9M + 8,000 site manager hours × $</t>
  </si>
  <si>
    <t>35% reduction × $8.4M oversight cost risk × 0.80 × 0.75 = $2.3M</t>
  </si>
  <si>
    <t>Regional manager reviews flagged anomalies and approves site visit schedule before dispatching maint</t>
  </si>
  <si>
    <t>Interactive Employee Training Assistant</t>
  </si>
  <si>
    <t>Conversational Interfaces, Content Creation, Research &amp; Information Retrieval</t>
  </si>
  <si>
    <t xml:space="preserve">5,600 training hours saved × $32 frontline rate × 0.90 × 0.75 = $120K + 2,800 manager hours × $65 × </t>
  </si>
  <si>
    <t>2.5% upsell improvement × $122M single-wash revenue × 0.95 × 0.75 = $2.2M reduced to $1.9M for conse</t>
  </si>
  <si>
    <t>25% reduction × $5.3M training inconsistency risk × 0.80 × 0.75 = $1.1M</t>
  </si>
  <si>
    <t>Site manager certifies employee competency completion before authorizing unsupervised customer inter</t>
  </si>
  <si>
    <t>Intelligent Customer Service Knowledge Base</t>
  </si>
  <si>
    <t>Complaint Management</t>
  </si>
  <si>
    <t xml:space="preserve">2.7-day resolution reduction × 18,500 annual complaints × 2.4 hours per day × $32 agent rate × 0.90 </t>
  </si>
  <si>
    <t>28% reduction × $3.8M complaint risk × 0.80 × 0.75 = $800K</t>
  </si>
  <si>
    <t>Agent selects final resolution approach and approves any account credits or service guarantees befor</t>
  </si>
  <si>
    <t>Acquisition</t>
  </si>
  <si>
    <t>5% conversion lift × 10.2M single washes × $27 monthly × 18 month lifetime × 0.95 × 0.75 = $10.2M</t>
  </si>
  <si>
    <t>68,000 new members × $27 monthly × 0.85 × 0.75 = $1.2M first-year recurring + accelerated cash colle</t>
  </si>
  <si>
    <t>Frontline staff delivers membership offer and processes enrollment decision without AI directly inte</t>
  </si>
  <si>
    <t>Failed Payment Recovery Orchestrator</t>
  </si>
  <si>
    <t>Payment Recovery</t>
  </si>
  <si>
    <t>4,200 recovery hours saved × $32 staff rate × 0.90 × 0.75 = $90K + system efficiency worth 48% × $2.</t>
  </si>
  <si>
    <t>28% reduction × $2.9M payment friction risk × 0.80 × 0.75 = $600K</t>
  </si>
  <si>
    <t>20% recovery improvement × $298M × 0.09 failure rate × 0.85 × 0.75 = $3.4M + 18-day collection accel</t>
  </si>
  <si>
    <t>Finance manager reviews and approves recovery incentive offers before system initiates member outrea</t>
  </si>
  <si>
    <t>Hyper-Local Marketing Campaign Optimizer</t>
  </si>
  <si>
    <t>Campaign Optimization</t>
  </si>
  <si>
    <t xml:space="preserve">$15 acquisition cost reduction × 95,000 annual new members × 0.90 × 0.75 = $960K + media efficiency </t>
  </si>
  <si>
    <t>8% membership growth × 298,000 members × $27 monthly × 12 months × 0.15 incremental from optimizatio</t>
  </si>
  <si>
    <t>28% reduction × $1.8M marketing inefficiency risk × 0.80 × 0.75 = $400K</t>
  </si>
  <si>
    <t>Marketing director approves campaign budgets and promotional offer terms before media activation</t>
  </si>
  <si>
    <t>Site Operations</t>
  </si>
  <si>
    <t>Equipment Monitoring</t>
  </si>
  <si>
    <t>28% maintenance cost reduction × $6.2M annual equipment friction × 0.90 × 0.75 = $1.2M + 4,200 emerg</t>
  </si>
  <si>
    <t xml:space="preserve">10-hour downtime reduction × 385 sites × 12 months × 25 washes/hour × $12 avg revenue × 0.95 × 0.75 </t>
  </si>
  <si>
    <t>30% reduction × $6.2M equipment performance risk × 0.80 × 0.75 = $1.4M</t>
  </si>
  <si>
    <t>10-hour monthly downtime reduction × 385 sites × $12 × 25 washes/hour × 12 months × 0.85 × 0.75 = $3</t>
  </si>
  <si>
    <t>Site manager approves maintenance scheduling and equipment shutdown timing to avoid peak revenue hou</t>
  </si>
  <si>
    <t>Real Estate Development</t>
  </si>
  <si>
    <t>Site Selection</t>
  </si>
  <si>
    <t>No first-year revenue impact</t>
  </si>
  <si>
    <t>42% reduction × $2.4M site selection risk × 15 sites × 0.80 × 0.75 / 15 sites average = $1.9M annual</t>
  </si>
  <si>
    <t>6-month payback improvement × 15 annual new sites × $1.8M average investment × 0.08 WACC × 0.85 × 0.</t>
  </si>
  <si>
    <t>Real estate committee reviews AI-generated projections and approves site acquisition decisions befor</t>
  </si>
  <si>
    <t>Dynamic Queue Management System</t>
  </si>
  <si>
    <t>Queue Management</t>
  </si>
  <si>
    <t>2,400 staff hours optimized × $32 rate × 0.90 × 0.75 = $52K + operational efficiency worth 52% × $1.</t>
  </si>
  <si>
    <t>12% throughput improvement × 300 daily washes × 385 sites × 365 days × $12 × 0.35 peak-hour proporti</t>
  </si>
  <si>
    <t>42% reduction × $1.5M queue management risk × 0.80 × 0.75 = $500K</t>
  </si>
  <si>
    <t>Site manager approves tunnel speed adjustments and alternative location recommendations before custo</t>
  </si>
  <si>
    <t>Schema Translation Engine</t>
  </si>
  <si>
    <t>Data Engineering</t>
  </si>
  <si>
    <t>Schema Mapping</t>
  </si>
  <si>
    <t>Data Analysis, Coding Assistance, Conversational Interfaces</t>
  </si>
  <si>
    <t>255 hours saved × 28 clients × $165/hour × 0.90 × 0.75 = $931K → $900K</t>
  </si>
  <si>
    <t>25 days accelerated × $350K daily cash × 28 clients × 0.85 × 0.75 = $2,805K → $2,800K</t>
  </si>
  <si>
    <t xml:space="preserve">Data engineer reviews and approves all proposed field mappings and transformation logic before code </t>
  </si>
  <si>
    <t>Customer Retention</t>
  </si>
  <si>
    <t>Churn Prevention</t>
  </si>
  <si>
    <t>No material cost reduction</t>
  </si>
  <si>
    <t>0.03 retention improvement × $847M revenue × 0.95 × 0.75 = $16,211K → $16,200K</t>
  </si>
  <si>
    <t>0.28 × $76M churn × 0.80 × 0.75 = $16,358K → $16,300K</t>
  </si>
  <si>
    <t>Account manager reviews AI-generated risk assessment and intervention recommendations before initiat</t>
  </si>
  <si>
    <t>Ad Hoc Analysis Accelerator</t>
  </si>
  <si>
    <t>Ad Hoc Analysis</t>
  </si>
  <si>
    <t>3.2 hours saved × 142 requests × 12 months × $165/hour × 0.90 × 0.75 = $1,607K → $1,600K</t>
  </si>
  <si>
    <t>0.23 × $76M churn × 0.03 risk reduction × 0.80 × 0.75 = $419K → $400K</t>
  </si>
  <si>
    <t>Senior analyst validates query logic, reviews statistical conclusions, and approves narrative before</t>
  </si>
  <si>
    <t>Data Quality Anomaly Detection</t>
  </si>
  <si>
    <t>127 configs × 6 updates/year × 9 hours × $165/hour × 0.90 × 0.75 = $756K → $700K</t>
  </si>
  <si>
    <t>0.34 × $76M churn × 0.08 risk reduction × 0.80 × 0.75 = $1,821K → $1,800K</t>
  </si>
  <si>
    <t>Data engineer reviews proposed validation rule changes and approves updates before deployment to pro</t>
  </si>
  <si>
    <t>8 hours saved × 84 contracts × $250/hour × 0.90 × 0.75 = $227K → $200K</t>
  </si>
  <si>
    <t>8 days accelerated × 84 contracts × $350K daily cash × 0.85 × 0.75 = $1,190K → $1,200K</t>
  </si>
  <si>
    <t>Attorney reviews AI-identified risk terms, validates legal interpretation, and approves final contra</t>
  </si>
  <si>
    <t>API Integration Code Generator</t>
  </si>
  <si>
    <t>API Integration</t>
  </si>
  <si>
    <t>Coding Assistance, Research &amp; Information Retrieval, Workflow Automation</t>
  </si>
  <si>
    <t>43 hours saved × 28 clients × $165/hour × 0.90 × 0.75 = $604K → $600K</t>
  </si>
  <si>
    <t>5 days accelerated × 28 clients × $350K daily cash × 0.85 × 0.75 = $890K → $900K</t>
  </si>
  <si>
    <t>Software engineer reviews generated code for security vulnerabilities, validates error handling logi</t>
  </si>
  <si>
    <t>Automated Client Insight Reports</t>
  </si>
  <si>
    <t>Reporting</t>
  </si>
  <si>
    <t>13 hours saved × 340 clients × 12 months × $145/hour × 0.90 × 0.75 = $6,622K → $6,600K</t>
  </si>
  <si>
    <t>0.23 × $76M churn × 0.14 risk reduction × 0.80 × 0.75 = $2,362K → $2,400K</t>
  </si>
  <si>
    <t>Client success manager reviews generated report for accuracy, edits narrative tone, and approves bef</t>
  </si>
  <si>
    <t>Model Documentation Assistant</t>
  </si>
  <si>
    <t>Data Science</t>
  </si>
  <si>
    <t>Model Documentation</t>
  </si>
  <si>
    <t>19 hours saved × 216 models × 4 quarters × $215/hour × 0.90 × 0.75 = $2,983K → $2,900K</t>
  </si>
  <si>
    <t>0.08 × $15M regulatory penalty × 0.85 risk reduction × 0.80 × 0.75 = $816K → $800K</t>
  </si>
  <si>
    <t>Senior data scientist reviews generated documentation for statistical accuracy and regulatory comple</t>
  </si>
  <si>
    <t>Pre-Sales ROI Calculator</t>
  </si>
  <si>
    <t>Pre-Sales Analysis</t>
  </si>
  <si>
    <t>14 hours saved × 186 demos × $165/hour × 0.90 × 0.75 = $348K → $300K</t>
  </si>
  <si>
    <t>14 hours saved × 186 demos × $165/hour enabling 4 additional deals × $2.1M ACV × 0.95 × 0.75 = $8,48</t>
  </si>
  <si>
    <t>Sales engineer reviews ROI assumptions, validates industry benchmark applicability, and approves dem</t>
  </si>
  <si>
    <t>Customer Feedback Synthesis Platform</t>
  </si>
  <si>
    <t>Feature Prioritization</t>
  </si>
  <si>
    <t>12 days saved × 12 cycles × 8 hours × $145/hour × 0.90 × 0.75 = $559K → $500K</t>
  </si>
  <si>
    <t>12 days accelerated × 6 releases × $350K opportunity cost × 0.95 × 0.75 = $4,284K → $4,300K</t>
  </si>
  <si>
    <t xml:space="preserve">Product manager reviews clustered themes, validates customer impact estimates, and approves feature </t>
  </si>
  <si>
    <t>Intelligent Pitch Assembly Engine</t>
  </si>
  <si>
    <t>New Business Development</t>
  </si>
  <si>
    <t>Pitch &amp; Proposal</t>
  </si>
  <si>
    <t>28,000 hours saved × $125/hour × 0.90 × 0.75 = $2.3M</t>
  </si>
  <si>
    <t>10% win rate lift × $133M annual pitch pipeline × 0.95 × 0.75 = $9.5M</t>
  </si>
  <si>
    <t>Senior strategist reviews and approves all auto-generated pitch sections before client presentation,</t>
  </si>
  <si>
    <t>AI Onboarding Assistant</t>
  </si>
  <si>
    <t>45 days × 180 new hires × $165/day × 0.90 × 0.75 = $1.8M</t>
  </si>
  <si>
    <t>7% attrition reduction × 850 employees × $42K replacement cost × 0.80 × 0.75 = $1.5M</t>
  </si>
  <si>
    <t>Department heads review and approve all knowledge base content monthly and validate learning path ef</t>
  </si>
  <si>
    <t>3,200 hours contract review × $165/hour × 60% time saved × 0.90 × 0.75 = $0.2M</t>
  </si>
  <si>
    <t>25% risk reduction × $12M contract dispute exposure × 0.80 × 0.75 = $1.8M</t>
  </si>
  <si>
    <t>8 days cycle reduction × $495K daily revenue × 0.85 × 0.75 = $2.5M</t>
  </si>
  <si>
    <t>General counsel reviews all flagged contract deviations and approves AI-suggested redlines before cl</t>
  </si>
  <si>
    <t>Client Sentiment Early Warning System</t>
  </si>
  <si>
    <t>8% churn reduction × $149M retention revenue × 0.95 × 0.75 = $8.5M</t>
  </si>
  <si>
    <t>40% early detection × $18M churn risk × 0.80 × 0.75 = $4.3M</t>
  </si>
  <si>
    <t>Account directors review all at-risk client alerts and approve intervention strategies before execut</t>
  </si>
  <si>
    <t>Enterprise Knowledge Graph</t>
  </si>
  <si>
    <t>Asset Discovery</t>
  </si>
  <si>
    <t>68,000 hours × $125/hour × 80% time saved × 0.90 × 0.75 = $4.5M</t>
  </si>
  <si>
    <t xml:space="preserve">Creative directors validate metadata accuracy during quarterly audits and approve relevance scoring </t>
  </si>
  <si>
    <t>Automated Performance Reporting Suite</t>
  </si>
  <si>
    <t>34,000 hours × $125/hour × 75% time saved × 0.90 × 0.75 = $2.1M</t>
  </si>
  <si>
    <t>5% revenue retention lift × $135M at-risk revenue × 0.95 × 0.75 = $4.8M</t>
  </si>
  <si>
    <t>30% reduction × $18M client churn risk × 0.80 × 0.75 = $3.2M</t>
  </si>
  <si>
    <t>Account directors review all auto-generated insights before client delivery and approve anomaly inte</t>
  </si>
  <si>
    <t>Predictive Creative Testing Platform</t>
  </si>
  <si>
    <t>Campaign Development</t>
  </si>
  <si>
    <t>$8.4M rework costs × 40% reduction × 0.90 × 0.75 = $2.2M</t>
  </si>
  <si>
    <t>13 days cycle reduction × $190K daily operating cash × 0.85 × 0.75 = $1.5M</t>
  </si>
  <si>
    <t>Executive creative director validates AI predictions against brand strategy and approves recommended</t>
  </si>
  <si>
    <t>Competitive Intelligence Automation</t>
  </si>
  <si>
    <t>8,200 hours research time × $165/hour × 70% automation × 0.90 × 0.75 = $0.6M</t>
  </si>
  <si>
    <t>3% revenue lift from faster insights × $118M insight-driven revenue × 0.95 × 0.75 = $2.5M</t>
  </si>
  <si>
    <t>Strategy leads validate all competitive claims and strategic interpretations before inclusion in cli</t>
  </si>
  <si>
    <t>Milestone-Triggered Invoicing Engine</t>
  </si>
  <si>
    <t>4,800 hours invoice processing × $95/hour × 0.90 × 0.75 = $0.3M</t>
  </si>
  <si>
    <t>5 days DSO reduction × $495K daily revenue × 8% WACC × 0.85 × 0.75 = $1.2M</t>
  </si>
  <si>
    <t>Finance manager approves all auto-generated invoices before client transmission and validates revenu</t>
  </si>
  <si>
    <t>Predictive Resource Allocation System</t>
  </si>
  <si>
    <t>Resource Allocation</t>
  </si>
  <si>
    <t>5% bench time reduction × $122M billable capacity × 0.95 × 0.75 = $5.4M</t>
  </si>
  <si>
    <t>Operations directors approve all resource assignments and validate demand forecasts against business</t>
  </si>
  <si>
    <t>59,220 contacts deflected × $34 per contact × 0.90 × 0.75 = $1,600,000</t>
  </si>
  <si>
    <t>12% specialist time redeployed × $5,200,000 trade revenue opportunity × 0.95 × 0.75 = $600,000</t>
  </si>
  <si>
    <t>No risk mitigation component</t>
  </si>
  <si>
    <t>Customer service specialists handle all escalations and review weekly samples of AI responses for qu</t>
  </si>
  <si>
    <t>Dynamic Content Marketing Generator</t>
  </si>
  <si>
    <t>16 additional guides × $65,400 revenue per guide × 0.95 × 0.75 = $1,000,000</t>
  </si>
  <si>
    <t>Marketing director reviews and approves all content before publication, ensuring brand voice alignme</t>
  </si>
  <si>
    <t>Automated Product Content Generation</t>
  </si>
  <si>
    <t>Merchandising</t>
  </si>
  <si>
    <t>Product Content</t>
  </si>
  <si>
    <t>8,200 hours × $100/hour × 0.75 adoption × 0.90 × 0.75 = $3,000,000</t>
  </si>
  <si>
    <t>38 days reduction × $23,400 daily opportunity cost × 0.95 × 0.75 = $800,000</t>
  </si>
  <si>
    <t>Merchandising manager reviews and approves all AI-generated content before web publication, with par</t>
  </si>
  <si>
    <t>Demand Forecasting &amp; Inventory Optimization</t>
  </si>
  <si>
    <t>5% stockout reduction × $24,100,000 affected revenue × 0.95 × 0.75 = $1,200,000</t>
  </si>
  <si>
    <t>40% reduction × $680,000 stockout loss exposure × 0.80 × 0.75 = $200,000</t>
  </si>
  <si>
    <t>11% inventory reduction × $14,200,000 excess inventory × 0.85 × 0.75 = $1,100,000</t>
  </si>
  <si>
    <t>Inventory buyers review and approve all purchase orders over $10,000 and any recommendations that de</t>
  </si>
  <si>
    <t>Trade Proposal Automation</t>
  </si>
  <si>
    <t>Trade Proposals</t>
  </si>
  <si>
    <t>25-day cycle reduction × $58,000 daily pipeline value × 0.95 × 0.75 = $1,400,000</t>
  </si>
  <si>
    <t>Sales representatives review all proposals before customer delivery, with mandatory approval from sa</t>
  </si>
  <si>
    <t>Intelligent Product Recommendation Engine</t>
  </si>
  <si>
    <t>Product Recommendations</t>
  </si>
  <si>
    <t>15% match accuracy improvement × $10,300,000 affected revenue × 0.95 × 0.75 = $1,500,000</t>
  </si>
  <si>
    <t>Customer service specialists validate AI recommendations before communicating to customers, with par</t>
  </si>
  <si>
    <t>Supplier Performance Analytics &amp; Communication Hub</t>
  </si>
  <si>
    <t>Supplier Management</t>
  </si>
  <si>
    <t>35% reduction × $2,800,000 supplier failure exposure × 0.80 × 0.75 = $600,000</t>
  </si>
  <si>
    <t>7% delivery variance improvement × $6,100,000 expedite cost × 0.85 × 0.75 = $400,000</t>
  </si>
  <si>
    <t>Procurement manager approves all supplier communications involving disputes, expedite requests, or p</t>
  </si>
  <si>
    <t>Slow-Moving Inventory Markdown Optimizer</t>
  </si>
  <si>
    <t>Inventory Analysis</t>
  </si>
  <si>
    <t>30% reduction × $1,600,000 obsolescence exposure × 0.80 × 0.75 = $300,000</t>
  </si>
  <si>
    <t>8% faster clearance × $13,200,000 slow inventory × 0.85 × 0.75 = $800,000</t>
  </si>
  <si>
    <t>Merchandising director approves all markdown recommendations before pricing changes go live, with au</t>
  </si>
  <si>
    <t>Competitive Pricing Intelligence</t>
  </si>
  <si>
    <t>2.8% margin improvement × $25,400,000 affected revenue × 0.95 × 0.75 = $1,800,000</t>
  </si>
  <si>
    <t>Pricing manager reviews and approves all recommended price changes, with particular scrutiny on adju</t>
  </si>
  <si>
    <t>Trade Lead Qualification &amp; Routing</t>
  </si>
  <si>
    <t>25% sales time redeployment × $4,600,000 pipeline opportunity × 0.95 × 0.75 = $1,100,000</t>
  </si>
  <si>
    <t>Sales manager reviews all leads scored below threshold before rejection and approves routing assignm</t>
  </si>
  <si>
    <t>Unified Technical Support Knowledge Assistant</t>
  </si>
  <si>
    <t>4.2 minutes × 95,000 calls × $100/hr ÷ 60 × 0.90 × 0.75 = $448,875 rounded to $400,000 plus $1.8M fr</t>
  </si>
  <si>
    <t>0.18 reduction × $1.5M customer churn risk × 0.80 × 0.75 = $162,000 rounded to $200,000</t>
  </si>
  <si>
    <t xml:space="preserve">Agent reviews AI-suggested resolution and confirms applicability to customer's specific grill model </t>
  </si>
  <si>
    <t>Market Intelligence</t>
  </si>
  <si>
    <t>$3.3M friction × 0.75 reduction × 0.90 × 0.75 = $1,668,938 rounded to $1,600,000 plus 10,000 hours ×</t>
  </si>
  <si>
    <t>0.15 faster feature velocity × $85M app revenue × 0.67 attribution × 0.95 × 0.75 = $6,086,719 rounde</t>
  </si>
  <si>
    <t>Product management reviews AI-generated feature clusters and validates strategic fit before adding t</t>
  </si>
  <si>
    <t>$4.2M expedited freight × 0.85 reduction × 0.90 × 0.75 = $2,414,250 rounded to $2,400,000 plus $3.8M</t>
  </si>
  <si>
    <t>19 days × $600M COGS ÷ 365 × 0.08 WACC × 0.85 × 0.75 = $5,323,288 rounded to $5,300,000 plus 22 days</t>
  </si>
  <si>
    <t xml:space="preserve">Demand planning manager reviews AI forecasts for new product launches and promotional events before </t>
  </si>
  <si>
    <t>Slow-Moving Inventory Optimization Advisor</t>
  </si>
  <si>
    <t>$950K friction × 0.70 reduction × 0.90 × 0.75 = $449,438 rounded to $400,000 plus 600 hours × $100/h</t>
  </si>
  <si>
    <t>$2.8M slow inventory liquidation × 0.60 recovery × 0.85 × 0.75 = $1,071,000 rounded to $1,100,000 pl</t>
  </si>
  <si>
    <t>Inventory manager approves liquidation strategies and markdown levels before executing pricing chang</t>
  </si>
  <si>
    <t>Dynamic Customer Engagement Campaign Optimizer</t>
  </si>
  <si>
    <t>Customer Engagement</t>
  </si>
  <si>
    <t>$680K friction × 0.65 reduction × 0.90 × 0.75 = $298,350 rounded to $300,000 plus 800 hours × $100/h</t>
  </si>
  <si>
    <t>0.25 CTR improvement × 95K app users × 24 campaigns × $1.65 conversion × 0.95 × 0.75 = $669,019 roun</t>
  </si>
  <si>
    <t>Marketing manager reviews segment definitions and message content before campaign deployment to ensu</t>
  </si>
  <si>
    <t>Intelligent Vendor Contract Risk Analyzer</t>
  </si>
  <si>
    <t>$1.6M friction × 0.70 reduction × 0.90 × 0.75 = $756,000 rounded to $700,000 plus 1,200 hours × $150</t>
  </si>
  <si>
    <t>0.30 reduction × $5M contract liability exposure × 0.80 × 0.75 = $900,000 plus 0.20 reduction × $1.2</t>
  </si>
  <si>
    <t>5 days faster contract cycle × 180 contracts × $12,500/day opportunity cost × 0.85 × 0.75 = $717,188</t>
  </si>
  <si>
    <t>General counsel reviews all contracts with high-risk flags or liability exposure exceeding $100K bef</t>
  </si>
  <si>
    <t>Intelligent Warranty Claim Processor</t>
  </si>
  <si>
    <t>Warranty Management</t>
  </si>
  <si>
    <t>13,500 hours × $100/hr × 0.70 deflection × 0.90 × 0.75 = $636,525 rounded to $600,000 plus $2.7M fri</t>
  </si>
  <si>
    <t>0.15 reduction × $2M customer satisfaction loss × 0.80 × 0.75 = $180,000 plus 0.12 reduction × $1M r</t>
  </si>
  <si>
    <t>6 days faster resolution × 400,000 claims × $0.35 working capital × 0.85 × 0.75 = $535,500 rounded t</t>
  </si>
  <si>
    <t>Customer service supervisor approves all claims exceeding $500 value or involving safety-related fai</t>
  </si>
  <si>
    <t>Competitive Intelligence Monitoring System</t>
  </si>
  <si>
    <t xml:space="preserve">$2.1M friction × 0.75 reduction × 0.90 × 0.75 = $1,063,125 rounded to $1,000,000 plus 2,600 hours × </t>
  </si>
  <si>
    <t>0.08 pricing optimization × $400M grill revenue × 0.95 × 0.75 = $22,800,000 × 0.15 attribution = $3,</t>
  </si>
  <si>
    <t>VP of Product Strategy reviews automated intelligence reports and approves competitive response reco</t>
  </si>
  <si>
    <t>Automated Recipe Content Generator</t>
  </si>
  <si>
    <t>$420K friction × 0.50 reduction × 0.90 × 0.75 = $141,750 rounded to $100,000 plus 240 recipes × 10 h</t>
  </si>
  <si>
    <t>240 incremental recipes × $11,500 revenue/recipe × 0.95 × 0.75 = $1,971,000 rounded to $2,000,000 pl</t>
  </si>
  <si>
    <t>Test kitchen chef validates cooking instructions, adjusts timing and temperatures, and approves reci</t>
  </si>
  <si>
    <t>Retail Partner Training Material Automation</t>
  </si>
  <si>
    <t>Retail Partner Support</t>
  </si>
  <si>
    <t>$1.25M friction × 0.70 reduction × 0.90 × 0.75 = $590,625 rounded to $500,000 plus 1,800 hours × $10</t>
  </si>
  <si>
    <t>0.12 sell-through improvement × $175M retail revenue × 0.95 × 0.75 × 0.15 attribution = $2,240,625 r</t>
  </si>
  <si>
    <t>Sales enablement director reviews generated training materials for accuracy and competitive position</t>
  </si>
  <si>
    <t>Intelligent Design Assistant with Supplier Feasibility Routing</t>
  </si>
  <si>
    <t>Design &amp; Engineering</t>
  </si>
  <si>
    <t>Custom Packaging Design</t>
  </si>
  <si>
    <t>18,600 hours saved × $150/hour × 0.90 × 0.75 = $4.3M</t>
  </si>
  <si>
    <t>15% revenue lift × $42M sub-$5K pipeline × 0.95 × 0.75 = $4.8M</t>
  </si>
  <si>
    <t>Design engineers review AI-generated mockups and approve supplier routing recommendations before cus</t>
  </si>
  <si>
    <t>Predictive Demand Planning with Seasonal Pattern Recognition</t>
  </si>
  <si>
    <t>Supply Chain &amp; Procurement</t>
  </si>
  <si>
    <t>42% inventory reduction × $12.3M carrying cost × 0.90 × 0.75 = $7.4M</t>
  </si>
  <si>
    <t>13% variance improvement × $62M working capital × 0.85 × 0.75 = $6.2M</t>
  </si>
  <si>
    <t>Supply chain planners review AI forecasts, adjust for known business developments, and approve procu</t>
  </si>
  <si>
    <t>AI-Powered Technical Support Knowledge Base</t>
  </si>
  <si>
    <t>26% deflection increase × 18,400 hours × $50/hour × 0.90 × 0.75 = $1.4M</t>
  </si>
  <si>
    <t>Support supervisors review escalated cases flagged by AI for accuracy and approve resolution guidanc</t>
  </si>
  <si>
    <t>Dynamic Pricing &amp; Quote Assembly Engine</t>
  </si>
  <si>
    <t>Sales &amp; Customer Service</t>
  </si>
  <si>
    <t>14,700 hours saved × $100/hour × 0.90 × 0.75 = $2.5M</t>
  </si>
  <si>
    <t>14% conversion lift × $190M annual pipeline × 0.95 × 0.75 = $14.2M</t>
  </si>
  <si>
    <t>Sales representatives review pricing logic and approve final quotes before customer delivery, with a</t>
  </si>
  <si>
    <t>Supplier Performance Intelligence &amp; Risk Scoring</t>
  </si>
  <si>
    <t>Supplier Performance Monitoring</t>
  </si>
  <si>
    <t>9,200 hours saved × $85/hour × 0.90 × 0.75 = $1.8M</t>
  </si>
  <si>
    <t>50% reduction × $3.2M quality exposure × 0.80 × 0.75 = $960K</t>
  </si>
  <si>
    <t>Procurement managers review risk alerts, validate root cause analysis, and approve supplier correcti</t>
  </si>
  <si>
    <t>Regulatory Compliance Research Assistant</t>
  </si>
  <si>
    <t>33,600 hours saved × $150/hour × 0.90 × 0.75 = $5.5M</t>
  </si>
  <si>
    <t xml:space="preserve">Legal counsel reviews AI-generated compliance guidance for high-risk jurisdictions and approves all </t>
  </si>
  <si>
    <t>Contextualized Product Recommendation Engine</t>
  </si>
  <si>
    <t>15% cross-sell lift × $156M opportunity × 0.95 × 0.75 = $16.8M</t>
  </si>
  <si>
    <t>Sales representatives review AI recommendations, validate alignment with customer strategic initiati</t>
  </si>
  <si>
    <t>Automated Contract Analysis &amp; Risk Flagging</t>
  </si>
  <si>
    <t>16,800 hours saved × $150/hour × 0.90 × 0.75 = $2.7M</t>
  </si>
  <si>
    <t>4.4 days × $950K/day × 0.85 × 0.75 = $3.1M</t>
  </si>
  <si>
    <t>Legal counsel reviews all flagged non-standard terms and approves contract execution before signatur</t>
  </si>
  <si>
    <t>Intelligent Specification Validation &amp; Error Prevention</t>
  </si>
  <si>
    <t>Quality &amp; Technical Services</t>
  </si>
  <si>
    <t>Specification Validation</t>
  </si>
  <si>
    <t>68% error reduction × $1.9M rework cost × 0.90 × 0.75 = $1.2M</t>
  </si>
  <si>
    <t>50% reduction × $2.4M specification risk × 0.80 × 0.75 = $720K</t>
  </si>
  <si>
    <t>Quality engineers review all flagged specification discrepancies and approve production orders befor</t>
  </si>
  <si>
    <t>Cross-Warehouse Inventory Intelligence &amp; Rebalancing</t>
  </si>
  <si>
    <t>Inventory Rebalancing</t>
  </si>
  <si>
    <t>62% reduction × $1.7M expedited freight × 0.90 × 0.75 = $1.0M</t>
  </si>
  <si>
    <t>5 days × $750K/day × 0.85 × 0.75 = $2.8M</t>
  </si>
  <si>
    <t>Warehouse managers review AI transfer recommendations, validate freight cost optimization, and appro</t>
  </si>
  <si>
    <t>Engineering Change Order Orchestration Assistant</t>
  </si>
  <si>
    <t>ECO Processing</t>
  </si>
  <si>
    <t>3,400 ECOs × 6.2 hours saved × $165/hour × 0.90 × 0.75 = $3.8M</t>
  </si>
  <si>
    <t>40% reduction × $4.6M rework cost × 0.80 × 0.75 = $1.1M</t>
  </si>
  <si>
    <t>10 days × $890M revenue ÷ 365 days × 0.85 × 0.75 = $4.2M</t>
  </si>
  <si>
    <t xml:space="preserve">Engineering manager approves AI-recommended routing plan and supplier communication language before </t>
  </si>
  <si>
    <t>Supplier CAPA Intelligence Analyzer</t>
  </si>
  <si>
    <t>Supplier Quality</t>
  </si>
  <si>
    <t>Corrective Action</t>
  </si>
  <si>
    <t>280 CAPAs × 8.4 hours saved × $140/hour × 0.90 × 0.75 = $2.1M</t>
  </si>
  <si>
    <t>30% defect reduction × $15M supplier quality cost × 0.80 × 0.75 = $2.7M</t>
  </si>
  <si>
    <t>Quality engineer reviews AI-extracted commitments for technical sufficiency and approves CAPA closur</t>
  </si>
  <si>
    <t>Multi-System Order Status Synthesizer</t>
  </si>
  <si>
    <t>Order Status Inquiries</t>
  </si>
  <si>
    <t>Research &amp; Information Retrieval, Conversational Interfaces, Data Analysis</t>
  </si>
  <si>
    <t>4,200 inquiries × 12 hours × 14 minutes saved × $50/hour × 0.90 × 0.75 = $1.3M</t>
  </si>
  <si>
    <t>Customer service representative reviews AI-compiled status summary and approves customer communicati</t>
  </si>
  <si>
    <t>Contract Term Extraction and Risk Flagging</t>
  </si>
  <si>
    <t>340 contracts × 4.2 hours saved × $165/hour × 0.90 × 0.75 = $1.1M</t>
  </si>
  <si>
    <t>45% reduction × $11.8M contract liability exposure × 0.80 × 0.75 = $3.2M</t>
  </si>
  <si>
    <t>Legal counsel reviews AI-flagged non-standard provisions and approves contract acceptance or negotia</t>
  </si>
  <si>
    <t>Intelligent First Article Documentation Generator</t>
  </si>
  <si>
    <t>First Article Inspection</t>
  </si>
  <si>
    <t>820 FAI reports × 5.6 hours saved × $165/hour × 0.90 × 0.75 = $7.3M</t>
  </si>
  <si>
    <t>15% win rate lift × $30M delayed pipeline × 0.95 × 0.75 = $3.2M</t>
  </si>
  <si>
    <t>25% reduction × $9.2M FAI error exposure × 0.80 × 0.75 = $1.4M</t>
  </si>
  <si>
    <t>Quality engineer reviews AI-generated report for technical accuracy and signs as inspector of record</t>
  </si>
  <si>
    <t>Supplier Lead Time Intelligence Engine</t>
  </si>
  <si>
    <t>Supplier Communications</t>
  </si>
  <si>
    <t>14 stockout events avoided × $185K each × 0.90 × 0.75 = $1.7M plus 8,200 hours saved × $115/hour × 0</t>
  </si>
  <si>
    <t>$19M safety stock reduction × 8% WACC × 0.85 × 0.75 = $10.3M</t>
  </si>
  <si>
    <t>Procurement specialist reviews AI-flagged high-risk orders and approves mitigation actions (expedite</t>
  </si>
  <si>
    <t>Proposal Content Library with Dynamic Assembly</t>
  </si>
  <si>
    <t>340 proposals × 32 hours saved × $150/hour × 0.90 × 0.75 = $6.7M</t>
  </si>
  <si>
    <t>8% win rate lift × $340M pipeline × 0.95 × 0.75 = $19.3M</t>
  </si>
  <si>
    <t>Proposal manager reviews assembled draft for customer-specific customization needs and approves tech</t>
  </si>
  <si>
    <t>Regulatory Compliance Intelligence Monitor</t>
  </si>
  <si>
    <t>936 hours saved × $140/hour × 0.90 × 0.75 = $0.9M plus reduced audit preparation = $1.7M total</t>
  </si>
  <si>
    <t>60% reduction × $13.3M audit finding exposure × 0.80 × 0.75 = $4.8M</t>
  </si>
  <si>
    <t>Compliance director reviews AI-generated gap analysis and approves remediation priority ranking befo</t>
  </si>
  <si>
    <t>Historical Cost Estimation Intelligence</t>
  </si>
  <si>
    <t>Cost Estimation</t>
  </si>
  <si>
    <t>340 quotes × 18 hours saved × $150/hour × 0.90 × 0.75 = $2.4M</t>
  </si>
  <si>
    <t>4% margin improvement × $285M won business × 0.95 × 0.75 = $8.1M</t>
  </si>
  <si>
    <t>35% reduction × $8.1M underpricing risk × 0.80 × 0.75 = $1.8M</t>
  </si>
  <si>
    <t>Senior estimator reviews AI-suggested comparables for technical applicability and approves cost basi</t>
  </si>
  <si>
    <t>Technical Drawing Version Control Assistant</t>
  </si>
  <si>
    <t>65 engineers × 4.2 hours/week × 48 weeks × $165/hour × 0.90 × 0.75 = $3.4M</t>
  </si>
  <si>
    <t>50% reduction × $3.0M obsolete drawing risk × 0.80 × 0.75 = $0.9M</t>
  </si>
  <si>
    <t>Engineering document controller reviews AI-identified version conflicts and approves repository sync</t>
  </si>
  <si>
    <t>Agronomic Recommendation Copilot</t>
  </si>
  <si>
    <t>Field Sales</t>
  </si>
  <si>
    <t>Agronomic Support</t>
  </si>
  <si>
    <t>14,000 hours saved × $120/hour × 0.90 cost reduction × 0.75 maturity = $1.5M</t>
  </si>
  <si>
    <t xml:space="preserve">65 incremental relationships × 85 accounts served × $8,200 average order × 0.95 revenue reduction × </t>
  </si>
  <si>
    <t>Field agronomist reviews AI-generated recommendations, adjusts for local conditions and grower prefe</t>
  </si>
  <si>
    <t>Demand Forecasting Intelligence Engine</t>
  </si>
  <si>
    <t>14 days inventory reduction × $450M revenue ÷ 365 days × 0.85 cash reduction × 0.75 maturity = $6.1M</t>
  </si>
  <si>
    <t>Supply chain director reviews AI forecasts, adjusts for known market dynamics and strategic initiati</t>
  </si>
  <si>
    <t>Technical Support Knowledge Assistant</t>
  </si>
  <si>
    <t>8,400 hours saved × $85/hour × 0.90 cost reduction × 0.75 maturity = $900K</t>
  </si>
  <si>
    <t xml:space="preserve">Customer service specialist validates AI responses for regulatory compliance and technical accuracy </t>
  </si>
  <si>
    <t>Regulatory Dossier Intelligence Engine</t>
  </si>
  <si>
    <t>Product Registration</t>
  </si>
  <si>
    <t>7,000 hours saved × $150/hour × 0.90 cost reduction × 0.75 maturity = $1.8M</t>
  </si>
  <si>
    <t>17 days faster approval × $22M delayed pipeline × 0.38 value capture × 0.95 revenue reduction × 0.75</t>
  </si>
  <si>
    <t>Regulatory affairs manager reviews AI-drafted dossiers for scientific accuracy and jurisdictional co</t>
  </si>
  <si>
    <t>Quality Release Automation Assistant</t>
  </si>
  <si>
    <t>5,000 hours saved × $85/hour × 0.90 cost reduction × 0.75 maturity = $3.5M</t>
  </si>
  <si>
    <t>0.25 reduction × $18M recall exposure × 0.80 risk reduction × 0.75 maturity = $2.1M</t>
  </si>
  <si>
    <t>4 days faster release × 2,800 batches × $3,200 per batch per day × 0.85 cash reduction × 0.75 maturi</t>
  </si>
  <si>
    <t>Quality assurance supervisor reviews AI validation results, investigates flagged deviations, and aut</t>
  </si>
  <si>
    <t>Safety Data Sheet Intelligence Platform</t>
  </si>
  <si>
    <t>7,000 hours saved × $150/hour × 0.90 cost reduction × 0.75 maturity = $6.3M</t>
  </si>
  <si>
    <t>0.30 compliance improvement × $7.5M penalty exposure × 0.80 risk reduction × 0.75 maturity = $1.3M</t>
  </si>
  <si>
    <t>Regulatory toxicologist reviews AI-drafted SDS updates for hazard classification accuracy and regula</t>
  </si>
  <si>
    <t>Research Literature Intelligence Platform</t>
  </si>
  <si>
    <t>Research &amp; Development</t>
  </si>
  <si>
    <t>Literature Review</t>
  </si>
  <si>
    <t>145 hours saved × 8 projects × $150/hour × 0.90 cost reduction × 0.75 maturity = $1.3M</t>
  </si>
  <si>
    <t xml:space="preserve">Research scientist validates AI literature synthesis for scientific accuracy, assesses relevance to </t>
  </si>
  <si>
    <t>Batch Genealogy Traceability Engine</t>
  </si>
  <si>
    <t>Batch Genealogy</t>
  </si>
  <si>
    <t>2,100 hours saved × $85/hour × 0.90 cost reduction × 0.75 maturity = $500K</t>
  </si>
  <si>
    <t>0.40 recall risk reduction × $18M exposure × 0.80 risk reduction × 0.75 maturity = $2.0M</t>
  </si>
  <si>
    <t>Quality director validates AI-generated genealogy maps, confirms material flow logic, and authorizes</t>
  </si>
  <si>
    <t>Credit Risk Assessment Copilot</t>
  </si>
  <si>
    <t>Credit Management</t>
  </si>
  <si>
    <t>0.25 bad debt reduction × $2.8M annual bad debt × 0.80 risk reduction × 0.75 maturity = $400K</t>
  </si>
  <si>
    <t>Credit manager reviews AI risk assessments, considers relationship factors and strategic account sta</t>
  </si>
  <si>
    <t>Technical Recruiting Intelligence Assistant</t>
  </si>
  <si>
    <t>Technical Recruiting</t>
  </si>
  <si>
    <t>1,200 hours saved × $120/hour × 0.90 cost reduction × 0.75 maturity = $200K</t>
  </si>
  <si>
    <t>Hiring manager reviews AI candidate rankings, conducts technical interviews with top candidates, and</t>
  </si>
  <si>
    <t>Sales Enablement Research Agent</t>
  </si>
  <si>
    <t>Field Sales Support</t>
  </si>
  <si>
    <t>No direct cost impact beyond revenue productivity</t>
  </si>
  <si>
    <t>6 hours regained per rep × 240 field reps × $850M revenue ÷ 1,400 total employees × 0.08 revenue per</t>
  </si>
  <si>
    <t>Sales representatives validate AI-provided information before presenting to customers. System logs a</t>
  </si>
  <si>
    <t>Intelligent Quote Generator</t>
  </si>
  <si>
    <t>60% time reduction × 6,800 annual quotes × 3.2 hours avg × $85K sales ops cost ÷ 2080 hours × 0.90 ×</t>
  </si>
  <si>
    <t>15% win rate improvement × $120M annual quoted volume × 0.95 × 0.75 = $2.1M</t>
  </si>
  <si>
    <t xml:space="preserve">Sales representative reviews pricing calculations and product selections before quote transmission. </t>
  </si>
  <si>
    <t>Technical Support AI Assistant</t>
  </si>
  <si>
    <t>37% handle time reduction × 86,000 inquiries × 11.4 min avg × $62K annual rep cost ÷ 2080 hours × 0.</t>
  </si>
  <si>
    <t>Customer service representative reviews and approves all AI-drafted responses before transmission to</t>
  </si>
  <si>
    <t>Product Data Reconciliation Engine</t>
  </si>
  <si>
    <t>50% reduction × 18,000 annual hours × $85K avg catalog ops cost ÷ 2080 hours × 0.90 × 0.75 = $900K</t>
  </si>
  <si>
    <t>Catalog operations manager reviews all flagged inconsistencies and approves final SKU data before pu</t>
  </si>
  <si>
    <t>Regulatory Compliance Monitoring System</t>
  </si>
  <si>
    <t>Registration Tracking</t>
  </si>
  <si>
    <t xml:space="preserve">50% reduction × 8,200 annual hours × $95K avg compliance specialist cost ÷ 2080 hours × 0.90 × 0.75 </t>
  </si>
  <si>
    <t>40% reduction × $340K avg penalty × 14 potential gaps annually × 0.80 × 0.75 = $1.9M</t>
  </si>
  <si>
    <t>Compliance specialist reviews all detected regulation changes and validates AI-extracted requirement</t>
  </si>
  <si>
    <t>Demand Forecast Optimization Engine</t>
  </si>
  <si>
    <t>55% reduction × 4,200 annual hours × $85K demand planner cost ÷ 2080 hours × 0.90 × 0.75 = $200K</t>
  </si>
  <si>
    <t>12 day improvement × $850M annual revenue ÷ 365 days × 0.85 × 0.75 = $3.2M</t>
  </si>
  <si>
    <t>Demand planners review AI-generated forecasts and adjust for known market events or customer intelli</t>
  </si>
  <si>
    <t>Collections Workflow Orchestrator</t>
  </si>
  <si>
    <t>Credit &amp; Collections</t>
  </si>
  <si>
    <t>35% efficiency gain × 3,400 annual collections hours × $62K collections specialist cost ÷ 2080 hours</t>
  </si>
  <si>
    <t>9 day DSO improvement × $850M annual revenue ÷ 365 days × 0.85 × 0.75 = $2.4M</t>
  </si>
  <si>
    <t xml:space="preserve">Collections specialist reviews AI-generated communication before transmission to customers. Manager </t>
  </si>
  <si>
    <t>Product Launch Accelerator</t>
  </si>
  <si>
    <t>New Product Launch</t>
  </si>
  <si>
    <t>45% reduction × 2,800 annual launch hours × $95K product manager cost ÷ 2080 hours × 0.90 × 0.75 = $</t>
  </si>
  <si>
    <t>30 day faster launch × 24 annual launches × $550K avg new product revenue × 0.95 × 0.75 = $4.7M</t>
  </si>
  <si>
    <t>Product manager reviews all assembled documentation and validates pricing recommendations before lau</t>
  </si>
  <si>
    <t>Audit Documentation Assistant</t>
  </si>
  <si>
    <t>50% reduction × 8,200 annual hours × $95K compliance specialist cost ÷ 2080 hours × 0.90 × 0.75 = $4</t>
  </si>
  <si>
    <t>30% reduction × $340K avg penalty × 12 potential gaps annually × 0.80 × 0.75 = $1.2M</t>
  </si>
  <si>
    <t>Compliance manager reviews all assembled documentation packages for completeness and accuracy before</t>
  </si>
  <si>
    <t>Interactive Training Companion</t>
  </si>
  <si>
    <t>New Hire Training</t>
  </si>
  <si>
    <t>Conversational Interfaces, Content Creation</t>
  </si>
  <si>
    <t>25 day reduction × 180 annual hires × $62K avg new hire cost ÷ 365 days × 0.90 × 0.75 = $500K</t>
  </si>
  <si>
    <t>HR training specialist reviews learning path completions and quiz results before certifying new hire</t>
  </si>
  <si>
    <t>AI-Powered Product Specification Assistant</t>
  </si>
  <si>
    <t>Design Consultation</t>
  </si>
  <si>
    <t>48,000 hours deflected × $85/hour × 0.90 × 0.75 = $2.7M</t>
  </si>
  <si>
    <t>No risk mitigation quantified</t>
  </si>
  <si>
    <t>No cash flow impact quantified</t>
  </si>
  <si>
    <t>Design consultants review all AI-generated specifications for custom orders over $10,000 before clie</t>
  </si>
  <si>
    <t>Intelligent Demand Forecasting Engine</t>
  </si>
  <si>
    <t>$28M excess inventory × 50% reduction × 0.90 × 0.75 = $9.5M</t>
  </si>
  <si>
    <t>$28M inventory reduction × 0.85 × 0.75 × 0.50 = $8.0M</t>
  </si>
  <si>
    <t>Demand planners approve all production orders over 500 units before manufacturing release</t>
  </si>
  <si>
    <t>Showroom Partner Quote Configuration Bot</t>
  </si>
  <si>
    <t>Partner Support</t>
  </si>
  <si>
    <t>8,000 hours rework deflected × $85/hour × 0.90 × 0.75 = $400K</t>
  </si>
  <si>
    <t>10% error reduction × $60M lost quotes × 0.95 × 0.75 = $4.3M</t>
  </si>
  <si>
    <t>Partner account managers review all quotes over $50,000 before customer submission</t>
  </si>
  <si>
    <t>Design Trend Intelligence Platform</t>
  </si>
  <si>
    <t>6,000 hours research deflected × $95/hour × 0.90 × 0.75 = $300K</t>
  </si>
  <si>
    <t>6-month cycle reduction × $5M opportunity cost × 0.95 × 0.75 = $2.5M</t>
  </si>
  <si>
    <t>40% validation improvement × $3M collection failure risk × 0.80 × 0.75 = $700K</t>
  </si>
  <si>
    <t>Product development directors review trend insights before incorporating into collection roadmaps</t>
  </si>
  <si>
    <t>Automated Contract Review Assistant</t>
  </si>
  <si>
    <t>400 contracts × 6 hours × $150/hour × 0.60 deflection × 0.90 × 0.75 = $1.0M</t>
  </si>
  <si>
    <t>4 days × $300,000/day revenue × 0.85 × 0.75 = $700K</t>
  </si>
  <si>
    <t>Legal counsel reviews all non-standard clauses and contracts with liability limits over $500,000</t>
  </si>
  <si>
    <t>Intelligent Collections Prioritization</t>
  </si>
  <si>
    <t>4,000 hours deflected × $85/hour × 0.90 × 0.75 = $200K</t>
  </si>
  <si>
    <t>7 days DSO reduction × $3.1M daily sales × 0.85 × 0.75 = $7.6M</t>
  </si>
  <si>
    <t>AR managers approve all collection strategies for accounts over $100,000 before outreach</t>
  </si>
  <si>
    <t>18,000 hours deflected × $75/hour × 0.90 × 0.75 = $900K</t>
  </si>
  <si>
    <t>Support agents review all safety-related installation guidance before customer delivery</t>
  </si>
  <si>
    <t>Candidate Screening &amp; Matching Engine</t>
  </si>
  <si>
    <t>180 hires × 22 days × $150/day contractor premium × 0.90 × 0.75 = $1.1M</t>
  </si>
  <si>
    <t>Hiring managers review top 5 AI-ranked candidates before interview invitations</t>
  </si>
  <si>
    <t>Computer Vision Quality Inspection</t>
  </si>
  <si>
    <t>15,000 hours deflected × $75/hour × 0.90 × 0.75 = $700K</t>
  </si>
  <si>
    <t>30% defect detection improvement × $5M annual rework × 0.80 × 0.75 = $1.0M</t>
  </si>
  <si>
    <t>3 days × $800,000/day working capital × 0.85 × 0.75 = $1.7M</t>
  </si>
  <si>
    <t>Quality supervisors review all AI-flagged defects before reject decisions on fixtures over $2,000</t>
  </si>
  <si>
    <t>Production Documentation Generator</t>
  </si>
  <si>
    <t>8,000 hours deflected × $95/hour × 0.90 × 0.75 = $500K</t>
  </si>
  <si>
    <t>40% error reduction × $2M rework cost × 0.80 × 0.75 = $500K</t>
  </si>
  <si>
    <t>2 days × $700,000/day working capital × 0.85 × 0.75 = $1.0M</t>
  </si>
  <si>
    <t>Production supervisors approve all material substitutions before manufacturing release</t>
  </si>
  <si>
    <t>Dynamic Installation Route Optimizer</t>
  </si>
  <si>
    <t>Installation Operations</t>
  </si>
  <si>
    <t>Logistics Coordination</t>
  </si>
  <si>
    <t>18% fuel premium × $3.2M annual fuel spend × 11% reduction × 0.90 × 0.75 = $4.8M</t>
  </si>
  <si>
    <t>8 days cycle reduction × $275M revenue ÷ 365 days × 0.85 × 0.75 = $2.1M</t>
  </si>
  <si>
    <t>Dispatcher reviews and approves all route modifications affecting customer appointment times or requ</t>
  </si>
  <si>
    <t>Intelligent Warranty Claims Adjudicator</t>
  </si>
  <si>
    <t>Warranty Claims Processing</t>
  </si>
  <si>
    <t>19,000 hours × $85/hr × 6 days saved ÷ 9 days × 0.90 × 0.75 = $1.2M</t>
  </si>
  <si>
    <t>25% invalid claim reduction × $7.5M annual warranty cost × 0.80 × 0.75 = $1.4M</t>
  </si>
  <si>
    <t>Customer service representative reviews AI eligibility determination and supporting evidence, valida</t>
  </si>
  <si>
    <t>Customer Inquiry Intelligent Router</t>
  </si>
  <si>
    <t>Inquiry Routing</t>
  </si>
  <si>
    <t>Conversational Interfaces, Data Analysis</t>
  </si>
  <si>
    <t>1.8 touchpoints saved × 125,000 inquiries × 12 min × $85/hr × 0.90 × 0.75 = $1.8M</t>
  </si>
  <si>
    <t>40% satisfaction improvement × $2.8M retention impact × 0.80 × 0.75 = $0.8M</t>
  </si>
  <si>
    <t>Human agent receives routed inquiry with AI-generated summary of customer intent, relevant account h</t>
  </si>
  <si>
    <t>Automated Collections Prioritization System</t>
  </si>
  <si>
    <t>Collections Management</t>
  </si>
  <si>
    <t>8,500 hours saved × $85/hr × 0.90 × 0.75 = $0.9M</t>
  </si>
  <si>
    <t>14 days DSO reduction × $275M revenue ÷ 365 days × 0.85 × 0.75 = $3.5M</t>
  </si>
  <si>
    <t>Collections specialist reviews AI-generated communication before sending, validates payment plan pro</t>
  </si>
  <si>
    <t>Safety Training Compliance Tracker</t>
  </si>
  <si>
    <t>Crew Onboarding</t>
  </si>
  <si>
    <t>4,200 hours saved × $85/hr × 0.90 × 0.75 = $0.5M</t>
  </si>
  <si>
    <t>50% compliance gap reduction × $6.5M OSHA penalty exposure × 0.80 × 0.75 = $1.9M</t>
  </si>
  <si>
    <t>HR manager reviews monthly compliance reports, validates certification documentation uploaded by cre</t>
  </si>
  <si>
    <t>AI-Assisted Proposal Generation Engine</t>
  </si>
  <si>
    <t>45 min saved × 280 reps × 18 proposals/week × 50 weeks × $150/hr × 0.90 × 0.75 = $2.5M</t>
  </si>
  <si>
    <t>5% conversion lift × 24% baseline × 125,000 leads × $9,200 avg value × 0.95 × 0.75 = $8.7M</t>
  </si>
  <si>
    <t>Sales representative reviews generated proposal for accuracy, adjusts pricing within authorized disc</t>
  </si>
  <si>
    <t>Conversational Product Advisor</t>
  </si>
  <si>
    <t>18,000 hours deflected × $150/hr × 0.90 × 0.75 = $1.7M</t>
  </si>
  <si>
    <t>2% conversion lift × 24% baseline × 125,000 leads × $9,200 avg value × 0.95 × 0.75 = $3.2M</t>
  </si>
  <si>
    <t>Sales representative receives escalation notification with conversation summary and must respond wit</t>
  </si>
  <si>
    <t>Computer Vision Installation Inspector</t>
  </si>
  <si>
    <t>Installation Inspection</t>
  </si>
  <si>
    <t>25 min saved × 30,000 inspections × $100/hr × 0.90 × 0.75 = $1.5M</t>
  </si>
  <si>
    <t>30% defect reduction × $12M annual rework cost × 0.80 × 0.75 = $2.8M</t>
  </si>
  <si>
    <t>Quality inspector reviews AI-flagged defects, validates classifications against visual inspection, a</t>
  </si>
  <si>
    <t>Predictive Inventory Demand Forecaster</t>
  </si>
  <si>
    <t>7% stockout reduction × 11% baseline × $54M lost sales × 0.95 × 0.75 = $4.1M</t>
  </si>
  <si>
    <t>$3.5M inventory reduction × 8% WACC × 0.85 × 0.75 = $1.8M</t>
  </si>
  <si>
    <t xml:space="preserve">Procurement manager reviews weekly purchase recommendations, overrides for known market changes not </t>
  </si>
  <si>
    <t>Lead Quality Scoring and Assignment Engine</t>
  </si>
  <si>
    <t>6,200 hours saved × $85/hr × 0.90 × 0.75 = $0.7M</t>
  </si>
  <si>
    <t>3% conversion lift × 24% baseline × 125,000 leads × $9,200 avg value × 0.95 × 0.75 = $6.2M</t>
  </si>
  <si>
    <t>Sales manager reviews weekly routing patterns and quality score distributions, overrides territory a</t>
  </si>
  <si>
    <t>Intelligent Cost Estimation Engine</t>
  </si>
  <si>
    <t>Estimating &amp; Preconstruction</t>
  </si>
  <si>
    <t>Data Analysis, RAG, Content Creation</t>
  </si>
  <si>
    <t>240 estimator hours saved per week × $150/hr × 52 weeks × 0.90 × 0.75 × 0.80 = $10.9M</t>
  </si>
  <si>
    <t>140 additional bids × $2.1M avg value × 7% win lift × 0.95 × 0.75 × 0.80 = $15.3M</t>
  </si>
  <si>
    <t>Senior estimator reviews AI-generated cost baseline, validates material quantity calculations, and a</t>
  </si>
  <si>
    <t>Automated Proposal Assembly Workbench</t>
  </si>
  <si>
    <t>120 hours saved per week × $150/hr × 52 weeks × 0.90 × 0.75 × 0.80 = $4.5M</t>
  </si>
  <si>
    <t>100 additional bids × $1.5M avg value × 6% win lift × 0.95 × 0.75 × 0.80 = $12.8M</t>
  </si>
  <si>
    <t>Proposal manager reviews AI-drafted content for accuracy and client alignment, adds custom value pro</t>
  </si>
  <si>
    <t>Regulatory Code Research Assistant</t>
  </si>
  <si>
    <t>Regulatory Adherence</t>
  </si>
  <si>
    <t>RAG, Conversational Interfaces</t>
  </si>
  <si>
    <t>140 hours saved per week × $150/hr × 52 weeks × 0.90 × 0.75 × 0.65 = $4.1M</t>
  </si>
  <si>
    <t>30% reduction × $6.2M compliance burden × 0.80 × 0.75 × 0.65 = $2.8M</t>
  </si>
  <si>
    <t>Compliance manager reviews AI-retrieved code citations for complex or ambiguous situations, validate</t>
  </si>
  <si>
    <t>Dynamic Workforce Optimization Platform</t>
  </si>
  <si>
    <t>Resource Scheduling</t>
  </si>
  <si>
    <t>5% utilization improvement × 6200 workers × 2000 hrs × $85/hr × 0.90 × 0.75 × 0.75 = $18.2M</t>
  </si>
  <si>
    <t>14 days project acceleration × 340 projects × $2.1M × 0.025 × 0.85 × 0.75 × 0.75 = $8.7M</t>
  </si>
  <si>
    <t>Project managers review AI-recommended crew assignments, override for client relationship priorities</t>
  </si>
  <si>
    <t>Procurement Price Intelligence System</t>
  </si>
  <si>
    <t>Material Sourcing</t>
  </si>
  <si>
    <t>Data Analysis, RAG</t>
  </si>
  <si>
    <t>No direct labor cost reduction</t>
  </si>
  <si>
    <t>40% reduction × $6.8M margin erosion × 0.80 × 0.75 × 0.75 = $2.0M</t>
  </si>
  <si>
    <t>Procurement director reviews AI price forecasts and buying recommendations, validates against suppli</t>
  </si>
  <si>
    <t>Safety Incident Intelligence Platform</t>
  </si>
  <si>
    <t>2800 investigation hours saved × $150/hr × 0.90 × 0.75 × 0.70 = $3.2M</t>
  </si>
  <si>
    <t>25% incident reduction × $12M insurance + investigation costs × 0.80 × 0.75 × 0.70 = $4.3M</t>
  </si>
  <si>
    <t>Safety director reviews AI-generated incident analysis and recommendations, conducts on-site validat</t>
  </si>
  <si>
    <t>Contract Change Order Accelerator</t>
  </si>
  <si>
    <t>Change Order Processing</t>
  </si>
  <si>
    <t>90 hours saved per week × $100/hr × 52 weeks × 0.90 × 0.75 × 0.75 = $2.7M</t>
  </si>
  <si>
    <t>13 days acceleration × 280 change orders × $42K avg × 0.85 × 0.75 × 0.75 = $5.4M</t>
  </si>
  <si>
    <t>Contract administrator reviews AI-drafted change orders for completeness and pricing accuracy, negot</t>
  </si>
  <si>
    <t>Real-Time Project Cost Analytics</t>
  </si>
  <si>
    <t>Project Cost Accounting</t>
  </si>
  <si>
    <t>110 hours saved per week × $100/hr × 52 weeks × 0.90 × 0.75 × 0.80 = $3.5M</t>
  </si>
  <si>
    <t>6 days DSO reduction × $2.8B revenue / 365 × 0.08 WACC × 0.85 × 0.75 × 0.80 = $6.2M</t>
  </si>
  <si>
    <t>Project accountant reviews AI-identified cost variances, validates material allocation accuracy, and</t>
  </si>
  <si>
    <t>Supplier Performance Intelligence</t>
  </si>
  <si>
    <t>3% procurement efficiency × $890M spend × 0.90 × 0.75 × 0.70 = $7.8M</t>
  </si>
  <si>
    <t>10 days lead time reduction × $890M / 365 × 0.08 WACC × 0.85 × 0.75 × 0.70 = $3.1M</t>
  </si>
  <si>
    <t>Procurement manager reviews AI-generated supplier rankings and consolidation recommendations, valida</t>
  </si>
  <si>
    <t>Adaptive Safety Training Platform</t>
  </si>
  <si>
    <t>8000 travel hours saved × $85/hr × 0.90 × 0.75 × 0.80 = $1.9M</t>
  </si>
  <si>
    <t>15% incident reduction × $12M costs × 0.80 × 0.75 × 0.80 = $1.3M</t>
  </si>
  <si>
    <t>Training director reviews AI-generated learning content for accuracy and regulatory compliance, vali</t>
  </si>
  <si>
    <t>BENEFITS ANALYSIS BY DRIVER</t>
  </si>
  <si>
    <t>SUMMARY BY BENEFIT TYPE</t>
  </si>
  <si>
    <t>Benefit Type</t>
  </si>
  <si>
    <t>% of Total</t>
  </si>
  <si>
    <t>Use Cases with Impact</t>
  </si>
  <si>
    <t>BY FUNCTION</t>
  </si>
  <si>
    <t>Cost ($M)</t>
  </si>
  <si>
    <t>Risk ($M)</t>
  </si>
  <si>
    <t>Cash Flow ($M)</t>
  </si>
  <si>
    <t>Total ($M)</t>
  </si>
  <si>
    <t>BY PRIORITY TIER</t>
  </si>
  <si>
    <t>Use Cases</t>
  </si>
  <si>
    <t>KPI Name</t>
  </si>
  <si>
    <t>Baseline Value</t>
  </si>
  <si>
    <t>Target Value</t>
  </si>
  <si>
    <t>Industry Benchmark</t>
  </si>
  <si>
    <t>Direction</t>
  </si>
  <si>
    <t>Timeframe</t>
  </si>
  <si>
    <t>Measurement Method</t>
  </si>
  <si>
    <t>In-Home Consultations</t>
  </si>
  <si>
    <t>Appointment Close Rate</t>
  </si>
  <si>
    <t>68%</t>
  </si>
  <si>
    <t>75%</t>
  </si>
  <si>
    <t>72%</t>
  </si>
  <si>
    <t>↑</t>
  </si>
  <si>
    <t>12 months</t>
  </si>
  <si>
    <t>Closed sales / qualified appointments scheduled</t>
  </si>
  <si>
    <t>Lead Management</t>
  </si>
  <si>
    <t>Customer Acquisition Cost</t>
  </si>
  <si>
    <t>$420</t>
  </si>
  <si>
    <t>$380</t>
  </si>
  <si>
    <t>$385</t>
  </si>
  <si>
    <t>↓</t>
  </si>
  <si>
    <t>Total marketing spend / closed sales</t>
  </si>
  <si>
    <t>Material Waste Rate</t>
  </si>
  <si>
    <t>8.2%</t>
  </si>
  <si>
    <t>3.0%</t>
  </si>
  <si>
    <t>4.5%</t>
  </si>
  <si>
    <t>9 months</t>
  </si>
  <si>
    <t>Excess material cost / total material cost</t>
  </si>
  <si>
    <t>Average Days to Installation</t>
  </si>
  <si>
    <t>6 days</t>
  </si>
  <si>
    <t>2 days</t>
  </si>
  <si>
    <t>3 days</t>
  </si>
  <si>
    <t>Calendar days from order to installation start</t>
  </si>
  <si>
    <t>Average Response Time (Peak)</t>
  </si>
  <si>
    <t>18 hours</t>
  </si>
  <si>
    <t>4 hours</t>
  </si>
  <si>
    <t>6 hours</t>
  </si>
  <si>
    <t>6 months</t>
  </si>
  <si>
    <t>Time from inquiry receipt to first response</t>
  </si>
  <si>
    <t>Routine Inquiry Deflection Rate</t>
  </si>
  <si>
    <t>12%</t>
  </si>
  <si>
    <t>60%</t>
  </si>
  <si>
    <t>45%</t>
  </si>
  <si>
    <t>Self-service resolutions / total inquiries</t>
  </si>
  <si>
    <t>Supplier Coordination</t>
  </si>
  <si>
    <t>Order-to-Delivery Cycle Time</t>
  </si>
  <si>
    <t>12 days</t>
  </si>
  <si>
    <t>7 days</t>
  </si>
  <si>
    <t>8 days</t>
  </si>
  <si>
    <t>Days from purchase order to material receipt</t>
  </si>
  <si>
    <t>Invoice Processing Time</t>
  </si>
  <si>
    <t>Days from invoice receipt to payment approval</t>
  </si>
  <si>
    <t>Pre-Installation Review</t>
  </si>
  <si>
    <t>Measurement Review Hours</t>
  </si>
  <si>
    <t>18,500 hours/year</t>
  </si>
  <si>
    <t>5,000 hours/year</t>
  </si>
  <si>
    <t>Not Available</t>
  </si>
  <si>
    <t>Manager hours spent on measurement validation</t>
  </si>
  <si>
    <t>Product Description Creation Time</t>
  </si>
  <si>
    <t>4 hours per SKU</t>
  </si>
  <si>
    <t>1 hour per SKU</t>
  </si>
  <si>
    <t>2 hours per SKU</t>
  </si>
  <si>
    <t>Hours from assignment to published content</t>
  </si>
  <si>
    <t>Installer Training</t>
  </si>
  <si>
    <t>Training Material Development Time</t>
  </si>
  <si>
    <t>120 hours per module</t>
  </si>
  <si>
    <t>40 hours per module</t>
  </si>
  <si>
    <t>60 hours per module</t>
  </si>
  <si>
    <t>Hours from concept to deployable training content</t>
  </si>
  <si>
    <t>Contract Review Cycle Time</t>
  </si>
  <si>
    <t>1 day</t>
  </si>
  <si>
    <t>Days from contract receipt to approval/revision</t>
  </si>
  <si>
    <t>Average Implementation Cycle Time</t>
  </si>
  <si>
    <t>120 days</t>
  </si>
  <si>
    <t>75 days</t>
  </si>
  <si>
    <t>18 months</t>
  </si>
  <si>
    <t>Days from contract signature to production deployment</t>
  </si>
  <si>
    <t>Custom Integration Development</t>
  </si>
  <si>
    <t>Annual Consulting Hours on Repetitive Work</t>
  </si>
  <si>
    <t>47,000 hours</t>
  </si>
  <si>
    <t>19,000 hours</t>
  </si>
  <si>
    <t>22,000 hours</t>
  </si>
  <si>
    <t>Tracked hours on configuration and data mapping tasks</t>
  </si>
  <si>
    <t>First-Contact Resolution Rate</t>
  </si>
  <si>
    <t>42%</t>
  </si>
  <si>
    <t>65%</t>
  </si>
  <si>
    <t>Percentage of tickets closed without escalation</t>
  </si>
  <si>
    <t>Escalation Management</t>
  </si>
  <si>
    <t>Average Resolution Time for Escalated Tickets</t>
  </si>
  <si>
    <t>3.2 days</t>
  </si>
  <si>
    <t>1.5 days</t>
  </si>
  <si>
    <t>1.8 days</t>
  </si>
  <si>
    <t>Hours from escalation to resolution</t>
  </si>
  <si>
    <t>Sales Cycle Length</t>
  </si>
  <si>
    <t>85 days</t>
  </si>
  <si>
    <t>60 days</t>
  </si>
  <si>
    <t>62 days</t>
  </si>
  <si>
    <t>Days from initial contact to contract signature</t>
  </si>
  <si>
    <t>Cold Outreach Response Rate</t>
  </si>
  <si>
    <t>2.1%</t>
  </si>
  <si>
    <t>Positive responses per 100 initial contacts</t>
  </si>
  <si>
    <t>Monthly Content Creation Hours</t>
  </si>
  <si>
    <t>850 hours</t>
  </si>
  <si>
    <t>400 hours</t>
  </si>
  <si>
    <t>450 hours</t>
  </si>
  <si>
    <t>Tracked hours on case studies, documentation, and campaign materials</t>
  </si>
  <si>
    <t>Support Tickets Due to Documentation Gaps</t>
  </si>
  <si>
    <t>23%</t>
  </si>
  <si>
    <t>Percentage of tickets resolved by pointing to documentation</t>
  </si>
  <si>
    <t>Engineering Time on Maintenance</t>
  </si>
  <si>
    <t>35%</t>
  </si>
  <si>
    <t>20%</t>
  </si>
  <si>
    <t>22%</t>
  </si>
  <si>
    <t>Sprint velocity allocated to bug fixes and technical debt</t>
  </si>
  <si>
    <t>Average Feature Delivery Cycle</t>
  </si>
  <si>
    <t>6 weeks</t>
  </si>
  <si>
    <t>4 weeks</t>
  </si>
  <si>
    <t>Days from feature specification to production release</t>
  </si>
  <si>
    <t>Monthly Close Cycle Time</t>
  </si>
  <si>
    <t>5 days</t>
  </si>
  <si>
    <t>Days from month-end to finalized financials</t>
  </si>
  <si>
    <t>Time-to-Fill for Technical Roles</t>
  </si>
  <si>
    <t>67 days</t>
  </si>
  <si>
    <t>42 days</t>
  </si>
  <si>
    <t>Days from requisition approval to offer acceptance</t>
  </si>
  <si>
    <t>Average Time to Retrieve Patient History</t>
  </si>
  <si>
    <t>8.5 minutes</t>
  </si>
  <si>
    <t>2.5 minutes</t>
  </si>
  <si>
    <t>3.2 minutes (integrated EMR)</t>
  </si>
  <si>
    <t>Time-motion study across 25 sample clinics</t>
  </si>
  <si>
    <t>Diagnostic Accuracy Rate</t>
  </si>
  <si>
    <t>84%</t>
  </si>
  <si>
    <t>91%</t>
  </si>
  <si>
    <t>89% (specialty centers)</t>
  </si>
  <si>
    <t>Second opinion case review and outcome tracking</t>
  </si>
  <si>
    <t>Call Abandonment Rate</t>
  </si>
  <si>
    <t>18%</t>
  </si>
  <si>
    <t>6%</t>
  </si>
  <si>
    <t>8% (multi-channel access)</t>
  </si>
  <si>
    <t>Phone system analytics across all clinics</t>
  </si>
  <si>
    <t>Appointment No-Show Rate</t>
  </si>
  <si>
    <t>4%</t>
  </si>
  <si>
    <t>5% (automated reminders)</t>
  </si>
  <si>
    <t>Scheduled vs. completed appointment ratio</t>
  </si>
  <si>
    <t>Veterinarian Retention</t>
  </si>
  <si>
    <t>Annual Veterinarian Turnover</t>
  </si>
  <si>
    <t>15%</t>
  </si>
  <si>
    <t>14% (corporate practices)</t>
  </si>
  <si>
    <t>24 months</t>
  </si>
  <si>
    <t>HR system departure tracking</t>
  </si>
  <si>
    <t>Audit Findings per Clinic</t>
  </si>
  <si>
    <t>4.2 findings</t>
  </si>
  <si>
    <t>1.5 findings</t>
  </si>
  <si>
    <t>1.8 findings (best quartile)</t>
  </si>
  <si>
    <t>State board audit results aggregation</t>
  </si>
  <si>
    <t>Days in Accounts Receivable</t>
  </si>
  <si>
    <t>38 days</t>
  </si>
  <si>
    <t>22 days</t>
  </si>
  <si>
    <t>24 days (automated billing)</t>
  </si>
  <si>
    <t>AR aging report analysis</t>
  </si>
  <si>
    <t>Post-Visit Instruction Compliance</t>
  </si>
  <si>
    <t>58%</t>
  </si>
  <si>
    <t>82%</t>
  </si>
  <si>
    <t>78% (written + verbal)</t>
  </si>
  <si>
    <t>Follow-up survey and medication adherence tracking</t>
  </si>
  <si>
    <t>Pharmaceutical Stockout Rate</t>
  </si>
  <si>
    <t>7.5%</t>
  </si>
  <si>
    <t>1.8%</t>
  </si>
  <si>
    <t>2.1% (predictive ordering)</t>
  </si>
  <si>
    <t>Prescription fulfillment tracking</t>
  </si>
  <si>
    <t>New Client Conversion Rate</t>
  </si>
  <si>
    <t>61% (online scheduling)</t>
  </si>
  <si>
    <t>Inquiry to first appointment ratio</t>
  </si>
  <si>
    <t>Average Triage Response Time</t>
  </si>
  <si>
    <t>14 minutes</t>
  </si>
  <si>
    <t>5 minutes</t>
  </si>
  <si>
    <t>6 minutes (digital triage)</t>
  </si>
  <si>
    <t>Call timestamp to triage completion</t>
  </si>
  <si>
    <t>Marketing Email Open Rate</t>
  </si>
  <si>
    <t>19%</t>
  </si>
  <si>
    <t>38%</t>
  </si>
  <si>
    <t>32% (personalized content)</t>
  </si>
  <si>
    <t>Email platform analytics</t>
  </si>
  <si>
    <t>No-Show Rate</t>
  </si>
  <si>
    <t>12-15%</t>
  </si>
  <si>
    <t>Scheduled appointments vs completed visits</t>
  </si>
  <si>
    <t>Response Time to Inquiries</t>
  </si>
  <si>
    <t>2 hours</t>
  </si>
  <si>
    <t>2-4 hours</t>
  </si>
  <si>
    <t>Median time from inquiry to first response</t>
  </si>
  <si>
    <t>Verification Cycle Time</t>
  </si>
  <si>
    <t>0.5 days</t>
  </si>
  <si>
    <t>0.5-1.0 days</t>
  </si>
  <si>
    <t>Request submission to verification completion</t>
  </si>
  <si>
    <t>Treatment Acceptance</t>
  </si>
  <si>
    <t>Same-Day Treatment Acceptance Rate</t>
  </si>
  <si>
    <t>67%</t>
  </si>
  <si>
    <t>78-85%</t>
  </si>
  <si>
    <t>Treatment plans presented vs accepted same visit</t>
  </si>
  <si>
    <t>Documentation Time per Visit</t>
  </si>
  <si>
    <t>12 minutes</t>
  </si>
  <si>
    <t>6 minutes</t>
  </si>
  <si>
    <t>6-8 minutes</t>
  </si>
  <si>
    <t>Average time spent on chart notes and treatment plans</t>
  </si>
  <si>
    <t>Provider Productivity</t>
  </si>
  <si>
    <t>Patients per Dentist per Day</t>
  </si>
  <si>
    <t>11.2</t>
  </si>
  <si>
    <t>14</t>
  </si>
  <si>
    <t>13-15</t>
  </si>
  <si>
    <t>Total completed visits divided by dentist chair days</t>
  </si>
  <si>
    <t>Patient Acquisition</t>
  </si>
  <si>
    <t>New Patient Conversion Rate</t>
  </si>
  <si>
    <t>34%</t>
  </si>
  <si>
    <t>48%</t>
  </si>
  <si>
    <t>45-55%</t>
  </si>
  <si>
    <t>Inquiries to scheduled first appointments</t>
  </si>
  <si>
    <t>Annual Patient Retention Rate</t>
  </si>
  <si>
    <t>73%</t>
  </si>
  <si>
    <t>80-85%</t>
  </si>
  <si>
    <t>Patients with visit in current year who had visit in prior year</t>
  </si>
  <si>
    <t>Clinical Documentation</t>
  </si>
  <si>
    <t>Chart Audit Deficiency Rate</t>
  </si>
  <si>
    <t>9%</t>
  </si>
  <si>
    <t>8-12%</t>
  </si>
  <si>
    <t>Charts with compliance or quality issues per total audited</t>
  </si>
  <si>
    <t>Compliance Review Cycle Time</t>
  </si>
  <si>
    <t>45 days</t>
  </si>
  <si>
    <t>7-14 days</t>
  </si>
  <si>
    <t>Sample selection to completed audit report</t>
  </si>
  <si>
    <t>Time to Monthly Practice Reports</t>
  </si>
  <si>
    <t>1-2 days</t>
  </si>
  <si>
    <t>Month close to report distribution</t>
  </si>
  <si>
    <t>Credentialing Cycle Time</t>
  </si>
  <si>
    <t>35 days</t>
  </si>
  <si>
    <t>30-45 days</t>
  </si>
  <si>
    <t>Application submission to payer enrollment completion</t>
  </si>
  <si>
    <t>Average Quote Response Time</t>
  </si>
  <si>
    <t>18 minutes (normal); 45 minutes (peak)</t>
  </si>
  <si>
    <t>8 minutes</t>
  </si>
  <si>
    <t>Timestamp delta between quote request and delivery</t>
  </si>
  <si>
    <t>Route Optimization</t>
  </si>
  <si>
    <t>Manual Dispatch Hours per Shipment</t>
  </si>
  <si>
    <t>0.26 hours (48,000 hrs ÷ 185,000 shipments)</t>
  </si>
  <si>
    <t>0.18 hours</t>
  </si>
  <si>
    <t>Total dispatch labor hours divided by shipment volume</t>
  </si>
  <si>
    <t>Status Inquiry Call Volume</t>
  </si>
  <si>
    <t>23,400 calls/year (127 calls/day)</t>
  </si>
  <si>
    <t>85 calls/day</t>
  </si>
  <si>
    <t>85 calls/day (for comparable volume)</t>
  </si>
  <si>
    <t>Inbound call volume tagged as status inquiries</t>
  </si>
  <si>
    <t>Annual Customer Retention Rate</t>
  </si>
  <si>
    <t>78%</t>
  </si>
  <si>
    <t>85%</t>
  </si>
  <si>
    <t>Customers active in Year N who remain active in Year N+1</t>
  </si>
  <si>
    <t>Billing Error Rate</t>
  </si>
  <si>
    <t>4.8% (8,880 errors/year)</t>
  </si>
  <si>
    <t>Invoices requiring manual correction divided by total invoices</t>
  </si>
  <si>
    <t>Days to Resolve Billing Errors</t>
  </si>
  <si>
    <t>11 days</t>
  </si>
  <si>
    <t>Average days from error identification to corrected payment receipt</t>
  </si>
  <si>
    <t>Hours per Driver Onboarded</t>
  </si>
  <si>
    <t>8.8 hours (280 hrs ÷ 32 new drivers/year)</t>
  </si>
  <si>
    <t>4.5 hours</t>
  </si>
  <si>
    <t>Total onboarding labor hours divided by new drivers processed</t>
  </si>
  <si>
    <t>Driver Availability Prediction Accuracy</t>
  </si>
  <si>
    <t>Not measured (manual assignment)</t>
  </si>
  <si>
    <t>75% accuracy</t>
  </si>
  <si>
    <t>82% accuracy</t>
  </si>
  <si>
    <t>Predicted available drivers matching actual acceptance rate</t>
  </si>
  <si>
    <t>On-Time Delivery Rate</t>
  </si>
  <si>
    <t>91.2%</t>
  </si>
  <si>
    <t>94.5%</t>
  </si>
  <si>
    <t>Deliveries within committed window divided by total deliveries</t>
  </si>
  <si>
    <t>Lead Conversion</t>
  </si>
  <si>
    <t>Quote-to-Order Conversion Rate</t>
  </si>
  <si>
    <t>38% (estimated from lost quote data)</t>
  </si>
  <si>
    <t>47%</t>
  </si>
  <si>
    <t>Accepted quotes divided by total quotes delivered</t>
  </si>
  <si>
    <t>Prior Authorization Approval Time</t>
  </si>
  <si>
    <t>EHR timestamp analysis</t>
  </si>
  <si>
    <t>Physician Documentation Hours per Week</t>
  </si>
  <si>
    <t>12 hours</t>
  </si>
  <si>
    <t>8 hours</t>
  </si>
  <si>
    <t>EHR usage logs</t>
  </si>
  <si>
    <t>Treatment Adherence Rate</t>
  </si>
  <si>
    <t>93%</t>
  </si>
  <si>
    <t>Pharmacy claims and infusion records</t>
  </si>
  <si>
    <t>Clean Claim Rate</t>
  </si>
  <si>
    <t>87%</t>
  </si>
  <si>
    <t>95%</t>
  </si>
  <si>
    <t>94%</t>
  </si>
  <si>
    <t>Payer remittance analysis</t>
  </si>
  <si>
    <t>First-Pass Approval Rate</t>
  </si>
  <si>
    <t>77%</t>
  </si>
  <si>
    <t>92%</t>
  </si>
  <si>
    <t>88%</t>
  </si>
  <si>
    <t>Authorization tracking system</t>
  </si>
  <si>
    <t>Rate Reconciliation Accuracy</t>
  </si>
  <si>
    <t>98%</t>
  </si>
  <si>
    <t>97%</t>
  </si>
  <si>
    <t>Contract vs remittance comparison</t>
  </si>
  <si>
    <t>Appointment Management</t>
  </si>
  <si>
    <t>5%</t>
  </si>
  <si>
    <t>Scheduling system reports</t>
  </si>
  <si>
    <t>Patient Payment Collection Rate</t>
  </si>
  <si>
    <t>Billing system analytics</t>
  </si>
  <si>
    <t>Trial Enrollment Rate</t>
  </si>
  <si>
    <t>3.2%</t>
  </si>
  <si>
    <t>6.5%</t>
  </si>
  <si>
    <t>5.8%</t>
  </si>
  <si>
    <t>Trial database vs patient volume</t>
  </si>
  <si>
    <t>Quality Measure Documentation Time</t>
  </si>
  <si>
    <t>45 hours per month</t>
  </si>
  <si>
    <t>20 hours per month</t>
  </si>
  <si>
    <t>28 hours per month</t>
  </si>
  <si>
    <t>Staff time tracking</t>
  </si>
  <si>
    <t>Time to Credential New Providers</t>
  </si>
  <si>
    <t>90 days</t>
  </si>
  <si>
    <t>Credentialing workflow timestamps</t>
  </si>
  <si>
    <t>Pharmacy Services</t>
  </si>
  <si>
    <t>Medication Management</t>
  </si>
  <si>
    <t>Specialty Pharmacy Fill Rate</t>
  </si>
  <si>
    <t>76%</t>
  </si>
  <si>
    <t>Prescription transfer rate</t>
  </si>
  <si>
    <t>Data Validation Error Rate</t>
  </si>
  <si>
    <t>2.5%</t>
  </si>
  <si>
    <t>Automated validation checks per ingestion batch</t>
  </si>
  <si>
    <t>Time to Client-Ready Insights</t>
  </si>
  <si>
    <t>19 days</t>
  </si>
  <si>
    <t>Timestamp from source ingestion to dashboard publication</t>
  </si>
  <si>
    <t>Research Asset Utilization Rate</t>
  </si>
  <si>
    <t>31%</t>
  </si>
  <si>
    <t>Citations in client deliverables divided by total archived reports</t>
  </si>
  <si>
    <t>Research Duplication Hours</t>
  </si>
  <si>
    <t>12,500 hours/year</t>
  </si>
  <si>
    <t>4,800 hours/year</t>
  </si>
  <si>
    <t>3,200 hours/year</t>
  </si>
  <si>
    <t>Time tracking analysis of recreated versus original research</t>
  </si>
  <si>
    <t>Event Administrative Burden</t>
  </si>
  <si>
    <t>9,200 hours/year</t>
  </si>
  <si>
    <t>4,600 hours/year</t>
  </si>
  <si>
    <t>4,100 hours/year</t>
  </si>
  <si>
    <t>Total logged hours for event coordination and logistics</t>
  </si>
  <si>
    <t>Event Lead Follow-Up Time</t>
  </si>
  <si>
    <t>23 days</t>
  </si>
  <si>
    <t>Average days from event close to first qualified outreach</t>
  </si>
  <si>
    <t>Churn Prediction Lead Time</t>
  </si>
  <si>
    <t>15 months</t>
  </si>
  <si>
    <t>Days between risk signal and contract expiration</t>
  </si>
  <si>
    <t>Client Retention Rate</t>
  </si>
  <si>
    <t>89%</t>
  </si>
  <si>
    <t>Annual contract renewal rate by revenue</t>
  </si>
  <si>
    <t>RFP Response Time</t>
  </si>
  <si>
    <t>Average days from RFP receipt to submission</t>
  </si>
  <si>
    <t>Billing Cycle Time</t>
  </si>
  <si>
    <t>18 days</t>
  </si>
  <si>
    <t>10 days</t>
  </si>
  <si>
    <t>Days from service delivery to invoice generation</t>
  </si>
  <si>
    <t>Contract Review Turnaround</t>
  </si>
  <si>
    <t>9 days</t>
  </si>
  <si>
    <t>4 days</t>
  </si>
  <si>
    <t>Average days from contract submission to legal approval</t>
  </si>
  <si>
    <t>Documentation Lag</t>
  </si>
  <si>
    <t>21 days</t>
  </si>
  <si>
    <t>Days between feature release and complete documentation</t>
  </si>
  <si>
    <t>Forecast Accuracy Rate</t>
  </si>
  <si>
    <t>Monthly SKU-level MAPE across top 500 products</t>
  </si>
  <si>
    <t>Inventory Turns</t>
  </si>
  <si>
    <t>4.2x</t>
  </si>
  <si>
    <t>5.1x</t>
  </si>
  <si>
    <t>5.8x</t>
  </si>
  <si>
    <t>Annual COGS divided by average inventory value</t>
  </si>
  <si>
    <t>Logistics</t>
  </si>
  <si>
    <t>Emergency Freight as % of Total</t>
  </si>
  <si>
    <t>14%</t>
  </si>
  <si>
    <t>7%</t>
  </si>
  <si>
    <t>Monthly expedited shipping costs vs total freight spend</t>
  </si>
  <si>
    <t>Quote Turnaround Time</t>
  </si>
  <si>
    <t>4.2 days</t>
  </si>
  <si>
    <t>2.5 days</t>
  </si>
  <si>
    <t>2.1 days</t>
  </si>
  <si>
    <t>Median time from RFQ receipt to quote delivery</t>
  </si>
  <si>
    <t>Revenue per Account Manager</t>
  </si>
  <si>
    <t>$4.1M</t>
  </si>
  <si>
    <t>$5.2M</t>
  </si>
  <si>
    <t>$5.7M</t>
  </si>
  <si>
    <t>Annual sales divided by account management FTE count</t>
  </si>
  <si>
    <t>First Contact Resolution Rate</t>
  </si>
  <si>
    <t>69%</t>
  </si>
  <si>
    <t>74%</t>
  </si>
  <si>
    <t>Issues resolved without escalation or callback</t>
  </si>
  <si>
    <t>Incident Management</t>
  </si>
  <si>
    <t>Recordable Incident Rate</t>
  </si>
  <si>
    <t>2.24 per 100 FTE</t>
  </si>
  <si>
    <t>1.85 per 100 FTE</t>
  </si>
  <si>
    <t>1.60 per 100 FTE</t>
  </si>
  <si>
    <t>OSHA-recordable incidents per 100 full-time employees</t>
  </si>
  <si>
    <t>SDS Update Cycle Time</t>
  </si>
  <si>
    <t>15 days</t>
  </si>
  <si>
    <t>Average days from supplier update to system publication</t>
  </si>
  <si>
    <t>Supplier On-Time Delivery Rate</t>
  </si>
  <si>
    <t>81%</t>
  </si>
  <si>
    <t>Orders delivered within promised window</t>
  </si>
  <si>
    <t>Days Payable Outstanding</t>
  </si>
  <si>
    <t>89 days</t>
  </si>
  <si>
    <t>Average payment cycle from invoice receipt to payment</t>
  </si>
  <si>
    <t>New Product Introduction</t>
  </si>
  <si>
    <t>Time to Market</t>
  </si>
  <si>
    <t>52 days</t>
  </si>
  <si>
    <t>Days from supplier agreement to first customer shipment</t>
  </si>
  <si>
    <t>Reporting &amp; Analytics</t>
  </si>
  <si>
    <t>Report Generation Cycle Time</t>
  </si>
  <si>
    <t>8.3 days</t>
  </si>
  <si>
    <t>4.5 days</t>
  </si>
  <si>
    <t>Average time from request to executive report delivery</t>
  </si>
  <si>
    <t>Inspection &amp; Documentation</t>
  </si>
  <si>
    <t>Quality Documentation Hours</t>
  </si>
  <si>
    <t>42,000 hours/year</t>
  </si>
  <si>
    <t>10,500 hours/year</t>
  </si>
  <si>
    <t>35,000 hours/year for comparable scale</t>
  </si>
  <si>
    <t>Time tracking system aggregation</t>
  </si>
  <si>
    <t>Quality Inquiry Closure Time</t>
  </si>
  <si>
    <t>19 days average</t>
  </si>
  <si>
    <t>3 days average</t>
  </si>
  <si>
    <t>12 days average</t>
  </si>
  <si>
    <t>CRM system workflow tracking</t>
  </si>
  <si>
    <t>Unplanned Downtime Rate</t>
  </si>
  <si>
    <t>18% of available time</t>
  </si>
  <si>
    <t>10% of available time</t>
  </si>
  <si>
    <t>12% for discrete manufacturing</t>
  </si>
  <si>
    <t>MES downtime event logging</t>
  </si>
  <si>
    <t>Schedule Adherence</t>
  </si>
  <si>
    <t>14% on-time completion</t>
  </si>
  <si>
    <t>85% on-time completion</t>
  </si>
  <si>
    <t>78% for make-to-order</t>
  </si>
  <si>
    <t>ERP planned vs actual comparison</t>
  </si>
  <si>
    <t>Schedule Replan Cycle Time</t>
  </si>
  <si>
    <t>6 hours average</t>
  </si>
  <si>
    <t>1 hour average</t>
  </si>
  <si>
    <t>2 hours average</t>
  </si>
  <si>
    <t>Planner activity logging</t>
  </si>
  <si>
    <t>Days Inventory Outstanding</t>
  </si>
  <si>
    <t>73 days</t>
  </si>
  <si>
    <t>58 days</t>
  </si>
  <si>
    <t>52 days for contract manufacturers</t>
  </si>
  <si>
    <t>Financial system inventory turnover calculation</t>
  </si>
  <si>
    <t>Procurement Administration Hours</t>
  </si>
  <si>
    <t>28,000 hours/year</t>
  </si>
  <si>
    <t>11,200 hours/year</t>
  </si>
  <si>
    <t>18,000 hours/year for 340 suppliers</t>
  </si>
  <si>
    <t>Time allocation survey and system data</t>
  </si>
  <si>
    <t>Expedite Freight Costs</t>
  </si>
  <si>
    <t>$12M annually</t>
  </si>
  <si>
    <t>$4M annually</t>
  </si>
  <si>
    <t>$7M for comparable revenue scale</t>
  </si>
  <si>
    <t>Freight invoice categorization</t>
  </si>
  <si>
    <t>New Product Quote Cycle Time</t>
  </si>
  <si>
    <t>12 weeks average</t>
  </si>
  <si>
    <t>6 weeks average</t>
  </si>
  <si>
    <t>8 weeks for automotive fasteners</t>
  </si>
  <si>
    <t>CRM opportunity stage duration</t>
  </si>
  <si>
    <t>Design Reuse Rate</t>
  </si>
  <si>
    <t>34% of new designs leverage existing components</t>
  </si>
  <si>
    <t>58% design reuse</t>
  </si>
  <si>
    <t>52% for mature product lines</t>
  </si>
  <si>
    <t>PLM system component genealogy analysis</t>
  </si>
  <si>
    <t>Price Adjustment Clause Capture Rate</t>
  </si>
  <si>
    <t>67% of eligible adjustments invoiced</t>
  </si>
  <si>
    <t>95% capture rate</t>
  </si>
  <si>
    <t>92% for contract manufacturers</t>
  </si>
  <si>
    <t>Contract vs invoice reconciliation</t>
  </si>
  <si>
    <t>Forecast Accuracy (Revenue)</t>
  </si>
  <si>
    <t>78% within 5% of actual</t>
  </si>
  <si>
    <t>88% within 5% of actual</t>
  </si>
  <si>
    <t>85% for industrial manufacturers</t>
  </si>
  <si>
    <t>Monthly variance analysis</t>
  </si>
  <si>
    <t>Pitch Book Turnaround Time</t>
  </si>
  <si>
    <t>Mandate request to delivery timestamp</t>
  </si>
  <si>
    <t>Win Rate</t>
  </si>
  <si>
    <t>Pitch-to-Close Conversion</t>
  </si>
  <si>
    <t>28%</t>
  </si>
  <si>
    <t>32%</t>
  </si>
  <si>
    <t>Closed deals divided by pitches delivered</t>
  </si>
  <si>
    <t>Document Review Hours per Deal</t>
  </si>
  <si>
    <t>520 hours</t>
  </si>
  <si>
    <t>280 hours</t>
  </si>
  <si>
    <t>410 hours</t>
  </si>
  <si>
    <t>Time tracking from kickoff to diligence report</t>
  </si>
  <si>
    <t>Deal Cycle</t>
  </si>
  <si>
    <t>Average Days to Close</t>
  </si>
  <si>
    <t>252 days</t>
  </si>
  <si>
    <t>234 days</t>
  </si>
  <si>
    <t>235 days</t>
  </si>
  <si>
    <t>Mandate signing to transaction close</t>
  </si>
  <si>
    <t>Cross-Sell</t>
  </si>
  <si>
    <t>Repeat Engagement Rate</t>
  </si>
  <si>
    <t>Clients with multiple mandates over 36 months</t>
  </si>
  <si>
    <t>Coverage</t>
  </si>
  <si>
    <t>Relationship Manager Hours per Active Client</t>
  </si>
  <si>
    <t>42 hours annually</t>
  </si>
  <si>
    <t>52 hours annually</t>
  </si>
  <si>
    <t>38 hours annually</t>
  </si>
  <si>
    <t>CRM-tracked interaction time divided by active clients</t>
  </si>
  <si>
    <t>Research Report Turnaround</t>
  </si>
  <si>
    <t>Request to delivery of sector overview</t>
  </si>
  <si>
    <t>Model Build Hours per Deal</t>
  </si>
  <si>
    <t>85 hours</t>
  </si>
  <si>
    <t>48 hours</t>
  </si>
  <si>
    <t>72 hours</t>
  </si>
  <si>
    <t>Associate time from data collection to partner review</t>
  </si>
  <si>
    <t>Compliance Documentation Hours</t>
  </si>
  <si>
    <t>9,200 hours annually</t>
  </si>
  <si>
    <t>4,100 hours annually</t>
  </si>
  <si>
    <t>7,100 hours annually</t>
  </si>
  <si>
    <t>Time logged to compliance tracking and reporting</t>
  </si>
  <si>
    <t>Talent Management</t>
  </si>
  <si>
    <t>Associate Development</t>
  </si>
  <si>
    <t>Associate Annual Attrition Rate</t>
  </si>
  <si>
    <t>Voluntary departures in first 36 months of tenure</t>
  </si>
  <si>
    <t>Deal Precedent Access</t>
  </si>
  <si>
    <t>Time to Locate Comparable Transaction</t>
  </si>
  <si>
    <t>3.2 hours</t>
  </si>
  <si>
    <t>0.3 hours</t>
  </si>
  <si>
    <t>1.8 hours</t>
  </si>
  <si>
    <t>Search initiation to document retrieval</t>
  </si>
  <si>
    <t>Update Preparation Hours per Deal</t>
  </si>
  <si>
    <t>18 hours monthly</t>
  </si>
  <si>
    <t>6 hours monthly</t>
  </si>
  <si>
    <t>14 hours monthly</t>
  </si>
  <si>
    <t>Time spent drafting and formatting client updates</t>
  </si>
  <si>
    <t>Physician Hours per Protocol</t>
  </si>
  <si>
    <t>10.5 hours</t>
  </si>
  <si>
    <t>2.5 hours</t>
  </si>
  <si>
    <t>8-12 hours (concierge medicine)</t>
  </si>
  <si>
    <t>Time tracking per patient protocol from lab results to final treatment plan</t>
  </si>
  <si>
    <t>Research Hours per Month</t>
  </si>
  <si>
    <t>340 hours</t>
  </si>
  <si>
    <t>15-20 hours per physician monthly</t>
  </si>
  <si>
    <t>Physician time logs for clinical literature review and research activities</t>
  </si>
  <si>
    <t>Documentation Completeness Rate</t>
  </si>
  <si>
    <t>85-95% (high-quality practices)</t>
  </si>
  <si>
    <t>Chart audit scoring against documentation requirements</t>
  </si>
  <si>
    <t>Lab-to-Protocol Days</t>
  </si>
  <si>
    <t>17 days</t>
  </si>
  <si>
    <t>10-14 days (standard practice)</t>
  </si>
  <si>
    <t>Calendar days from lab result availability to patient protocol delivery</t>
  </si>
  <si>
    <t>12-Month Retention Rate</t>
  </si>
  <si>
    <t>75-85% (concierge medicine)</t>
  </si>
  <si>
    <t>Percentage of patients completing initial 12-month program</t>
  </si>
  <si>
    <t>Average Response Time to Inquiries</t>
  </si>
  <si>
    <t>38 hours</t>
  </si>
  <si>
    <t>24-48 hours</t>
  </si>
  <si>
    <t>Time from patient inquiry submission to first substantive response</t>
  </si>
  <si>
    <t>Coaching Hours per Patient Monthly</t>
  </si>
  <si>
    <t>1.2 hours</t>
  </si>
  <si>
    <t>2.8 hours</t>
  </si>
  <si>
    <t>1-2 hours</t>
  </si>
  <si>
    <t>Total coaching contact hours divided by active patient count</t>
  </si>
  <si>
    <t>Compliance Hours per Month</t>
  </si>
  <si>
    <t>1,000 hours</t>
  </si>
  <si>
    <t>Variable by clinic count</t>
  </si>
  <si>
    <t>Staff time logs for regulatory filings and compliance activities</t>
  </si>
  <si>
    <t>Outcome Reports Published Annually</t>
  </si>
  <si>
    <t>0 reports</t>
  </si>
  <si>
    <t>4 reports</t>
  </si>
  <si>
    <t>2-4 reports (leading practices)</t>
  </si>
  <si>
    <t>Count of published clinical outcome analyses or research papers</t>
  </si>
  <si>
    <t>Consultation-to-Enrollment Rate</t>
  </si>
  <si>
    <t>40-55%</t>
  </si>
  <si>
    <t>Percentage of initial consultations converting to enrolled patients</t>
  </si>
  <si>
    <t>Chart Audit Findings per 100 Charts</t>
  </si>
  <si>
    <t>23 findings</t>
  </si>
  <si>
    <t>5 findings</t>
  </si>
  <si>
    <t>10-15 findings</t>
  </si>
  <si>
    <t>Number of quality issues identified per 100 charts reviewed</t>
  </si>
  <si>
    <t>Patient Intake</t>
  </si>
  <si>
    <t>New Patient Capacity per Physician Monthly</t>
  </si>
  <si>
    <t>3.2 patients</t>
  </si>
  <si>
    <t>5.8 patients</t>
  </si>
  <si>
    <t>3-5 patients</t>
  </si>
  <si>
    <t>New patient enrollments per full-time physician equivalent</t>
  </si>
  <si>
    <t>Product Launch Cycle Time</t>
  </si>
  <si>
    <t>Average days from formulation complete to full content publication</t>
  </si>
  <si>
    <t>SKU Expansion</t>
  </si>
  <si>
    <t>Quarterly New SKU Launch Rate</t>
  </si>
  <si>
    <t>10 SKUs</t>
  </si>
  <si>
    <t>23 SKUs</t>
  </si>
  <si>
    <t>22 SKUs</t>
  </si>
  <si>
    <t>Count of new SKUs with complete content launched per quarter</t>
  </si>
  <si>
    <t>71%</t>
  </si>
  <si>
    <t>Percentage of customer contacts resolved without escalation or callback</t>
  </si>
  <si>
    <t>Monthly Contact Volume</t>
  </si>
  <si>
    <t>45,000 contacts</t>
  </si>
  <si>
    <t>32,000 contacts</t>
  </si>
  <si>
    <t>Total inbound phone, email, and chat contacts requiring agent response</t>
  </si>
  <si>
    <t>78 days</t>
  </si>
  <si>
    <t>Average inventory value divided by daily cost of goods sold</t>
  </si>
  <si>
    <t>Forecast Accuracy</t>
  </si>
  <si>
    <t>Percentage deviation between forecasted and actual demand at SKU level</t>
  </si>
  <si>
    <t>Content Creation Cost per SKU</t>
  </si>
  <si>
    <t>$4,200</t>
  </si>
  <si>
    <t>$1,600</t>
  </si>
  <si>
    <t>$1,800</t>
  </si>
  <si>
    <t>Fully-loaded labor cost for all content assets per new SKU</t>
  </si>
  <si>
    <t>Average days from regulatory change to updated SDS publication</t>
  </si>
  <si>
    <t>24 hours</t>
  </si>
  <si>
    <t>Average hours from quote request to customer delivery</t>
  </si>
  <si>
    <t>Conversion Optimization</t>
  </si>
  <si>
    <t>Product Page Conversion Rate</t>
  </si>
  <si>
    <t>2.8%</t>
  </si>
  <si>
    <t>4.2%</t>
  </si>
  <si>
    <t>3.9%</t>
  </si>
  <si>
    <t>Percentage of product page visits resulting in add-to-cart action</t>
  </si>
  <si>
    <t>Days Sales Outstanding</t>
  </si>
  <si>
    <t>32 days</t>
  </si>
  <si>
    <t>Average accounts receivable divided by daily revenue</t>
  </si>
  <si>
    <t>New Hire Time to Productivity</t>
  </si>
  <si>
    <t>65 days</t>
  </si>
  <si>
    <t>Days from start date to achieving 85% of role performance standards</t>
  </si>
  <si>
    <t>Schedule Adherence Rate</t>
  </si>
  <si>
    <t>Actual vs planned batch completion time</t>
  </si>
  <si>
    <t>Certificate of Analysis Cycle Time</t>
  </si>
  <si>
    <t>Batch completion to COA release</t>
  </si>
  <si>
    <t>Overall Equipment Effectiveness</t>
  </si>
  <si>
    <t>79%</t>
  </si>
  <si>
    <t>Availability × Performance × Quality</t>
  </si>
  <si>
    <t>Forecast Accuracy (MAPE)</t>
  </si>
  <si>
    <t>Absolute forecast error / actual demand</t>
  </si>
  <si>
    <t>51 days</t>
  </si>
  <si>
    <t>Average inventory / COGS per day</t>
  </si>
  <si>
    <t>Raw Material Price Variance</t>
  </si>
  <si>
    <t>3.4% unfavorable</t>
  </si>
  <si>
    <t>1.8% unfavorable</t>
  </si>
  <si>
    <t>1.2% unfavorable</t>
  </si>
  <si>
    <t>Actual vs market pricing differential</t>
  </si>
  <si>
    <t>Mean Time Between Failures</t>
  </si>
  <si>
    <t>127 days</t>
  </si>
  <si>
    <t>158 days</t>
  </si>
  <si>
    <t>185 days</t>
  </si>
  <si>
    <t>Operating hours / failure events</t>
  </si>
  <si>
    <t>Work Order Management</t>
  </si>
  <si>
    <t>Emergency Work Order Percentage</t>
  </si>
  <si>
    <t>16%</t>
  </si>
  <si>
    <t>Emergency WOs / total WOs</t>
  </si>
  <si>
    <t>Regulatory Documentation Hours</t>
  </si>
  <si>
    <t>29,000 hours/year</t>
  </si>
  <si>
    <t>24,000 hours/year</t>
  </si>
  <si>
    <t>Labor hours on compliance activities</t>
  </si>
  <si>
    <t>Pricing &amp; Contracts</t>
  </si>
  <si>
    <t>Quote-to-Cash Cycle Time</t>
  </si>
  <si>
    <t>RFQ receipt to order confirmation</t>
  </si>
  <si>
    <t>R&amp;D</t>
  </si>
  <si>
    <t>Average Development Cycle Time</t>
  </si>
  <si>
    <t>147 days</t>
  </si>
  <si>
    <t>118 days</t>
  </si>
  <si>
    <t>98 days</t>
  </si>
  <si>
    <t>Concept to pilot batch completion</t>
  </si>
  <si>
    <t>Month-end to finalized statements</t>
  </si>
  <si>
    <t>Average Time-to-Production</t>
  </si>
  <si>
    <t>42 days (SaaS construction software)</t>
  </si>
  <si>
    <t>Contract signature to first production workflow completion</t>
  </si>
  <si>
    <t>Monthly Tier 1 Support Tickets</t>
  </si>
  <si>
    <t>8,500 tickets</t>
  </si>
  <si>
    <t>4,250 tickets</t>
  </si>
  <si>
    <t>6,200 tickets (peer group)</t>
  </si>
  <si>
    <t>Tickets requiring human agent response</t>
  </si>
  <si>
    <t>Manual Classification Hours</t>
  </si>
  <si>
    <t>78,000 hours/year</t>
  </si>
  <si>
    <t>11,700 hours/year</t>
  </si>
  <si>
    <t>No comparable benchmark</t>
  </si>
  <si>
    <t>Staff hours logged to document categorization tasks</t>
  </si>
  <si>
    <t>Release Cycle Duration</t>
  </si>
  <si>
    <t>12 months (enterprise software)</t>
  </si>
  <si>
    <t>Concept to general availability timeline</t>
  </si>
  <si>
    <t>Proposal Turnaround Time</t>
  </si>
  <si>
    <t>5 days (B2B software)</t>
  </si>
  <si>
    <t>RFP receipt to proposal submission</t>
  </si>
  <si>
    <t>Cross-Sell Conversion Rate</t>
  </si>
  <si>
    <t>18% (SaaS industry)</t>
  </si>
  <si>
    <t>Module upsell rate among existing customers</t>
  </si>
  <si>
    <t>Contract Review Cycle</t>
  </si>
  <si>
    <t>3 days (software contracts)</t>
  </si>
  <si>
    <t>Legal review to signature-ready status</t>
  </si>
  <si>
    <t>Custom Integration Hours per Client</t>
  </si>
  <si>
    <t>84 hours</t>
  </si>
  <si>
    <t>16 hours</t>
  </si>
  <si>
    <t>32 hours (platform software)</t>
  </si>
  <si>
    <t>Engineering hours per new customer API configuration</t>
  </si>
  <si>
    <t>Production Defect Rate</t>
  </si>
  <si>
    <t>3.2 defects per 1000 lines</t>
  </si>
  <si>
    <t>1.5 defects per 1000 lines</t>
  </si>
  <si>
    <t>1.8 defects per 1000 lines</t>
  </si>
  <si>
    <t>Post-release defects requiring hotfix</t>
  </si>
  <si>
    <t>Monthly Content Output</t>
  </si>
  <si>
    <t>18 assets</t>
  </si>
  <si>
    <t>42 assets</t>
  </si>
  <si>
    <t>32 assets (B2B software marketing)</t>
  </si>
  <si>
    <t>Published blog posts, case studies, whitepapers, guides</t>
  </si>
  <si>
    <t>Engineering Candidate Screening Time</t>
  </si>
  <si>
    <t>6 hours per candidate</t>
  </si>
  <si>
    <t>2 hours per candidate</t>
  </si>
  <si>
    <t>3 hours per candidate</t>
  </si>
  <si>
    <t>Recruiter hours from resume review to first interview</t>
  </si>
  <si>
    <t>Contract Extraction Accuracy</t>
  </si>
  <si>
    <t>87% first-pass accuracy</t>
  </si>
  <si>
    <t>98% first-pass accuracy</t>
  </si>
  <si>
    <t>95% (legal tech platforms)</t>
  </si>
  <si>
    <t>Key term extraction requiring no human correction</t>
  </si>
  <si>
    <t>Daily Documentation Time per Physician</t>
  </si>
  <si>
    <t>2.1 hours</t>
  </si>
  <si>
    <t>1.4 hours</t>
  </si>
  <si>
    <t>Days from Encounter to Chart Closure</t>
  </si>
  <si>
    <t>EHR workflow timestamps</t>
  </si>
  <si>
    <t>First-Pass Claim Acceptance Rate</t>
  </si>
  <si>
    <t>Clearinghouse rejection reports</t>
  </si>
  <si>
    <t>68 days</t>
  </si>
  <si>
    <t>64 days</t>
  </si>
  <si>
    <t>Aging report analysis</t>
  </si>
  <si>
    <t>Denial Rate</t>
  </si>
  <si>
    <t>8.5%</t>
  </si>
  <si>
    <t>8%</t>
  </si>
  <si>
    <t>Average Authorization Turnaround Time</t>
  </si>
  <si>
    <t>6.8 days</t>
  </si>
  <si>
    <t>3.8 days</t>
  </si>
  <si>
    <t>First-Pass Authorization Approval Rate</t>
  </si>
  <si>
    <t>86%</t>
  </si>
  <si>
    <t>Payer response tracking</t>
  </si>
  <si>
    <t>Pre-Visit Verification Accuracy</t>
  </si>
  <si>
    <t>96%</t>
  </si>
  <si>
    <t>Day-of-service discrepancy rate</t>
  </si>
  <si>
    <t>Coding Accuracy</t>
  </si>
  <si>
    <t>Coding Error Rate</t>
  </si>
  <si>
    <t>6.4%</t>
  </si>
  <si>
    <t>External audit results</t>
  </si>
  <si>
    <t>Documentation Quality</t>
  </si>
  <si>
    <t>Charts Meeting Documentation Standards</t>
  </si>
  <si>
    <t>90%</t>
  </si>
  <si>
    <t>Internal quality audit sampling</t>
  </si>
  <si>
    <t>Patient Experience</t>
  </si>
  <si>
    <t>Scheduling Efficiency</t>
  </si>
  <si>
    <t>Procedure Cancellation Rate</t>
  </si>
  <si>
    <t>Scheduling system cancellation tracking</t>
  </si>
  <si>
    <t>Time to Treatment Plan Completion</t>
  </si>
  <si>
    <t>3.4 days</t>
  </si>
  <si>
    <t>2.0 days</t>
  </si>
  <si>
    <t>EHR workflow analysis</t>
  </si>
  <si>
    <t>Average days from RFQ receipt to quote delivery in CRM system</t>
  </si>
  <si>
    <t>System Sizing</t>
  </si>
  <si>
    <t>Engineering Hours per Quote</t>
  </si>
  <si>
    <t>Time tracking system hours tagged to quotation projects</t>
  </si>
  <si>
    <t>Warranty Claim Rate</t>
  </si>
  <si>
    <t>Warranty claims divided by units sold, rolling 12-month average</t>
  </si>
  <si>
    <t>First-Call Resolution Rate</t>
  </si>
  <si>
    <t>Issues resolved without escalation or callback divided by total calls</t>
  </si>
  <si>
    <t>Average Resolution Time</t>
  </si>
  <si>
    <t>2.0 hours</t>
  </si>
  <si>
    <t>Time from ticket creation to closure in support system</t>
  </si>
  <si>
    <t>Competitive Win Rate</t>
  </si>
  <si>
    <t>46%</t>
  </si>
  <si>
    <t>Won opportunities divided by total competitive bids submitted</t>
  </si>
  <si>
    <t>Proposal Development Hours</t>
  </si>
  <si>
    <t>50 hours</t>
  </si>
  <si>
    <t>45 hours</t>
  </si>
  <si>
    <t>Time tracking hours for proposals over $250K project value</t>
  </si>
  <si>
    <t>Installation Support</t>
  </si>
  <si>
    <t>Field Service Callbacks</t>
  </si>
  <si>
    <t>11%</t>
  </si>
  <si>
    <t>Return visits within 30 days divided by completed installations</t>
  </si>
  <si>
    <t>Time to Full Productivity</t>
  </si>
  <si>
    <t>5 months</t>
  </si>
  <si>
    <t>4 months</t>
  </si>
  <si>
    <t>Months until new engineer achieves 80% of peer quote volume</t>
  </si>
  <si>
    <t>Technical Data Retrieval Time</t>
  </si>
  <si>
    <t>1.0 hour</t>
  </si>
  <si>
    <t>0.5 hours</t>
  </si>
  <si>
    <t>Average time to locate and compile manufacturer technical specifications</t>
  </si>
  <si>
    <t>Documentation Review</t>
  </si>
  <si>
    <t>Submittal Review Cycle Time</t>
  </si>
  <si>
    <t>Days from submittal receipt to client delivery with markup</t>
  </si>
  <si>
    <t>Stock-Out Rate on Standard Items</t>
  </si>
  <si>
    <t>7.2%</t>
  </si>
  <si>
    <t>3.5%</t>
  </si>
  <si>
    <t>Orders delayed due to inventory divided by total standard item orders</t>
  </si>
  <si>
    <t>New Product Onboarding Cycle Time</t>
  </si>
  <si>
    <t>Days from supplier submission to catalog publication</t>
  </si>
  <si>
    <t>Product Specification Accuracy Rate</t>
  </si>
  <si>
    <t>Percentage of SKUs with complete, validated technical specifications</t>
  </si>
  <si>
    <t>Inventory Turnover Ratio</t>
  </si>
  <si>
    <t>4.8x annually</t>
  </si>
  <si>
    <t>5.9x annually</t>
  </si>
  <si>
    <t>6.2x annually</t>
  </si>
  <si>
    <t>Cost of goods sold divided by average inventory value</t>
  </si>
  <si>
    <t>34% error</t>
  </si>
  <si>
    <t>22% error</t>
  </si>
  <si>
    <t>18% error</t>
  </si>
  <si>
    <t>Mean Absolute Percentage Error on 90-day rolling forecast</t>
  </si>
  <si>
    <t>Percentage of inquiries resolved without follow-up contact</t>
  </si>
  <si>
    <t>Self-Service</t>
  </si>
  <si>
    <t>Digital Deflection Rate</t>
  </si>
  <si>
    <t>52%</t>
  </si>
  <si>
    <t>Percentage of customer inquiries resolved via digital channels without agent contact</t>
  </si>
  <si>
    <t>Time Spent Selling</t>
  </si>
  <si>
    <t>Percentage of work hours on customer-facing revenue activities</t>
  </si>
  <si>
    <t>29%</t>
  </si>
  <si>
    <t>Percentage of qualified opportunities converted to closed-won</t>
  </si>
  <si>
    <t>Certification Validation Cycle Time</t>
  </si>
  <si>
    <t>Days from certification update to catalog reflection</t>
  </si>
  <si>
    <t>47 days</t>
  </si>
  <si>
    <t>41 days</t>
  </si>
  <si>
    <t>Average days to collect payment from invoice date</t>
  </si>
  <si>
    <t>Supplier Activation Time</t>
  </si>
  <si>
    <t>34 days</t>
  </si>
  <si>
    <t>Days from contract signature to first purchase order</t>
  </si>
  <si>
    <t>Safety Bulletin Production Rate</t>
  </si>
  <si>
    <t>18 bulletins/month</t>
  </si>
  <si>
    <t>28 bulletins/month</t>
  </si>
  <si>
    <t>32 bulletins/month</t>
  </si>
  <si>
    <t>Number of industry-specific safety guidance documents published monthly</t>
  </si>
  <si>
    <t>Time-to-First-Campaign</t>
  </si>
  <si>
    <t>3-5 days</t>
  </si>
  <si>
    <t>Account creation to first campaign send timestamp</t>
  </si>
  <si>
    <t>Accounts per CSM</t>
  </si>
  <si>
    <t>85</t>
  </si>
  <si>
    <t>140</t>
  </si>
  <si>
    <t>120-150</t>
  </si>
  <si>
    <t>Active customer accounts divided by CSM headcount</t>
  </si>
  <si>
    <t>Retention</t>
  </si>
  <si>
    <t>82-88%</t>
  </si>
  <si>
    <t>Customers retained 12 months / total customers at start</t>
  </si>
  <si>
    <t>Policy-to-Feature Deployment Time</t>
  </si>
  <si>
    <t>15-20 days</t>
  </si>
  <si>
    <t>Carrier policy publication to production feature deployment</t>
  </si>
  <si>
    <t>Feature Delivery Velocity</t>
  </si>
  <si>
    <t>8.5 features/quarter</t>
  </si>
  <si>
    <t>13 features/quarter</t>
  </si>
  <si>
    <t>12-15 features/quarter</t>
  </si>
  <si>
    <t>Production features released per quarter</t>
  </si>
  <si>
    <t>Demo-to-Customer Conversion Rate</t>
  </si>
  <si>
    <t>27%</t>
  </si>
  <si>
    <t>22-28%</t>
  </si>
  <si>
    <t>Customers acquired / product demos delivered</t>
  </si>
  <si>
    <t>8-10 days</t>
  </si>
  <si>
    <t>First demo to contract signature timestamp</t>
  </si>
  <si>
    <t>4.2 hours</t>
  </si>
  <si>
    <t>2.5-3.5 hours</t>
  </si>
  <si>
    <t>Ticket creation to closure timestamp average</t>
  </si>
  <si>
    <t>75-85%</t>
  </si>
  <si>
    <t>Tickets resolved without escalation / total tickets</t>
  </si>
  <si>
    <t>Monthly Recurring Revenue Growth Rate</t>
  </si>
  <si>
    <t>3.5-5%</t>
  </si>
  <si>
    <t>Month-over-month MRR percentage change</t>
  </si>
  <si>
    <t>Educational Content Output</t>
  </si>
  <si>
    <t>32 pieces/quarter</t>
  </si>
  <si>
    <t>65 pieces/quarter</t>
  </si>
  <si>
    <t>50-70 pieces/quarter</t>
  </si>
  <si>
    <t>Published blog posts, guides, templates per quarter</t>
  </si>
  <si>
    <t>Platform Operations</t>
  </si>
  <si>
    <t>API Documentation Coverage</t>
  </si>
  <si>
    <t>62%</t>
  </si>
  <si>
    <t>85-95%</t>
  </si>
  <si>
    <t>Documented endpoints / total API endpoints</t>
  </si>
  <si>
    <t>Design Cycle Time</t>
  </si>
  <si>
    <t>187 days</t>
  </si>
  <si>
    <t>156 days</t>
  </si>
  <si>
    <t>145 days</t>
  </si>
  <si>
    <t>Concept approval to design release milestone</t>
  </si>
  <si>
    <t>Documentation Search Time</t>
  </si>
  <si>
    <t>47 minutes per query</t>
  </si>
  <si>
    <t>12 minutes per query</t>
  </si>
  <si>
    <t>22 minutes per query</t>
  </si>
  <si>
    <t>Average time from search initiation to document retrieval</t>
  </si>
  <si>
    <t>Defect Detection Rate</t>
  </si>
  <si>
    <t>Detected defects divided by total defects in sample audits</t>
  </si>
  <si>
    <t>Inspection Hours per Unit</t>
  </si>
  <si>
    <t>6.0 minutes</t>
  </si>
  <si>
    <t>3.8 minutes</t>
  </si>
  <si>
    <t>4.2 minutes</t>
  </si>
  <si>
    <t>Total inspection hours divided by units inspected</t>
  </si>
  <si>
    <t>10 months</t>
  </si>
  <si>
    <t>Issues resolved in initial contact divided by total inquiries</t>
  </si>
  <si>
    <t>Average Handling Time</t>
  </si>
  <si>
    <t>108 minutes</t>
  </si>
  <si>
    <t>72 minutes</t>
  </si>
  <si>
    <t>82 minutes</t>
  </si>
  <si>
    <t>Total support time divided by number of inquiries</t>
  </si>
  <si>
    <t>RFP Response Cycle Time</t>
  </si>
  <si>
    <t>28 days</t>
  </si>
  <si>
    <t>31 days</t>
  </si>
  <si>
    <t>44%</t>
  </si>
  <si>
    <t>Contracts won divided by competitive opportunities pursued</t>
  </si>
  <si>
    <t>Supplier On-Time Delivery</t>
  </si>
  <si>
    <t>Deliveries within committed window divided by total orders</t>
  </si>
  <si>
    <t>4.2 per year</t>
  </si>
  <si>
    <t>5.4 per year</t>
  </si>
  <si>
    <t>5.8 per year</t>
  </si>
  <si>
    <t>Certification Maintenance Cycle</t>
  </si>
  <si>
    <t>23 days per certification</t>
  </si>
  <si>
    <t>14 days per certification</t>
  </si>
  <si>
    <t>16 days per certification</t>
  </si>
  <si>
    <t>Audit request to submission of renewal documentation</t>
  </si>
  <si>
    <t>Production runs completed on original schedule divided by total runs</t>
  </si>
  <si>
    <t>Proposal Response Time</t>
  </si>
  <si>
    <t>14 days (RSW/US)</t>
  </si>
  <si>
    <t>Average calendar days from RFP receipt to submission</t>
  </si>
  <si>
    <t>Sales Pipeline</t>
  </si>
  <si>
    <t>Quarterly Pursuit Capacity</t>
  </si>
  <si>
    <t>45 opportunities</t>
  </si>
  <si>
    <t>75 opportunities</t>
  </si>
  <si>
    <t>60 opportunities (Hinge)</t>
  </si>
  <si>
    <t>Count of qualified RFPs responded to per quarter</t>
  </si>
  <si>
    <t>Sales Conversion</t>
  </si>
  <si>
    <t>24%</t>
  </si>
  <si>
    <t>22% (RSW/US)</t>
  </si>
  <si>
    <t>Percentage of proposals resulting in signed contracts</t>
  </si>
  <si>
    <t>Research Hours per Engagement</t>
  </si>
  <si>
    <t>35 hours (Hinge)</t>
  </si>
  <si>
    <t>Average consultant hours on research synthesis per strategic engagement</t>
  </si>
  <si>
    <t>Client Deliverables</t>
  </si>
  <si>
    <t>Strategic Deck Production Time</t>
  </si>
  <si>
    <t>32 hours</t>
  </si>
  <si>
    <t>14 hours</t>
  </si>
  <si>
    <t>24 hours (industry estimate)</t>
  </si>
  <si>
    <t>Average hours to produce client-ready strategic presentation</t>
  </si>
  <si>
    <t>Content Development</t>
  </si>
  <si>
    <t>Revision Rounds per Deliverable</t>
  </si>
  <si>
    <t>5 rounds</t>
  </si>
  <si>
    <t>2 rounds</t>
  </si>
  <si>
    <t>3 rounds (Content Marketing Institute)</t>
  </si>
  <si>
    <t>Average number of client feedback cycles before approval</t>
  </si>
  <si>
    <t>First-Time Quality Rate</t>
  </si>
  <si>
    <t>82% (CMI)</t>
  </si>
  <si>
    <t>Percentage of deliverables approved with 0-1 minor revisions</t>
  </si>
  <si>
    <t>Project Onboarding</t>
  </si>
  <si>
    <t>Onboarding Duration</t>
  </si>
  <si>
    <t>12 days (industry estimate)</t>
  </si>
  <si>
    <t>Calendar days from contract signature to project kickoff meeting</t>
  </si>
  <si>
    <t>84% (Hinge)</t>
  </si>
  <si>
    <t>Percentage of clients with repeat engagements within 18 months</t>
  </si>
  <si>
    <t>Resource Utilization</t>
  </si>
  <si>
    <t>Consultant Utilization Rate</t>
  </si>
  <si>
    <t>80%</t>
  </si>
  <si>
    <t>72% (SPI)</t>
  </si>
  <si>
    <t>Billable hours as percentage of available hours</t>
  </si>
  <si>
    <t>Content Reuse Rate</t>
  </si>
  <si>
    <t>55% (industry estimate)</t>
  </si>
  <si>
    <t>Percentage of proposal/deliverable content sourced from knowledge repository</t>
  </si>
  <si>
    <t>45 days (SPI)</t>
  </si>
  <si>
    <t>Average days between invoice date and payment receipt</t>
  </si>
  <si>
    <t>14 days [ESTIMATED]</t>
  </si>
  <si>
    <t>Pitch Win Rate</t>
  </si>
  <si>
    <t>32% [ESTIMATED]</t>
  </si>
  <si>
    <t>Won pitches divided by total qualified opportunities</t>
  </si>
  <si>
    <t>Campaign Launch Cycle Time</t>
  </si>
  <si>
    <t>33 days</t>
  </si>
  <si>
    <t>38 days [ESTIMATED]</t>
  </si>
  <si>
    <t>Days from creative brief approval to campaign launch</t>
  </si>
  <si>
    <t>Content Operations</t>
  </si>
  <si>
    <t>Asset Versioning Efficiency</t>
  </si>
  <si>
    <t>2.3 hours per platform variant</t>
  </si>
  <si>
    <t>0.9 hours</t>
  </si>
  <si>
    <t>1.8 hours [ESTIMATED]</t>
  </si>
  <si>
    <t>Average hours to produce platform-specific asset variant</t>
  </si>
  <si>
    <t>Scope Management</t>
  </si>
  <si>
    <t>Change Order Processing Time</t>
  </si>
  <si>
    <t>8 days [ESTIMATED]</t>
  </si>
  <si>
    <t>Average days from scope change request to client approval</t>
  </si>
  <si>
    <t>Budget Variance</t>
  </si>
  <si>
    <t>Project Margin Accuracy</t>
  </si>
  <si>
    <t>73% of projects within 10% of forecasted margin</t>
  </si>
  <si>
    <t>82% [ESTIMATED]</t>
  </si>
  <si>
    <t>Percentage of projects delivering within margin tolerance</t>
  </si>
  <si>
    <t>Research Synthesis Time</t>
  </si>
  <si>
    <t>34 hours per client industry analysis</t>
  </si>
  <si>
    <t>26 hours [ESTIMATED]</t>
  </si>
  <si>
    <t>Average analyst hours for comprehensive industry research deliverable</t>
  </si>
  <si>
    <t>81% [ESTIMATED]</t>
  </si>
  <si>
    <t>Annual revenue retention from existing clients</t>
  </si>
  <si>
    <t>Time to Productivity</t>
  </si>
  <si>
    <t>75 days [ESTIMATED]</t>
  </si>
  <si>
    <t>Days until new hire reaches 70% billable utilization</t>
  </si>
  <si>
    <t>4.7 defects per 1000 lines of code</t>
  </si>
  <si>
    <t>2.1 defects</t>
  </si>
  <si>
    <t>3.2 defects [ESTIMATED]</t>
  </si>
  <si>
    <t>Post-launch defects per thousand lines delivered</t>
  </si>
  <si>
    <t>Asset Retrieval</t>
  </si>
  <si>
    <t>Creative Asset Discovery Time</t>
  </si>
  <si>
    <t>23 minutes average search time</t>
  </si>
  <si>
    <t>16 minutes [ESTIMATED]</t>
  </si>
  <si>
    <t>Average time to locate and retrieve relevant past work samples</t>
  </si>
  <si>
    <t>6 days [ESTIMATED]</t>
  </si>
  <si>
    <t>Average days from MSA draft to legal approval</t>
  </si>
  <si>
    <t>Data Reconciliation Hours per 1000 Screenings</t>
  </si>
  <si>
    <t>54 hours</t>
  </si>
  <si>
    <t>15 hours</t>
  </si>
  <si>
    <t>18 hours (AI-enabled platforms)</t>
  </si>
  <si>
    <t>Time tracking system aggregated monthly; normalized per 1000 screening events</t>
  </si>
  <si>
    <t>Days from Screening to Member Insights</t>
  </si>
  <si>
    <t>7 days (AI-enabled platforms)</t>
  </si>
  <si>
    <t>Median time between biometric event completion and insight report delivery; measured monthly</t>
  </si>
  <si>
    <t>Program Participation</t>
  </si>
  <si>
    <t>Active Engagement Rate</t>
  </si>
  <si>
    <t>52% (personalization leaders)</t>
  </si>
  <si>
    <t>Percentage of eligible members with 3+ platform interactions per quarter; calculated quarterly</t>
  </si>
  <si>
    <t>Coaching Effectiveness</t>
  </si>
  <si>
    <t>Health Goal Completion Rate</t>
  </si>
  <si>
    <t>41%</t>
  </si>
  <si>
    <t>54%</t>
  </si>
  <si>
    <t>58% (AI-assisted coaching)</t>
  </si>
  <si>
    <t>Percentage of members completing self-defined health goals within 90 days; tracked quarterly</t>
  </si>
  <si>
    <t>82% (wellness industry median)</t>
  </si>
  <si>
    <t>Percentage of inquiries resolved without follow-up contact within 72 hours; measured weekly</t>
  </si>
  <si>
    <t>Average Handle Time</t>
  </si>
  <si>
    <t>8.4 minutes</t>
  </si>
  <si>
    <t>6.8 minutes</t>
  </si>
  <si>
    <t>6.2 minutes (AI-deflection enabled)</t>
  </si>
  <si>
    <t>Mean duration from contact initiation to case closure; calculated daily across all channels</t>
  </si>
  <si>
    <t>Days from RFP to Proposal Submission</t>
  </si>
  <si>
    <t>24 days</t>
  </si>
  <si>
    <t>21 days (proposal automation)</t>
  </si>
  <si>
    <t>Median days between RFP receipt and final proposal delivery; tracked per opportunity</t>
  </si>
  <si>
    <t>Contract Execution</t>
  </si>
  <si>
    <t>Total Sales Cycle Length</t>
  </si>
  <si>
    <t>89 days (mid-market wellness)</t>
  </si>
  <si>
    <t>Days from initial qualified lead to signed contract; calculated monthly across closed deals</t>
  </si>
  <si>
    <t>Annual Client Retention Rate</t>
  </si>
  <si>
    <t>92% (wellness platform leaders)</t>
  </si>
  <si>
    <t>Percentage of clients renewing contracts annually; measured on rolling 12-month basis</t>
  </si>
  <si>
    <t>Revenue Expansion</t>
  </si>
  <si>
    <t>Upsell Conversion Rate</t>
  </si>
  <si>
    <t>25%</t>
  </si>
  <si>
    <t>28% (data-driven account teams)</t>
  </si>
  <si>
    <t>Percentage of expansion proposals converting to contracts; tracked quarterly</t>
  </si>
  <si>
    <t>Hours per HIPAA Audit Response</t>
  </si>
  <si>
    <t>124 hours</t>
  </si>
  <si>
    <t>55 hours</t>
  </si>
  <si>
    <t>45 hours (documentation automation)</t>
  </si>
  <si>
    <t>Total staff hours from audit notice to final response submission; measured per audit event</t>
  </si>
  <si>
    <t>Time from Concept to Production</t>
  </si>
  <si>
    <t>110 days</t>
  </si>
  <si>
    <t>98 days (AI-assisted development)</t>
  </si>
  <si>
    <t>Median days from feature approval to production deployment; calculated quarterly</t>
  </si>
  <si>
    <t>Food Waste Percentage</t>
  </si>
  <si>
    <t>4.1%</t>
  </si>
  <si>
    <t>Monthly waste logs aggregated across all locations</t>
  </si>
  <si>
    <t>Stockout Incidents per Location</t>
  </si>
  <si>
    <t>12.5/month</t>
  </si>
  <si>
    <t>5.2/month</t>
  </si>
  <si>
    <t>6.8/month</t>
  </si>
  <si>
    <t>POS system out-of-stock flags during ordering</t>
  </si>
  <si>
    <t>Annual Hourly Employee Turnover</t>
  </si>
  <si>
    <t>110%</t>
  </si>
  <si>
    <t>HRIS termination records divided by average headcount</t>
  </si>
  <si>
    <t>Manager Hours on Scheduling</t>
  </si>
  <si>
    <t>15 hrs/week</t>
  </si>
  <si>
    <t>8 hrs/week</t>
  </si>
  <si>
    <t>10 hrs/week</t>
  </si>
  <si>
    <t>Time study survey of store managers</t>
  </si>
  <si>
    <t>Food Safety</t>
  </si>
  <si>
    <t>Safety Incidents per Location per Year</t>
  </si>
  <si>
    <t>2.4</t>
  </si>
  <si>
    <t>1.2</t>
  </si>
  <si>
    <t>1.8</t>
  </si>
  <si>
    <t>Health department reports and internal incident logs</t>
  </si>
  <si>
    <t>Weekly Compliance Hours per Location</t>
  </si>
  <si>
    <t>3.5 hours</t>
  </si>
  <si>
    <t>Manager time logs for compliance activities</t>
  </si>
  <si>
    <t>Average Transaction Value</t>
  </si>
  <si>
    <t>$8.60</t>
  </si>
  <si>
    <t>$9.20</t>
  </si>
  <si>
    <t>$9.10</t>
  </si>
  <si>
    <t>POS daily sales divided by transaction count</t>
  </si>
  <si>
    <t>Drive-Through Wait Time</t>
  </si>
  <si>
    <t>3.1 minutes</t>
  </si>
  <si>
    <t>3.5 minutes</t>
  </si>
  <si>
    <t>Timer system from order to pickup window</t>
  </si>
  <si>
    <t>Working Capital</t>
  </si>
  <si>
    <t>8.5 days</t>
  </si>
  <si>
    <t>5.8 days</t>
  </si>
  <si>
    <t>6.2 days</t>
  </si>
  <si>
    <t>Inventory value divided by daily COGS</t>
  </si>
  <si>
    <t>Unplanned Equipment Downtime Hours</t>
  </si>
  <si>
    <t>18 hrs/location/year</t>
  </si>
  <si>
    <t>9 hrs/location/year</t>
  </si>
  <si>
    <t>12 hrs/location/year</t>
  </si>
  <si>
    <t>Maintenance logs tracking equipment failures</t>
  </si>
  <si>
    <t>Order Error Rate</t>
  </si>
  <si>
    <t>3.8%</t>
  </si>
  <si>
    <t>2.2%</t>
  </si>
  <si>
    <t>Customer complaints and remake tracking</t>
  </si>
  <si>
    <t>New Hire Time to Full Productivity</t>
  </si>
  <si>
    <t>25 days</t>
  </si>
  <si>
    <t>30 days</t>
  </si>
  <si>
    <t>Manager assessment of independent task completion</t>
  </si>
  <si>
    <t>Time to Coordination Start</t>
  </si>
  <si>
    <t>2.8 days</t>
  </si>
  <si>
    <t>Contract timestamp to first coordinator action</t>
  </si>
  <si>
    <t>Inspection Scheduling</t>
  </si>
  <si>
    <t>Scheduling Coordination Hours</t>
  </si>
  <si>
    <t>18,500 hours annually</t>
  </si>
  <si>
    <t>7,400 hours</t>
  </si>
  <si>
    <t>12,000 hours (with automation)</t>
  </si>
  <si>
    <t>Logged coordinator time on scheduling tasks</t>
  </si>
  <si>
    <t>Time to Baseline Productivity</t>
  </si>
  <si>
    <t>Hire date to first closed transaction</t>
  </si>
  <si>
    <t>First-Year Agent Attrition</t>
  </si>
  <si>
    <t>Agents departing within 12 months of hire</t>
  </si>
  <si>
    <t>Listing Package Creation Time</t>
  </si>
  <si>
    <t>6.5 hours per listing</t>
  </si>
  <si>
    <t>4.2 hours (with automation)</t>
  </si>
  <si>
    <t>Photography to MLS submission timeline</t>
  </si>
  <si>
    <t>CMA Generation Time</t>
  </si>
  <si>
    <t>3.2 hours per analysis</t>
  </si>
  <si>
    <t>0.8 hours</t>
  </si>
  <si>
    <t>Request to delivery of formatted CMA</t>
  </si>
  <si>
    <t>Initial Submission Error Rate</t>
  </si>
  <si>
    <t>3%</t>
  </si>
  <si>
    <t>Filings requiring correction before acceptance</t>
  </si>
  <si>
    <t>Training Documentation</t>
  </si>
  <si>
    <t>Compliance Training Hours</t>
  </si>
  <si>
    <t>85 hours per agent annually</t>
  </si>
  <si>
    <t>65 hours</t>
  </si>
  <si>
    <t>Required training completion time</t>
  </si>
  <si>
    <t>8.4 hours average</t>
  </si>
  <si>
    <t>Inquiry timestamp to first substantive response</t>
  </si>
  <si>
    <t>Repeat and Referral Rate</t>
  </si>
  <si>
    <t>Transactions from prior clients or referrals</t>
  </si>
  <si>
    <t>Average Sales Price</t>
  </si>
  <si>
    <t>$385K</t>
  </si>
  <si>
    <t>$416K</t>
  </si>
  <si>
    <t>Median closed sales price across all transactions</t>
  </si>
  <si>
    <t>Agent Productivity</t>
  </si>
  <si>
    <t>Transactions per Agent</t>
  </si>
  <si>
    <t>22 annually</t>
  </si>
  <si>
    <t>26 annually</t>
  </si>
  <si>
    <t>24 annually</t>
  </si>
  <si>
    <t>Closed transactions divided by active agent count</t>
  </si>
  <si>
    <t>Inspection Completion to Documentation Time</t>
  </si>
  <si>
    <t>Average days from field completion timestamp to regulatory filing submission</t>
  </si>
  <si>
    <t>Emergency Response</t>
  </si>
  <si>
    <t>Dispatch to On-Site Arrival Time</t>
  </si>
  <si>
    <t>2.3 hours</t>
  </si>
  <si>
    <t>1.5 hours</t>
  </si>
  <si>
    <t>Average hours from emergency call receipt to technician arrival at customer location</t>
  </si>
  <si>
    <t>61%</t>
  </si>
  <si>
    <t>Percentage of calls resolved without escalation or callback within 48 hours</t>
  </si>
  <si>
    <t>28 minutes</t>
  </si>
  <si>
    <t>20 minutes</t>
  </si>
  <si>
    <t>19 minutes</t>
  </si>
  <si>
    <t>Average minutes from call answer to completion including hold time</t>
  </si>
  <si>
    <t>Safety Reporting</t>
  </si>
  <si>
    <t>Report Preparation Hours per Inspection</t>
  </si>
  <si>
    <t>0.19 hours</t>
  </si>
  <si>
    <t>0.10 hours</t>
  </si>
  <si>
    <t>0.08 hours</t>
  </si>
  <si>
    <t>Total engineering hours divided by number of completed inspection reports</t>
  </si>
  <si>
    <t>Filing Preparation Cost per Submission</t>
  </si>
  <si>
    <t>$2,500</t>
  </si>
  <si>
    <t>$2,100</t>
  </si>
  <si>
    <t>Fully-loaded labor cost for preparing regulatory commission filings</t>
  </si>
  <si>
    <t>Unplanned Outage Frequency</t>
  </si>
  <si>
    <t>340 incidents/year</t>
  </si>
  <si>
    <t>250 incidents/year</t>
  </si>
  <si>
    <t>210 incidents/year</t>
  </si>
  <si>
    <t>Annual count of unplanned service interruptions requiring emergency response</t>
  </si>
  <si>
    <t>Root Cause Analysis Completion Time</t>
  </si>
  <si>
    <t>Average engineering hours to complete post-incident analysis and documentation</t>
  </si>
  <si>
    <t>Asset Replacement Timing Accuracy</t>
  </si>
  <si>
    <t>64%</t>
  </si>
  <si>
    <t>Percentage of replaced assets that avoided unplanned failure within 12 months</t>
  </si>
  <si>
    <t>Design Package Review Cycle Time</t>
  </si>
  <si>
    <t>Average days from design submission to approval or revision request</t>
  </si>
  <si>
    <t>Field Technician Onboarding</t>
  </si>
  <si>
    <t>180 days</t>
  </si>
  <si>
    <t>140 days</t>
  </si>
  <si>
    <t>Days from hire date to independent completion of standard service calls</t>
  </si>
  <si>
    <t>Contract Review and Approval Time</t>
  </si>
  <si>
    <t>Average days from contract submission to legal and procurement approval</t>
  </si>
  <si>
    <t>Design Engineering</t>
  </si>
  <si>
    <t>Engineering Change Order Processing Time</t>
  </si>
  <si>
    <t>7 days (aerospace sector median)</t>
  </si>
  <si>
    <t>ECO submission to manufacturing release timestamp delta</t>
  </si>
  <si>
    <t>Engineering Hours per Drawing Package</t>
  </si>
  <si>
    <t>14.2 hours</t>
  </si>
  <si>
    <t>6.5 hours</t>
  </si>
  <si>
    <t>5.8 hours (with CAD automation)</t>
  </si>
  <si>
    <t>Time tracking system aggregation per released package</t>
  </si>
  <si>
    <t>31 days (precision manufacturing)</t>
  </si>
  <si>
    <t>ERP order entry to shipping confirmation</t>
  </si>
  <si>
    <t>Inspection &amp; Compliance</t>
  </si>
  <si>
    <t>Quality Documentation Hours per Order</t>
  </si>
  <si>
    <t>3.7 hours</t>
  </si>
  <si>
    <t>1.4 hours (with digital inspection)</t>
  </si>
  <si>
    <t>Labor tracking per manufacturing order completion</t>
  </si>
  <si>
    <t>FAI Report Completion Time</t>
  </si>
  <si>
    <t>2.9 days (AS9102 digital workflows)</t>
  </si>
  <si>
    <t>Inspection completion to customer submission</t>
  </si>
  <si>
    <t>Supplier Disruption Response Time</t>
  </si>
  <si>
    <t>2.5 days (with supplier risk monitoring)</t>
  </si>
  <si>
    <t>Alert detection to alternative sourcing confirmation</t>
  </si>
  <si>
    <t>Work-in-Process Inventory Days</t>
  </si>
  <si>
    <t>79 days</t>
  </si>
  <si>
    <t>52 days (lean manufacturing)</t>
  </si>
  <si>
    <t>Average WIP value divided by daily COGS</t>
  </si>
  <si>
    <t>88% (B2B manufacturing)</t>
  </si>
  <si>
    <t>Cases resolved without escalation or callback</t>
  </si>
  <si>
    <t>Quote Preparation Time</t>
  </si>
  <si>
    <t>4.3 days average</t>
  </si>
  <si>
    <t>1.8 days (with configurators)</t>
  </si>
  <si>
    <t>RFQ receipt to quote delivery timestamp</t>
  </si>
  <si>
    <t>33%</t>
  </si>
  <si>
    <t>37% (precision component sector)</t>
  </si>
  <si>
    <t>Orders booked divided by quotes delivered</t>
  </si>
  <si>
    <t>Invoice Dispute Resolution Time</t>
  </si>
  <si>
    <t>22 days average</t>
  </si>
  <si>
    <t>9 days (with automated reconciliation)</t>
  </si>
  <si>
    <t>Dispute filing to payment receipt</t>
  </si>
  <si>
    <t>Engineer Onboarding Time to Productivity</t>
  </si>
  <si>
    <t>8.5 months</t>
  </si>
  <si>
    <t>3.2 months</t>
  </si>
  <si>
    <t>4.2 months (with structured knowledge systems)</t>
  </si>
  <si>
    <t>Hire date to first independent project delivery</t>
  </si>
  <si>
    <t>Time to Carrier Assignment</t>
  </si>
  <si>
    <t>1.2 days</t>
  </si>
  <si>
    <t>Median time from quote acceptance to confirmed carrier assignment in TMS</t>
  </si>
  <si>
    <t>Quote Abandonment Rate</t>
  </si>
  <si>
    <t>Percentage of accepted quotes not converted to booked shipments within 7 days</t>
  </si>
  <si>
    <t>3.2 minutes</t>
  </si>
  <si>
    <t>5.2 minutes</t>
  </si>
  <si>
    <t>Mean duration from inquiry receipt to resolution across all channels</t>
  </si>
  <si>
    <t>Percentage of inquiries resolved without escalation or follow-up required</t>
  </si>
  <si>
    <t>Claim Resolution Cycle Time</t>
  </si>
  <si>
    <t>Median days from claim filing to final settlement payment</t>
  </si>
  <si>
    <t>Investigation Hours per Claim</t>
  </si>
  <si>
    <t>6.4 hours</t>
  </si>
  <si>
    <t>4.1 hours</t>
  </si>
  <si>
    <t>Total adjuster time from initial review through liability determination</t>
  </si>
  <si>
    <t>Margin Variance on Similar Routes</t>
  </si>
  <si>
    <t>Standard deviation of gross margin across routes with matching distance and lane characteristics</t>
  </si>
  <si>
    <t>Revenue Capture Rate</t>
  </si>
  <si>
    <t>96.5%</t>
  </si>
  <si>
    <t>Actual revenue versus optimal revenue based on market clearing prices</t>
  </si>
  <si>
    <t>On-Time Pickup Rate</t>
  </si>
  <si>
    <t>Percentage of shipments picked up within 24-hour window of scheduled time</t>
  </si>
  <si>
    <t>Carrier Authority Violations</t>
  </si>
  <si>
    <t>23 annually</t>
  </si>
  <si>
    <t>6 annually</t>
  </si>
  <si>
    <t>8 annually</t>
  </si>
  <si>
    <t>Count of shipments assigned to carriers with expired or invalid FMCSA authority</t>
  </si>
  <si>
    <t>Quote Response Time</t>
  </si>
  <si>
    <t>47 minutes</t>
  </si>
  <si>
    <t>22 minutes</t>
  </si>
  <si>
    <t>Median time from quote request receipt to customer-facing quote delivery</t>
  </si>
  <si>
    <t>Payment Processing Cycle</t>
  </si>
  <si>
    <t>Days from proof of delivery receipt to carrier payment disbursement</t>
  </si>
  <si>
    <t>Candidate Sourcing</t>
  </si>
  <si>
    <t>Time-to-First-Interview</t>
  </si>
  <si>
    <t>5.2 days (digital-first platforms)</t>
  </si>
  <si>
    <t>Median days from requisition to first candidate interview scheduled</t>
  </si>
  <si>
    <t>Screening &amp; Assessment</t>
  </si>
  <si>
    <t>Recruiter Capacity (Active Searches)</t>
  </si>
  <si>
    <t>4.2 searches/recruiter</t>
  </si>
  <si>
    <t>7.5 searches/recruiter</t>
  </si>
  <si>
    <t>6.8 searches/recruiter (AI-enabled firms)</t>
  </si>
  <si>
    <t>Average concurrent active requisitions per recruiter FTE</t>
  </si>
  <si>
    <t>Certification Validation Time</t>
  </si>
  <si>
    <t>3.2 hours per candidate</t>
  </si>
  <si>
    <t>1.1 hours</t>
  </si>
  <si>
    <t>0.8 hours (automated validation)</t>
  </si>
  <si>
    <t>Total hours spent verifying certifications divided by candidates processed</t>
  </si>
  <si>
    <t>Timesheet Processing Error Rate</t>
  </si>
  <si>
    <t>3-4% (industry average)</t>
  </si>
  <si>
    <t>Timesheets requiring correction divided by total timesheets processed</t>
  </si>
  <si>
    <t>Payroll &amp; Billing</t>
  </si>
  <si>
    <t>Days Sales Outstanding (DSO)</t>
  </si>
  <si>
    <t>(Accounts Receivable / Total Credit Sales) × 365</t>
  </si>
  <si>
    <t>Compliance Monitoring</t>
  </si>
  <si>
    <t>Non-Compliance Incident Rate</t>
  </si>
  <si>
    <t>8% of placements</t>
  </si>
  <si>
    <t>2%</t>
  </si>
  <si>
    <t>2-3%</t>
  </si>
  <si>
    <t>Placements with certification lapses or regulatory violations per 100 placements</t>
  </si>
  <si>
    <t>Client Development</t>
  </si>
  <si>
    <t>Cross-Service Penetration</t>
  </si>
  <si>
    <t>35-40%</t>
  </si>
  <si>
    <t>Clients using 2+ service lines divided by total active clients</t>
  </si>
  <si>
    <t>Proposal Cycle Time</t>
  </si>
  <si>
    <t>14 days</t>
  </si>
  <si>
    <t>Median days from RFP receipt to proposal submission</t>
  </si>
  <si>
    <t>Competitive Win Rate (New Clients)</t>
  </si>
  <si>
    <t>Proposals won divided by total competitive proposals submitted</t>
  </si>
  <si>
    <t>Financial Reporting</t>
  </si>
  <si>
    <t>Month-End Close Cycle</t>
  </si>
  <si>
    <t>Business days from month-end to finalized financial statements</t>
  </si>
  <si>
    <t>Internal Talent Management</t>
  </si>
  <si>
    <t>Employee Onboarding Time</t>
  </si>
  <si>
    <t>Days from offer acceptance to full productivity (system access, training complete)</t>
  </si>
  <si>
    <t>Document Retrieval Time</t>
  </si>
  <si>
    <t>24 minutes</t>
  </si>
  <si>
    <t>4 minutes</t>
  </si>
  <si>
    <t>Average time to locate specific policy, certification requirement, or client specification</t>
  </si>
  <si>
    <t>Estimate Turnaround Time</t>
  </si>
  <si>
    <t>Days from site visit to proposal delivery</t>
  </si>
  <si>
    <t>Bid Accuracy</t>
  </si>
  <si>
    <t>Material Order Error Rate</t>
  </si>
  <si>
    <t>Percentage of initial orders requiring adjustment</t>
  </si>
  <si>
    <t>Workforce Management</t>
  </si>
  <si>
    <t>Billable Utilization Rate</t>
  </si>
  <si>
    <t>Billable hours divided by available crew hours</t>
  </si>
  <si>
    <t>Safety Compliance</t>
  </si>
  <si>
    <t>Workers Compensation Mod Rate</t>
  </si>
  <si>
    <t>1.23</t>
  </si>
  <si>
    <t>0.95</t>
  </si>
  <si>
    <t>1.00</t>
  </si>
  <si>
    <t>State-assigned modification factor</t>
  </si>
  <si>
    <t>Schedule Performance</t>
  </si>
  <si>
    <t>Projects Delayed &gt;5 Days</t>
  </si>
  <si>
    <t>Percentage of projects exceeding original completion date</t>
  </si>
  <si>
    <t>Change Order Dispute Rate</t>
  </si>
  <si>
    <t>Percentage of change orders requiring rework or negotiation</t>
  </si>
  <si>
    <t>Average collection period for completed projects</t>
  </si>
  <si>
    <t>Emergency Material Premium</t>
  </si>
  <si>
    <t>$9.8M annually</t>
  </si>
  <si>
    <t>$2.8M annually</t>
  </si>
  <si>
    <t>$5.2M annually</t>
  </si>
  <si>
    <t>Expedited shipping and premium pricing costs</t>
  </si>
  <si>
    <t>Estimator Time-to-Competency</t>
  </si>
  <si>
    <t>Months to independent proposal generation</t>
  </si>
  <si>
    <t>Quality &amp; Safety</t>
  </si>
  <si>
    <t>Incident Documentation Cycle</t>
  </si>
  <si>
    <t>Days from incident to regulatory submission</t>
  </si>
  <si>
    <t>IT &amp; Systems</t>
  </si>
  <si>
    <t>Data Integration</t>
  </si>
  <si>
    <t>Manual Data Transfer Hours</t>
  </si>
  <si>
    <t>23,400 hours annually</t>
  </si>
  <si>
    <t>3,100 hours annually</t>
  </si>
  <si>
    <t>8,200 hours annually</t>
  </si>
  <si>
    <t>Hours spent reconciling disconnected systems</t>
  </si>
  <si>
    <t>Emergency Dispatch Time</t>
  </si>
  <si>
    <t>1.3 hours</t>
  </si>
  <si>
    <t>Hours from customer call to crew arrival</t>
  </si>
  <si>
    <t>Assessment &amp; Prescription</t>
  </si>
  <si>
    <t>Clinical Documentation Time per Evaluation</t>
  </si>
  <si>
    <t>Authorization Cycle Time</t>
  </si>
  <si>
    <t>Payer portal tracking</t>
  </si>
  <si>
    <t>First-Pass Denial Rate</t>
  </si>
  <si>
    <t>10%</t>
  </si>
  <si>
    <t>Claim adjudication outcomes</t>
  </si>
  <si>
    <t>87 days</t>
  </si>
  <si>
    <t>AR aging reports</t>
  </si>
  <si>
    <t>Technician Utilization Rate</t>
  </si>
  <si>
    <t>Billable hours / available hours</t>
  </si>
  <si>
    <t>Average Repair Wait Time</t>
  </si>
  <si>
    <t>4.7 days</t>
  </si>
  <si>
    <t>Service request timestamp to completion</t>
  </si>
  <si>
    <t>Parts Stockout Rate</t>
  </si>
  <si>
    <t>Service orders requiring backorder</t>
  </si>
  <si>
    <t>3.4x</t>
  </si>
  <si>
    <t>4.6x</t>
  </si>
  <si>
    <t>5.2x</t>
  </si>
  <si>
    <t>COGS / average inventory value</t>
  </si>
  <si>
    <t>Documentation Retrieval Time</t>
  </si>
  <si>
    <t>6.8 hours per audit request</t>
  </si>
  <si>
    <t>3.1 hours</t>
  </si>
  <si>
    <t>Staff time logs</t>
  </si>
  <si>
    <t>Call disposition tracking</t>
  </si>
  <si>
    <t>Configuration Error Rate</t>
  </si>
  <si>
    <t>3.1%</t>
  </si>
  <si>
    <t>Rework orders / total orders</t>
  </si>
  <si>
    <t>Referral Response Time</t>
  </si>
  <si>
    <t>22 hours</t>
  </si>
  <si>
    <t>Referral timestamp to initial contact</t>
  </si>
  <si>
    <t>Equipment Cycle Time</t>
  </si>
  <si>
    <t>2.6 days</t>
  </si>
  <si>
    <t>2.4 days</t>
  </si>
  <si>
    <t>Average days from container pickup to return availability across all owned assets</t>
  </si>
  <si>
    <t>Empty Repositioning Rate</t>
  </si>
  <si>
    <t>Percentage of total container moves with no revenue load</t>
  </si>
  <si>
    <t>Rail Detention Charges</t>
  </si>
  <si>
    <t>$3.2M annually</t>
  </si>
  <si>
    <t>$2.0M</t>
  </si>
  <si>
    <t>$1.8M for comparable volume</t>
  </si>
  <si>
    <t>Total per diem and detention fees from rail carriers</t>
  </si>
  <si>
    <t>Status Inquiry Volume</t>
  </si>
  <si>
    <t>8,600 monthly</t>
  </si>
  <si>
    <t>5,200 monthly</t>
  </si>
  <si>
    <t>4,200 for similar customer base</t>
  </si>
  <si>
    <t>Phone and email inquiries requesting shipment status updates</t>
  </si>
  <si>
    <t>Average Response Time</t>
  </si>
  <si>
    <t>4.8 hours</t>
  </si>
  <si>
    <t>Time from customer inquiry to first substantive response</t>
  </si>
  <si>
    <t>RFP Close Rate</t>
  </si>
  <si>
    <t>26%</t>
  </si>
  <si>
    <t>Won bids divided by total submitted proposals</t>
  </si>
  <si>
    <t>Claim Resolution Cycle</t>
  </si>
  <si>
    <t>Average days from incident report to final settlement</t>
  </si>
  <si>
    <t>Cross-Border Error Rate</t>
  </si>
  <si>
    <t>8.4%</t>
  </si>
  <si>
    <t>Percentage of shipments requiring rework or correction</t>
  </si>
  <si>
    <t>Unplanned Equipment Downtime</t>
  </si>
  <si>
    <t>5.4%</t>
  </si>
  <si>
    <t>Percentage of fleet unavailable due to unexpected failures</t>
  </si>
  <si>
    <t>Customer Retention Rate</t>
  </si>
  <si>
    <t>Percentage of customers with repeat business year-over-year</t>
  </si>
  <si>
    <t>Drayage Cost per Container Mile</t>
  </si>
  <si>
    <t>$2.85</t>
  </si>
  <si>
    <t>$2.58</t>
  </si>
  <si>
    <t>$2.42</t>
  </si>
  <si>
    <t>Total drayage expense divided by loaded miles</t>
  </si>
  <si>
    <t>Invoice Accuracy Rate</t>
  </si>
  <si>
    <t>95.5%</t>
  </si>
  <si>
    <t>97.8%</t>
  </si>
  <si>
    <t>Percentage of invoices requiring no correction or dispute</t>
  </si>
  <si>
    <t>Bid Turnaround Time</t>
  </si>
  <si>
    <t>RFP receipt to submission timestamp</t>
  </si>
  <si>
    <t>Opportunity Capture Rate</t>
  </si>
  <si>
    <t>Bids submitted / qualified opportunities identified</t>
  </si>
  <si>
    <t>Municipal Win Rate</t>
  </si>
  <si>
    <t>Contracts awarded / bids submitted</t>
  </si>
  <si>
    <t>Fleet Utilization Rate</t>
  </si>
  <si>
    <t>Productive hours / available hours</t>
  </si>
  <si>
    <t>Non-Productive Travel Time</t>
  </si>
  <si>
    <t>Travel hours / total shift hours</t>
  </si>
  <si>
    <t>Defects caught pre-completion / total defects</t>
  </si>
  <si>
    <t>AR balance / daily revenue</t>
  </si>
  <si>
    <t>Contract Closeout Time</t>
  </si>
  <si>
    <t>Project completion to final documentation</t>
  </si>
  <si>
    <t>Manual Compliance Hours</t>
  </si>
  <si>
    <t>16,500 hours/year</t>
  </si>
  <si>
    <t>6,600 hours/year</t>
  </si>
  <si>
    <t>Tracked labor hours on compliance tasks</t>
  </si>
  <si>
    <t>Incident Documentation Time</t>
  </si>
  <si>
    <t>4.2 hours per incident</t>
  </si>
  <si>
    <t>1.9 hours per incident</t>
  </si>
  <si>
    <t>2.8 hours per incident</t>
  </si>
  <si>
    <t>Labor hours / safety incidents</t>
  </si>
  <si>
    <t>Equipment Downtime</t>
  </si>
  <si>
    <t>11.3%</t>
  </si>
  <si>
    <t>6.2%</t>
  </si>
  <si>
    <t>7.8%</t>
  </si>
  <si>
    <t>Downtime hours / scheduled operating hours</t>
  </si>
  <si>
    <t>First-Time Schedule Success</t>
  </si>
  <si>
    <t>Jobs completed as scheduled / total jobs</t>
  </si>
  <si>
    <t>New Facility Origination</t>
  </si>
  <si>
    <t>Application Processing Time</t>
  </si>
  <si>
    <t>Application submission to credit approval</t>
  </si>
  <si>
    <t>Credit Analysis</t>
  </si>
  <si>
    <t>Analyst Hours per Application</t>
  </si>
  <si>
    <t>12.9 hours</t>
  </si>
  <si>
    <t>Time-tracking system data</t>
  </si>
  <si>
    <t>Invoice Verification</t>
  </si>
  <si>
    <t>Manual Review Rate</t>
  </si>
  <si>
    <t>Invoices flagged for manual intervention / total invoices</t>
  </si>
  <si>
    <t>Account Monitoring</t>
  </si>
  <si>
    <t>Weighted average collection period</t>
  </si>
  <si>
    <t>Payment Follow-Up</t>
  </si>
  <si>
    <t>Collector Productivity</t>
  </si>
  <si>
    <t>64 accounts per FTE</t>
  </si>
  <si>
    <t>92 accounts per FTE</t>
  </si>
  <si>
    <t>98 accounts per FTE</t>
  </si>
  <si>
    <t>Active accounts / FTE headcount</t>
  </si>
  <si>
    <t>AML Screening</t>
  </si>
  <si>
    <t>Screening Time per Transaction</t>
  </si>
  <si>
    <t>18 minutes</t>
  </si>
  <si>
    <t>7 minutes</t>
  </si>
  <si>
    <t>Total screening hours / transaction volume</t>
  </si>
  <si>
    <t>Report Preparation Hours</t>
  </si>
  <si>
    <t>340 hours/quarter</t>
  </si>
  <si>
    <t>195 hours/quarter</t>
  </si>
  <si>
    <t>180 hours/quarter</t>
  </si>
  <si>
    <t>Time-tracking for regulatory deliverables</t>
  </si>
  <si>
    <t>Risk Monitoring</t>
  </si>
  <si>
    <t>Early Warning Detection Rate</t>
  </si>
  <si>
    <t>63%</t>
  </si>
  <si>
    <t>Risk alerts generated before default / total defaults</t>
  </si>
  <si>
    <t>Performance Analytics</t>
  </si>
  <si>
    <t>Portfolio Analysis Cycle Time</t>
  </si>
  <si>
    <t>Data request to executive dashboard delivery</t>
  </si>
  <si>
    <t>Account Support</t>
  </si>
  <si>
    <t>First Response Time</t>
  </si>
  <si>
    <t>6.2 hours</t>
  </si>
  <si>
    <t>2.4 hours</t>
  </si>
  <si>
    <t>Client inquiry to initial response</t>
  </si>
  <si>
    <t>Agreement Turnaround Time</t>
  </si>
  <si>
    <t>4.8 days</t>
  </si>
  <si>
    <t>Draft receipt to execution-ready version</t>
  </si>
  <si>
    <t>Month-End Close</t>
  </si>
  <si>
    <t>Close Cycle Duration</t>
  </si>
  <si>
    <t>Period end to certified financials</t>
  </si>
  <si>
    <t>Documentation Processing Time</t>
  </si>
  <si>
    <t>Average submission to approval cycle time</t>
  </si>
  <si>
    <t>Research Hours per Declaration</t>
  </si>
  <si>
    <t>2.2 hours</t>
  </si>
  <si>
    <t>Time from query to validated guidance</t>
  </si>
  <si>
    <t>Proactive Exception Identification</t>
  </si>
  <si>
    <t>Exceptions caught 48+ hours before impact</t>
  </si>
  <si>
    <t>Cost per TEU</t>
  </si>
  <si>
    <t>$2,340</t>
  </si>
  <si>
    <t>$2,180</t>
  </si>
  <si>
    <t>Weighted average across all lanes</t>
  </si>
  <si>
    <t>Median time from inquiry to resolution</t>
  </si>
  <si>
    <t>Quote Accuracy Rate</t>
  </si>
  <si>
    <t>Quoted vs actual cost variance &lt;10%</t>
  </si>
  <si>
    <t>Invoice Cycle Time</t>
  </si>
  <si>
    <t>Shipment completion to invoice delivery</t>
  </si>
  <si>
    <t>Weighted average payment collection cycle</t>
  </si>
  <si>
    <t>Time to 80% of peer productivity metrics</t>
  </si>
  <si>
    <t>Audit Response Time</t>
  </si>
  <si>
    <t>Request receipt to complete documentation package</t>
  </si>
  <si>
    <t>Technology</t>
  </si>
  <si>
    <t>System Integration</t>
  </si>
  <si>
    <t>API Development Cycle Time</t>
  </si>
  <si>
    <t>2 months</t>
  </si>
  <si>
    <t>3 months</t>
  </si>
  <si>
    <t>Requirement definition to production deployment</t>
  </si>
  <si>
    <t>Contract Renewal Processing Time</t>
  </si>
  <si>
    <t>Negotiation start to executed agreement</t>
  </si>
  <si>
    <t>Proposal Win Rate</t>
  </si>
  <si>
    <t>38% (Consulting Industry)</t>
  </si>
  <si>
    <t>Won opportunities / Total submitted proposals</t>
  </si>
  <si>
    <t>9 days (Professional Services)</t>
  </si>
  <si>
    <t>Opportunity Decline Rate</t>
  </si>
  <si>
    <t>12% (Consulting Firms)</t>
  </si>
  <si>
    <t>Declined opportunities / Total inbound opportunities</t>
  </si>
  <si>
    <t>Timeline Variance</t>
  </si>
  <si>
    <t>8 days extension (40% of projects)</t>
  </si>
  <si>
    <t>3 days extension</t>
  </si>
  <si>
    <t>4 days (Industry Average)</t>
  </si>
  <si>
    <t>Average project delivery delay in days</t>
  </si>
  <si>
    <t>Exception Identification Lag</t>
  </si>
  <si>
    <t>2 days (Best-in-Class)</t>
  </si>
  <si>
    <t>Days between issue occurrence and escalation</t>
  </si>
  <si>
    <t>Margin Management</t>
  </si>
  <si>
    <t>Project Margin Erosion</t>
  </si>
  <si>
    <t>4.2 percentage points</t>
  </si>
  <si>
    <t>1.8 percentage points</t>
  </si>
  <si>
    <t>2.1 percentage points (Consulting)</t>
  </si>
  <si>
    <t>Planned margin - Actual margin at project close</t>
  </si>
  <si>
    <t>Content Repository</t>
  </si>
  <si>
    <t>Deliverable Recreation Rate</t>
  </si>
  <si>
    <t>18% (Knowledge-Intensive Services)</t>
  </si>
  <si>
    <t>Recreated assets / Total deliverables produced</t>
  </si>
  <si>
    <t>Knowledge Search Time</t>
  </si>
  <si>
    <t>6,400 hours annually</t>
  </si>
  <si>
    <t>2,100 hours</t>
  </si>
  <si>
    <t>3,200 hours (285-person firm)</t>
  </si>
  <si>
    <t>Consultant hours spent searching for existing content</t>
  </si>
  <si>
    <t>Annual Retention Rate</t>
  </si>
  <si>
    <t>84% (CX Consulting)</t>
  </si>
  <si>
    <t>Retained clients / Total client base</t>
  </si>
  <si>
    <t>Client Satisfaction</t>
  </si>
  <si>
    <t>CSAT Variance on Delayed Projects</t>
  </si>
  <si>
    <t>12-point drop</t>
  </si>
  <si>
    <t>4-point variance</t>
  </si>
  <si>
    <t>5-point variance (Industry)</t>
  </si>
  <si>
    <t>CSAT score difference: on-time vs delayed projects</t>
  </si>
  <si>
    <t>Consulting Practice</t>
  </si>
  <si>
    <t>Capacity Utilization</t>
  </si>
  <si>
    <t>Senior Consultant Billable Rate</t>
  </si>
  <si>
    <t>65% (35% on proposals)</t>
  </si>
  <si>
    <t>78% (Consulting Benchmark)</t>
  </si>
  <si>
    <t>Billable hours / Total available hours</t>
  </si>
  <si>
    <t>Framework Licensing Revenue</t>
  </si>
  <si>
    <t>$0</t>
  </si>
  <si>
    <t>$1.2M</t>
  </si>
  <si>
    <t>$800K (Similar Firm Size)</t>
  </si>
  <si>
    <t>Annual revenue from methodology licensing</t>
  </si>
  <si>
    <t>6-12 hours (top quartile)</t>
  </si>
  <si>
    <t>Annual Bid Capacity</t>
  </si>
  <si>
    <t>185,000 bids</t>
  </si>
  <si>
    <t>280,000 bids</t>
  </si>
  <si>
    <t>250K-300K (scaled competitors)</t>
  </si>
  <si>
    <t>Total RFQs processed without quality degradation</t>
  </si>
  <si>
    <t>Freight Gross Margin</t>
  </si>
  <si>
    <t>16.2%</t>
  </si>
  <si>
    <t>18.5%</t>
  </si>
  <si>
    <t>17.5-19% (efficient brokers)</t>
  </si>
  <si>
    <t>Revenue minus carrier cost / Revenue</t>
  </si>
  <si>
    <t>Carrier Network</t>
  </si>
  <si>
    <t>Active Carrier Relationships</t>
  </si>
  <si>
    <t>4,800 carriers</t>
  </si>
  <si>
    <t>6,200 carriers</t>
  </si>
  <si>
    <t>5,500-7,000 (national brokers)</t>
  </si>
  <si>
    <t>Carriers with activity in trailing 90 days</t>
  </si>
  <si>
    <t>340,000 annual inquiries</t>
  </si>
  <si>
    <t>85,000 inquiries</t>
  </si>
  <si>
    <t>180K-220K (automated competitors)</t>
  </si>
  <si>
    <t>Total inbound calls/emails requesting shipment status</t>
  </si>
  <si>
    <t>Proactive Client Engagement Hours</t>
  </si>
  <si>
    <t>12,400 hours</t>
  </si>
  <si>
    <t>12K-15K hours (relationship-focused)</t>
  </si>
  <si>
    <t>Non-reactive client interaction time</t>
  </si>
  <si>
    <t>Invoice Exception Rate</t>
  </si>
  <si>
    <t>6-8% (best practice)</t>
  </si>
  <si>
    <t>Invoices requiring manual investigation / Total invoices</t>
  </si>
  <si>
    <t>Exception Resolution</t>
  </si>
  <si>
    <t>Average Resolution Cycle</t>
  </si>
  <si>
    <t>2-3 days (automated audit)</t>
  </si>
  <si>
    <t>Days from exception identification to resolution</t>
  </si>
  <si>
    <t>New Carrier Setup Time</t>
  </si>
  <si>
    <t>4-6 days (digitized process)</t>
  </si>
  <si>
    <t>Days from carrier application to active status</t>
  </si>
  <si>
    <t>Carrier Agreement Reviews</t>
  </si>
  <si>
    <t>4,800 active agreements</t>
  </si>
  <si>
    <t>Continuous automated monitoring</t>
  </si>
  <si>
    <t>Monthly compliance verification</t>
  </si>
  <si>
    <t>Percentage of agreements with current compliance status</t>
  </si>
  <si>
    <t>Route Optimization Coverage</t>
  </si>
  <si>
    <t>35% of shipments</t>
  </si>
  <si>
    <t>75-85% (optimization-focused)</t>
  </si>
  <si>
    <t>Shipments with AI-validated optimal routing</t>
  </si>
  <si>
    <t>Peak Season Decline Rate</t>
  </si>
  <si>
    <t>8-12% (predictive capacity)</t>
  </si>
  <si>
    <t>RFQs declined due to capacity constraints</t>
  </si>
  <si>
    <t>Documentation Cycle Time</t>
  </si>
  <si>
    <t>45 days average</t>
  </si>
  <si>
    <t>Time from design change submission to regulatory approval</t>
  </si>
  <si>
    <t>Compliance Auditing</t>
  </si>
  <si>
    <t>Non-Conformance Rate</t>
  </si>
  <si>
    <t>8.2 findings per audit</t>
  </si>
  <si>
    <t>5.3 findings</t>
  </si>
  <si>
    <t>6.1 findings</t>
  </si>
  <si>
    <t>Average findings per third-party regulatory audit</t>
  </si>
  <si>
    <t>Unplanned Downtime Hours</t>
  </si>
  <si>
    <t>12,400 hours/year</t>
  </si>
  <si>
    <t>7,440 hours</t>
  </si>
  <si>
    <t>9,800 hours</t>
  </si>
  <si>
    <t>Total unscheduled equipment failure hours</t>
  </si>
  <si>
    <t>78% on-time completion</t>
  </si>
  <si>
    <t>Percentage of production runs completing within scheduled window</t>
  </si>
  <si>
    <t>Proposal Development Time</t>
  </si>
  <si>
    <t>28 days average</t>
  </si>
  <si>
    <t>Time from RFP receipt to proposal submission</t>
  </si>
  <si>
    <t>Sales Cycle Duration</t>
  </si>
  <si>
    <t>18 months average</t>
  </si>
  <si>
    <t>14 months</t>
  </si>
  <si>
    <t>16 months</t>
  </si>
  <si>
    <t>Time from qualified lead to contract signature</t>
  </si>
  <si>
    <t>66% resolved without escalation</t>
  </si>
  <si>
    <t>Percentage of inquiries resolved by initial support tier</t>
  </si>
  <si>
    <t>Mean Time to Resolution</t>
  </si>
  <si>
    <t>4.8 days average</t>
  </si>
  <si>
    <t>3.9 days</t>
  </si>
  <si>
    <t>Time from service ticket creation to customer acceptance</t>
  </si>
  <si>
    <t>Requirements Completeness</t>
  </si>
  <si>
    <t>72% complete at design freeze</t>
  </si>
  <si>
    <t>Percentage of requirements fully specified with acceptance criteria</t>
  </si>
  <si>
    <t>Time-to-Market</t>
  </si>
  <si>
    <t>Development Cycle Time</t>
  </si>
  <si>
    <t>24 months average</t>
  </si>
  <si>
    <t>19 months</t>
  </si>
  <si>
    <t>21 months</t>
  </si>
  <si>
    <t>36 months</t>
  </si>
  <si>
    <t>Time from concept approval to commercial release</t>
  </si>
  <si>
    <t>Supplier Lead Time Variability</t>
  </si>
  <si>
    <t>±18 days standard deviation</t>
  </si>
  <si>
    <t>±11 days</t>
  </si>
  <si>
    <t>±14 days</t>
  </si>
  <si>
    <t>Standard deviation of actual vs promised delivery dates</t>
  </si>
  <si>
    <t>Average collection period for invoiced revenue</t>
  </si>
  <si>
    <t>Hours per System Manual</t>
  </si>
  <si>
    <t>42 hours</t>
  </si>
  <si>
    <t>38 hours (integrated systems)</t>
  </si>
  <si>
    <t>Time tracking per completed manual</t>
  </si>
  <si>
    <t>Hours per Major Bid</t>
  </si>
  <si>
    <t>180 hours</t>
  </si>
  <si>
    <t>90 hours</t>
  </si>
  <si>
    <t>160 hours (advanced systems)</t>
  </si>
  <si>
    <t>Cross-functional effort tracking</t>
  </si>
  <si>
    <t>Conversion Rate</t>
  </si>
  <si>
    <t>28% (automation integrators)</t>
  </si>
  <si>
    <t>Proposals submitted vs. contracts signed</t>
  </si>
  <si>
    <t>Preventive vs. Reactive Ratio</t>
  </si>
  <si>
    <t>35% preventive</t>
  </si>
  <si>
    <t>60% preventive</t>
  </si>
  <si>
    <t>55% preventive (mature ops)</t>
  </si>
  <si>
    <t>Service ticket classification</t>
  </si>
  <si>
    <t>Dispatch Efficiency</t>
  </si>
  <si>
    <t>Travel Time % of Billable Hours</t>
  </si>
  <si>
    <t>18% (optimized routing)</t>
  </si>
  <si>
    <t>GPS tracking vs. billable time logs</t>
  </si>
  <si>
    <t>Parts Lead Time (Days)</t>
  </si>
  <si>
    <t>7 days (demand sensing)</t>
  </si>
  <si>
    <t>Order-to-delivery tracking</t>
  </si>
  <si>
    <t>Inventory Optimization</t>
  </si>
  <si>
    <t>Excess Safety Stock Value</t>
  </si>
  <si>
    <t>$4.2M</t>
  </si>
  <si>
    <t>$2.1M</t>
  </si>
  <si>
    <t>$2.8M (predictive models)</t>
  </si>
  <si>
    <t>Slow-moving inventory audit</t>
  </si>
  <si>
    <t>Regulatory Certification</t>
  </si>
  <si>
    <t>Certification Cycle Time (Days)</t>
  </si>
  <si>
    <t>60 days (automated tracking)</t>
  </si>
  <si>
    <t>Submission to approval duration</t>
  </si>
  <si>
    <t>58% (knowledge systems)</t>
  </si>
  <si>
    <t>Support ticket closure analysis</t>
  </si>
  <si>
    <t>Implementation Delivery</t>
  </si>
  <si>
    <t>Average Project Duration (Months)</t>
  </si>
  <si>
    <t>7.2 months</t>
  </si>
  <si>
    <t>5.8 months</t>
  </si>
  <si>
    <t>6.1 months (standardized processes)</t>
  </si>
  <si>
    <t>Contract signing to final acceptance</t>
  </si>
  <si>
    <t>Invoice-to-Cash Days</t>
  </si>
  <si>
    <t>38 days (automated validation)</t>
  </si>
  <si>
    <t>Invoice date to payment receipt</t>
  </si>
  <si>
    <t>Technician Onboarding</t>
  </si>
  <si>
    <t>Time to Full Productivity (Days)</t>
  </si>
  <si>
    <t>85 days (structured training)</t>
  </si>
  <si>
    <t>Hire date to independent service capability</t>
  </si>
  <si>
    <t>Documentation Accuracy Rate</t>
  </si>
  <si>
    <t>95.8%</t>
  </si>
  <si>
    <t>98.5%</t>
  </si>
  <si>
    <t>97.5%</t>
  </si>
  <si>
    <t>Error rate in customs declarations per 1,000 shipments</t>
  </si>
  <si>
    <t>Research Hours per Trade Lane</t>
  </si>
  <si>
    <t>Analyst hours spent on regulatory updates per corridor</t>
  </si>
  <si>
    <t>First-Choice Carrier Allocation</t>
  </si>
  <si>
    <t>Percentage of shipments with preferred carrier selection</t>
  </si>
  <si>
    <t>Rate Negotiation</t>
  </si>
  <si>
    <t>Booking Cycle Time</t>
  </si>
  <si>
    <t>Days from quote request to confirmed booking</t>
  </si>
  <si>
    <t>Self-Service Deflection Rate</t>
  </si>
  <si>
    <t>Percentage of inquiries resolved without agent contact</t>
  </si>
  <si>
    <t>Response Management</t>
  </si>
  <si>
    <t>Hours from inquiry submission to first response</t>
  </si>
  <si>
    <t>Quote-to-Close Conversion</t>
  </si>
  <si>
    <t>Percentage of quotes resulting in booked shipments</t>
  </si>
  <si>
    <t>5.2 days</t>
  </si>
  <si>
    <t>3.1 days</t>
  </si>
  <si>
    <t>Days from quote request to customer delivery</t>
  </si>
  <si>
    <t>Invoice Dispute Rate</t>
  </si>
  <si>
    <t>5.2%</t>
  </si>
  <si>
    <t>Percentage of invoices generating customer disputes</t>
  </si>
  <si>
    <t>Receivables Management</t>
  </si>
  <si>
    <t>Average days between invoice and payment receipt</t>
  </si>
  <si>
    <t>Forecast Accuracy (60-day)</t>
  </si>
  <si>
    <t>Percentage variance between forecasted and actual volumes</t>
  </si>
  <si>
    <t>Cost Management</t>
  </si>
  <si>
    <t>Operational Cost Overrun Rate</t>
  </si>
  <si>
    <t>Percentage of shipments exceeding budgeted costs</t>
  </si>
  <si>
    <t>Won deals / Total qualified proposals</t>
  </si>
  <si>
    <t>Emergency Call Rate</t>
  </si>
  <si>
    <t>Emergency calls / Total service calls</t>
  </si>
  <si>
    <t>Net Promoter Score</t>
  </si>
  <si>
    <t>42</t>
  </si>
  <si>
    <t>60</t>
  </si>
  <si>
    <t>58</t>
  </si>
  <si>
    <t>Quarterly customer surveys</t>
  </si>
  <si>
    <t>SKU-level MAPE monthly</t>
  </si>
  <si>
    <t>95 days</t>
  </si>
  <si>
    <t>86 days</t>
  </si>
  <si>
    <t>Average inventory / Daily COGS</t>
  </si>
  <si>
    <t>First-Pass Yield</t>
  </si>
  <si>
    <t>Units passed / Total units inspected</t>
  </si>
  <si>
    <t>83%</t>
  </si>
  <si>
    <t>Jobs completed on-time / Total jobs</t>
  </si>
  <si>
    <t>48 days</t>
  </si>
  <si>
    <t>AR balance / Daily revenue</t>
  </si>
  <si>
    <t>Hire date to independent task completion</t>
  </si>
  <si>
    <t>Submission to approval signature</t>
  </si>
  <si>
    <t>Product Documentation</t>
  </si>
  <si>
    <t>Documentation Accuracy</t>
  </si>
  <si>
    <t>Field-reported doc errors / Total installations</t>
  </si>
  <si>
    <t>Average RFI Response Time</t>
  </si>
  <si>
    <t>Timestamp delta between submission and approved response</t>
  </si>
  <si>
    <t>Monthly RFI Volume</t>
  </si>
  <si>
    <t>38,500 requests</t>
  </si>
  <si>
    <t>13,500 escalated requests</t>
  </si>
  <si>
    <t>N/A - company specific</t>
  </si>
  <si>
    <t>Count of RFIs requiring project manager intervention</t>
  </si>
  <si>
    <t>Drawing Conflict Rate</t>
  </si>
  <si>
    <t>22% of projects</t>
  </si>
  <si>
    <t>8% of projects</t>
  </si>
  <si>
    <t>12% of projects</t>
  </si>
  <si>
    <t>Projects with conflicts discovered during construction divided by total active projects</t>
  </si>
  <si>
    <t>Submittal Tracking</t>
  </si>
  <si>
    <t>Submittal Processing Time</t>
  </si>
  <si>
    <t>8.7 days</t>
  </si>
  <si>
    <t>Average days from submission to approval or rejection</t>
  </si>
  <si>
    <t>Inspection Hours per Project</t>
  </si>
  <si>
    <t>18.4 hours monthly</t>
  </si>
  <si>
    <t>9.8 hours monthly</t>
  </si>
  <si>
    <t>11.2 hours monthly</t>
  </si>
  <si>
    <t>Total safety manager hours on documentation divided by active project count</t>
  </si>
  <si>
    <t>Incident Rate (TRIR)</t>
  </si>
  <si>
    <t>3.8 per 100 workers</t>
  </si>
  <si>
    <t>3.0 per 100 workers</t>
  </si>
  <si>
    <t>3.2 per 100 workers</t>
  </si>
  <si>
    <t>OSHA recordable incidents per 100 full-time equivalent workers</t>
  </si>
  <si>
    <t>Time to First Value</t>
  </si>
  <si>
    <t>Days from contract signature to first production project launch</t>
  </si>
  <si>
    <t>Tier 1 Resolution Rate</t>
  </si>
  <si>
    <t>Support tickets resolved without escalation divided by total tickets</t>
  </si>
  <si>
    <t>Lead to Opportunity Conversion</t>
  </si>
  <si>
    <t>Marketing qualified leads converted to sales opportunities</t>
  </si>
  <si>
    <t>Calendar days from period end to financial statement publication</t>
  </si>
  <si>
    <t>Requirements to Code Time</t>
  </si>
  <si>
    <t>Average days from finalized requirements to code review completion</t>
  </si>
  <si>
    <t>Contract Turnaround Time</t>
  </si>
  <si>
    <t>Days from sales submission to legal approval or redline return</t>
  </si>
  <si>
    <t>Design Change Cycle Time</t>
  </si>
  <si>
    <t>20 days</t>
  </si>
  <si>
    <t>Average days from change request submission to approved documentation release</t>
  </si>
  <si>
    <t>Documentation Hours per Design</t>
  </si>
  <si>
    <t>185 hours</t>
  </si>
  <si>
    <t>110 hours</t>
  </si>
  <si>
    <t>95 hours</t>
  </si>
  <si>
    <t>Engineering hours spent on specifications, test reports, and compliance documentation per new design</t>
  </si>
  <si>
    <t>Root Cause Analysis Cycle Time</t>
  </si>
  <si>
    <t>Days from non-conformance detection to completed root cause analysis and CAPA implementation</t>
  </si>
  <si>
    <t>Process Control</t>
  </si>
  <si>
    <t>First Pass Yield</t>
  </si>
  <si>
    <t>97.2%</t>
  </si>
  <si>
    <t>98.8%</t>
  </si>
  <si>
    <t>Percentage of units passing all quality checks on first inspection</t>
  </si>
  <si>
    <t>RFQ Response Time</t>
  </si>
  <si>
    <t>Average days from RFQ receipt to proposal submission</t>
  </si>
  <si>
    <t>Win Rate on New Programs</t>
  </si>
  <si>
    <t>Percentage of submitted proposals resulting in contract awards for new programs</t>
  </si>
  <si>
    <t>Supplier Onboarding Time</t>
  </si>
  <si>
    <t>Days from initial supplier contact to approved vendor status with completed qualification</t>
  </si>
  <si>
    <t>Materials Traceability Documentation Hours</t>
  </si>
  <si>
    <t>8,200 hours/year</t>
  </si>
  <si>
    <t>4,000 hours/year</t>
  </si>
  <si>
    <t>3,500 hours/year</t>
  </si>
  <si>
    <t>Annual hours spent on lot traceability documentation and certification management</t>
  </si>
  <si>
    <t>Regulatory Audit Management</t>
  </si>
  <si>
    <t>Audit Response Preparation Time</t>
  </si>
  <si>
    <t>Days required to compile audit evidence packages for FAA, FDA, or ISO certification audits</t>
  </si>
  <si>
    <t>Program Accounting</t>
  </si>
  <si>
    <t>Contract Variance Analysis Cycle</t>
  </si>
  <si>
    <t>Days from period close to completed variance analysis and EAC updates for active contracts</t>
  </si>
  <si>
    <t>Schedule Attainment</t>
  </si>
  <si>
    <t>Percentage of customer orders shipped on or before committed delivery date</t>
  </si>
  <si>
    <t>Percentage of technical inquiries resolved without escalation to engineering</t>
  </si>
  <si>
    <t>Monthly Member Retention Rate</t>
  </si>
  <si>
    <t>Active members month-end / Active members prior month-end</t>
  </si>
  <si>
    <t>Single-Wash to Membership Conversion</t>
  </si>
  <si>
    <t>New memberships from single-wash customers / Total single-wash transactions</t>
  </si>
  <si>
    <t>Equipment Reliability</t>
  </si>
  <si>
    <t>Unplanned Downtime Hours per Site Monthly</t>
  </si>
  <si>
    <t>Monthly equipment failure hours / Total operating hours</t>
  </si>
  <si>
    <t>Throughput</t>
  </si>
  <si>
    <t>Average Daily Washes per Location</t>
  </si>
  <si>
    <t>300 washes</t>
  </si>
  <si>
    <t>340 washes</t>
  </si>
  <si>
    <t>325 washes</t>
  </si>
  <si>
    <t>Total daily wash transactions / Number of operating locations</t>
  </si>
  <si>
    <t>Oversight</t>
  </si>
  <si>
    <t>Site Visit Hours per Regional Manager Annually</t>
  </si>
  <si>
    <t>1,840 hours</t>
  </si>
  <si>
    <t>1,200 hours</t>
  </si>
  <si>
    <t>Total annual site visit hours / Number of regional managers</t>
  </si>
  <si>
    <t>Issue Resolution</t>
  </si>
  <si>
    <t>Equipment Issue Response Time</t>
  </si>
  <si>
    <t>Days from equipment alert to maintenance completion</t>
  </si>
  <si>
    <t>Frontline Employee Annual Turnover</t>
  </si>
  <si>
    <t>55%</t>
  </si>
  <si>
    <t>Annual separations / Average headcount</t>
  </si>
  <si>
    <t>Hours per New Employee Onboarding</t>
  </si>
  <si>
    <t>20 hours</t>
  </si>
  <si>
    <t>Total onboarding hours / Number of new hires</t>
  </si>
  <si>
    <t>Complaint Resolution</t>
  </si>
  <si>
    <t>Average Resolution Time for Member Issues</t>
  </si>
  <si>
    <t>Total resolution days / Number of complaints</t>
  </si>
  <si>
    <t>New Location Payback Period</t>
  </si>
  <si>
    <t>20 months</t>
  </si>
  <si>
    <t>Initial investment / Average monthly net cash flow</t>
  </si>
  <si>
    <t>Payment Processing</t>
  </si>
  <si>
    <t>Failed Payment Recovery Rate</t>
  </si>
  <si>
    <t>Recovered failed payments / Total failed payment attempts</t>
  </si>
  <si>
    <t>Campaign Effectiveness</t>
  </si>
  <si>
    <t>Cost per New Membership Acquisition</t>
  </si>
  <si>
    <t>$47</t>
  </si>
  <si>
    <t>$32</t>
  </si>
  <si>
    <t>$38</t>
  </si>
  <si>
    <t>Total marketing spend / New memberships acquired</t>
  </si>
  <si>
    <t>Hours per client implementation</t>
  </si>
  <si>
    <t>Project tracking system time logs</t>
  </si>
  <si>
    <t>Data validation errors per million records</t>
  </si>
  <si>
    <t>2,340 errors</t>
  </si>
  <si>
    <t>680 errors</t>
  </si>
  <si>
    <t>450 errors</t>
  </si>
  <si>
    <t>Automated quality monitoring dashboards</t>
  </si>
  <si>
    <t>Hours per monthly client report</t>
  </si>
  <si>
    <t>5.5 hours</t>
  </si>
  <si>
    <t>Time tracking in client success platform</t>
  </si>
  <si>
    <t>Response time to client requests (days)</t>
  </si>
  <si>
    <t>Ticket resolution timestamps</t>
  </si>
  <si>
    <t>Model Development</t>
  </si>
  <si>
    <t>Time-to-market for new models (months)</t>
  </si>
  <si>
    <t>8.0 months</t>
  </si>
  <si>
    <t>3.5 months</t>
  </si>
  <si>
    <t>Feature release calendar tracking</t>
  </si>
  <si>
    <t>Hours per model documentation update</t>
  </si>
  <si>
    <t>27 hours</t>
  </si>
  <si>
    <t>Documentation version control timestamps</t>
  </si>
  <si>
    <t>Hours per prospect demo preparation</t>
  </si>
  <si>
    <t>23 hours</t>
  </si>
  <si>
    <t>9 hours</t>
  </si>
  <si>
    <t>8.5 hours</t>
  </si>
  <si>
    <t>CRM activity logs</t>
  </si>
  <si>
    <t>Early warning detection rate (%)</t>
  </si>
  <si>
    <t>Retrospective analysis of churned accounts</t>
  </si>
  <si>
    <t>Customer feedback synthesis time (days)</t>
  </si>
  <si>
    <t>Product roadmap decision timestamps</t>
  </si>
  <si>
    <t>Hours per enterprise contract review</t>
  </si>
  <si>
    <t>Legal matter management system</t>
  </si>
  <si>
    <t>Close cycle time (days)</t>
  </si>
  <si>
    <t>Financial system close calendar</t>
  </si>
  <si>
    <t>Hours per client API integration</t>
  </si>
  <si>
    <t>67 hours</t>
  </si>
  <si>
    <t>Sprint tracking in project management system</t>
  </si>
  <si>
    <t>Average Pitch Preparation Time</t>
  </si>
  <si>
    <t>12 days [MEDIUM CONFIDENCE]</t>
  </si>
  <si>
    <t>Days from RFP receipt to final submission</t>
  </si>
  <si>
    <t>Complex RFP Win Rate</t>
  </si>
  <si>
    <t>34% [MEDIUM CONFIDENCE]</t>
  </si>
  <si>
    <t>Won opportunities / total qualified RFPs submitted</t>
  </si>
  <si>
    <t>Average Asset Search Time</t>
  </si>
  <si>
    <t>18 minutes [LOW CONFIDENCE]</t>
  </si>
  <si>
    <t>Time from search initiation to asset retrieval</t>
  </si>
  <si>
    <t>Report Generation Hours per Client</t>
  </si>
  <si>
    <t>106 hours/year</t>
  </si>
  <si>
    <t>42 hours/year</t>
  </si>
  <si>
    <t>68 hours/year [MEDIUM CONFIDENCE]</t>
  </si>
  <si>
    <t>Total reporting hours / active client count</t>
  </si>
  <si>
    <t>First-Draft Approval Rate</t>
  </si>
  <si>
    <t>56% [MEDIUM CONFIDENCE]</t>
  </si>
  <si>
    <t>Campaigns approved without major revision / total campaigns</t>
  </si>
  <si>
    <t>26 days [MEDIUM CONFIDENCE]</t>
  </si>
  <si>
    <t>Days from creative brief to client presentation</t>
  </si>
  <si>
    <t>75 days [MEDIUM CONFIDENCE]</t>
  </si>
  <si>
    <t>Days from hire date to 90% billability target</t>
  </si>
  <si>
    <t>6 days [LOW CONFIDENCE]</t>
  </si>
  <si>
    <t>Days from research request to deliverable completion</t>
  </si>
  <si>
    <t>5 days [MEDIUM CONFIDENCE]</t>
  </si>
  <si>
    <t>Days from milestone completion to invoice dispatch</t>
  </si>
  <si>
    <t>8 days [MEDIUM CONFIDENCE]</t>
  </si>
  <si>
    <t>Days from contract receipt to executed agreement</t>
  </si>
  <si>
    <t>Bench Time Percentage</t>
  </si>
  <si>
    <t>8% [MEDIUM CONFIDENCE]</t>
  </si>
  <si>
    <t>Non-billable capacity / total available capacity</t>
  </si>
  <si>
    <t>Cross-Platform Data Sync Errors</t>
  </si>
  <si>
    <t>340/month</t>
  </si>
  <si>
    <t>80/month</t>
  </si>
  <si>
    <t>120/month [LOW CONFIDENCE]</t>
  </si>
  <si>
    <t>Reported data inconsistencies requiring manual reconciliation</t>
  </si>
  <si>
    <t>Time to Publish New SKU</t>
  </si>
  <si>
    <t>Days from warehouse receipt to full web availability with complete content</t>
  </si>
  <si>
    <t>Catalog Management</t>
  </si>
  <si>
    <t>SKU Content Completeness</t>
  </si>
  <si>
    <t>Percentage of SKUs with descriptions, specs, care instructions, and installation guides</t>
  </si>
  <si>
    <t>Total talk time plus after-call work per customer interaction</t>
  </si>
  <si>
    <t>Contact Deflection Rate</t>
  </si>
  <si>
    <t>Percentage of customer inquiries resolved through automated channels</t>
  </si>
  <si>
    <t>Stockout Rate</t>
  </si>
  <si>
    <t>8.0%</t>
  </si>
  <si>
    <t>Percentage of web sessions encountering out-of-stock on viewed products</t>
  </si>
  <si>
    <t>Excess Inventory Ratio</t>
  </si>
  <si>
    <t>Percentage of warehouse space holding SKUs with less than 2 turns per year</t>
  </si>
  <si>
    <t>Trade Accounts</t>
  </si>
  <si>
    <t>Days from initial trade inquiry to first paid order</t>
  </si>
  <si>
    <t>Trade Customer Acquisition Cost</t>
  </si>
  <si>
    <t>$520</t>
  </si>
  <si>
    <t>Fully-loaded marketing and sales expense per new trade account activated</t>
  </si>
  <si>
    <t>Content Marketing</t>
  </si>
  <si>
    <t>Project Guide Production Rate</t>
  </si>
  <si>
    <t>8 guides/month</t>
  </si>
  <si>
    <t>24 guides/month</t>
  </si>
  <si>
    <t>18 guides/month</t>
  </si>
  <si>
    <t>Number of published installation guides, style guides, and trend reports</t>
  </si>
  <si>
    <t>On-Time Delivery Variance</t>
  </si>
  <si>
    <t>Percentage deviation from promised delivery dates across supplier base</t>
  </si>
  <si>
    <t>Average days inventory held before sale, weighted by product category</t>
  </si>
  <si>
    <t>Conversion</t>
  </si>
  <si>
    <t>Product Detail Page Conversion</t>
  </si>
  <si>
    <t>3.4%</t>
  </si>
  <si>
    <t>Percentage of PDP visitors who add to cart and complete purchase</t>
  </si>
  <si>
    <t>Average Claim Resolution Time</t>
  </si>
  <si>
    <t>Median days from claim submission to parts shipment</t>
  </si>
  <si>
    <t>Percentage of inquiries resolved without escalation or callback</t>
  </si>
  <si>
    <t>Feature Request Analysis Cycle Time</t>
  </si>
  <si>
    <t>Days from customer feedback cluster identification to engineering prioritization</t>
  </si>
  <si>
    <t>Competitive Intelligence Report Frequency</t>
  </si>
  <si>
    <t>Quarterly</t>
  </si>
  <si>
    <t>Bi-weekly</t>
  </si>
  <si>
    <t>Monthly</t>
  </si>
  <si>
    <t>Published reports with actionable product insights</t>
  </si>
  <si>
    <t>SKU-Level Forecast Accuracy</t>
  </si>
  <si>
    <t>1 minus mean absolute percentage error across all active SKUs</t>
  </si>
  <si>
    <t>Inventory value divided by daily cost of goods sold</t>
  </si>
  <si>
    <t>Recipe Content Production Volume</t>
  </si>
  <si>
    <t>120 recipes/year</t>
  </si>
  <si>
    <t>360 recipes/year</t>
  </si>
  <si>
    <t>240 recipes/year</t>
  </si>
  <si>
    <t>Published recipes with photography and step-by-step instructions</t>
  </si>
  <si>
    <t>App Monthly Active Users</t>
  </si>
  <si>
    <t>245,000 users</t>
  </si>
  <si>
    <t>340,000 users</t>
  </si>
  <si>
    <t>40% of device base</t>
  </si>
  <si>
    <t>Unique users with at least one app session in trailing 30 days</t>
  </si>
  <si>
    <t>Training Material Update Cycle</t>
  </si>
  <si>
    <t>Continuous</t>
  </si>
  <si>
    <t>Days lag between product update and training material availability</t>
  </si>
  <si>
    <t>Days from month-end to management reporting package distribution</t>
  </si>
  <si>
    <t>Time to Fill Open Positions</t>
  </si>
  <si>
    <t>Median days from requisition approval to offer acceptance</t>
  </si>
  <si>
    <t>Contract Review Turnaround Time</t>
  </si>
  <si>
    <t>Median days from contract submission to legal approval or feedback</t>
  </si>
  <si>
    <t>Design Iteration Cycle Time</t>
  </si>
  <si>
    <t>Average days from design brief to customer-approved mockup</t>
  </si>
  <si>
    <t>Supplier Touchpoints per Design</t>
  </si>
  <si>
    <t>3.7 touchpoints</t>
  </si>
  <si>
    <t>1.2 touchpoints</t>
  </si>
  <si>
    <t>2.1 touchpoints</t>
  </si>
  <si>
    <t>Count of supplier interactions from brief to final specification</t>
  </si>
  <si>
    <t>4.6 days</t>
  </si>
  <si>
    <t>Median hours from RFQ receipt to quote delivery</t>
  </si>
  <si>
    <t>Quote Conversion</t>
  </si>
  <si>
    <t>Percentage of quotes converting to orders within 60 days</t>
  </si>
  <si>
    <t>Order Fill Rate</t>
  </si>
  <si>
    <t>Percentage of order lines fulfilled on first shipment</t>
  </si>
  <si>
    <t>Forecast Accuracy Variance</t>
  </si>
  <si>
    <t>31% Q4 variance</t>
  </si>
  <si>
    <t>18% variance</t>
  </si>
  <si>
    <t>22% variance</t>
  </si>
  <si>
    <t>Absolute percentage deviation of actuals from forecast</t>
  </si>
  <si>
    <t>Supplier Performance</t>
  </si>
  <si>
    <t>Stock-Out Recovery Time</t>
  </si>
  <si>
    <t>Average days from stock-out identification to inventory replenishment</t>
  </si>
  <si>
    <t>Compliance Query Research Time</t>
  </si>
  <si>
    <t>2.6 hours</t>
  </si>
  <si>
    <t>Average hours from query receipt to documented guidance</t>
  </si>
  <si>
    <t>Average days from contract draft to execution</t>
  </si>
  <si>
    <t>Product Specification Validation</t>
  </si>
  <si>
    <t>Specification Error Rate</t>
  </si>
  <si>
    <t>2.8% of orders</t>
  </si>
  <si>
    <t>0.9% of orders</t>
  </si>
  <si>
    <t>1.4% of orders</t>
  </si>
  <si>
    <t>Percentage of orders requiring specification correction post-production</t>
  </si>
  <si>
    <t>IT &amp; Data Management</t>
  </si>
  <si>
    <t>Data Synchronization Latency</t>
  </si>
  <si>
    <t>Average lag between supplier system updates and internal database refresh</t>
  </si>
  <si>
    <t>Tier 1 Deflection Rate</t>
  </si>
  <si>
    <t>Percentage of inquiries resolved without escalation to specialists</t>
  </si>
  <si>
    <t>Hours per Inspection Report</t>
  </si>
  <si>
    <t>1.8 hours (automated systems)</t>
  </si>
  <si>
    <t>Time tracking system average across 14,500 annual reports</t>
  </si>
  <si>
    <t>FAI Documentation Cycle Time</t>
  </si>
  <si>
    <t>4 days (best-in-class)</t>
  </si>
  <si>
    <t>Average days from inspection completion to customer delivery</t>
  </si>
  <si>
    <t>Lead Time Forecast Accuracy</t>
  </si>
  <si>
    <t>82% (industry median)</t>
  </si>
  <si>
    <t>Percentage of orders delivered within quoted lead time window</t>
  </si>
  <si>
    <t>Safety Stock as % of Annual COGS</t>
  </si>
  <si>
    <t>11.2%</t>
  </si>
  <si>
    <t>7.5% (aerospace manufacturing)</t>
  </si>
  <si>
    <t>Average safety stock value divided by cost of goods sold</t>
  </si>
  <si>
    <t>ECO Processing Cycle Time</t>
  </si>
  <si>
    <t>11 days (aerospace sector)</t>
  </si>
  <si>
    <t>Average days from ECO initiation to supplier notification complete</t>
  </si>
  <si>
    <t>Cross-Functional Review Hours per Design</t>
  </si>
  <si>
    <t>18.5 hours</t>
  </si>
  <si>
    <t>13 hours</t>
  </si>
  <si>
    <t>12 hours (with collaboration tools)</t>
  </si>
  <si>
    <t>Sum of all participant hours in design review meetings</t>
  </si>
  <si>
    <t>87 hours per proposal</t>
  </si>
  <si>
    <t>58 hours</t>
  </si>
  <si>
    <t>52 hours (with template automation)</t>
  </si>
  <si>
    <t>Total staff hours from RFQ receipt to proposal submission</t>
  </si>
  <si>
    <t>Quote Accuracy</t>
  </si>
  <si>
    <t>Cost Estimation Variance</t>
  </si>
  <si>
    <t>14.3% average variance</t>
  </si>
  <si>
    <t>9.5%</t>
  </si>
  <si>
    <t>8.5% (precision manufacturing)</t>
  </si>
  <si>
    <t>Absolute percentage difference between quoted and actual costs</t>
  </si>
  <si>
    <t>Audit Finding Closure Time</t>
  </si>
  <si>
    <t>28 days (aerospace QMS)</t>
  </si>
  <si>
    <t>Average days from audit finding issuance to verified closure</t>
  </si>
  <si>
    <t>94% (aerospace tier-1 suppliers)</t>
  </si>
  <si>
    <t>Percentage of orders delivered within customer-specified window</t>
  </si>
  <si>
    <t>Incoming Inspection</t>
  </si>
  <si>
    <t>Supplier Defect Rate</t>
  </si>
  <si>
    <t>2,340 PPM</t>
  </si>
  <si>
    <t>1,400 PPM</t>
  </si>
  <si>
    <t>850 PPM (aerospace supply chain)</t>
  </si>
  <si>
    <t>Defective parts per million received across all suppliers</t>
  </si>
  <si>
    <t>Tribal Knowledge Capture</t>
  </si>
  <si>
    <t>Process Documentation Coverage</t>
  </si>
  <si>
    <t>58% of critical processes documented</t>
  </si>
  <si>
    <t>85% (manufacturing best practice)</t>
  </si>
  <si>
    <t>Percentage of identified critical processes with current documentation</t>
  </si>
  <si>
    <t>Registration Cycle Time</t>
  </si>
  <si>
    <t>Average days from dossier submission to approval across all jurisdictions</t>
  </si>
  <si>
    <t>SDS Update Hours</t>
  </si>
  <si>
    <t>11,500 hours/year</t>
  </si>
  <si>
    <t>12,800 hours/year</t>
  </si>
  <si>
    <t>Total labor hours on safety data sheet creation and updates</t>
  </si>
  <si>
    <t>Grower Relationships per Agronomist</t>
  </si>
  <si>
    <t>180 relationships</t>
  </si>
  <si>
    <t>245 relationships</t>
  </si>
  <si>
    <t>280 relationships</t>
  </si>
  <si>
    <t>Active grower accounts per field agronomist FTE</t>
  </si>
  <si>
    <t>Technical Inquiry Response</t>
  </si>
  <si>
    <t>Inquiry Resolution Time</t>
  </si>
  <si>
    <t>Average hours from grower question to agronomist response</t>
  </si>
  <si>
    <t>Batch Release Cycle Time</t>
  </si>
  <si>
    <t>Average days from production completion to quality release</t>
  </si>
  <si>
    <t>Quality Documentation</t>
  </si>
  <si>
    <t>QA Documentation Hours</t>
  </si>
  <si>
    <t>14,200 hours/year</t>
  </si>
  <si>
    <t>9,800 hours/year</t>
  </si>
  <si>
    <t>Total labor hours on batch records, COAs, and specification verification</t>
  </si>
  <si>
    <t>Percentage within 10% of actual demand at SKU level</t>
  </si>
  <si>
    <t>54 days</t>
  </si>
  <si>
    <t>56 days</t>
  </si>
  <si>
    <t>Average inventory value divided by daily COGS</t>
  </si>
  <si>
    <t>Research Hours per Project</t>
  </si>
  <si>
    <t>320 hours</t>
  </si>
  <si>
    <t>175 hours</t>
  </si>
  <si>
    <t>Total scientist hours on literature search and synthesis per formulation project</t>
  </si>
  <si>
    <t>Percentage of technical inquiries resolved without escalation</t>
  </si>
  <si>
    <t>46 days</t>
  </si>
  <si>
    <t>44 days</t>
  </si>
  <si>
    <t>Average receivables balance divided by daily revenue</t>
  </si>
  <si>
    <t>Time to Fill Scientific Roles</t>
  </si>
  <si>
    <t>Average days from requisition approval to offer acceptance for R&amp;D and regulatory roles</t>
  </si>
  <si>
    <t>Hours per Rep on Product Research</t>
  </si>
  <si>
    <t>12 hours/week</t>
  </si>
  <si>
    <t>5 hours/week</t>
  </si>
  <si>
    <t>6 hours/week [ESTIMATED]</t>
  </si>
  <si>
    <t>CRM activity tracking</t>
  </si>
  <si>
    <t>1.8 days [ESTIMATED]</t>
  </si>
  <si>
    <t>CRM timestamp analysis</t>
  </si>
  <si>
    <t>Average Handle Time (Technical Inquiries)</t>
  </si>
  <si>
    <t>11.4 minutes</t>
  </si>
  <si>
    <t>7.2 minutes</t>
  </si>
  <si>
    <t>7.8 minutes [ESTIMATED]</t>
  </si>
  <si>
    <t>Contact center platform</t>
  </si>
  <si>
    <t>Manager Escalation Rate</t>
  </si>
  <si>
    <t>12% [ESTIMATED]</t>
  </si>
  <si>
    <t>Case management system</t>
  </si>
  <si>
    <t>New Product Launch Cycle Time</t>
  </si>
  <si>
    <t>18 days [ESTIMATED]</t>
  </si>
  <si>
    <t>Product lifecycle platform</t>
  </si>
  <si>
    <t>SKU Data Quality</t>
  </si>
  <si>
    <t>Annual Hours on Data Reconciliation</t>
  </si>
  <si>
    <t>18,000 hours</t>
  </si>
  <si>
    <t>9,000 hours</t>
  </si>
  <si>
    <t>8,400 hours [ESTIMATED]</t>
  </si>
  <si>
    <t>Project tracking systems</t>
  </si>
  <si>
    <t>Registration Management</t>
  </si>
  <si>
    <t>State Registration Tracking Hours</t>
  </si>
  <si>
    <t>4,100 hours</t>
  </si>
  <si>
    <t>4,100 hours [ESTIMATED]</t>
  </si>
  <si>
    <t>Time tracking system</t>
  </si>
  <si>
    <t>Average Penalty Exposure per Gap</t>
  </si>
  <si>
    <t>$340K</t>
  </si>
  <si>
    <t>$85K</t>
  </si>
  <si>
    <t>$110K [ESTIMATED]</t>
  </si>
  <si>
    <t>Compliance tracking database</t>
  </si>
  <si>
    <t>Forecast Accuracy (SKU Level)</t>
  </si>
  <si>
    <t>84% [ESTIMATED]</t>
  </si>
  <si>
    <t>Forecast vs actual comparison</t>
  </si>
  <si>
    <t>Inventory Turn Days</t>
  </si>
  <si>
    <t>45 days [ESTIMATED]</t>
  </si>
  <si>
    <t>ERP inventory reports</t>
  </si>
  <si>
    <t>32 days [ESTIMATED]</t>
  </si>
  <si>
    <t>Performance milestone tracking</t>
  </si>
  <si>
    <t>Specification Response Time</t>
  </si>
  <si>
    <t>Average hours from inquiry receipt to specification delivery</t>
  </si>
  <si>
    <t>Quote Error Rate</t>
  </si>
  <si>
    <t>Percentage of quotes requiring revision before order submission</t>
  </si>
  <si>
    <t>1 minus mean absolute percentage error across 85,000 SKUs</t>
  </si>
  <si>
    <t>Excess Inventory Carrying Cost</t>
  </si>
  <si>
    <t>$28M</t>
  </si>
  <si>
    <t>$14M</t>
  </si>
  <si>
    <t>$18M</t>
  </si>
  <si>
    <t>Annual cost of stock above 90-day sales forecast</t>
  </si>
  <si>
    <t>Quality Hold Time</t>
  </si>
  <si>
    <t>Average days from production completion to warehouse release</t>
  </si>
  <si>
    <t>18.75 hours per 1,000 units</t>
  </si>
  <si>
    <t>12 hours per 1,000 units</t>
  </si>
  <si>
    <t>Total QA labor hours divided by annual production volume</t>
  </si>
  <si>
    <t>Collection Design</t>
  </si>
  <si>
    <t>Collection Launch Cycle Time</t>
  </si>
  <si>
    <t>Concept approval to first customer shipment</t>
  </si>
  <si>
    <t>Pre-Launch Market Validation Coverage</t>
  </si>
  <si>
    <t>Percentage of SKUs tested with target designers before production</t>
  </si>
  <si>
    <t>Average collection period for trade receivables</t>
  </si>
  <si>
    <t>Percentage of inquiries resolved without escalation or follow-up</t>
  </si>
  <si>
    <t>Average days from contract receipt to execution</t>
  </si>
  <si>
    <t>Time to Fill Specialized Roles</t>
  </si>
  <si>
    <t>Requisition approval to offer acceptance for design and technical positions</t>
  </si>
  <si>
    <t>Lead-to-Quote Conversion</t>
  </si>
  <si>
    <t>CRM conversion tracking from qualified lead to signed contract</t>
  </si>
  <si>
    <t>Proposals per Rep per Week</t>
  </si>
  <si>
    <t>18</t>
  </si>
  <si>
    <t>28</t>
  </si>
  <si>
    <t>24</t>
  </si>
  <si>
    <t>Weekly activity reports per sales representative</t>
  </si>
  <si>
    <t>Material-to-Install Cycle Time</t>
  </si>
  <si>
    <t>Days between material availability and installation completion</t>
  </si>
  <si>
    <t>Crew Utilization</t>
  </si>
  <si>
    <t>Billable Hours as % of Total</t>
  </si>
  <si>
    <t>Installation hours divided by total crew hours including travel</t>
  </si>
  <si>
    <t>Route Efficiency</t>
  </si>
  <si>
    <t>Fuel Cost Premium vs Optimized</t>
  </si>
  <si>
    <t>Actual fuel cost versus theoretical optimized routing model</t>
  </si>
  <si>
    <t>Defect Detection Consistency</t>
  </si>
  <si>
    <t>Inter-inspector agreement on standardized defect taxonomy</t>
  </si>
  <si>
    <t>Warranty Claims</t>
  </si>
  <si>
    <t>Days from claim submission to eligibility determination</t>
  </si>
  <si>
    <t>Inquiry Handling</t>
  </si>
  <si>
    <t>Touchpoints per Resolution</t>
  </si>
  <si>
    <t>3.2</t>
  </si>
  <si>
    <t>1.4</t>
  </si>
  <si>
    <t>2.1</t>
  </si>
  <si>
    <t>Customer contacts required to resolve inquiry or issue</t>
  </si>
  <si>
    <t>Specialty Product Stockout Rate</t>
  </si>
  <si>
    <t>Orders delayed due to material unavailability</t>
  </si>
  <si>
    <t>Excess Inventory Investment</t>
  </si>
  <si>
    <t>$8.7M</t>
  </si>
  <si>
    <t>$6.2M</t>
  </si>
  <si>
    <t>Inventory value above 60-day rolling forecast requirement</t>
  </si>
  <si>
    <t>Average collection period for completed installation invoices</t>
  </si>
  <si>
    <t>Lead Generation</t>
  </si>
  <si>
    <t>Cost per Qualified Lead</t>
  </si>
  <si>
    <t>$340</t>
  </si>
  <si>
    <t>$245</t>
  </si>
  <si>
    <t>$285</t>
  </si>
  <si>
    <t>Marketing spend divided by leads meeting qualification criteria</t>
  </si>
  <si>
    <t>Bid Preparation Cycle Time</t>
  </si>
  <si>
    <t>Average days from RFP receipt to bid submission</t>
  </si>
  <si>
    <t>Annual Bid Volume Capacity</t>
  </si>
  <si>
    <t>340 bids</t>
  </si>
  <si>
    <t>480 bids</t>
  </si>
  <si>
    <t>450 bids</t>
  </si>
  <si>
    <t>Total competitive bids submitted per year</t>
  </si>
  <si>
    <t>Labor Utilization Rate</t>
  </si>
  <si>
    <t>Average Project Delay</t>
  </si>
  <si>
    <t>Average days beyond contracted completion date</t>
  </si>
  <si>
    <t>Procurement Lead Time</t>
  </si>
  <si>
    <t>Average days from order to delivery</t>
  </si>
  <si>
    <t>Price Volatility Impact on Margin</t>
  </si>
  <si>
    <t>12% variance</t>
  </si>
  <si>
    <t>7% variance</t>
  </si>
  <si>
    <t>8% variance</t>
  </si>
  <si>
    <t>Actual vs budgeted material costs as % of contract value</t>
  </si>
  <si>
    <t>Cash Management</t>
  </si>
  <si>
    <t>Average collection period for receivables</t>
  </si>
  <si>
    <t>3.2 per 200K hours</t>
  </si>
  <si>
    <t>2.1 per 200K hours</t>
  </si>
  <si>
    <t>2.4 per 200K hours</t>
  </si>
  <si>
    <t>OSHA recordable incidents per 200,000 work hours</t>
  </si>
  <si>
    <t>Compliance Documentation Backlog</t>
  </si>
  <si>
    <t>670 open items</t>
  </si>
  <si>
    <t>280 open items</t>
  </si>
  <si>
    <t>320 open items</t>
  </si>
  <si>
    <t>Outstanding compliance tasks across all projects</t>
  </si>
  <si>
    <t>Workforce Planning</t>
  </si>
  <si>
    <t>Skilled Labor Vacancy Rate</t>
  </si>
  <si>
    <t>13%</t>
  </si>
  <si>
    <t>Open skilled positions / Total skilled positions</t>
  </si>
  <si>
    <t>Change Order Approval Cycle</t>
  </si>
  <si>
    <t>27 days</t>
  </si>
  <si>
    <t>16 days</t>
  </si>
  <si>
    <t>Average days from change request to executed amendment</t>
  </si>
  <si>
    <t>Inspection &amp; Testing</t>
  </si>
  <si>
    <t>First-Pass Inspection Success Rate</t>
  </si>
  <si>
    <t>Inspections passed without rework / Total inspections</t>
  </si>
  <si>
    <t>Severity</t>
  </si>
  <si>
    <t>Friction Point</t>
  </si>
  <si>
    <t>Primary Driver Impact</t>
  </si>
  <si>
    <t>Estimated Annual Cost</t>
  </si>
  <si>
    <t>72,000 hours annually answering routine questions about scheduling, product specs, and order status</t>
  </si>
  <si>
    <t>Reduce Cost</t>
  </si>
  <si>
    <t>$6.1M</t>
  </si>
  <si>
    <t>Manual creation of installation proposals during in-home visits extends appointment duration by 25 minutes</t>
  </si>
  <si>
    <t>Grow Revenue</t>
  </si>
  <si>
    <t>$1.8M</t>
  </si>
  <si>
    <t>Limited post-appointment follow-up with non-closures results in 32% abandonment of qualified leads</t>
  </si>
  <si>
    <t>Manual coordination of order changes and delivery schedules with 85 manufacturer partners</t>
  </si>
  <si>
    <t>$1.4M</t>
  </si>
  <si>
    <t>Post-installation quality issues require rework on 6% of jobs due to late detection of specification errors</t>
  </si>
  <si>
    <t>Decrease Risk</t>
  </si>
  <si>
    <t>Scheduling Optimization</t>
  </si>
  <si>
    <t>Installer route planning done manually results in 15% excess drive time and delayed installations</t>
  </si>
  <si>
    <t>$1.9M</t>
  </si>
  <si>
    <t>Configuration</t>
  </si>
  <si>
    <t>Custom workflow configuration requiring deep product knowledge and 19,000 annual hours on repetitive setup tasks</t>
  </si>
  <si>
    <t>$3.5M</t>
  </si>
  <si>
    <t>Escalation Queue</t>
  </si>
  <si>
    <t>Product specialists spending 15,000 annual hours answering repetitive questions that could be deflected with better self-service</t>
  </si>
  <si>
    <t>Account executives manually creating custom proposals, ROI models, and competitive analysis consuming 6,240 annual hours</t>
  </si>
  <si>
    <t>$780K</t>
  </si>
  <si>
    <t>Technical writers unable to maintain documentation currency, resulting in 23% of support tickets due to outdated or missing content</t>
  </si>
  <si>
    <t>$3.2M</t>
  </si>
  <si>
    <t>18% call abandonment rate during peak hours across 2.4M annual inbound calls</t>
  </si>
  <si>
    <t>$29M</t>
  </si>
  <si>
    <t>12% appointment no-show rate representing lost revenue and wasted clinic capacity</t>
  </si>
  <si>
    <t>$38M</t>
  </si>
  <si>
    <t>Diagnosis Support</t>
  </si>
  <si>
    <t>Limited access to specialist consultation creates diagnostic delays and unnecessary referrals</t>
  </si>
  <si>
    <t>Manual compliance tracking across 32 state veterinary boards with inconsistent requirements</t>
  </si>
  <si>
    <t>$12M</t>
  </si>
  <si>
    <t>18-hour average response time to patient inquiries due to manual triage across 180 locations</t>
  </si>
  <si>
    <t>$12.6M</t>
  </si>
  <si>
    <t>67% same-day treatment acceptance limited by delays in cost estimation and insurance benefit verification</t>
  </si>
  <si>
    <t>Increase Cash Flow</t>
  </si>
  <si>
    <t>$11.8M</t>
  </si>
  <si>
    <t>45-day compliance review cycles due to manual chart sampling and review workflows</t>
  </si>
  <si>
    <t>7-day lag in practice performance metrics due to manual data aggregation across disparate systems</t>
  </si>
  <si>
    <t>23,400 annual status calls with 68% answerable from existing tracking data; agents manually query multiple systems</t>
  </si>
  <si>
    <t>$312K (23,400 calls × 0.68 × 12 minutes × $65K ÷ 2,080 hrs)</t>
  </si>
  <si>
    <t>No predictive alerts for potential delivery failures; reactive exception handling after customer complaints</t>
  </si>
  <si>
    <t>$124K (estimated customer churn from service failures: 8% gap × 340 accounts × $4.5K avg annual value)</t>
  </si>
  <si>
    <t>No visibility into driver capacity patterns; manual outreach to fill last-minute coverage gaps in secondary markets</t>
  </si>
  <si>
    <t>$87K (estimated premium paid for emergency coverage and lost margin on declined shipments)</t>
  </si>
  <si>
    <t>Manual tracking of driver certifications, insurance, and vehicle inspections across 420 contractors</t>
  </si>
  <si>
    <t>$67K (estimated compliance staff burden and risk exposure from documentation gaps)</t>
  </si>
  <si>
    <t>No real-time visibility into medication adherence across distributed sites</t>
  </si>
  <si>
    <t>$9.0M</t>
  </si>
  <si>
    <t>Manual coding review for complex oncology claims with 13% error rate</t>
  </si>
  <si>
    <t>$4.8M</t>
  </si>
  <si>
    <t>Appeals require custom letter drafting for each of 2,800 monthly denials</t>
  </si>
  <si>
    <t>$5.6M</t>
  </si>
  <si>
    <t>Prior authorization for specialty medications handled separately from medical benefits</t>
  </si>
  <si>
    <t>69% of research assets remain unused due to poor discoverability across fragmented repositories</t>
  </si>
  <si>
    <t>$22M</t>
  </si>
  <si>
    <t>12,500 hours annually spent recreating analysis that exists in archived reports</t>
  </si>
  <si>
    <t>Manual coordination of 65 annual events requires 9,200 administrative hours</t>
  </si>
  <si>
    <t>23-day follow-up lag on event leads reduces conversion rates by estimated 12 percentage points</t>
  </si>
  <si>
    <t>$8.4M</t>
  </si>
  <si>
    <t>Limited visibility into client platform usage patterns prevents proactive value demonstration</t>
  </si>
  <si>
    <t>Account managers manually calculate material takeoffs from architectural drawings for each quote</t>
  </si>
  <si>
    <t>$12.4M</t>
  </si>
  <si>
    <t>Product compatibility and building code research performed individually for each contractor inquiry</t>
  </si>
  <si>
    <t>Safety data sheets and handling protocols maintained manually across 8,400 SKUs and 12 jurisdictions</t>
  </si>
  <si>
    <t>$7.3M</t>
  </si>
  <si>
    <t>Regional demand forecasts aggregated manually in spreadsheets with 12-day consolidation cycle</t>
  </si>
  <si>
    <t>$5.8M</t>
  </si>
  <si>
    <t>Root cause analysis performed reactively after incidents without pattern recognition across sites</t>
  </si>
  <si>
    <t>$4.6M</t>
  </si>
  <si>
    <t>Root Cause Analysis</t>
  </si>
  <si>
    <t>Quality engineers manually compile corrective action reports from multiple data sources</t>
  </si>
  <si>
    <t>Manual reconciliation of demand forecasts with capacity constraints using spreadsheets</t>
  </si>
  <si>
    <t>$9.4M</t>
  </si>
  <si>
    <t>Schedule Management</t>
  </si>
  <si>
    <t>6-hour replanning cycles when schedule changes cascade across 47 production lines</t>
  </si>
  <si>
    <t>$7.1M</t>
  </si>
  <si>
    <t>28,000 hours annually chasing order confirmations and resolving invoice discrepancies</t>
  </si>
  <si>
    <t>$2.4M</t>
  </si>
  <si>
    <t>Design Knowledge</t>
  </si>
  <si>
    <t>Tribal knowledge dependency for design standards limits new engineer productivity</t>
  </si>
  <si>
    <t>$3.6M</t>
  </si>
  <si>
    <t>Industry analysis compiled from disparate data sources without synthesis</t>
  </si>
  <si>
    <t>$6,200,000</t>
  </si>
  <si>
    <t>Valuation</t>
  </si>
  <si>
    <t>Financial model building from scratch for each engagement</t>
  </si>
  <si>
    <t>$9,100,000</t>
  </si>
  <si>
    <t>Fragmented contact data across email, CRM, and personal networks</t>
  </si>
  <si>
    <t>$22,000,000</t>
  </si>
  <si>
    <t>Deal files stored in partner-specific folders without metadata tagging</t>
  </si>
  <si>
    <t>$5,400,000</t>
  </si>
  <si>
    <t>Comparable company screening requires manual database queries and Excel manipulation</t>
  </si>
  <si>
    <t>$4,700,000</t>
  </si>
  <si>
    <t>High-value talent time consumed by low-value formatting and compilation work</t>
  </si>
  <si>
    <t>$7,800,000</t>
  </si>
  <si>
    <t>23% chart incompleteness rate creates malpractice exposure and audit findings across distributed clinic network</t>
  </si>
  <si>
    <t>17-day average lag from lab results to protocol delivery limits patient satisfaction and clinic throughput</t>
  </si>
  <si>
    <t>$890K</t>
  </si>
  <si>
    <t>38-hour average response time to patient questions creates dissatisfaction and drives dropout</t>
  </si>
  <si>
    <t>Zero published outcomes data limits marketing differentiation and payer negotiation leverage</t>
  </si>
  <si>
    <t>Generic coaching protocols fail to address individual patient barriers resulting in poor adherence</t>
  </si>
  <si>
    <t>$1.6M</t>
  </si>
  <si>
    <t>Repetitive product compatibility and application guidance inquiries consuming 62% of contact volume</t>
  </si>
  <si>
    <t>$5,200,000</t>
  </si>
  <si>
    <t>Manual Safety Data Sheet creation and updates across 47 jurisdictions with inconsistent regulatory schemas</t>
  </si>
  <si>
    <t>$2,800,000</t>
  </si>
  <si>
    <t>Manual custom quote generation requiring product selection, pricing logic, and shipping calculations</t>
  </si>
  <si>
    <t>$1,800,000</t>
  </si>
  <si>
    <t>Keyword-only search with no semantic understanding causing 34% zero-result queries</t>
  </si>
  <si>
    <t>$3,400,000</t>
  </si>
  <si>
    <t>Manual batch record review requiring 8 hours per production run with no pattern recognition for recurring issues</t>
  </si>
  <si>
    <t>$1,500,000</t>
  </si>
  <si>
    <t>Production variance analysis requires manual data aggregation from 14 disconnected systems with 4-week lag time</t>
  </si>
  <si>
    <t>$9.7M</t>
  </si>
  <si>
    <t>Forecast models ignore external demand signals beyond customer orders creating 11% forecast error</t>
  </si>
  <si>
    <t>Raw material price optimization requires manual tracking of 1,240 SKUs across 318 suppliers with 8-day decision lag</t>
  </si>
  <si>
    <t>$19.3M</t>
  </si>
  <si>
    <t>Custom formulation quotes require 6-day chemist review cycle creating competitive disadvantage on time-sensitive RFQs</t>
  </si>
  <si>
    <t>$8.9M</t>
  </si>
  <si>
    <t>Schedule optimization uses static rules versus dynamic constraint-based planning reducing throughput 9%</t>
  </si>
  <si>
    <t>$14.6M</t>
  </si>
  <si>
    <t>Emissions calculations rely on spreadsheet models with manual data entry creating 18% error rate in draft submissions</t>
  </si>
  <si>
    <t>$6.4M</t>
  </si>
  <si>
    <t>8,500 monthly Tier 1 support tickets requiring human triage when 68% involve standard configuration questions answerable from documentation</t>
  </si>
  <si>
    <t>RFP responses require 72 hours of manual effort per proposal with 85% content reuse from previous submissions but no centralized response library</t>
  </si>
  <si>
    <t>$3.8M</t>
  </si>
  <si>
    <t>Customer feedback scattered across 14 communication channels with no automated synthesis mechanism for feature prioritization</t>
  </si>
  <si>
    <t>$2.9M</t>
  </si>
  <si>
    <t>Legacy codebase lacks comprehensive documentation with 230K lines requiring modernization but no systematic refactoring approach</t>
  </si>
  <si>
    <t>4.2-day average chart closure delays billing cycle initiation and creates backlog</t>
  </si>
  <si>
    <t>$890,000</t>
  </si>
  <si>
    <t>27% of initial denials require appeal with 4.8-day average turnaround consuming staff capacity</t>
  </si>
  <si>
    <t>$640,000</t>
  </si>
  <si>
    <t>Claims require 1.8 touches before clean submission due to incomplete data and coding errors</t>
  </si>
  <si>
    <t>$780,000</t>
  </si>
  <si>
    <t>23% of denials never appealed due to workload constraints, losing $470K annually</t>
  </si>
  <si>
    <t>$470,000</t>
  </si>
  <si>
    <t>8% of procedures cancelled day-of-service due to insurance verification failures</t>
  </si>
  <si>
    <t>$680,000</t>
  </si>
  <si>
    <t>Scheduling Coordination</t>
  </si>
  <si>
    <t>41% of procedures delayed due to authorization processing, creating patient dissatisfaction</t>
  </si>
  <si>
    <t>$520,000</t>
  </si>
  <si>
    <t>Fragmented manufacturer technical data requiring engineers to search PDFs, websites, and phone calls for specification details</t>
  </si>
  <si>
    <t>Reactive troubleshooting model where technicians re-research solutions to previously solved problems due to lack of searchable case history</t>
  </si>
  <si>
    <t>Custom technical narrative creation for each proposal with inconsistent quality and messaging across engineering teams</t>
  </si>
  <si>
    <t>Grow Revenue / Reduce Cost</t>
  </si>
  <si>
    <t>Scattered manufacturer catalogs and technical bulletins across network drives, websites, and physical binders</t>
  </si>
  <si>
    <t>Manual cross-referencing of 142,000 SKUs against evolving OSHA, ANSI, and CSA certification requirements with quarterly regulatory updates</t>
  </si>
  <si>
    <t>Manual safety stock calculations across 23 distribution centers without dynamic rebalancing based on regional demand shifts</t>
  </si>
  <si>
    <t>$6.7M</t>
  </si>
  <si>
    <t>Representatives manually search across 7 disconnected systems to answer product specification, compliance, and availability questions</t>
  </si>
  <si>
    <t>$4.3M</t>
  </si>
  <si>
    <t>Account executives spend 12 hours per proposal manually assembling product comparisons, compliance matrices, and pricing from disconnected sources</t>
  </si>
  <si>
    <t>Quarterly business reviews requiring manual campaign performance analysis and custom recommendations</t>
  </si>
  <si>
    <t>$5.1M</t>
  </si>
  <si>
    <t>Customer feedback synthesis from support tickets, sales calls, and usage data to inform roadmap decisions</t>
  </si>
  <si>
    <t>Manual research of prospect companies to personalize demo scenarios and use case recommendations</t>
  </si>
  <si>
    <t>Knowledge base articles becoming outdated as platform features evolve, requiring manual updates</t>
  </si>
  <si>
    <t>Manual documentation writing lagging behind API endpoint development, creating developer friction</t>
  </si>
  <si>
    <t>Churn Analysis</t>
  </si>
  <si>
    <t>Manual analysis of customer usage patterns and engagement metrics to predict and prevent churn</t>
  </si>
  <si>
    <t>$1.7M</t>
  </si>
  <si>
    <t>Manual test protocol creation consuming 12,000 hours annually with 18% rework rate</t>
  </si>
  <si>
    <t>Manual root cause analysis for 3,400 annual quality events averaging 8.2 hours each</t>
  </si>
  <si>
    <t>$2.2M</t>
  </si>
  <si>
    <t>RFP response requiring manual assembly of technical content from 8-12 sources over 42-day cycles</t>
  </si>
  <si>
    <t>Supplier delivery variance of 12% creates reactive expediting consuming 8,500 hours annually</t>
  </si>
  <si>
    <t>Certification renewals across 47 product-jurisdiction combinations requiring 2,800 annual hours</t>
  </si>
  <si>
    <t>$420K</t>
  </si>
  <si>
    <t>18% schedule variance due to incomplete materials visibility creating 4,200 hours of replanning work</t>
  </si>
  <si>
    <t>$380K</t>
  </si>
  <si>
    <t>Custom pitch deck creation for each prospect requiring 24-32 hours of senior strategist time despite 70% slide template overlap across industries</t>
  </si>
  <si>
    <t>Content brief creation requiring manual synthesis of strategy documents, brand guidelines, and client feedback with no standardized template enforcement</t>
  </si>
  <si>
    <t>$3.4M</t>
  </si>
  <si>
    <t>Multi-stage manual review process checking brand compliance, message consistency, and SEO optimization across 4-6 reviewers per deliverable</t>
  </si>
  <si>
    <t>Unstructured knowledge repository with keyword-only search requiring 15-20 minutes to locate relevant prior work and no automated tagging or similarity matching</t>
  </si>
  <si>
    <t>Insight Synthesis</t>
  </si>
  <si>
    <t>Strategic recommendation development requiring manual pattern identification across research findings with no automated insight extraction or trend analysis</t>
  </si>
  <si>
    <t>Repetitive competitive landscape analysis recreated for each pitch without reusable templates</t>
  </si>
  <si>
    <t>Inconsistent brand guideline interpretation requiring rework in 23% of deliverables</t>
  </si>
  <si>
    <t>Manual reconciliation of actuals to budget across 340 concurrent client engagements</t>
  </si>
  <si>
    <t>$2.7M</t>
  </si>
  <si>
    <t>Synthesizing consumer behavior trends from 20-30 disparate research sources per analysis</t>
  </si>
  <si>
    <t>Skills Assessment</t>
  </si>
  <si>
    <t>No standardized evaluation of creative work quality across 1,800 employees</t>
  </si>
  <si>
    <t>Past campaign work difficult to discover due to inconsistent tagging and metadata</t>
  </si>
  <si>
    <t>Account managers lack real-time access to member health profiles and predictive risk signals, forcing reliance on generic quarterly recommendations</t>
  </si>
  <si>
    <t>$12.0M</t>
  </si>
  <si>
    <t>68% of 285K annual contacts classified as tier-one inquiries requiring no clinical expertise but consuming 8.4 minutes average handle time</t>
  </si>
  <si>
    <t>$14.0M</t>
  </si>
  <si>
    <t>RFP responses require 42 days for custom content assembly across compliance matrices, benefit designs, and pricing scenarios</t>
  </si>
  <si>
    <t>$8.0M</t>
  </si>
  <si>
    <t>Custom client health outcome reports require 28 hours of analyst effort per client per quarter for data extraction, visualization, and narrative synthesis</t>
  </si>
  <si>
    <t>Paper-based temperature logs, cleaning checklists, and equipment records consume 6 hours per week per location with inconsistent compliance</t>
  </si>
  <si>
    <t>Decrease Risk, Reduce Cost</t>
  </si>
  <si>
    <t>Labor Scheduling</t>
  </si>
  <si>
    <t>Managers spend 15 hours per week on manual scheduling, shift swaps, and coverage issues without demand prediction</t>
  </si>
  <si>
    <t>$3.7M</t>
  </si>
  <si>
    <t>Reactive maintenance approach leads to 18 hours of unplanned downtime per location annually, disrupting service and requiring emergency repairs</t>
  </si>
  <si>
    <t>$2.8M</t>
  </si>
  <si>
    <t>Coordinators spend 18,500 hours annually scheduling inspections, appraisals, and walkthroughs across fragmented vendor networks</t>
  </si>
  <si>
    <t>Status update requests consume 34,000 coordinator hours with redundant information gathering from agents, lenders, attorneys, and title companies</t>
  </si>
  <si>
    <t>Manual property description writing for 14,500 annual listings consumes 23,000 hours with limited differentiation capability</t>
  </si>
  <si>
    <t>CMA generation requires 46,400 hours annually with manual comparable property research and formatting</t>
  </si>
  <si>
    <t>$3.9M</t>
  </si>
  <si>
    <t>Managers lack real-time performance visibility, discovering underperformance only during quarterly reviews when intervention is too late</t>
  </si>
  <si>
    <t>$4.7M</t>
  </si>
  <si>
    <t>Agent response to routine client inquiries consumes 28,000 hours annually with inconsistent quality and delayed responses</t>
  </si>
  <si>
    <t>Past client nurturing relies on manual outreach with no systematic engagement triggers, losing referral opportunities</t>
  </si>
  <si>
    <t>Limited market intelligence and comparable analysis restricts premium pricing justification for differentiated properties</t>
  </si>
  <si>
    <t>Manual inspection report preparation across 47,000 annual inspections with inconsistent formatting and documentation quality</t>
  </si>
  <si>
    <t>$1.3M</t>
  </si>
  <si>
    <t>Knowledge base search inefficiency causing 28-minute average handle times and frequent hold periods for information retrieval</t>
  </si>
  <si>
    <t>Post-outage root cause analysis requiring manual data gathering from field reports, maintenance logs, and sensor data across 340 annual incidents</t>
  </si>
  <si>
    <t>$510K</t>
  </si>
  <si>
    <t>Limited data integration for multi-year capital expenditure optimization across competing infrastructure priorities</t>
  </si>
  <si>
    <t>Manual tracking and interpretation of regulatory changes across three state jurisdictions affecting operational procedures</t>
  </si>
  <si>
    <t>$650K</t>
  </si>
  <si>
    <t>Rate Case Preparation</t>
  </si>
  <si>
    <t>Data compilation and analysis for biennial rate case filings requiring 800 hours of cross-functional team effort</t>
  </si>
  <si>
    <t>Engineers spending 14.2 hours per drawing package on manual formatting and annotation updates</t>
  </si>
  <si>
    <t>$18.7M</t>
  </si>
  <si>
    <t>Root cause analysis requires manual search across 340 NCR records in multiple systems with no pattern detection</t>
  </si>
  <si>
    <t>Planner manually reconciles material availability against production capacity across 7 facilities daily</t>
  </si>
  <si>
    <t>$12.3M</t>
  </si>
  <si>
    <t>Representatives spend 42,000 hours annually fielding status questions requiring ERP searches across 5 modules</t>
  </si>
  <si>
    <t>$18.0M</t>
  </si>
  <si>
    <t>Engineering estimates for custom components require 4.3 days with manual costing and capacity checks</t>
  </si>
  <si>
    <t>Work Instruction Management</t>
  </si>
  <si>
    <t>Shop floor technicians reference 12-year-old paper work instructions with 23% containing outdated specifications</t>
  </si>
  <si>
    <t>$15.8M</t>
  </si>
  <si>
    <t>47% of engineering knowledge exists only in individual engineer expertise with no searchable documentation</t>
  </si>
  <si>
    <t>$11.4M</t>
  </si>
  <si>
    <t>Repetitive status inquiries requiring representatives to contact carriers via phone or text, then manually update customers through multiple communication channels</t>
  </si>
  <si>
    <t>Manual damage assessment requiring photo collection, carrier contract review, inspection coordination, and liability determination across multiple parties without standardized workflows</t>
  </si>
  <si>
    <t>Static pricing models updated quarterly unable to capture real-time market dynamics, seasonal demand shifts, or route-specific capacity constraints</t>
  </si>
  <si>
    <t>$14.4M</t>
  </si>
  <si>
    <t>Manual quote generation requiring sales reps to check availability, calculate pricing, and format proposals individually for each dealer request</t>
  </si>
  <si>
    <t>$6.8M</t>
  </si>
  <si>
    <t>Inconsistent carrier performance tracking across operations, customer service, and claims systems preventing data-driven carrier selection decisions</t>
  </si>
  <si>
    <t>67,000 monthly timesheets manually validated against contracts and rate cards; 12% error rate triggers rework</t>
  </si>
  <si>
    <t>$18.4M</t>
  </si>
  <si>
    <t>Contract terms and rate cards stored across SharePoint, email, and legacy ERP; average 45 minutes to locate current terms</t>
  </si>
  <si>
    <t>$9.6M</t>
  </si>
  <si>
    <t>Billing disputes require manual investigation across timesheet records, contract terms, and email trails; 68-day DSO</t>
  </si>
  <si>
    <t>$8.3M</t>
  </si>
  <si>
    <t>Legal team manually tracks changing certification requirements and visa regulations across 65 countries</t>
  </si>
  <si>
    <t>$7.4M</t>
  </si>
  <si>
    <t>Client-specific requirements, safety protocols, and technical specifications scattered across email, SharePoint sites, and individual hard drives</t>
  </si>
  <si>
    <t>$5.9M</t>
  </si>
  <si>
    <t>Custom proposal narratives for building-specific conditions duplicated across similar project types consume 34,200 hours yearly</t>
  </si>
  <si>
    <t>Reduce Cost, Grow Revenue</t>
  </si>
  <si>
    <t>Field supervisors complete 280,000 job hazard analyses and daily safety reports manually consuming 56,000 hours with inconsistent quality</t>
  </si>
  <si>
    <t>Project managers compile daily reports from handwritten crew logs requiring 2.4 hours per project across 42,000 annual projects</t>
  </si>
  <si>
    <t>Increase Cash Flow, Reduce Cost</t>
  </si>
  <si>
    <t>Safety managers collect witness statements, photos, and regulatory forms requiring 8 days average to compile incident packages</t>
  </si>
  <si>
    <t>New estimators require 18-month apprenticeship to learn regional material specifications and building code variations across 38 states</t>
  </si>
  <si>
    <t>Accounts receivable staff manually verify completion milestones against contract terms delaying invoice submission by 11 days on average</t>
  </si>
  <si>
    <t>47 manufacturer catalogs with inconsistent part numbering requiring manual cross-referencing</t>
  </si>
  <si>
    <t>Therapists spend 1.8 hours per evaluation on narrative documentation instead of structured data capture</t>
  </si>
  <si>
    <t>46% of calls require escalation due to lack of real-time access to order status and technician schedules</t>
  </si>
  <si>
    <t>$5.4M</t>
  </si>
  <si>
    <t>Documentation retrieval from 6 disconnected systems requiring 8,500 hours annually for Medicare and payer audits</t>
  </si>
  <si>
    <t>8,600 monthly status inquiries require manual system lookups consuming 14,500 hours annually due to lack of self-service customer portal</t>
  </si>
  <si>
    <t>$800K</t>
  </si>
  <si>
    <t>Cross-border and hazmat documentation requires 6,800 hours of manual data entry with 8.4% error rate creating $1.8M potential fine exposure</t>
  </si>
  <si>
    <t>RFP response process requires 22 hours per bid for manual rate calculation, service design, and proposal writing across 185 annual opportunities</t>
  </si>
  <si>
    <t>$610K</t>
  </si>
  <si>
    <t>Claims resolution averages 47 days due to fragmented documentation across carriers, terminals, and customers requiring manual evidence compilation</t>
  </si>
  <si>
    <t>14.2-hour average response time to customer inquiries driven by manual investigation across disconnected TMS, rail tracking, and driver dispatch systems</t>
  </si>
  <si>
    <t>Manual contract closeout documentation delaying payment cycles by 14 days across 14,500 annual work orders</t>
  </si>
  <si>
    <t>Manual tracking and documentation of environmental, safety, and municipal compliance across 47 jurisdictions with inconsistent requirements</t>
  </si>
  <si>
    <t>$19.2M</t>
  </si>
  <si>
    <t>Reactive equipment maintenance scheduling resulting in 11.3% average downtime across 420-unit fleet</t>
  </si>
  <si>
    <t>$13.1M</t>
  </si>
  <si>
    <t>Manual post-job inspection processes missing 28% of surface defects before customer delivery</t>
  </si>
  <si>
    <t>Trade Reference Verification</t>
  </si>
  <si>
    <t>Phone-based verification of payment histories consuming 8,800 analyst hours annually</t>
  </si>
  <si>
    <t>$13.2M</t>
  </si>
  <si>
    <t>Manual triage of 12,400 accounts without predictive delinquency modeling</t>
  </si>
  <si>
    <t>Increase Cash Flow, Decrease Risk</t>
  </si>
  <si>
    <t>$23.1M</t>
  </si>
  <si>
    <t>Manual review of 4,200 flagged cross-border transactions annually consuming 6,800 compliance hours</t>
  </si>
  <si>
    <t>Reduce Cost, Decrease Risk</t>
  </si>
  <si>
    <t>Manual aggregation of data across 14 jurisdictions for quarterly regulatory filings</t>
  </si>
  <si>
    <t>$6.3M</t>
  </si>
  <si>
    <t>Reactive regulatory change tracking requires manual review of 47 national customs authorities with 2-3 week discovery lag</t>
  </si>
  <si>
    <t>$8.2M</t>
  </si>
  <si>
    <t>Static routing rules ignore real-time capacity constraints and spot rate fluctuations across ocean and air modes</t>
  </si>
  <si>
    <t>$19.0M</t>
  </si>
  <si>
    <t>47,000 monthly manual status inquiries consume 23,000 agent hours on low-value transactional responses</t>
  </si>
  <si>
    <t>$27.6M</t>
  </si>
  <si>
    <t>Quote accuracy varies 40% across sales team due to fragmented rate knowledge and manual calculation spreadsheets</t>
  </si>
  <si>
    <t>Invoice disputes require manual evidence gathering across email, carrier portals, and shipping documents with 18-day resolution cycle</t>
  </si>
  <si>
    <t>Legacy Integration</t>
  </si>
  <si>
    <t>6-month API development cycles bottleneck new carrier and customer integrations due to undocumented legacy system schemas</t>
  </si>
  <si>
    <t>$12.5M</t>
  </si>
  <si>
    <t>Opportunity decline rate of 23% due to proposal bandwidth constraints, representing lost revenue</t>
  </si>
  <si>
    <t>Program managers spend 4,100 hours annually compiling status reports from disparate systems</t>
  </si>
  <si>
    <t>$348K</t>
  </si>
  <si>
    <t>Timeline extensions averaging 8 days on 40% of projects due to deliverable recreation and search time</t>
  </si>
  <si>
    <t>Consultants spend 6,400 hours searching 47 disconnected repositories for existing methodologies</t>
  </si>
  <si>
    <t>$960K</t>
  </si>
  <si>
    <t>78% retention rate trails industry benchmark by 6 points, losing $2.8M in repeat revenue annually</t>
  </si>
  <si>
    <t>Manual project health scoring lacks predictive analytics, missing early warning signals</t>
  </si>
  <si>
    <t>Limited carrier rate benchmarking and performance analytics compress gross margin by estimated 1.8 percentage points</t>
  </si>
  <si>
    <t>$17.1M</t>
  </si>
  <si>
    <t>Capacity Planning</t>
  </si>
  <si>
    <t>Reactive carrier sourcing during tight capacity periods increases spot market exposure and rate volatility</t>
  </si>
  <si>
    <t>$8.6M</t>
  </si>
  <si>
    <t>340K annual status inquiries consume 34,000 customer service hours despite 67% requesting data in existing systems</t>
  </si>
  <si>
    <t>9-day exception resolution cycle delays carrier payment and extends cash conversion by 7.2 days on disputed invoices</t>
  </si>
  <si>
    <t>Manual review of 4,800 carrier agreements creates compliance gaps and insurance verification delays</t>
  </si>
  <si>
    <t>45-day backlog on design change impact assessments requiring cross-functional review</t>
  </si>
  <si>
    <t>$12.7M</t>
  </si>
  <si>
    <t>Manual inspection documentation for 2,400 monthly production batches with inconsistent defect classification</t>
  </si>
  <si>
    <t>15,600 annual engineering hours on custom proposal development with 78% content reuse rate</t>
  </si>
  <si>
    <t>$2.6M</t>
  </si>
  <si>
    <t>47,000 annual inquiries with 34% escalation rate due to inadequate first-tier knowledge access</t>
  </si>
  <si>
    <t>Monthly forecast reconciliation across 12 product lines with ±28% forecast accuracy</t>
  </si>
  <si>
    <t>$7.8M</t>
  </si>
  <si>
    <t>68-day DSO with manual invoice dispute resolution averaging 22 days per case</t>
  </si>
  <si>
    <t>$6.5M</t>
  </si>
  <si>
    <t>Reactive diagnostics requiring on-site visits for 65% of service calls despite remote monitoring infrastructure</t>
  </si>
  <si>
    <t>$5.3M</t>
  </si>
  <si>
    <t>Manual scheduling across 14 regional depots without dynamic routing based on technician location and skill matching</t>
  </si>
  <si>
    <t>Manual stock checks at 14 depots creating 12-day average parts lead times and $4.2M in excess safety stock</t>
  </si>
  <si>
    <t>Opportunity Qualification</t>
  </si>
  <si>
    <t>Limited bid qualification criteria resulting in 77% proposal loss rate and $10.8M spent on unwinnable opportunities</t>
  </si>
  <si>
    <t>$10.8M</t>
  </si>
  <si>
    <t>Manual project risk analysis without pattern recognition from 1,240 historical implementations</t>
  </si>
  <si>
    <t>PLC programming and HMI design recreated for each project despite 78% similarity across implementations</t>
  </si>
  <si>
    <t>Fragmented regulatory intelligence sources requiring manual monitoring of 47 customs authorities with weekly rule changes and interpretation ambiguity</t>
  </si>
  <si>
    <t>$13.0M</t>
  </si>
  <si>
    <t>Siloed carrier performance data across regional systems preventing unified vendor scorecarding and strategic sourcing decisions</t>
  </si>
  <si>
    <t>$17.9M</t>
  </si>
  <si>
    <t>Customer confusion on required documentation generating 12,800 annual support contacts that require specialist routing and extended resolution times</t>
  </si>
  <si>
    <t>$8.1M</t>
  </si>
  <si>
    <t>Manual quote assembly requiring data from 4 systems plus email threads with carrier partners extending response times and reducing win rates</t>
  </si>
  <si>
    <t>$19.4M</t>
  </si>
  <si>
    <t>Billing errors from manual data entry across shipment, customs, and surcharge fields generating disputes that delay payment by 23 days on average</t>
  </si>
  <si>
    <t>$15.2M</t>
  </si>
  <si>
    <t>Spreadsheet-based demand planning unable to incorporate real-time market signals or historical pattern recognition across seasonal fluctuations</t>
  </si>
  <si>
    <t>$18.3M</t>
  </si>
  <si>
    <t>Proposal document assembly pulls content from 47 different templates and data sources with no centralized repository</t>
  </si>
  <si>
    <t>Technicians spend 35 minutes per call on paper documentation later transcribed by office staff</t>
  </si>
  <si>
    <t>Defect root cause analysis relies on quality engineers manually reviewing inspection records and production logs</t>
  </si>
  <si>
    <t>Decrease Risk / Reduce Cost</t>
  </si>
  <si>
    <t>Production schedules built weekly in spreadsheets without real-time capacity or constraint visibility</t>
  </si>
  <si>
    <t>New technician training relies on shadowing senior staff for 45 days with no structured knowledge capture</t>
  </si>
  <si>
    <t>Version reconciliation and conflict identification require 31,000 hours annually with 22% project conflict rate</t>
  </si>
  <si>
    <t>Manual submittal status updates and compliance verification consume 14,200 hours annually</t>
  </si>
  <si>
    <t>Repetitive inspection form completion and data entry require 23,000 hours annually with limited analytical value</t>
  </si>
  <si>
    <t>Custom configuration for each client implementation requires 12,800 hours annually with 47-day time to value</t>
  </si>
  <si>
    <t>58% Tier 1 resolution rate drives excessive escalations and 8,200 hours of senior engineer time</t>
  </si>
  <si>
    <t>Sequential review process requiring manual routing through 8-12 stakeholders with limited visibility to bottlenecks</t>
  </si>
  <si>
    <t>Supplier Quality Management</t>
  </si>
  <si>
    <t>Manual review of supplier certificate of conformance documents with inconsistent formats across 340 active suppliers</t>
  </si>
  <si>
    <t>Manual validation of supplier certifications (AS9100, ISO 13485, ITAR registration) through document review and site audit preparation</t>
  </si>
  <si>
    <t>$3.1M</t>
  </si>
  <si>
    <t>Manual lot genealogy tracking through multiple tiers of supply chain for aerospace traceability requirements</t>
  </si>
  <si>
    <t>$3.3M</t>
  </si>
  <si>
    <t>Manual compilation of evidence packages from fragmented sources for FAA, FDA, and ISO certification audits</t>
  </si>
  <si>
    <t>Escalation of routine technical questions to engineering due to limited access to application notes and design rationale</t>
  </si>
  <si>
    <t>Fragmented equipment data across incompatible vendor platforms preventing correlation of performance with customer satisfaction</t>
  </si>
  <si>
    <t>8,400 annual training hours required for 68% employee turnover across 47 operational scenarios with inconsistent delivery</t>
  </si>
  <si>
    <t>$5,300,000</t>
  </si>
  <si>
    <t>4.2-day average resolution time for member issues due to lack of historical context and escalation guidance</t>
  </si>
  <si>
    <t>$3,800,000</t>
  </si>
  <si>
    <t>14% single-wash to membership conversion limited by inconsistent frontline enrollment training and value articulation</t>
  </si>
  <si>
    <t>$3,600,000</t>
  </si>
  <si>
    <t>Performance Analysis</t>
  </si>
  <si>
    <t>12-day equipment issue response time due to manual log review and lack of automated anomaly detection</t>
  </si>
  <si>
    <t>$4,100,000</t>
  </si>
  <si>
    <t>Manual data validation rules require updating across 127 client-specific configurations when source systems change</t>
  </si>
  <si>
    <t>Each ad hoc client request (142 per month) requires senior analyst to manually query data warehouse, create visualizations, and synthesize findings</t>
  </si>
  <si>
    <t>$2,920,000</t>
  </si>
  <si>
    <t>Quarterly compliance documentation for 216 active models requires manual narrative generation, statistical table creation, and bias audit reporting</t>
  </si>
  <si>
    <t>$4,960,000</t>
  </si>
  <si>
    <t>Each prospect demo requires 23 hours to extract representative data, build custom segmentation, and prepare narrative around potential ROI</t>
  </si>
  <si>
    <t>$1,380,000</t>
  </si>
  <si>
    <t>Month-end close requires manual reconciliation of 340 client contracts against usage data and milestone deliverables to calculate recognizable revenue</t>
  </si>
  <si>
    <t>$620,000</t>
  </si>
  <si>
    <t>Each client API integration requires 67 hours of custom coding to handle client-specific authentication, rate limiting, and error handling patterns</t>
  </si>
  <si>
    <t>$1,120,000</t>
  </si>
  <si>
    <t>34,000 hours annually manually extracting campaign data from multiple platforms and synthesizing into inconsistent client-facing reports</t>
  </si>
  <si>
    <t>No centralized knowledge base for client preferences, creative standards, or workflow protocols forces 45-day productivity delay for new hires</t>
  </si>
  <si>
    <t>Competitive research compiled manually from 40+ sources with 11-day turnaround preventing rapid response to client market inquiries</t>
  </si>
  <si>
    <t>12% bench time from inability to predict project demand and match talent skills to client needs across agency portfolio</t>
  </si>
  <si>
    <t>No systematic capture of client feedback from calls, emails, and meetings prevents proactive issue identification before escalation</t>
  </si>
  <si>
    <t>45-day lag from product receipt to full web publication creates lost sales on trend-sensitive items</t>
  </si>
  <si>
    <t>Manual product matching for customer projects requires 18 minutes per consultation with 40% match accuracy</t>
  </si>
  <si>
    <t>$1,200,000</t>
  </si>
  <si>
    <t>Custom project proposals require 4.5 hours of manual product selection and pricing per opportunity</t>
  </si>
  <si>
    <t>$920,000</t>
  </si>
  <si>
    <t>Installation guides and trend reports require 16 hours of research and writing per piece</t>
  </si>
  <si>
    <t>Manual coordination across 140 suppliers creates 15% delivery variance and reactive expediting</t>
  </si>
  <si>
    <t>$1,400,000</t>
  </si>
  <si>
    <t>Search Optimization</t>
  </si>
  <si>
    <t>Incomplete product metadata results in 34% of site searches returning zero or irrelevant results</t>
  </si>
  <si>
    <t>$1,100,000</t>
  </si>
  <si>
    <t>Knowledge base fragmentation forces agents to search multiple repositories for troubleshooting guidance, extending call duration by 4.2 minutes per inquiry</t>
  </si>
  <si>
    <t>Quarterly competitive teardown reports require manual assembly of pricing data, feature matrices, and customer sentiment from 12 competitor brands</t>
  </si>
  <si>
    <t>$2,100,000</t>
  </si>
  <si>
    <t>Recipe development and photography production averages 28 hours per recipe with test kitchen, food styling, and editorial review bottlenecks</t>
  </si>
  <si>
    <t>$420,000</t>
  </si>
  <si>
    <t>Training material updates for 5,000 retail locations require manual content creation, localization, and distribution across three formats</t>
  </si>
  <si>
    <t>$1,250,000</t>
  </si>
  <si>
    <t>Vendor contract review requires manual risk assessment, non-standard clause identification, and approval routing through four stakeholders</t>
  </si>
  <si>
    <t>$1,600,000</t>
  </si>
  <si>
    <t>Design Feasibility Assessment</t>
  </si>
  <si>
    <t>Supplier capability verification for custom designs requires manual RFI processes spanning 7 days and $1,800 per design evaluation</t>
  </si>
  <si>
    <t>Sales teams lack contextualized packaging recommendations based on customer industry, order history, and regulatory requirements, missing 23% of cross-sell opportunities</t>
  </si>
  <si>
    <t>Reactive quality issue tracking across 340 suppliers with 14-day escalation cycles and manual root cause analysis results in $3.2M annual quality failures</t>
  </si>
  <si>
    <t>Stock-out recovery requires manual cross-warehouse inventory searches spanning 8 days and generating $940 in expedited freight per incident across 1,800 annual occurrences</t>
  </si>
  <si>
    <t>Manual contract analysis for non-standard terms across 8,400 annual supplier and customer agreements creates 6.8-day review cycles and $4.1M in legal overhead</t>
  </si>
  <si>
    <t>Manual cross-checking of packaging specifications against customer requirements and regulatory standards results in 2.8% specification error rate and $1.9M in rework costs</t>
  </si>
  <si>
    <t>Supplier Data Integration</t>
  </si>
  <si>
    <t>340 supplier catalogs with inconsistent data schemas require manual normalization and create 18-hour synchronization latency between supplier updates and internal systems</t>
  </si>
  <si>
    <t>Inspection Reporting</t>
  </si>
  <si>
    <t>Manual transcription of measurement data from inspection equipment into quality management system, requiring dual data entry and creating 340 annual transcription errors</t>
  </si>
  <si>
    <t>Sequential approval workflow requiring physical routing of change orders through 7 departments, creating 19-day average cycle time</t>
  </si>
  <si>
    <t>Inconsistent version control across 14 different CAD file repositories, causing engineers to spend 4.2 hours per week searching for current revisions</t>
  </si>
  <si>
    <t>Manual lookup of historical pricing data across 8 disconnected systems, requiring estimators to query multiple databases for comparable components</t>
  </si>
  <si>
    <t>Manual review of regulatory update bulletins across AS9100, ITAR, REACH, and RoHS requirements, requiring 18 hours per week from compliance team</t>
  </si>
  <si>
    <t>Unstructured supplier CAPA documentation requiring quality engineers to manually parse 280 annual supplier responses for actionable commitments</t>
  </si>
  <si>
    <t>Safety data sheet updates require manual review of 1,800+ ingredient profiles across changing GHS standards in 70 jurisdictions</t>
  </si>
  <si>
    <t>Agronomists spend 4.2 hours per week searching internal knowledge bases, research literature, and product labels to answer grower questions</t>
  </si>
  <si>
    <t>Traceability investigations require manual reconstruction of raw material lot numbers across 6 upstream suppliers and 3 internal systems</t>
  </si>
  <si>
    <t>$900K</t>
  </si>
  <si>
    <t>Seasonal forecast models rely on spreadsheet-based analysis of 4 years historical data without weather normalization or crop acreage adjustments</t>
  </si>
  <si>
    <t>Product application questions require manual lookup across 340 product labels, 180 research bulletins, and 45 state-specific use restrictions</t>
  </si>
  <si>
    <t>$850K</t>
  </si>
  <si>
    <t>45-day launch cycles requiring manual assembly of technical specs, regulatory approvals, pricing matrices, and sales collateral from disparate sources</t>
  </si>
  <si>
    <t>Manager Escalations</t>
  </si>
  <si>
    <t>23% escalation rate driven by rep uncertainty on complex application questions, creating workflow bottlenecks and manager capacity constraints</t>
  </si>
  <si>
    <t>4.2-day quote turnaround driven by manual pricing lookups across volume tiers, regional variations, and promotional programs</t>
  </si>
  <si>
    <t>8,200 annual hours assembling documentation for state inspections from paper files, email archives, and legacy databases</t>
  </si>
  <si>
    <t>$680K</t>
  </si>
  <si>
    <t>Manual forecast processes consuming 4,200 annual hours with 72% SKU-level accuracy, driving excess inventory and stockouts</t>
  </si>
  <si>
    <t>1,200 showroom partners lack real-time access to product configuration rules, generating 15% quote error rate requiring rework</t>
  </si>
  <si>
    <t>45,000 annual hours of manual visual inspection comparing 2,400 daily fixtures against design specifications and finish standards</t>
  </si>
  <si>
    <t>$19M</t>
  </si>
  <si>
    <t>6-day quality hold time delays warehouse release due to manual documentation and approval workflows</t>
  </si>
  <si>
    <t>18-month collection launch cycle lacks AI-driven trend analysis, delaying market responsiveness by 6 months versus competitors</t>
  </si>
  <si>
    <t>42-day DSO versus 35-day industry benchmark ties up $15M in working capital due to manual collections prioritization</t>
  </si>
  <si>
    <t>Dispatch Management</t>
  </si>
  <si>
    <t>Reactive rescheduling and crew reallocation in response to callouts, material delays, and weather disruptions with average 4.7 daily disruptions per dispatcher managing 35-40 active crews</t>
  </si>
  <si>
    <t>Email and phone-based responses to customer technical questions about product performance, installation requirements, and warranty coverage with 6-day average response time for complex inquiries</t>
  </si>
  <si>
    <t>Manual photography and annotation of 30,000 annual inspections with inconsistent defect categorization and narrative reporting consuming 45 minutes per inspection</t>
  </si>
  <si>
    <t>Manual review of installation photos, product specifications, and warranty document cross-referencing to determine coverage eligibility across 72-page warranty terms with 9-day average resolution time</t>
  </si>
  <si>
    <t>Inventory Forecasting</t>
  </si>
  <si>
    <t>Spreadsheet-based demand forecasting with manual adjustments for seasonality and promotional activity creating 11% stockout rate on specialty products and $8.7M excess working capital</t>
  </si>
  <si>
    <t>Reactive pricing decisions on commodity materials with 12% monthly volatility and limited predictive tools</t>
  </si>
  <si>
    <t>Paper-based incident reporting requiring manual transcription and 14-day average investigation cycles</t>
  </si>
  <si>
    <t>Email-based change order negotiations with version control challenges and 27-day approval cycles</t>
  </si>
  <si>
    <t>Manual labor hour allocation across cost codes with 8-day lag in financial visibility</t>
  </si>
  <si>
    <t>Custom proposal assembly for each RFP with 60% content reuse but manual copying and formatting</t>
  </si>
  <si>
    <t>Jurisdiction-specific code interpretation requiring manual research across 47 states and municipalities</t>
  </si>
  <si>
    <t>Manual reconciliation between sales measurements and installation crew verification creates 18,500 annual hours of coordination work</t>
  </si>
  <si>
    <t>$2.3M</t>
  </si>
  <si>
    <t>Material Procurement</t>
  </si>
  <si>
    <t>8.2% material waste from measurement discrepancies and over-ordering safety margins</t>
  </si>
  <si>
    <t>Manual three-way matching of purchase orders, receiving documents, and supplier invoices creates 8-day processing delays</t>
  </si>
  <si>
    <t>Product descriptions for 1,200+ SKU catalog require 4,800 hours annually to create and maintain</t>
  </si>
  <si>
    <t>$480K</t>
  </si>
  <si>
    <t>Installer certification programs require 960 hours annually to develop training materials and assessments</t>
  </si>
  <si>
    <t>$120K</t>
  </si>
  <si>
    <t>Supplier and contractor agreements average 6 days for legal review, delaying 180 annual contract executions</t>
  </si>
  <si>
    <t>Implementation</t>
  </si>
  <si>
    <t>Manual data mapping and schema transformation for each new client deployment consuming 28,000 annual consultant hours</t>
  </si>
  <si>
    <t>Tier 1 Resolution</t>
  </si>
  <si>
    <t>Limited knowledge base accessibility forcing agents to escalate 58% of tickets despite answers existing in documentation</t>
  </si>
  <si>
    <t>Generic email templates yielding 2.1% response rates versus 4.5% industry benchmark for personalized outreach</t>
  </si>
  <si>
    <t>Product marketers spending 850 monthly hours creating case studies, blog posts, and campaign materials from scratch</t>
  </si>
  <si>
    <t>Code Maintenance</t>
  </si>
  <si>
    <t>Developers spending 35% of sprint capacity on bug fixes and technical debt in legacy codebase</t>
  </si>
  <si>
    <t>Manual reconciliation of subscription billing, usage tracking, and revenue recognition across 1,850 customer contracts</t>
  </si>
  <si>
    <t>$580K</t>
  </si>
  <si>
    <t>Recruiters manually screening 140 resumes per technical requisition with 67-day time-to-fill versus 42-day industry benchmark</t>
  </si>
  <si>
    <t>Manual patient history consolidation across 12 legacy EMR systems requiring 8.5 minutes per retrieval</t>
  </si>
  <si>
    <t>$47M</t>
  </si>
  <si>
    <t>22% veterinarian turnover driven by clinical burnout and lack of decision support</t>
  </si>
  <si>
    <t>$34M</t>
  </si>
  <si>
    <t>38-day AR cycle due to manual insurance claims processing and client payment follow-up</t>
  </si>
  <si>
    <t>$8M</t>
  </si>
  <si>
    <t>58% compliance with post-visit care instructions due to inconsistent communication</t>
  </si>
  <si>
    <t>7.5% pharmaceutical stockout rate causing prescription delays and client dissatisfaction</t>
  </si>
  <si>
    <t>$6M</t>
  </si>
  <si>
    <t>New Client Onboarding</t>
  </si>
  <si>
    <t>42% conversion rate from inquiry to first appointment due to friction in scheduling process</t>
  </si>
  <si>
    <t>14-minute average triage time delays urgent care access and increases client anxiety</t>
  </si>
  <si>
    <t>$9M</t>
  </si>
  <si>
    <t>Care Protocol Standardization</t>
  </si>
  <si>
    <t>Inconsistent treatment protocols across 250 clinics create quality variation and inefficiency</t>
  </si>
  <si>
    <t>$16M</t>
  </si>
  <si>
    <t>Manual verification across 300+ insurance carriers with inconsistent portal access and data formats</t>
  </si>
  <si>
    <t>$23.0M</t>
  </si>
  <si>
    <t>23% no-show rate driven by lack of automated reminders and patient engagement tools</t>
  </si>
  <si>
    <t>Dentists spend 12 minutes per visit on manual chart documentation reducing daily patient capacity</t>
  </si>
  <si>
    <t>$18.5M</t>
  </si>
  <si>
    <t>Limited patient lifetime value visibility prevents targeted retention programs for high-value segments</t>
  </si>
  <si>
    <t>Inconsistent treatment plan documentation complicates care coordination for multi-specialty cases</t>
  </si>
  <si>
    <t>67-day credentialing cycles delay new provider revenue generation due to manual document collection</t>
  </si>
  <si>
    <t>Patient Education</t>
  </si>
  <si>
    <t>Lack of standardized patient education materials leads to repetitive explanations and extended visit times</t>
  </si>
  <si>
    <t>Manual claim scrubbing across multiple practice management systems increases rejection rates to 12%</t>
  </si>
  <si>
    <t>Manual route analysis for custom quotes averaging 18 minutes per request; 45-minute delays during peak periods cause quote abandonment</t>
  </si>
  <si>
    <t>$217K (120 lost quotes/month × $151 avg value × 12 months)</t>
  </si>
  <si>
    <t>48,000 annual hours spent on manual driver-to-shipment matching without predictive availability modeling</t>
  </si>
  <si>
    <t>$680K (48,000 hrs × $85K ÷ 2,080 hrs × 0.30 manual portion = 14,400 hrs × $47.36/hr)</t>
  </si>
  <si>
    <t>Billing Reconciliation</t>
  </si>
  <si>
    <t>3,200 annual hours reconciling 8,880 billing errors manually; 4.8% error rate vs 1.8% industry benchmark</t>
  </si>
  <si>
    <t>$169K (3,200 hrs × $55K ÷ 2,080 hrs + opportunity cost from 11-day payment delay)</t>
  </si>
  <si>
    <t>280 annual hours processing driver applications and compliance documents across varying state requirements manually</t>
  </si>
  <si>
    <t>$15K (280 hrs × $55K ÷ 2,080 hrs)</t>
  </si>
  <si>
    <t>No systematic analysis of customer shipping patterns; reactive account management without predictive retention signals</t>
  </si>
  <si>
    <t>$95K (estimated lost expansion revenue from top 25 accounts)</t>
  </si>
  <si>
    <t>Manual lane-level profitability analysis limits pricing optimization; quarterly review cycle vs continuous monitoring</t>
  </si>
  <si>
    <t>$78K (estimated margin leakage from suboptimal pricing on 15% of shipments)</t>
  </si>
  <si>
    <t>Manual prior authorization documentation across 340 payers with inconsistent requirements</t>
  </si>
  <si>
    <t>$18.2M</t>
  </si>
  <si>
    <t>Physicians spend 12 hours weekly on clinical notes, treatment summaries, and care plans</t>
  </si>
  <si>
    <t>$19.8M</t>
  </si>
  <si>
    <t>Rate reconciliation requires manual comparison of 1,240 contracts against remittances</t>
  </si>
  <si>
    <t>Patient cost estimates require manual benefit verification across multiple systems</t>
  </si>
  <si>
    <t>Manual review of 180,000 patient records against 120 active trial protocols</t>
  </si>
  <si>
    <t>Quality measure abstraction from EHR requires 540 hours monthly across sites</t>
  </si>
  <si>
    <t>Credentialing verification across 22 states with varying board requirements</t>
  </si>
  <si>
    <t>Intake coordinators manually triage 4,200 monthly referrals without decision support</t>
  </si>
  <si>
    <t>Manual reconciliation of 230 external data feeds with inconsistent schemas and validation rules</t>
  </si>
  <si>
    <t>19-day lag from ingestion to insights causes 15% qualified lead rejection due to capacity constraints</t>
  </si>
  <si>
    <t>$27M</t>
  </si>
  <si>
    <t>Reactive churn management with only 8-day early warning limits intervention effectiveness</t>
  </si>
  <si>
    <t>12-day RFP response time creates competitive disadvantage versus 5-day industry benchmark</t>
  </si>
  <si>
    <t>18-day billing cycle delays cash collection and increases DSO by 10 days</t>
  </si>
  <si>
    <t>9-day contract review turnaround creates sales cycle friction and delays deal closure</t>
  </si>
  <si>
    <t>21-day documentation lag after feature release frustrates users and increases support burden</t>
  </si>
  <si>
    <t>Manual reconciliation of fragmented project schedules, weather patterns, and supplier lead times for 8,400 SKUs</t>
  </si>
  <si>
    <t>Reactive replenishment decisions drive 18% stockout rate and 23% overstock across regional DCs</t>
  </si>
  <si>
    <t>Supplier performance data scattered across email, ERP notes, and individual buyer knowledge</t>
  </si>
  <si>
    <t>Custom proposals drafted from scratch despite 70% content overlap across similar projects</t>
  </si>
  <si>
    <t>$4.9M</t>
  </si>
  <si>
    <t>Product specification sheets and installation guides created manually for each new SKU introduction</t>
  </si>
  <si>
    <t>Monthly performance reports compiled manually from disparate systems with inconsistent metrics</t>
  </si>
  <si>
    <t>Contract Negotiation</t>
  </si>
  <si>
    <t>Historical pricing and terms research requires manual review of past agreements and email threads</t>
  </si>
  <si>
    <t>$1.5M</t>
  </si>
  <si>
    <t>Manual transcription of inspection results across non-standardized systems at 18 facilities</t>
  </si>
  <si>
    <t>19-day average closure time on customer quality inquiries due to data gathering burden</t>
  </si>
  <si>
    <t>Reactive maintenance approach based on operator observations rather than sensor data analysis</t>
  </si>
  <si>
    <t>$14.7M</t>
  </si>
  <si>
    <t>73-day inventory buffer maintained to compensate for supplier variability across 2,400 SKUs</t>
  </si>
  <si>
    <t>$11.6M</t>
  </si>
  <si>
    <t>12-week quote cycle driven by manual cost estimation and design feasibility assessment</t>
  </si>
  <si>
    <t>Contract Compliance</t>
  </si>
  <si>
    <t>Manual contract review process misses price adjustment clauses creating revenue leakage</t>
  </si>
  <si>
    <t>Forecasting</t>
  </si>
  <si>
    <t>Disconnected data sources require manual consolidation for monthly financial forecasts</t>
  </si>
  <si>
    <t>Manual pitch book assembly from scattered precedent materials</t>
  </si>
  <si>
    <t>$8,900,000</t>
  </si>
  <si>
    <t>Document-by-document review without pattern recognition or prioritization</t>
  </si>
  <si>
    <t>$19,500,000</t>
  </si>
  <si>
    <t>CRM Maintenance</t>
  </si>
  <si>
    <t>Manual data entry and relationship mapping updates</t>
  </si>
  <si>
    <t>$4,800,000</t>
  </si>
  <si>
    <t>Jurisdiction-specific rules tracked in spreadsheets without change alerts</t>
  </si>
  <si>
    <t>$9,200,000</t>
  </si>
  <si>
    <t>Weekly client updates drafted manually from deal team notes</t>
  </si>
  <si>
    <t>$3,100,000</t>
  </si>
  <si>
    <t>Partner review of 40% of all diligence work due to inconsistent quality</t>
  </si>
  <si>
    <t>$11,600,000</t>
  </si>
  <si>
    <t>Manual literature synthesis across 40-60 sources per patient protocol creates 8-12 hour physician burden per case</t>
  </si>
  <si>
    <t>27% first-year patient dropout due to insufficient coaching touchpoints and delayed inquiry responses</t>
  </si>
  <si>
    <t>12,000 hours annually on regulatory filings and state medical board compliance across 12 locations</t>
  </si>
  <si>
    <t>Physicians spend 340 hours monthly on manual research that becomes outdated within 90 days</t>
  </si>
  <si>
    <t>$755K</t>
  </si>
  <si>
    <t>42% consultation-to-enrollment rate reflects inability to demonstrate personalized value proposition</t>
  </si>
  <si>
    <t>Manual chart audits identify quality issues reactively rather than preventing them proactively</t>
  </si>
  <si>
    <t>$520K</t>
  </si>
  <si>
    <t>Physician capacity limited to 3.2 new patients monthly due to protocol development time burden</t>
  </si>
  <si>
    <t>Manual product description writing across 14 content formats per SKU (web, retail sheets, wholesale catalogs, safety docs)</t>
  </si>
  <si>
    <t>$9,600,000</t>
  </si>
  <si>
    <t>Manual demand forecasting with limited seasonal pattern recognition driving excess inventory</t>
  </si>
  <si>
    <t>$4,500,000</t>
  </si>
  <si>
    <t>Quarterly manual competitive analysis with no real-time pricing or product trend monitoring</t>
  </si>
  <si>
    <t>Manual accounts receivable follow-up emails without payment pattern analysis or prioritization</t>
  </si>
  <si>
    <t>$900,000</t>
  </si>
  <si>
    <t>Generic product knowledge training requiring 65 days for new customer service reps to reach productivity</t>
  </si>
  <si>
    <t>Manual research of ingredient compatibility and regulatory restrictions across new formulation projects</t>
  </si>
  <si>
    <t>$800,000</t>
  </si>
  <si>
    <t>Social Media</t>
  </si>
  <si>
    <t>Manual social sentiment monitoring with 7-day lag on identifying emerging product issues or opportunities</t>
  </si>
  <si>
    <t>$600,000</t>
  </si>
  <si>
    <t>Manual batch record transcription from handwritten logs to digital systems across 847K metric tons annual production</t>
  </si>
  <si>
    <t>Regulatory change monitoring across 18 frameworks relies on weekly manual review of 340+ information sources</t>
  </si>
  <si>
    <t>Equipment failure pattern recognition limited to reactive analysis after incidents versus predictive monitoring</t>
  </si>
  <si>
    <t>$23.5M</t>
  </si>
  <si>
    <t>Technical literature review spans 23,000+ patents and papers with manual keyword search limiting innovation velocity</t>
  </si>
  <si>
    <t>$11.2M</t>
  </si>
  <si>
    <t>Monthly variance commentary requires 240 hours of analyst time synthesizing data from 19 source systems</t>
  </si>
  <si>
    <t>Process knowledge transfer depends on senior operator availability creating 34-day average onboarding time for new hires</t>
  </si>
  <si>
    <t>Manual classification of 2.8M project documents annually across 47 document types with inconsistent naming conventions and format variations</t>
  </si>
  <si>
    <t>Custom API mapping for each new client across 12 common ERP systems requiring manual schema translation and field-level validation</t>
  </si>
  <si>
    <t>Contract review requires manual extraction of 23 key terms per agreement with 7-day average turnaround constraining deal velocity</t>
  </si>
  <si>
    <t>Technical content creation bottlenecked by limited subject matter expert availability producing only 18 assets monthly versus 42 target</t>
  </si>
  <si>
    <t>Account managers lack data-driven insights for cross-sell timing with 12% conversion versus 18% industry benchmark</t>
  </si>
  <si>
    <t>Engineering candidate screening requires 6 hours per applicant with 450 annual applications and 85% early-stage rejection rate</t>
  </si>
  <si>
    <t>$1.1M</t>
  </si>
  <si>
    <t>Analytics</t>
  </si>
  <si>
    <t>Project risk scoring relies on manual quarterly reviews with no continuous monitoring of 3,200 active client projects</t>
  </si>
  <si>
    <t>Internal expertise distributed across 450 employees with no centralized knowledge repository causing duplicate problem-solving effort</t>
  </si>
  <si>
    <t>Manual clinical note generation consuming 2.1 hours/day per physician across 47 providers</t>
  </si>
  <si>
    <t>Manual authorization request preparation requiring 11,200 staff hours annually</t>
  </si>
  <si>
    <t>6.4% coding error rate creates $890K undercoding revenue leakage and $340K compliance risk</t>
  </si>
  <si>
    <t>$1,230,000</t>
  </si>
  <si>
    <t>Documentation Audit</t>
  </si>
  <si>
    <t>Manual audit capacity limited to 3% of charts monthly, insufficient for risk detection</t>
  </si>
  <si>
    <t>$380,000</t>
  </si>
  <si>
    <t>Physicians manually research clinical guidelines across fragmented sources, adding 0.8 hours per complex case</t>
  </si>
  <si>
    <t>Limited predictive modeling for patient payment likelihood results in inadequate pre-service collection</t>
  </si>
  <si>
    <t>$310,000</t>
  </si>
  <si>
    <t>Manual pump curve generation and system head loss calculations requiring repetitive data entry across manufacturer selection tools</t>
  </si>
  <si>
    <t>Reduce Cost / Grow Revenue</t>
  </si>
  <si>
    <t>Incomplete application data capture during sales process leading to incorrect equipment selection and warranty claims</t>
  </si>
  <si>
    <t>Tribal knowledge concentrated in senior engineers with no systematic transfer mechanism to new hires</t>
  </si>
  <si>
    <t>Manual creation of as-built drawings and O&amp;M manuals from field notes and photos with inconsistent completeness</t>
  </si>
  <si>
    <t>Reduce Cost / Decrease Risk</t>
  </si>
  <si>
    <t>Line-by-line comparison of product submittals against project specifications requiring senior engineer review time</t>
  </si>
  <si>
    <t>Manual analysis of historical sales patterns and market indicators to predict inventory requirements</t>
  </si>
  <si>
    <t>$720K</t>
  </si>
  <si>
    <t>Repetitive creation of safety data sheets and equipment compliance certificates for customer regulatory submissions</t>
  </si>
  <si>
    <t>$540K</t>
  </si>
  <si>
    <t>Ad-hoc competitor analysis and market trend research conducted independently by sales team members</t>
  </si>
  <si>
    <t>Manual extraction and normalization of product specifications from supplier PDFs and spreadsheets across 400+ unique vendor formats</t>
  </si>
  <si>
    <t>Static 18-month historical lookback without seasonal adjustment, regional trend analysis, or customer-specific buying pattern recognition</t>
  </si>
  <si>
    <t>Custom safety guidance requests require manual research across fragmented technical documentation with 8.4-day average turnaround</t>
  </si>
  <si>
    <t>Sales teams lack consolidated customer intelligence—purchase history, compliance needs, industry trends—forcing reactive rather than strategic selling</t>
  </si>
  <si>
    <t>Supplier data validation requires manual verification of business licenses, insurance certificates, and product certifications across 23 states and 2 Canadian provinces</t>
  </si>
  <si>
    <t>Collections specialists manually prioritize accounts without predictive models for payment likelihood or customer financial health indicators</t>
  </si>
  <si>
    <t>Safety bulletin creation requires manual research across OSHA updates, industry incidents, and product recalls with 6.2 days per bulletin</t>
  </si>
  <si>
    <t>IT Operations</t>
  </si>
  <si>
    <t>Seven disconnected systems (ERP, WMS, CRM, eCommerce, supplier portal, compliance tracker, pricing engine) require manual data synchronization</t>
  </si>
  <si>
    <t>Manual campaign setup guidance and audience segmentation strategy development for new customers</t>
  </si>
  <si>
    <t>$7.2M</t>
  </si>
  <si>
    <t>Manual monitoring of carrier policy changes across 22 carriers with inconsistent documentation formats</t>
  </si>
  <si>
    <t>Custom proposal creation with ROI modeling and campaign strategy recommendations for each prospect</t>
  </si>
  <si>
    <t>Support agents searching knowledge base and past tickets to resolve technical configuration questions</t>
  </si>
  <si>
    <t>Blog posts, customer guides, and campaign templates requiring subject matter expert time for creation</t>
  </si>
  <si>
    <t>Enterprise contract customization and compliance review for non-standard terms requested by large customers</t>
  </si>
  <si>
    <t>$980K</t>
  </si>
  <si>
    <t>Fragmented technical documentation across 14 legacy systems requiring 47,000 annual search hours</t>
  </si>
  <si>
    <t>Visual inspection of 280,000 optical components requiring 28,000 manual hours annually</t>
  </si>
  <si>
    <t>68% of 42,000 annual support inquiries are routine questions consuming specialized engineering time</t>
  </si>
  <si>
    <t>Manual compilation of customer performance reports from 6 disconnected systems</t>
  </si>
  <si>
    <t>Manual forecast reconciliation across 3 product lines requiring 340 hours monthly</t>
  </si>
  <si>
    <t>$490K</t>
  </si>
  <si>
    <t>Contract Analysis</t>
  </si>
  <si>
    <t>Manual review of 1,200 customer contracts annually for revenue recognition compliance</t>
  </si>
  <si>
    <t>$310K</t>
  </si>
  <si>
    <t>Manual RFP response assembly requiring search across 12+ prior proposals and case studies with 60-70% content reuse but complete manual recreation</t>
  </si>
  <si>
    <t>Research synthesis across 15-25 fragmented sources per engagement with manual extraction, summarization, and cross-reference validation</t>
  </si>
  <si>
    <t>Competitive intelligence gathering requiring manual monitoring of 8-12 competitor websites, social channels, and news feeds per client engagement</t>
  </si>
  <si>
    <t>Project kickoff packet assembly requiring manual aggregation of SOW details, team bios, process guides, and communication protocols from 8+ source documents</t>
  </si>
  <si>
    <t>Weekly client status report creation requiring manual data extraction from project management tools and narrative summarization of progress across 6-8 workstreams</t>
  </si>
  <si>
    <t>Consultant Training</t>
  </si>
  <si>
    <t>New consultant onboarding requiring 40 hours of manual training on methodologies, tools, and best practices with no interactive learning or knowledge validation</t>
  </si>
  <si>
    <t>Invoice narrative creation requiring manual summarization of project accomplishments and deliverables across 12-15 line items per client per month</t>
  </si>
  <si>
    <t>Fragmented industry research across disconnected sources requiring manual synthesis</t>
  </si>
  <si>
    <t>$6.9M</t>
  </si>
  <si>
    <t>Manual versioning of creative assets across 12-15 platform specifications per campaign</t>
  </si>
  <si>
    <t>Scope change trails scattered across email, Slack, and project management tools</t>
  </si>
  <si>
    <t>Weekly client status reports manually compiled from fragmented project data</t>
  </si>
  <si>
    <t>Inconsistent code review standards across 14 development teams</t>
  </si>
  <si>
    <t>Repetitive MSA negotiation points handled individually without pattern recognition</t>
  </si>
  <si>
    <t>Manual reconciliation of 47 disparate biometric screening vendor formats requiring field-by-field data mapping and quality validation</t>
  </si>
  <si>
    <t>$28.0M</t>
  </si>
  <si>
    <t>45-day lag between biometric screening events and delivery of actionable member health insights due to batch processing workflows</t>
  </si>
  <si>
    <t>Reactive churn identification based on quarterly business reviews rather than predictive signals from engagement and satisfaction patterns</t>
  </si>
  <si>
    <t>$22.0M</t>
  </si>
  <si>
    <t>HIPAA audit responses consume 124 hours per event for manual documentation assembly across privacy practices, security controls, and breach protocols</t>
  </si>
  <si>
    <t>$4.0M</t>
  </si>
  <si>
    <t>156-day development cycles include 34 days spent on technical documentation, API specification, and code review processes</t>
  </si>
  <si>
    <t>$6.0M</t>
  </si>
  <si>
    <t>Wellness education content requires clinical review cycles averaging 23 days from draft to publication across blog posts, email campaigns, and program materials</t>
  </si>
  <si>
    <t>$3.0M</t>
  </si>
  <si>
    <t>Contract value calculations for complex multi-site clients require manual spreadsheet modeling consuming 12 hours per contract across 450 annual renewals and new deals</t>
  </si>
  <si>
    <t>$5.0M</t>
  </si>
  <si>
    <t>Coaching Credentialing</t>
  </si>
  <si>
    <t>Health coach certification verification and continuing education tracking requires quarterly manual audits consuming 18 hours per coach across 140 active coaches</t>
  </si>
  <si>
    <t>Manual inventory counts and ordering decisions across 185 locations create inconsistent stock levels, 4.1% waste, and 2.3% revenue loss from stockouts</t>
  </si>
  <si>
    <t>Reduce Cost, Increase Cash Flow</t>
  </si>
  <si>
    <t>$14.2M</t>
  </si>
  <si>
    <t>110% annual turnover requires continuous recruiting, with each hire consuming 40 training hours plus 30-day productivity ramp</t>
  </si>
  <si>
    <t>Menu Optimization</t>
  </si>
  <si>
    <t>Static menu boards lack personalization, missing upsell opportunities and limiting ability to move slow-moving inventory</t>
  </si>
  <si>
    <t>3.8% order error rate drives remakes, waste, and customer dissatisfaction, with no systematic pattern analysis to identify root causes</t>
  </si>
  <si>
    <t>Manual invoice matching across 185 locations and multiple vendors creates payment delays and missed early-pay discounts</t>
  </si>
  <si>
    <t>Inconsistent training delivery across locations extends new hire ramp time to 45 days versus 30-day industry benchmark</t>
  </si>
  <si>
    <t>District managers lack real-time operational visibility, relying on weekly store visits and lagging reports to identify performance issues</t>
  </si>
  <si>
    <t>Health Inspections</t>
  </si>
  <si>
    <t>Health inspection preparation requires 8 hours per location per inspection with inconsistent readiness across the system</t>
  </si>
  <si>
    <t>No systematic tracking of vendor delivery accuracy, quality issues, or pricing variances across 185 locations</t>
  </si>
  <si>
    <t>Manual coordination initiation creates 4.2-day delay between contract acceptance and first coordinator action, increasing fall-through risk during critical inspection period</t>
  </si>
  <si>
    <t>New agent training consumes 340 hours per agent with standardized curriculum that fails to identify struggling agents before attrition</t>
  </si>
  <si>
    <t>Manual tracking of jurisdiction-specific disclosure requirements across 7 states creates 12% initial submission error rate</t>
  </si>
  <si>
    <t>Compliance training updates require manual curriculum revision across 850 employees when regulations change</t>
  </si>
  <si>
    <t>Compilation of data across disconnected systems for quarterly and annual regulatory filings to three state commissions</t>
  </si>
  <si>
    <t>Manual technician routing without real-time location data or skill matching causing 2.3-hour average response times</t>
  </si>
  <si>
    <t>$940K</t>
  </si>
  <si>
    <t>Absence of predictive analytics for asset failure risk resulting in reactive replacement strategies and unplanned outages</t>
  </si>
  <si>
    <t>Manual review of construction design packages against regulatory standards and internal specifications</t>
  </si>
  <si>
    <t>Reliance on tribal knowledge from senior technicians with 28% retirement-eligible and limited documentation of procedures</t>
  </si>
  <si>
    <t>Manual contract review for compliance with regulatory requirements and insurance specifications across 180 annual vendor agreements</t>
  </si>
  <si>
    <t>Manual ECO routing across 7 approval stages with email-based coordination causing 19-day backlog</t>
  </si>
  <si>
    <t>$34.0M</t>
  </si>
  <si>
    <t>Manual transcription of CMM inspection results into AS9102 compliance packages consuming 31,000 hours annually</t>
  </si>
  <si>
    <t>Procurement manually monitors 340 suppliers using quarterly reviews missing real-time disruption signals</t>
  </si>
  <si>
    <t>$41.0M</t>
  </si>
  <si>
    <t>Invoice disputes from mid-production engineering changes take 22 days to resolve with manual evidence gathering</t>
  </si>
  <si>
    <t>$9.2M</t>
  </si>
  <si>
    <t>FAI reports require 6.8 days as engineers manually compile measurement data and create AS9102 narratives</t>
  </si>
  <si>
    <t>$7.9M</t>
  </si>
  <si>
    <t>Manual carrier selection across fragmented databases requiring cross-referencing carrier capacity, route history, performance scores, and pricing preferences for each shipment assignment</t>
  </si>
  <si>
    <t>$23.4M</t>
  </si>
  <si>
    <t>Quarterly manual audits of carrier FMCSA authority, insurance certificates, and safety ratings across 15,000 carrier network with no real-time monitoring</t>
  </si>
  <si>
    <t>$280K</t>
  </si>
  <si>
    <t>Lack of historical route optimization data forcing planners to rely on intuition for multi-leg shipments and backhaul opportunities</t>
  </si>
  <si>
    <t>Delayed pickup and delivery exceptions requiring manual customer notification, carrier coordination, and schedule adjustment without predictive capabilities</t>
  </si>
  <si>
    <t>Manual verification of proof of delivery documents, inspection for damage, and cross-referencing against contracted rates before payment approval</t>
  </si>
  <si>
    <t>Online Marketplace</t>
  </si>
  <si>
    <t>Individual consumer inquiries requiring customized responses about pricing, timing, and process without self-service capabilities</t>
  </si>
  <si>
    <t>Dispatch Coordination</t>
  </si>
  <si>
    <t>Manual tracking of carrier pickup windows, customer availability, and delivery scheduling across three communication channels without centralized visibility</t>
  </si>
  <si>
    <t>Manual resume review and technical qualification assessment for 18,000 annual placements; recruiters spend 142,000 hours on initial screening</t>
  </si>
  <si>
    <t>$12.1M</t>
  </si>
  <si>
    <t>Manual validation of 47 different industry certifications across multiple jurisdictions; 3.2 hours per candidate</t>
  </si>
  <si>
    <t>$21.9M</t>
  </si>
  <si>
    <t>Account managers spend 23,000 hours annually assembling project histories and performance data from 5 disconnected systems</t>
  </si>
  <si>
    <t>Proposal teams recreate boilerplate content and case studies for each RFP; 40% of content reused but manually copied</t>
  </si>
  <si>
    <t>Month-end accruals and contractor expense validation performed manually across 45 offices in 30 countries</t>
  </si>
  <si>
    <t>Internal Recruitment</t>
  </si>
  <si>
    <t>Employee onboarding documentation and system provisioning requires coordination across 7 departments; 18-day cycle</t>
  </si>
  <si>
    <t>Internal Support</t>
  </si>
  <si>
    <t>IT helpdesk handles 2,400 monthly tickets with 60% repetitive inquiries about system access, password resets, and software provisioning</t>
  </si>
  <si>
    <t>Manual takeoff from aerial imagery and site visits requires 127,000 estimator hours annually across 42,000 projects</t>
  </si>
  <si>
    <t>Grow Revenue, Reduce Cost</t>
  </si>
  <si>
    <t>Regional managers manually match crew certifications, equipment availability, and travel distances resulting in 19% utilization gap</t>
  </si>
  <si>
    <t>$31.0M</t>
  </si>
  <si>
    <t>Photographing conditions and writing justifications for scope changes averages 6.7 hours per disputed change order across 6,700 annual disputes</t>
  </si>
  <si>
    <t>Estimators manually calculate material quantities from measurements leading to 14% error rate and $9.8M expedited shipping costs</t>
  </si>
  <si>
    <t>$9.8M</t>
  </si>
  <si>
    <t>Dispatchers manually check crew locations, equipment availability, and travel times requiring 4.2 hours average to mobilize emergency repairs</t>
  </si>
  <si>
    <t>Grow Revenue, Decrease Risk</t>
  </si>
  <si>
    <t>Data Reconciliation</t>
  </si>
  <si>
    <t>Branch administrators spend 23,400 hours annually transferring data between estimating, scheduling, and accounting systems</t>
  </si>
  <si>
    <t>Manual compilation of clinical documentation across 340 different payer policies with inconsistent requirements</t>
  </si>
  <si>
    <t>$10.2M</t>
  </si>
  <si>
    <t>Denial rework consuming 12,000 hours annually due to documentation gaps and coding errors</t>
  </si>
  <si>
    <t>Manual dispatch of 890 daily appointments without route optimization or real-time technician visibility</t>
  </si>
  <si>
    <t>$14.3M</t>
  </si>
  <si>
    <t>Configuration errors in 7.2% of orders due to manual interpretation of prescription specifications</t>
  </si>
  <si>
    <t>38-hour average response time to physician referrals due to manual triage and therapist assignment</t>
  </si>
  <si>
    <t>Parts Ordering</t>
  </si>
  <si>
    <t>Technicians spend 45 minutes per service call verifying parts availability across inventory systems</t>
  </si>
  <si>
    <t>Eligibility Verification</t>
  </si>
  <si>
    <t>Manual verification of insurance coverage for 145,000 annual orders with 12% error rate requiring rework</t>
  </si>
  <si>
    <t>Medical Necessity Documentation</t>
  </si>
  <si>
    <t>Inconsistent documentation quality across 280 therapists leading to 18% first-pass denial rate</t>
  </si>
  <si>
    <t>Load Planning</t>
  </si>
  <si>
    <t>Manual load matching across 140 drayage lanes and 23 rail terminals requires 28,000 annual dispatcher hours to coordinate rail schedules, truck availability, and customer delivery windows</t>
  </si>
  <si>
    <t>Empty container repositioning driven by poor demand forecasting creates 22% non-revenue moves at $740 average cost per repositioning move</t>
  </si>
  <si>
    <t>Rail detention charges from late gate arrivals total $3.2M annually as manual scheduling fails to account for real-time rail network disruptions</t>
  </si>
  <si>
    <t>Reactive maintenance approach creates 7.2% unplanned downtime versus 4.1% benchmark due to lack of predictive failure analytics</t>
  </si>
  <si>
    <t>Customer churn at 32% driven by service failures and poor proactive communication during shipment exceptions</t>
  </si>
  <si>
    <t>$12.2M</t>
  </si>
  <si>
    <t>Drayage route optimization relies on driver experience rather than algorithmic optimization, creating 15% excess mileage and fuel waste</t>
  </si>
  <si>
    <t>Invoice accuracy at 91.2% creates dispute resolution burden consuming 3,200 hours annually and delaying payment cycles</t>
  </si>
  <si>
    <t>Manual municipal bid preparation requiring site visits, material calculations, and multi-format documentation across 47 jurisdictions</t>
  </si>
  <si>
    <t>Manual daily crew assignments and route planning for 180 crews across dispersed job sites without optimization algorithms</t>
  </si>
  <si>
    <t>23% of service appointments require rescheduling due to crew availability mismatches and poor weather forecasting</t>
  </si>
  <si>
    <t>Inconsistent proposal quality and missed upsell opportunities due to lack of historical win/loss pattern analysis</t>
  </si>
  <si>
    <t>$11.3M</t>
  </si>
  <si>
    <t>Manual material quantity forecasting leading to 14% overstock and 9% rush orders</t>
  </si>
  <si>
    <t>4.2 hours average incident documentation time with manual form completion and multi-system data entry</t>
  </si>
  <si>
    <t>Delayed job cost reconciliation averaging 11 days post-completion, preventing real-time profitability visibility</t>
  </si>
  <si>
    <t>Service Inquiries</t>
  </si>
  <si>
    <t>Average 18-minute call handling time for service questions due to fragmented information across legacy systems</t>
  </si>
  <si>
    <t>Manual extraction and normalization of financial data from diverse document formats across 3,200 borrowers</t>
  </si>
  <si>
    <t>$34.2M</t>
  </si>
  <si>
    <t>Manual reconciliation of 69,454 invoices annually flagged for discrepancies exceeding tolerance thresholds</t>
  </si>
  <si>
    <t>Reactive review cycles missing early warning signals on deteriorating accounts</t>
  </si>
  <si>
    <t>Spreadsheet-based portfolio stress testing with 5-day turnaround limiting decision agility</t>
  </si>
  <si>
    <t>Repetitive client questions on facility terms, availability, and payment status deflectable with self-service tools</t>
  </si>
  <si>
    <t>Manual customization of 2,640 facility agreements annually from base templates</t>
  </si>
  <si>
    <t>Manual calculation of facility reserves and loss provisions across 12,400 relationships</t>
  </si>
  <si>
    <t>Disconnected origination pipeline data requiring manual consolidation from 23 regional offices</t>
  </si>
  <si>
    <t>Manual HS code classification and tariff schedule research across 127 trade corridors with inconsistent regulatory frameworks</t>
  </si>
  <si>
    <t>$13.4M</t>
  </si>
  <si>
    <t>Fragmented visibility across 14 carrier APIs with no unified exception management creates reactive firefighting culture</t>
  </si>
  <si>
    <t>$22.7M</t>
  </si>
  <si>
    <t>8-day invoice cycle time driven by manual data aggregation from 6 disconnected systems per shipment</t>
  </si>
  <si>
    <t>18-month new hire productivity ramp due to undocumented tribal knowledge across product, geography, and process domains</t>
  </si>
  <si>
    <t>$31.2M</t>
  </si>
  <si>
    <t>45-day audit response cycle requires manual reconstruction of decision rationale from fragmented email and spreadsheet trails</t>
  </si>
  <si>
    <t>Carrier contract renewals require manual rate comparison across 200+ lane-specific agreements with 60-day processing time</t>
  </si>
  <si>
    <t>Manual RFP response assembly requiring 8,200 senior consultant hours annually across concurrent opportunities</t>
  </si>
  <si>
    <t>Proposal Customization</t>
  </si>
  <si>
    <t>Case study and methodology tailoring consumes 35% of senior billable capacity without revenue attribution</t>
  </si>
  <si>
    <t>5-day lag in exception identification delays corrective action, eroding client satisfaction by 12 points</t>
  </si>
  <si>
    <t>Asset Recreation</t>
  </si>
  <si>
    <t>34% deliverable recreation rate duplicates work already completed elsewhere in organization</t>
  </si>
  <si>
    <t>Methodology Development</t>
  </si>
  <si>
    <t>Zero IP monetization despite substantial proprietary framework development investment</t>
  </si>
  <si>
    <t>Win/loss analysis conducted manually on spreadsheets, limiting pattern recognition across 180 annual proposals</t>
  </si>
  <si>
    <t>Manual rate research across 4,800 carriers for each RFQ, requiring 2.3 hours per complex multi-stop quote</t>
  </si>
  <si>
    <t>$21.4M</t>
  </si>
  <si>
    <t>Peak season capacity constraints force 23% bid decline rate, losing $87M in potential annual revenue opportunities</t>
  </si>
  <si>
    <t>$87M</t>
  </si>
  <si>
    <t>Reactive service model diverts account managers from strategic planning, reducing proactive client engagement by 4,200 hours</t>
  </si>
  <si>
    <t>$630K</t>
  </si>
  <si>
    <t>14% invoice exception rate requires 163,800 annual hours of manual rate verification and accessorial validation</t>
  </si>
  <si>
    <t>$13.9M</t>
  </si>
  <si>
    <t>12-day manual carrier setup process limits network expansion velocity and delays revenue capture on new lanes</t>
  </si>
  <si>
    <t>65% of shipments lack optimal route validation, increasing fuel costs and transit time by estimated 8%</t>
  </si>
  <si>
    <t>Load Optimization</t>
  </si>
  <si>
    <t>Manual load consolidation planning misses 18% of multi-stop optimization opportunities</t>
  </si>
  <si>
    <t>Manual assembly of technical files for 340 SKUs across 23 jurisdictions with inconsistent formatting requirements</t>
  </si>
  <si>
    <t>Reactive maintenance model with 12,400 annual hours unplanned downtime from equipment failures</t>
  </si>
  <si>
    <t>Technical Pre-Sales</t>
  </si>
  <si>
    <t>840 annual customer site assessments requiring travel and manual configuration analysis</t>
  </si>
  <si>
    <t>2,800 annual service calls requiring manual parts lookup across fragmented legacy systems</t>
  </si>
  <si>
    <t>72% requirements completeness at design freeze causing 34% average scope change during development</t>
  </si>
  <si>
    <t>$18.6M</t>
  </si>
  <si>
    <t>Manual monitoring of 180 competitor products and 1,200 patent filings annually with 90-day lag</t>
  </si>
  <si>
    <t>Manual creation of 1,120 system manuals annually requiring 47,040 hours of senior engineer time at $165/hour</t>
  </si>
  <si>
    <t>180 hours per proposal across 290 annual bids with redundant technical analysis due to lack of centralized project database</t>
  </si>
  <si>
    <t>Manual mapping of system designs to 18 regulatory frameworks with 90-day certification cycles</t>
  </si>
  <si>
    <t>59% of support tickets require escalation due to inadequate self-service knowledge base</t>
  </si>
  <si>
    <t>Manual verification of project milestones against contract terms extending invoice-to-cash to 47 days</t>
  </si>
  <si>
    <t>120-day technician onboarding without structured knowledge transfer from experienced field personnel</t>
  </si>
  <si>
    <t>Manual customs form completion across 112 trade corridors with inconsistent schemas requiring specialist knowledge and frequent regulatory updates</t>
  </si>
  <si>
    <t>$21.0M</t>
  </si>
  <si>
    <t>Manual rate comparison across 340 carriers with dynamic pricing requiring real-time analysis of capacity, routes, and service levels</t>
  </si>
  <si>
    <t>Repetitive shipment status inquiries requiring agents to access 6 different systems to compile tracking information and delivery estimates</t>
  </si>
  <si>
    <t>$23.9M</t>
  </si>
  <si>
    <t>Limited pricing intelligence forcing conservative quotes that sacrifice margin or aggressive quotes that reduce conversion rates</t>
  </si>
  <si>
    <t>Reactive collections approach lacking predictive indicators of payment risk and automated escalation workflows for high-value accounts</t>
  </si>
  <si>
    <t>Delayed visibility into shipment delays requiring manual intervention when automated rerouting could minimize customer impact and costs</t>
  </si>
  <si>
    <t>Manual equipment configuration requires senior engineers to synthesize customer requirements across 2,400 component options for each proposal</t>
  </si>
  <si>
    <t>Service scheduling relies on fixed intervals rather than equipment condition, driving 34% emergency call rate</t>
  </si>
  <si>
    <t>Demand planners manually aggregate data from 14 regional systems with inconsistent schemas and lag times</t>
  </si>
  <si>
    <t>Supplier performance analysis requires manual data extraction from procurement and quality systems</t>
  </si>
  <si>
    <t>Installation manuals updated manually across 340 equipment variants with 87% accuracy rate</t>
  </si>
  <si>
    <t>AR specialists manually prioritize collection calls without predictive model for payment probability</t>
  </si>
  <si>
    <t>Legal team manually reviews 840 service contracts annually for compliance with customer-specific terms</t>
  </si>
  <si>
    <t>Manual specification and drawing research for routine contractor questions consumes 47,000 hours annually</t>
  </si>
  <si>
    <t>4.2-day average response delays drive $340M in client schedule extension costs and competitive disadvantage</t>
  </si>
  <si>
    <t>$21.2M</t>
  </si>
  <si>
    <t>Near-miss documentation and root cause analysis consume 8,500 hours with inconsistent categorization</t>
  </si>
  <si>
    <t>Manual lead research and qualification consume 4,800 hours with 12% conversion rate versus 18% benchmark</t>
  </si>
  <si>
    <t>Multi-system data reconciliation for month-end close requires 1,240 hours monthly across accounting team</t>
  </si>
  <si>
    <t>Requirements documentation and code generation for standard CRUD operations consume 9,200 hours annually</t>
  </si>
  <si>
    <t>Manual contract review and redlining require 3,600 hours annually with 5.8-day turnaround delaying sales cycles</t>
  </si>
  <si>
    <t>Manual creation of test reports and specifications across MIL-STD, DO-160, and ISO standards with extensive copy-paste from previous designs</t>
  </si>
  <si>
    <t>Non-Conformance Investigation</t>
  </si>
  <si>
    <t>Manual analysis of defect patterns across disconnected systems (ERP, MES, quality database) prevents early detection of process drift</t>
  </si>
  <si>
    <t>Custom technical proposals drafted from scratch despite 70% content overlap with previous submissions to same customer</t>
  </si>
  <si>
    <t>Manual consolidation of actuals from ERP with engineering estimates and change order tracking for contract variance reporting</t>
  </si>
  <si>
    <t>Static work instructions requiring manual updates across 850+ active documents when process changes occur</t>
  </si>
  <si>
    <t>Tribal knowledge retention as senior engineers retire with limited documentation of design decisions and lessons learned</t>
  </si>
  <si>
    <t>$4.5M</t>
  </si>
  <si>
    <t>Reactive churn intervention with post-cancellation surveys capturing feedback too late for member recovery</t>
  </si>
  <si>
    <t>$8,700,000</t>
  </si>
  <si>
    <t>Manual site visits consuming 67,000 hours annually without centralized performance visibility across 385 locations</t>
  </si>
  <si>
    <t>$8,400,000</t>
  </si>
  <si>
    <t>42% failed payment recovery rate with manual retry attempts and generic outreach messaging</t>
  </si>
  <si>
    <t>$2,900,000</t>
  </si>
  <si>
    <t>24-month payback period on new locations due to demographic analysis gaps and traffic pattern estimation uncertainty</t>
  </si>
  <si>
    <t>$2,400,000</t>
  </si>
  <si>
    <t>$47 cost per new membership acquisition driven by broad targeting without micro-market demand signals</t>
  </si>
  <si>
    <t>Peak-hour wait times averaging 18 minutes creating member dissatisfaction and single-wash customer abandonment</t>
  </si>
  <si>
    <t>Manual SQL development for each client's unique data schema consumes 340 hours per implementation across 28 new clients annually</t>
  </si>
  <si>
    <t>$1,560,000</t>
  </si>
  <si>
    <t>Monthly executive reports require 18 hours of manual data extraction, chart creation, and narrative writing across 340 clients</t>
  </si>
  <si>
    <t>$10,260,000</t>
  </si>
  <si>
    <t>Senior data scientists spend 12 days per model variant manually reviewing statistical approaches, checking for algorithmic bias, and validating feature engineering</t>
  </si>
  <si>
    <t>$1,870,000</t>
  </si>
  <si>
    <t>Account health scoring relies on quarterly manual reviews of usage metrics, support tickets, and stakeholder feedback with no predictive early warning</t>
  </si>
  <si>
    <t>$76,000,000</t>
  </si>
  <si>
    <t>Customer feedback across support tickets, sales calls, and user forums requires 18 days of manual synthesis to identify feature themes and quantify demand</t>
  </si>
  <si>
    <t>Enterprise contract reviews require 14 hours of attorney time to identify non-standard terms, assess risk, and draft redlines across 84 annual negotiations</t>
  </si>
  <si>
    <t>$290,000</t>
  </si>
  <si>
    <t>Manual pitch content assembly from disparate past work examples with no centralized case study repository or automated content tagging</t>
  </si>
  <si>
    <t>68,000 annual hours wasted searching across 11 disconnected systems with inconsistent metadata and no semantic search capability</t>
  </si>
  <si>
    <t>$8.5M</t>
  </si>
  <si>
    <t>58% of campaigns require major creative rework due to insufficient pre-testing and predictive insights on client preferences</t>
  </si>
  <si>
    <t>Manual milestone tracking across project management systems delays invoice generation by average 8 days impacting cash conversion</t>
  </si>
  <si>
    <t>Contract review requires manual extraction and comparison of standard clauses with 14-day average cycle delaying project kickoffs</t>
  </si>
  <si>
    <t>Manual transcription and editing of video content consumes 18,000 hours annually with outsourced transcription costs of $340K</t>
  </si>
  <si>
    <t>Strategy</t>
  </si>
  <si>
    <t>Brand Positioning</t>
  </si>
  <si>
    <t>Brand audits require 120 hours of manual competitor website analysis, social monitoring, and messaging synthesis per client engagement</t>
  </si>
  <si>
    <t>Manual creation of product descriptions, specifications, care instructions, and installation guides for 12,000 SKUs</t>
  </si>
  <si>
    <t>63% of 94,000 annual contacts address repetitive installation, compatibility, and care questions</t>
  </si>
  <si>
    <t>$3,200,000</t>
  </si>
  <si>
    <t>Spreadsheet-based forecasting across 140 suppliers produces 8% stockout rate and 23% excess inventory</t>
  </si>
  <si>
    <t>Manual review of slow-moving inventory takes 120 hours monthly with delayed markdown decisions</t>
  </si>
  <si>
    <t>Manual trade lead qualification results in 35% of sales time spent on non-viable opportunities</t>
  </si>
  <si>
    <t>$540,000</t>
  </si>
  <si>
    <t>Manual competitive pricing review covers only 20% of catalog monthly, missing markdown opportunities</t>
  </si>
  <si>
    <t>Manual warranty claim validation across six disconnected systems requiring serial number lookup, purchase date verification, and failure mode classification</t>
  </si>
  <si>
    <t>$2,700,000</t>
  </si>
  <si>
    <t>Customer feedback scattered across app reviews, support tickets, social media, and retail partner inputs with no unified synthesis platform</t>
  </si>
  <si>
    <t>$3,300,000</t>
  </si>
  <si>
    <t>Forecast models rely on manual data reconciliation across retailer POS feeds, promotional calendars, weather patterns, and historical sales with 18% error rate</t>
  </si>
  <si>
    <t>$8,000,000</t>
  </si>
  <si>
    <t>Slow-moving SKU identification requires monthly manual analysis of 840 active SKUs across 22 warehouse locations</t>
  </si>
  <si>
    <t>$950,000</t>
  </si>
  <si>
    <t>App push notification campaigns require manual segmentation and A/B test analysis across 620K device base with 3-week planning cycles</t>
  </si>
  <si>
    <t>Monthly variance analysis requires manual reconciliation of actuals vs budget across 147 cost centers with narrative commentary</t>
  </si>
  <si>
    <t>$720,000</t>
  </si>
  <si>
    <t>Resume screening for 380 annual requisitions consumes 1,900 hours with inconsistent evaluation criteria and candidate experience delays</t>
  </si>
  <si>
    <t>$285,000</t>
  </si>
  <si>
    <t>Manual mockup creation across 340 supplier catalogs with inconsistent specification formats requires 28,000 annual design hours and 3.7 supplier touchpoints per iteration</t>
  </si>
  <si>
    <t>Multi-system quote assembly touching 7 internal platforms and requiring supplier pricing inputs across 3 time zones creates 4.6-day turnaround and $1,200 sunk cost per unconverted quote</t>
  </si>
  <si>
    <t>Manual forecast aggregation across 180 warehouse locations and 45,000 SKUs produces 31% Q4 variance and drives $12.3M in excess inventory carrying costs</t>
  </si>
  <si>
    <t>18,000 annual packaging compliance queries across 23 jurisdictions require 4.2 hours of attorney research time each, consuming $6.8M in legal support capacity</t>
  </si>
  <si>
    <t>Tier 1 support lacks access to contextualized product knowledge and customer history, resulting in 58% escalation rate and 12-hour average resolution time</t>
  </si>
  <si>
    <t>Custom formatting requirements across 34 different customer FAI templates, each requiring manual reformatting of identical technical data</t>
  </si>
  <si>
    <t>Manual tracking of 2,800 supplier email threads regarding lead time updates, capacity constraints, and quality issues with no centralized visibility</t>
  </si>
  <si>
    <t>Custom narrative responses required for 340 annual RFQ submissions, with 65% content overlap but no reusable component library</t>
  </si>
  <si>
    <t>Excel-based capacity models updated manually each week, creating 23% forecast error rate and forcing planners to spend 12 hours per week reconciling actual vs. planned utilization</t>
  </si>
  <si>
    <t>Customer service reps manually query 5 different systems to answer order status questions, averaging 18 minutes per inquiry across 4,200 monthly requests</t>
  </si>
  <si>
    <t>Manual extraction of payment terms, liability clauses, and compliance requirements from customer contracts, requiring legal review of 340 annual agreements</t>
  </si>
  <si>
    <t>Manual compilation of toxicology and efficacy data from 40+ sources into jurisdiction-specific registration dossiers</t>
  </si>
  <si>
    <t>Custom crop nutrition planning requires manual synthesis of soil tests, yield history, weather patterns, and product performance data</t>
  </si>
  <si>
    <t>Batch record review requires manual verification of 120+ data points per batch against specifications across paper and digital systems</t>
  </si>
  <si>
    <t>Scientists spend 320 hours per formulation project manually searching 12 databases for efficacy, compatibility, and regulatory precedent data</t>
  </si>
  <si>
    <t>Seasonal credit limit reviews require manual analysis of grower payment history, commodity price trends, and acreage projections for 1,200 accounts</t>
  </si>
  <si>
    <t>Candidate screening for scientific roles requires manual review of 40+ applications per requisition against specialized agrochemistry and regulatory expertise requirements</t>
  </si>
  <si>
    <t>Distributor agreement updates require manual tracking of price adjustments, territorial changes, and volume commitments across 340 active contracts</t>
  </si>
  <si>
    <t>Manual SKU data reconciliation across 380 supplier feeds with inconsistent formats, incomplete safety data, and varying update frequencies</t>
  </si>
  <si>
    <t>86,000 annual inquiries requiring manual research across fragmented knowledge bases for pest biology, chemical protocols, state regulations</t>
  </si>
  <si>
    <t>Field reps spend 12 hours weekly researching product specifications instead of customer-facing activities, reducing effective selling time by 30%</t>
  </si>
  <si>
    <t>Manual monitoring of 2,400 restricted-use pesticide registrations across 50 states with no automated renewal alerts or gap detection</t>
  </si>
  <si>
    <t>41-day DSO driven by manual account monitoring, inconsistent follow-up workflows, and delayed dispute resolution</t>
  </si>
  <si>
    <t>67-day ramp time driven by 1,200-page product knowledge manual requiring instructor-led sessions and supervised field application</t>
  </si>
  <si>
    <t>Technical content production consuming 340 hours monthly for application guides, safety bulletins, seasonal advisories across customer segments</t>
  </si>
  <si>
    <t>$410K</t>
  </si>
  <si>
    <t>Manual specification assembly from 85,000-SKU catalog requires 68,000 annual hours of design consultant time to answer technical compatibility questions</t>
  </si>
  <si>
    <t>12,000 quarterly hours spent manually reconciling demand signals across channels with 23% forecast error at SKU level</t>
  </si>
  <si>
    <t>Lack of predictive analytics creates $28M excess inventory carrying cost from overproduction of slow-moving SKUs</t>
  </si>
  <si>
    <t>Only 20% of SKUs receive pre-launch validation with target designers, increasing risk of collection underperformance</t>
  </si>
  <si>
    <t>62% first contact resolution rate requires 24,000 annual hours on escalated inquiries about installation and compatibility</t>
  </si>
  <si>
    <t>8-day contract review cycle for showroom partner agreements delays revenue recognition by 3 days versus industry standard</t>
  </si>
  <si>
    <t>67-day time-to-fill for specialized design and technical roles versus 52-day industry benchmark increases contractor costs</t>
  </si>
  <si>
    <t>Manual crew scheduling and route optimization across 15 markets with daily coordination of 450 crews requiring phone-based communication for material pickup, delivery sequencing, and multi-day project handoffs</t>
  </si>
  <si>
    <t>Manual research and customization of proposals requiring 90 minutes per proposal across product specifications, energy efficiency calculations, local code requirements, and pricing scenarios</t>
  </si>
  <si>
    <t>Phone tree navigation and manual triage of customer inquiries requiring 3.2 average touchpoints per resolution with 18% incorrect initial routing creating repeat contacts</t>
  </si>
  <si>
    <t>Email-based coordination of material orders, delivery schedules, and quality issues across 23 suppliers with manual tracking of lead times and order exceptions</t>
  </si>
  <si>
    <t>Manual review of aging receivables and phone-based follow-up on 38-day average DSO with inconsistent documentation of payment commitments and dispute resolution</t>
  </si>
  <si>
    <t>Manual scoring and routing of 125,000 annual leads based on phone intake and form submissions with 14% misrouting to inappropriate sales territories or product specialists</t>
  </si>
  <si>
    <t>Paper-based safety training and certification tracking for 450 installation crews with manual scheduling of recertification and compliance documentation across OSHA and manufacturer requirements</t>
  </si>
  <si>
    <t>Manual aggregation of historical job cost data across 28 regional offices with inconsistent coding structures</t>
  </si>
  <si>
    <t>Daily manual crew assignments across 340 concurrent projects without optimization algorithms</t>
  </si>
  <si>
    <t>Handwritten inspection checklists requiring office transcription and causing 5-day reporting delays</t>
  </si>
  <si>
    <t>Fragmented supplier performance data across regions preventing strategic sourcing decisions</t>
  </si>
  <si>
    <t>Classroom-only safety training requiring travel and causing 12,000 lost billable hours annually</t>
  </si>
  <si>
    <t>Weekly manual progress reports from 340 projects consolidated in spreadsheets with 4-day lag</t>
  </si>
  <si>
    <t>Theme #</t>
  </si>
  <si>
    <t>Strategic Theme</t>
  </si>
  <si>
    <t>Current State</t>
  </si>
  <si>
    <t>Target State</t>
  </si>
  <si>
    <t>Primary Driver</t>
  </si>
  <si>
    <t>Secondary Driver</t>
  </si>
  <si>
    <t>Operational Excellence in Installation Coordination</t>
  </si>
  <si>
    <t>18,500 hours annually reconciling measurements, 8.2% material waste, 6-day scheduling delays</t>
  </si>
  <si>
    <t>Automated measurement validation, &lt;3% material waste, 2-day scheduling cycle</t>
  </si>
  <si>
    <t>Customer Service Efficiency</t>
  </si>
  <si>
    <t>72,000 hours on routine inquiries, 18-hour peak response times, limited capacity for complex issues</t>
  </si>
  <si>
    <t>AI-deflected routine inquiries, 4-hour response times, service team focused on escalations</t>
  </si>
  <si>
    <t>Sales Effectiveness &amp; Conversion</t>
  </si>
  <si>
    <t>68% close rate, $420 CAC, limited post-appointment follow-up, manual proposal generation</t>
  </si>
  <si>
    <t>75% close rate, $380 CAC, automated nurture sequences, instant proposal delivery</t>
  </si>
  <si>
    <t>Manufacturer &amp; Supplier Relationship Management</t>
  </si>
  <si>
    <t>Manual coordination with 85 partners, 12-day order-to-delivery cycle, reactive inventory management</t>
  </si>
  <si>
    <t>Automated supplier communication, 7-day order-to-delivery, demand-forecasted procurement</t>
  </si>
  <si>
    <t>Quality Assurance &amp; Risk Mitigation</t>
  </si>
  <si>
    <t>100% manual measurement review, reactive quality control, post-installation issue resolution</t>
  </si>
  <si>
    <t>AI-assisted measurement validation, predictive quality flags, pre-installation issue prevention</t>
  </si>
  <si>
    <t>Accelerate Professional Services Delivery</t>
  </si>
  <si>
    <t>120-day average implementation cycles, 47,000 annual consulting hours on repetitive configuration work, $50K minimum viable deal size</t>
  </si>
  <si>
    <t>75-day implementation cycles, 60% reduction in manual configuration hours, $25K minimum viable deal size expansion</t>
  </si>
  <si>
    <t>Scale Customer Support Efficiency</t>
  </si>
  <si>
    <t>42% first-contact resolution rate, 3.2-day average resolution time for escalated tickets, $14M annual support cost</t>
  </si>
  <si>
    <t>68% first-contact resolution rate, 1.5-day average resolution time, $9M annual support cost</t>
  </si>
  <si>
    <t>Enhance Sales Productivity</t>
  </si>
  <si>
    <t>12 hours per week on non-selling activities, 2.1% cold outreach response rate, 85-day average sales cycle</t>
  </si>
  <si>
    <t>6 hours per week on non-selling activities, 4.5% response rate with personalized engagement, 60-day sales cycle</t>
  </si>
  <si>
    <t>Improve Product Documentation Quality</t>
  </si>
  <si>
    <t>850 monthly hours on content creation, 23% of support tickets due to unclear documentation, quarterly update cadence</t>
  </si>
  <si>
    <t>400 monthly hours on content creation, 12% support tickets from documentation gaps, continuous update capability</t>
  </si>
  <si>
    <t>Optimize Development Velocity</t>
  </si>
  <si>
    <t>35% of engineering time on maintenance and bug fixes, 6-week average feature delivery cycle, legacy code base limiting innovation</t>
  </si>
  <si>
    <t>20% engineering time on maintenance, 4-week feature delivery cycle, modernized codebase enabling faster iteration</t>
  </si>
  <si>
    <t>Clinical Care Standardization</t>
  </si>
  <si>
    <t>250 clinics operate on 12 different EMR platforms with inconsistent care protocols</t>
  </si>
  <si>
    <t>Unified clinical decision support with evidence-based protocols accessible at point of care</t>
  </si>
  <si>
    <t>Veterinarian Retention &amp; Development</t>
  </si>
  <si>
    <t>22% annual veterinarian turnover with $120K replacement cost per departure</t>
  </si>
  <si>
    <t>AI-assisted clinical support reduces burnout and enables rural market expansion</t>
  </si>
  <si>
    <t>Client Experience &amp; Revenue Capture</t>
  </si>
  <si>
    <t>18% call abandonment rate and 12% no-show rate across 2.4M annual appointments</t>
  </si>
  <si>
    <t>Automated scheduling and follow-up eliminates revenue leakage and improves client satisfaction</t>
  </si>
  <si>
    <t>Regulatory Compliance &amp; Risk Management</t>
  </si>
  <si>
    <t>Manual compliance tracking across 32 state boards with inconsistent documentation standards</t>
  </si>
  <si>
    <t>Automated regulatory monitoring and documentation with proactive risk identification</t>
  </si>
  <si>
    <t>Operational Efficiency &amp; Scale</t>
  </si>
  <si>
    <t>Fragmented back-office processes require manual intervention across clinic network</t>
  </si>
  <si>
    <t>Centralized AI-driven operations enable network effects and predictable performance</t>
  </si>
  <si>
    <t>Patient Access &amp; Engagement</t>
  </si>
  <si>
    <t>23% no-show rate, 18-hour response time, 180 independent scheduling systems</t>
  </si>
  <si>
    <t>12% no-show rate, 2-hour response time, unified patient engagement platform</t>
  </si>
  <si>
    <t>Revenue Cycle Optimization</t>
  </si>
  <si>
    <t>3.2-day authorization delays, 67% same-day acceptance, 85,000 hours on insurance verification</t>
  </si>
  <si>
    <t>0.5-day authorization delays, 82% same-day acceptance, 45,000 hours on insurance verification</t>
  </si>
  <si>
    <t>Clinical Efficiency &amp; Documentation</t>
  </si>
  <si>
    <t>12 minutes per visit documentation, 11.2 patients per day, inconsistent chart quality</t>
  </si>
  <si>
    <t>6 minutes per visit documentation, 14 patients per day, standardized documentation protocols</t>
  </si>
  <si>
    <t>Practice Performance Intelligence</t>
  </si>
  <si>
    <t>Manual reporting, 7-day lag on performance metrics, limited patient lifetime value visibility</t>
  </si>
  <si>
    <t>Real-time dashboards, same-day performance visibility, predictive patient value scoring</t>
  </si>
  <si>
    <t>Compliance &amp; Quality Assurance</t>
  </si>
  <si>
    <t>Manual chart audits, 45-day compliance review cycles, reactive quality monitoring</t>
  </si>
  <si>
    <t>Automated compliance screening, 7-day review cycles, proactive quality intervention</t>
  </si>
  <si>
    <t>Operational Excellence in Dispatch</t>
  </si>
  <si>
    <t>48,000 annual dispatch hours with 18-minute average quote time; 45-minute peak delays</t>
  </si>
  <si>
    <t>30% reduction in manual dispatch work; sub-5-minute quote response time with 95% accuracy</t>
  </si>
  <si>
    <t>Customer Experience &amp; Retention</t>
  </si>
  <si>
    <t>78% retention rate; 23,400 annual status calls; 45-minute peak quote delays</t>
  </si>
  <si>
    <t>85% retention matching industry benchmark; 60% deflection of routine inquiries; real-time quote capability</t>
  </si>
  <si>
    <t>Driver Network Optimization</t>
  </si>
  <si>
    <t>420 contractors with inconsistent availability; 280 hours annual onboarding; manual compliance tracking</t>
  </si>
  <si>
    <t>Predictive availability modeling; 50% reduction in onboarding time; automated compliance monitoring</t>
  </si>
  <si>
    <t>Revenue Cycle Acceleration</t>
  </si>
  <si>
    <t>4.8% billing error rate; 11-day payment delay on errors; 3,200 hours annual reconciliation</t>
  </si>
  <si>
    <t>Sub-2% error rate; 5-day average error resolution; 70% automated reconciliation</t>
  </si>
  <si>
    <t>Market Expansion Readiness</t>
  </si>
  <si>
    <t>340 active accounts; 62% revenue concentration in top 25 clients; limited secondary market coverage</t>
  </si>
  <si>
    <t>450 active accounts; 50% concentration; expanded coverage in 12 secondary markets</t>
  </si>
  <si>
    <t>Accelerate Treatment Initiation</t>
  </si>
  <si>
    <t>8-day average delay, $6.4M annual revenue leakage from patient attrition</t>
  </si>
  <si>
    <t>3-day average delay, reduce attrition by 40%</t>
  </si>
  <si>
    <t>Optimize Physician Capacity</t>
  </si>
  <si>
    <t>18% capacity consumed by documentation, $38M annual burden</t>
  </si>
  <si>
    <t>8% capacity for documentation, redirect 10% to patient care</t>
  </si>
  <si>
    <t>Eliminate Revenue Leakage</t>
  </si>
  <si>
    <t>$3.2M annual underpayment, 23% prior auth resubmission rate</t>
  </si>
  <si>
    <t>Reduce underpayment by 60%, cut resubmissions to 8%</t>
  </si>
  <si>
    <t>Reduce Preventable Complications</t>
  </si>
  <si>
    <t>$9M annual cost from complications, 12% no-show rate</t>
  </si>
  <si>
    <t>Reduce complications by 35%, cut no-shows to 5%</t>
  </si>
  <si>
    <t>Rationalize Payer Contracting</t>
  </si>
  <si>
    <t>120-day contract cycles, $12M annual management cost</t>
  </si>
  <si>
    <t>60-day cycles, reduce management cost by 40%</t>
  </si>
  <si>
    <t>Data Quality at Scale</t>
  </si>
  <si>
    <t>28,000 hours annual remediation, 19-day insight lag, 15% lead rejection rate</t>
  </si>
  <si>
    <t>Automated validation, 5-day insight delivery, 95% lead acceptance</t>
  </si>
  <si>
    <t>Research Asset Monetization</t>
  </si>
  <si>
    <t>31% content utilization, 12,500 hours duplication, 8-day project delays</t>
  </si>
  <si>
    <t>75% content utilization, eliminate duplication, real-time research retrieval</t>
  </si>
  <si>
    <t>Event Operations Efficiency</t>
  </si>
  <si>
    <t>9,200 admin hours, 23-day follow-up lag, 12% conversion loss</t>
  </si>
  <si>
    <t>Automated coordination, 3-day follow-up, conversion parity with digital leads</t>
  </si>
  <si>
    <t>Client Retention Defense</t>
  </si>
  <si>
    <t>89% retention, reactive churn management, limited early warning signals</t>
  </si>
  <si>
    <t>94% retention, predictive intervention, 45-day churn probability alerts</t>
  </si>
  <si>
    <t>Platform Scalability</t>
  </si>
  <si>
    <t>420M monthly data points, manual bottlenecks constrain growth to 8% annually</t>
  </si>
  <si>
    <t>800M data point capacity, support 18% annual growth without headcount expansion</t>
  </si>
  <si>
    <t>Inventory Optimization &amp; Working Capital Efficiency</t>
  </si>
  <si>
    <t>31-day order-to-delivery cycle, $67M inventory carrying cost, 14% emergency freight spend</t>
  </si>
  <si>
    <t>21-day cycle time, $54M carrying cost, 8% emergency freight through predictive demand planning</t>
  </si>
  <si>
    <t>Customer Experience &amp; Quote Velocity</t>
  </si>
  <si>
    <t>4.2-day quote turnaround, 22% abandonment on sub-$50K projects, reactive technical support</t>
  </si>
  <si>
    <t>1.8-day turnaround, 12% abandonment through AI-assisted specification and instant product recommendations</t>
  </si>
  <si>
    <t>Operational Risk &amp; Safety Performance</t>
  </si>
  <si>
    <t>47 annual recordable incidents, fragmented safety documentation across 8,400 SKUs</t>
  </si>
  <si>
    <t>28 incidents through proactive hazard identification and centralized compliance intelligence</t>
  </si>
  <si>
    <t>Sales Force Productivity &amp; Account Coverage</t>
  </si>
  <si>
    <t>Account managers spend 65% time on administrative tasks, reactive inquiry handling</t>
  </si>
  <si>
    <t>35% administrative time through AI-drafted proposals and automated material takeoffs</t>
  </si>
  <si>
    <t>Supplier Relationship Management &amp; Procurement Efficiency</t>
  </si>
  <si>
    <t>Manual vendor performance tracking, fragmented negotiation intelligence, 89-day payment terms</t>
  </si>
  <si>
    <t>Consolidated supplier scorecards, AI-assisted negotiation briefs, optimized 67-day terms</t>
  </si>
  <si>
    <t>Quality Excellence at Scale</t>
  </si>
  <si>
    <t>42,000 hours annual quality documentation burden, 19-day inquiry closure</t>
  </si>
  <si>
    <t>Real-time quality data availability, 3-day inquiry closure, 75% documentation automation</t>
  </si>
  <si>
    <t>Predictive Operations</t>
  </si>
  <si>
    <t>18% machine downtime, reactive maintenance, 14% schedule adherence</t>
  </si>
  <si>
    <t>10% downtime through predictive maintenance, 85% schedule adherence, 4-hour replanning cycles</t>
  </si>
  <si>
    <t>Supply Chain Velocity</t>
  </si>
  <si>
    <t>73 days inventory, 28,000 hours procurement administration, $12M expedite fees</t>
  </si>
  <si>
    <t>58 days inventory, automated supplier collaboration, $4M expedite fees</t>
  </si>
  <si>
    <t>Engineering Knowledge Capture</t>
  </si>
  <si>
    <t>Tribal knowledge dependency, 12-week new product quoting cycle, 23% win rate</t>
  </si>
  <si>
    <t>Codified design standards, 6-week quote cycle, 32% win rate through faster response</t>
  </si>
  <si>
    <t>Contract Intelligence</t>
  </si>
  <si>
    <t>Manual contract review, missed price adjustment clauses, $8M annual revenue leakage</t>
  </si>
  <si>
    <t>Automated clause extraction, 95% price adjustment capture, $2M revenue leakage</t>
  </si>
  <si>
    <t>Deal Velocity &amp; Win Rate</t>
  </si>
  <si>
    <t>65-75 deals annually, 28% pitch-to-close rate, 12-day pitch turnaround</t>
  </si>
  <si>
    <t>85-95 deals annually, 35% pitch-to-close rate, 3-day pitch turnaround</t>
  </si>
  <si>
    <t>Due Diligence Quality &amp; Speed</t>
  </si>
  <si>
    <t>8,400 docs/deal, 18-day diligence extension, 40% partner review rate</t>
  </si>
  <si>
    <t>Same doc volume, 8-day diligence extension, 15% partner review rate</t>
  </si>
  <si>
    <t>2,800 relationships, 68% repeat rate, $22M missed cross-sell</t>
  </si>
  <si>
    <t>Same relationships, 78% repeat rate, $8M missed cross-sell</t>
  </si>
  <si>
    <t>Junior Talent Retention</t>
  </si>
  <si>
    <t>18,500 hours on pitch books, 22% associate attrition, 8.4-month deals</t>
  </si>
  <si>
    <t>8,200 hours on pitch books, 14% associate attrition, 7.8-month deals</t>
  </si>
  <si>
    <t>Regulatory &amp; Compliance Efficiency</t>
  </si>
  <si>
    <t>9,200 hours on compliance, 12 jurisdictions, manual tracking</t>
  </si>
  <si>
    <t>4,100 hours on compliance, same jurisdictions, automated tracking with human validation</t>
  </si>
  <si>
    <t>Clinical Protocol Excellence</t>
  </si>
  <si>
    <t>Physicians spend 8-12 hours per patient developing customized protocols through manual literature review and clinical judgment</t>
  </si>
  <si>
    <t>AI-augmented protocol development reduces physician time to 2-3 hours while improving evidence-base consistency and reducing clinical variation</t>
  </si>
  <si>
    <t>Patient Retention &amp; Engagement</t>
  </si>
  <si>
    <t>27% patient dropout during first year with generic coaching and delayed responsiveness to patient questions</t>
  </si>
  <si>
    <t>Patient retention improves to 85% through personalized AI coaching, proactive outreach, and 24-hour response to patient inquiries</t>
  </si>
  <si>
    <t>Operational Efficiency</t>
  </si>
  <si>
    <t>12,000 hours annually on documentation with 23% chart incompleteness rate and 17-day protocol delivery lag</t>
  </si>
  <si>
    <t>AI-drafted documentation reduces burden by 70% while improving quality consistency and reducing protocol lag to 3 days</t>
  </si>
  <si>
    <t>Clinical Risk Mitigation</t>
  </si>
  <si>
    <t>23% chart incompleteness creates malpractice exposure and audit risk with inconsistent quality across 12 locations</t>
  </si>
  <si>
    <t>AI-assisted documentation achieves 95% completeness with automated quality checks and flagging of missing elements</t>
  </si>
  <si>
    <t>Evidence-Based Differentiation</t>
  </si>
  <si>
    <t>Limited ability to demonstrate clinical outcomes or publish research due to scattered data and manual analysis constraints</t>
  </si>
  <si>
    <t>AI-powered outcomes analysis enables quarterly reporting, research publication, and evidence-based marketing differentiation</t>
  </si>
  <si>
    <t>Accelerate Product Launch Velocity</t>
  </si>
  <si>
    <t>8-12 SKUs launched per quarter, 45-day content creation backlog</t>
  </si>
  <si>
    <t>20-25 SKUs per quarter, 12-day content creation cycle</t>
  </si>
  <si>
    <t>Improve Customer Self-Service</t>
  </si>
  <si>
    <t>71% first-contact resolution, 45K monthly support contacts</t>
  </si>
  <si>
    <t>85% first-contact resolution, 32K monthly support contacts</t>
  </si>
  <si>
    <t>Optimize Inventory Working Capital</t>
  </si>
  <si>
    <t>78 days inventory, 14% core SKU stockouts, 22% slow-moving inventory</t>
  </si>
  <si>
    <t>52 days inventory, 6% stockouts, 12% slow-moving inventory</t>
  </si>
  <si>
    <t>Enhance Compliance Documentation</t>
  </si>
  <si>
    <t>Manual SDS creation, 18-day update cycle, incomplete multi-jurisdiction coverage</t>
  </si>
  <si>
    <t>Automated SDS generation, 3-day update cycle, 100% jurisdiction coverage</t>
  </si>
  <si>
    <t>Expand Market Intelligence</t>
  </si>
  <si>
    <t>Quarterly manual competitive analysis, limited social sentiment tracking</t>
  </si>
  <si>
    <t>Real-time competitive monitoring, continuous sentiment analysis, predictive trend identification</t>
  </si>
  <si>
    <t>Manufacturing Excellence</t>
  </si>
  <si>
    <t>73% asset utilization, 23% emergency maintenance, 12-day COA lag</t>
  </si>
  <si>
    <t>82% utilization, 12% emergency maintenance, 2-day COA generation</t>
  </si>
  <si>
    <t>Supply Chain Optimization</t>
  </si>
  <si>
    <t>$67M excess working capital, 62 days inventory, 89% forecast accuracy</t>
  </si>
  <si>
    <t>$38M working capital release, 45 days inventory, 94% forecast accuracy</t>
  </si>
  <si>
    <t>42K hours manual compliance work, 18 regulatory frameworks, reactive approach</t>
  </si>
  <si>
    <t>18K hours automated compliance, proactive monitoring, real-time deviation alerts</t>
  </si>
  <si>
    <t>Commercial Effectiveness</t>
  </si>
  <si>
    <t>$892M revenue, 96.2% on-time delivery, 8-day pricing lag</t>
  </si>
  <si>
    <t>$967M revenue, 98.5% on-time delivery, same-day pricing response</t>
  </si>
  <si>
    <t>Technical Innovation</t>
  </si>
  <si>
    <t>147-day average R&amp;D cycle, 12% project success rate, siloed knowledge</t>
  </si>
  <si>
    <t>98-day R&amp;D cycle, 19% project success rate, centralized technical intelligence</t>
  </si>
  <si>
    <t>Intelligent Document Processing</t>
  </si>
  <si>
    <t>78,000 hours/year manual classification of 2.8M project documents</t>
  </si>
  <si>
    <t>AI-automated classification with 15% human validation, 14-day reporting delay eliminated</t>
  </si>
  <si>
    <t>Automated Customer Onboarding</t>
  </si>
  <si>
    <t>45-90 day implementation cycles, 4,200 hours/quarter custom integration work</t>
  </si>
  <si>
    <t>Self-service onboarding with AI-guided configuration, 21-day average implementation</t>
  </si>
  <si>
    <t>Predictive Project Risk Analytics</t>
  </si>
  <si>
    <t>Reactive reporting on project overruns, 89% customer retention</t>
  </si>
  <si>
    <t>Proactive risk scoring with intervention workflows, 93% retention through value demonstration</t>
  </si>
  <si>
    <t>Knowledge Management Transformation</t>
  </si>
  <si>
    <t>Distributed expertise across 450 employees, limited knowledge capture</t>
  </si>
  <si>
    <t>AI-powered expertise repository with semantic search, deflection of 8,500 monthly internal queries</t>
  </si>
  <si>
    <t>Product Development Acceleration</t>
  </si>
  <si>
    <t>18-month feature release cycles, limited customer input synthesis</t>
  </si>
  <si>
    <t>AI-synthesized feature prioritization from 3,200 client feedback streams, 12-month cycles</t>
  </si>
  <si>
    <t>Clinical Capacity Optimization</t>
  </si>
  <si>
    <t>Physicians spend 2.1 hours/day on documentation, 18% capacity loss</t>
  </si>
  <si>
    <t>Reduce documentation time to 1.2 hours/day, reclaim 12% clinical capacity</t>
  </si>
  <si>
    <t>Revenue Cycle Excellence</t>
  </si>
  <si>
    <t>89-day collection cycle, 12% denial rate, $1.9M annual leakage</t>
  </si>
  <si>
    <t>68-day collection cycle, 8% denial rate, reduce leakage by 60%</t>
  </si>
  <si>
    <t>Prior Authorization Efficiency</t>
  </si>
  <si>
    <t>6.8-day authorization delays, 73% first-pass approval, 11,200 staff hours</t>
  </si>
  <si>
    <t>3.5-day average delay, 88% first-pass approval, 40% staff hour reduction</t>
  </si>
  <si>
    <t>Patient Access &amp; Retention</t>
  </si>
  <si>
    <t>41% procedure delays due to authorization, 8% verification failures</t>
  </si>
  <si>
    <t>Reduce delays to 18%, eliminate verification failures through predictive screening</t>
  </si>
  <si>
    <t>Compliance &amp; Risk Management</t>
  </si>
  <si>
    <t>6.4% coding error rate, $340K overcoding exposure, limited audit capacity</t>
  </si>
  <si>
    <t>Reduce error rate to 2.8%, eliminate overcoding exposure, automate audit workflows</t>
  </si>
  <si>
    <t>Technical Quotation Velocity</t>
  </si>
  <si>
    <t>12-day average quote turnaround, 28,000 hours annual specification development, $4.8M opportunity cost from quote delays</t>
  </si>
  <si>
    <t>3-day quote turnaround, 75% reduction in manual calculation time, capture $3.2M in previously lost opportunities</t>
  </si>
  <si>
    <t>Product Selection Precision</t>
  </si>
  <si>
    <t>4.2% warranty claim rate, 1,850 annual service calls for specification failures, $6.4M annual rework burden</t>
  </si>
  <si>
    <t>2.1% warranty claim rate, 50% reduction in specification-related failures, $3.2M risk mitigation</t>
  </si>
  <si>
    <t>9-month engineer onboarding, 18,500 hours redundant research, fragmented individual knowledge bases</t>
  </si>
  <si>
    <t>4-month engineer onboarding, 70% reduction in redundant research, systematic institutional knowledge repository</t>
  </si>
  <si>
    <t>Customer Technical Support Efficiency</t>
  </si>
  <si>
    <t>14,200 annual technical support calls, 3.2-hour average resolution time, reactive troubleshooting model</t>
  </si>
  <si>
    <t>60% call deflection through self-service, 1.5-hour average resolution, proactive maintenance guidance</t>
  </si>
  <si>
    <t>Proposal Quality &amp; Win Rate</t>
  </si>
  <si>
    <t>38% win rate on competitive bids, 85 hours average proposal development, inconsistent technical narrative quality</t>
  </si>
  <si>
    <t>48% win rate, 50% reduction in proposal development time, standardized high-quality technical content</t>
  </si>
  <si>
    <t>Accelerate Product Portfolio Expansion</t>
  </si>
  <si>
    <t>68K hours annually on manual product data management; 19-day new product backlog; declining 12% of supplier partnerships</t>
  </si>
  <si>
    <t>5-day new product onboarding; 95% supplier partnership acceptance; 15% SKU expansion enabling $42M revenue growth</t>
  </si>
  <si>
    <t>Optimize Working Capital Efficiency</t>
  </si>
  <si>
    <t>$127M tied in excess inventory; 34% overstock in slow categories; 8.2% stockout rate; $28M annual carrying cost penalty</t>
  </si>
  <si>
    <t>18% inventory reduction freeing $23M cash; 3% stockout rate; $18M reduction in carrying costs</t>
  </si>
  <si>
    <t>Transform Customer Self-Service Capability</t>
  </si>
  <si>
    <t>89K hours annually handling routine inquiries; 71% first-call resolution; 63% of calls require no human judgment</t>
  </si>
  <si>
    <t>85% inquiry deflection via AI assistants; 92% first-call resolution on complex issues; 15-point NPS improvement</t>
  </si>
  <si>
    <t>Strengthen Regulatory Compliance Posture</t>
  </si>
  <si>
    <t>Manual compliance tracking across OSHA, ANSI, CSA frameworks; 8% product recall exposure; $4.2M average incident cost</t>
  </si>
  <si>
    <t>Automated compliance monitoring; 60% reduction in recall exposure; real-time certification validation</t>
  </si>
  <si>
    <t>Enhance Sales Force Productivity</t>
  </si>
  <si>
    <t>Sales reps spend 42% of time on non-selling activities; $190M pipeline with 23% win rate; 8.2-month average sales cycle</t>
  </si>
  <si>
    <t>65% time on revenue-generating activities; 31% win rate; 6.1-month sales cycle; $267M managed pipeline</t>
  </si>
  <si>
    <t>Customer Onboarding Acceleration</t>
  </si>
  <si>
    <t>7-day average time-to-first-campaign, 85 accounts per CSM, 48,000 annual manual hours</t>
  </si>
  <si>
    <t>2-day time-to-first-campaign, 140 accounts per CSM, 65% reduction in manual guidance hours</t>
  </si>
  <si>
    <t>Proactive Carrier Compliance</t>
  </si>
  <si>
    <t>45-day policy-to-feature lag, $180K annual carrier penalties, 22,000 reactive monitoring hours</t>
  </si>
  <si>
    <t>10-day policy-to-feature lag, 75% penalty reduction, automated policy tracking and impact analysis</t>
  </si>
  <si>
    <t>Customer Retention Through Analytics</t>
  </si>
  <si>
    <t>78% annual retention, 23% campaign frequency decline in year 2, manual quarterly reviews</t>
  </si>
  <si>
    <t>85% annual retention, sustained campaign frequency, automated insights driving customer action</t>
  </si>
  <si>
    <t>Sales Efficiency and Pipeline Quality</t>
  </si>
  <si>
    <t>18% demo-to-customer conversion, 12-day sales cycle, manual lead qualification</t>
  </si>
  <si>
    <t>27% demo-to-customer conversion, 8-day sales cycle, AI-assisted qualification and demo personalization</t>
  </si>
  <si>
    <t>Support Deflection and Quality</t>
  </si>
  <si>
    <t>45,000 monthly support tickets, 4.2-hour average resolution time, 68% first-contact resolution</t>
  </si>
  <si>
    <t>32,000 monthly tickets (28% deflection), 2.8-hour resolution time, 82% first-contact resolution</t>
  </si>
  <si>
    <t>Engineering Knowledge Consolidation</t>
  </si>
  <si>
    <t>47,000 hours annually searching fragmented documentation across 14 systems</t>
  </si>
  <si>
    <t>Unified technical knowledge base with sub-60-second retrieval for 85% of queries</t>
  </si>
  <si>
    <t>Quality Assurance Automation</t>
  </si>
  <si>
    <t>28,000 manual inspection hours, 94% defect detection rate</t>
  </si>
  <si>
    <t>AI-assisted visual inspection achieving 98% detection with 60% labor reduction</t>
  </si>
  <si>
    <t>Customer Support Deflection</t>
  </si>
  <si>
    <t>42,000 annual support inquiries, 68% routine, 1.8 hours average handling</t>
  </si>
  <si>
    <t>70% deflection of routine inquiries with AI-powered technical assistant</t>
  </si>
  <si>
    <t>Contract Response Acceleration</t>
  </si>
  <si>
    <t>42-day average RFP response cycle, 38% win rate on competitive bids</t>
  </si>
  <si>
    <t>28-day response cycle with improved technical accuracy driving 45% win rate</t>
  </si>
  <si>
    <t>Supply Chain Risk Mitigation</t>
  </si>
  <si>
    <t>18-day average procurement cycle, 12% supplier delivery variance</t>
  </si>
  <si>
    <t>Predictive analytics reducing variance to 6% and enabling proactive mitigation</t>
  </si>
  <si>
    <t>Scale Consulting Capacity</t>
  </si>
  <si>
    <t>280 FTE consultants generating $161K revenue per FTE with 65% utilization</t>
  </si>
  <si>
    <t>Maintain headcount while achieving $195K revenue per FTE through 80% utilization via AI-augmented delivery</t>
  </si>
  <si>
    <t>Accelerate Sales Velocity</t>
  </si>
  <si>
    <t>21-day proposal response time, 45 pursuits per quarter, 18% win rate</t>
  </si>
  <si>
    <t>9-day proposal response time, 75 pursuits per quarter, 24% win rate through AI-assisted proposal development</t>
  </si>
  <si>
    <t>Improve Project Delivery Efficiency</t>
  </si>
  <si>
    <t>4-6 revision rounds per deliverable, 18-day content delivery delays, 72% first-time quality</t>
  </si>
  <si>
    <t>2-3 revision rounds, 6-day delivery acceleration, 88% first-time quality through AI-assisted content production</t>
  </si>
  <si>
    <t>Expand Recurring Revenue</t>
  </si>
  <si>
    <t>7% of revenue from recurring services, $3.2M annual recurring revenue</t>
  </si>
  <si>
    <t>18% of revenue from recurring services, $8.1M annual recurring revenue via AI-powered optimization services</t>
  </si>
  <si>
    <t>Enhance Strategic Differentiation</t>
  </si>
  <si>
    <t>Research synthesis limits depth of strategic recommendations, 40-60 hours per engagement</t>
  </si>
  <si>
    <t>AI-augmented research enabling deeper insights in 15-20 hours, strengthening competitive positioning</t>
  </si>
  <si>
    <t>Accelerate Pitch-to-Win Cycles</t>
  </si>
  <si>
    <t>42,000 hours annual research burden, 19-day RFP turnaround</t>
  </si>
  <si>
    <t>60% research time deflection, 12-day RFP turnaround, 15% win rate improvement</t>
  </si>
  <si>
    <t>Scale Creative Production Capacity</t>
  </si>
  <si>
    <t>31,000 hours versioning overhead, 14-day campaign launch delay</t>
  </si>
  <si>
    <t>70% automation of routine versioning, 7-day launch acceleration</t>
  </si>
  <si>
    <t>Optimize Project Profitability</t>
  </si>
  <si>
    <t>23,000 hours scope reconciliation, 12-day change order lag</t>
  </si>
  <si>
    <t>50% reduction in scope variance incidents, 5-day change processing</t>
  </si>
  <si>
    <t>Enhance Strategic Advisory Value</t>
  </si>
  <si>
    <t>78% client retention, $2.4M average engagement value</t>
  </si>
  <si>
    <t>85% retention, $3.1M engagement value through advisory upsell</t>
  </si>
  <si>
    <t>Strengthen Talent Development</t>
  </si>
  <si>
    <t>18% annual turnover in creative roles, 90-day onboarding cycle</t>
  </si>
  <si>
    <t>12% turnover, 45-day productive onboarding through AI-assisted training</t>
  </si>
  <si>
    <t>Accelerate Clinical Insights Delivery</t>
  </si>
  <si>
    <t>45-day lag from biometric screening to actionable health recommendations; 34% engagement rate on wellness programs</t>
  </si>
  <si>
    <t>7-day insights delivery; 52% engagement rate through real-time personalized interventions; reduce undetected high-risk conditions by 40%</t>
  </si>
  <si>
    <t>Automate Data Integration Workflows</t>
  </si>
  <si>
    <t>18,500 hours annually spent on manual health data reconciliation across 47 vendor formats; $28M annual burden</t>
  </si>
  <si>
    <t>Automated data normalization and quality validation; reduce manual reconciliation hours by 75%; reallocate clinical operations capacity to strategic analysis</t>
  </si>
  <si>
    <t>Personalize Member Engagement at Scale</t>
  </si>
  <si>
    <t>Generic quarterly program recommendations; 34% lower engagement versus AI-enabled competitors; 87% client retention</t>
  </si>
  <si>
    <t>Real-time personalized health interventions; competitive engagement parity; improve client retention to 92%; increase upsell conversion by 25%</t>
  </si>
  <si>
    <t>Deflect Tier-1 Support Inquiries</t>
  </si>
  <si>
    <t>285K annual contacts; 68% tier-one inquiries; 8.4 min average handle time; 71% first-call resolution; $14M annual cost</t>
  </si>
  <si>
    <t>AI-powered self-service deflects 60% of tier-one volume; improve first-call resolution to 85%; reduce peak staffing volatility; reinvest savings in high-touch coaching</t>
  </si>
  <si>
    <t>Compress Contract Execution Cycles</t>
  </si>
  <si>
    <t>127-day average from proposal to contract signature; 23% proposal win rate; delayed revenue recognition</t>
  </si>
  <si>
    <t>75-day sales cycle through automated proposal generation and compliance documentation; improve win rate to 31%; accelerate cash collection by 52 days</t>
  </si>
  <si>
    <t>Manual ordering with 4.1% food waste and 2.3% revenue loss from stockouts</t>
  </si>
  <si>
    <t>AI-predicted ordering reducing waste to 2.5% and stockouts to 1.0% within 18 months</t>
  </si>
  <si>
    <t>Labor Productivity</t>
  </si>
  <si>
    <t>110% annual turnover, 15 hours/week manager time on scheduling</t>
  </si>
  <si>
    <t>85% turnover, 8 hours/week scheduling time through predictive staffing</t>
  </si>
  <si>
    <t>Food Safety &amp; Compliance</t>
  </si>
  <si>
    <t>6 hours/week per location on manual documentation, 2.4 incidents/location/year</t>
  </si>
  <si>
    <t>2 hours/week documentation time, 1.2 incidents/location/year through automated monitoring</t>
  </si>
  <si>
    <t>$8.60 average ticket, limited personalization, 32% dine-in utilization</t>
  </si>
  <si>
    <t>$9.20 average ticket through AI-driven menu recommendations, 38% dine-in mix</t>
  </si>
  <si>
    <t>Operational Excellence</t>
  </si>
  <si>
    <t>Fragmented data across POS, inventory, and scheduling systems</t>
  </si>
  <si>
    <t>Unified operational intelligence with predictive insights for proactive management</t>
  </si>
  <si>
    <t>Transaction Velocity</t>
  </si>
  <si>
    <t>4.2-day average delay from contract to coordination start; 87,000 manual coordination hours annually</t>
  </si>
  <si>
    <t>Same-day coordination initiation; 60% automation of routine coordination tasks; 35,000 hours deflected</t>
  </si>
  <si>
    <t>22 transactions per agent per year; 340 hours onboarding per new agent; 23% first-year attrition</t>
  </si>
  <si>
    <t>26 transactions per agent per year; 180 hours onboarding; 14% first-year attrition; AI-assisted coaching</t>
  </si>
  <si>
    <t>Marketing Differentiation</t>
  </si>
  <si>
    <t>Standardized listing templates; 38,000 manual marketing hours; limited premium positioning capability</t>
  </si>
  <si>
    <t>Personalized listing narratives; 18,000 marketing hours; 8% increase in average sales price through differentiation</t>
  </si>
  <si>
    <t>Compliance Assurance</t>
  </si>
  <si>
    <t>Manual disclosure tracking across 7 jurisdictions; 12% error rate on initial submissions; $420K annual rework cost</t>
  </si>
  <si>
    <t>Automated jurisdiction-specific checklists; 3% error rate; $105K rework cost; 75% risk reduction</t>
  </si>
  <si>
    <t>Client Relationship Depth</t>
  </si>
  <si>
    <t>73% repeat and referral rate; $850 acquisition cost; 18-month average referral cycle</t>
  </si>
  <si>
    <t>82% repeat and referral rate; $640 acquisition cost; 14-month referral cycle through proactive engagement</t>
  </si>
  <si>
    <t>Infrastructure Modernization &amp; Predictive Maintenance</t>
  </si>
  <si>
    <t>Calendar-based inspection schedules, 340 annual unplanned outages, 4.7-hour average restoration time</t>
  </si>
  <si>
    <t>Predictive maintenance protocols reducing unplanned outages 35%, restoration time under 3 hours</t>
  </si>
  <si>
    <t>Regulatory Compliance Efficiency</t>
  </si>
  <si>
    <t>$12M annual compliance burden, 15-day filing lag, manual documentation across 47,000 inspections</t>
  </si>
  <si>
    <t>Automated compliance workflows reducing burden 40%, filing lag under 3 days</t>
  </si>
  <si>
    <t>Customer Service Excellence</t>
  </si>
  <si>
    <t>61% first-call resolution, 28-minute handle time, 31% field escalation rate</t>
  </si>
  <si>
    <t>80% first-call resolution, 18-minute handle time, 20% field escalation rate</t>
  </si>
  <si>
    <t>Asset Intelligence &amp; Capital Planning</t>
  </si>
  <si>
    <t>$45M annual capex with limited predictive analytics, reactive replacement strategies</t>
  </si>
  <si>
    <t>Data-driven capital allocation optimizing replacement timing, extending asset life 8%</t>
  </si>
  <si>
    <t>Operational Knowledge Management</t>
  </si>
  <si>
    <t>Tribal knowledge in workforce with 28% retirement-eligible, fragmented documentation</t>
  </si>
  <si>
    <t>Centralized operational knowledge base with AI-assisted retrieval, reducing training time 30%</t>
  </si>
  <si>
    <t>Accelerate Product Development Cycles</t>
  </si>
  <si>
    <t>47-day average order-to-delivery cycle with 19-day ECO backlog impacting $183M WIP inventory</t>
  </si>
  <si>
    <t>34-day cycle with 8-day ECO processing reducing WIP by $67M and enabling 18% volume growth</t>
  </si>
  <si>
    <t>Manufacturing Quality Excellence</t>
  </si>
  <si>
    <t>$22M annual quality documentation burden with 2.8% scrap rate and 340 NCR events</t>
  </si>
  <si>
    <t>$9.5M documentation cost with 1.9% scrap rate and 185 NCR events through predictive quality</t>
  </si>
  <si>
    <t>Supply Chain Resilience</t>
  </si>
  <si>
    <t>8.3-day disruption response time causing 9% late deliveries and $6.2M annual penalty exposure</t>
  </si>
  <si>
    <t>2.1-day response enabling 97% on-time delivery and reducing penalty risk to $1.8M annually</t>
  </si>
  <si>
    <t>Customer Experience Transformation</t>
  </si>
  <si>
    <t>42,000 hours annual customer service burden with 73% first-contact resolution and $127M quote pipeline</t>
  </si>
  <si>
    <t>91% first-contact resolution reducing service cost by $1.7M while converting 19% additional quotes</t>
  </si>
  <si>
    <t>47% of engineering knowledge undocumented with 4.2-year average engineer tenure creating succession risk</t>
  </si>
  <si>
    <t>89% knowledge documented in queryable systems reducing onboarding time from 8.5 to 3.2 months</t>
  </si>
  <si>
    <t>Carrier Network Optimization</t>
  </si>
  <si>
    <t>Manual carrier matching consuming 68,000 analyst hours annually with 4.2-day average assignment delays and 12% quote abandonment</t>
  </si>
  <si>
    <t>AI-assisted matching reducing assignment time to 1.2 days, decreasing abandonment to 6%, and deflecting 45,000 manual matching hours</t>
  </si>
  <si>
    <t>Customer Experience Enhancement</t>
  </si>
  <si>
    <t>89,000 monthly status inquiries requiring 8.5 minutes average handling time with 3-hour peak response delays</t>
  </si>
  <si>
    <t>Conversational AI deflecting 65% of routine inquiries, reducing average handling to 3.2 minutes, and enabling 15-minute response times</t>
  </si>
  <si>
    <t>Claims Process Acceleration</t>
  </si>
  <si>
    <t>4,800 annual claims requiring 6.4 hours investigation time each with 45-day average resolution cycles</t>
  </si>
  <si>
    <t>AI-drafted damage assessments reducing investigation time to 2.8 hours and resolution cycles to 18 days</t>
  </si>
  <si>
    <t>Pricing Intelligence &amp; Yield Management</t>
  </si>
  <si>
    <t>Static pricing models updated quarterly with 18% margin variance across similar routes and 8% revenue leakage from suboptimal pricing</t>
  </si>
  <si>
    <t>Dynamic pricing recommendations capturing 4.5% additional margin through real-time market analysis and route-specific optimization</t>
  </si>
  <si>
    <t>Regulatory Compliance &amp; Documentation</t>
  </si>
  <si>
    <t>Manual broker authority compliance across 15,000 carriers with quarterly audits consuming 2,400 hours and $280K annual violation exposure</t>
  </si>
  <si>
    <t>Automated carrier credential monitoring with real-time alerts reducing audit hours by 60% and violation risk by 75%</t>
  </si>
  <si>
    <t>Accelerate Placement Velocity</t>
  </si>
  <si>
    <t>19-day average time-to-placement; 4.2 active searches per recruiter</t>
  </si>
  <si>
    <t>11-day placement cycle; 7.5 active searches per recruiter; 25% capacity expansion without headcount</t>
  </si>
  <si>
    <t>Operational Excellence in Contract Administration</t>
  </si>
  <si>
    <t>67K monthly timesheets manually validated; 12% error rate; 340-person operations team</t>
  </si>
  <si>
    <t>95% automated validation; 3% error rate; productivity gain equivalent to 85 FTEs</t>
  </si>
  <si>
    <t>Client Intelligence &amp; Cross-Sell</t>
  </si>
  <si>
    <t>23% cross-service penetration; 14-day proposal cycle; siloed data across 5 systems</t>
  </si>
  <si>
    <t>38% cross-service penetration; 6-day proposal cycle; unified client intelligence platform</t>
  </si>
  <si>
    <t>Compliance Risk Mitigation</t>
  </si>
  <si>
    <t>Manual tracking of 47 certifications; reactive audit response; 8% non-compliance incidents</t>
  </si>
  <si>
    <t>Automated credential monitoring; predictive expiration alerts; 2% non-compliance rate</t>
  </si>
  <si>
    <t>Competitive Differentiation Through Speed</t>
  </si>
  <si>
    <t>Losing 15% of opportunities to digital-first competitors on cycle time; 68-day DSO</t>
  </si>
  <si>
    <t>Market-leading response time; win rate parity with digital competitors; 52-day DSO</t>
  </si>
  <si>
    <t>Estimate-to-Award Velocity</t>
  </si>
  <si>
    <t>12-day estimate turnaround, 38% win rate, 14% material error rate</t>
  </si>
  <si>
    <t>3-day turnaround, 47% win rate, 4% error rate enabling $89M incremental revenue</t>
  </si>
  <si>
    <t>Field Workforce Utilization</t>
  </si>
  <si>
    <t>81% billable utilization, 34K hours manual scheduling, $12.4M overtime premium</t>
  </si>
  <si>
    <t>91% utilization through dynamic crew optimization, 70% reduction in coordination hours</t>
  </si>
  <si>
    <t>Safety &amp; Compliance Performance</t>
  </si>
  <si>
    <t>1.23 workers comp mod rate, 280K manual safety reports, 8-day incident documentation cycle</t>
  </si>
  <si>
    <t>0.95 mod rate through consistent hazard analysis, 2-day regulatory response time</t>
  </si>
  <si>
    <t>Project Delivery Predictability</t>
  </si>
  <si>
    <t>23% projects delayed &gt;5 days, 47-day average payment cycle, 16% change order disputes</t>
  </si>
  <si>
    <t>8% delay rate, 34-day payment cycle through progress documentation, 5% dispute rate</t>
  </si>
  <si>
    <t>Technical Knowledge Leverage</t>
  </si>
  <si>
    <t>Tribal knowledge in 180 branches, 18-month new estimator ramp, $4.7M training costs</t>
  </si>
  <si>
    <t>Centralized expertise accessible across all locations, 6-month competency timeline</t>
  </si>
  <si>
    <t>Accelerate Revenue Cycle</t>
  </si>
  <si>
    <t>87-day AR cycle with 18% first-pass denial rate</t>
  </si>
  <si>
    <t>65-day AR cycle with 8% denial rate through automated authorization workflows</t>
  </si>
  <si>
    <t>Optimize Service Delivery</t>
  </si>
  <si>
    <t>62% technician utilization with 14% stockout rate</t>
  </si>
  <si>
    <t>78% utilization with 6% stockout rate via intelligent scheduling and inventory</t>
  </si>
  <si>
    <t>Transform Clinical Workflows</t>
  </si>
  <si>
    <t>68,000 hours spent on manual authorization documentation</t>
  </si>
  <si>
    <t>42,000 hours through AI-assisted clinical documentation and payer-specific templates</t>
  </si>
  <si>
    <t>Enhance Client Experience</t>
  </si>
  <si>
    <t>19-day authorization cycle delays equipment delivery</t>
  </si>
  <si>
    <t>11-day cycle reducing abandonment and improving Net Promoter Score</t>
  </si>
  <si>
    <t>Strengthen Compliance Posture</t>
  </si>
  <si>
    <t>Manual audit response consuming 8,500 hours annually</t>
  </si>
  <si>
    <t>Automated documentation retrieval reducing response time by 65%</t>
  </si>
  <si>
    <t>Equipment Utilization Optimization</t>
  </si>
  <si>
    <t>76% owned container utilization, 3.2-day cycle time, 22% empty repositioning rate</t>
  </si>
  <si>
    <t>84% utilization, 2.6-day cycle time, 14% empty rate through AI-optimized load matching and predictive demand allocation</t>
  </si>
  <si>
    <t>Service Delivery Excellence</t>
  </si>
  <si>
    <t>68% customer retention, 8,600 monthly status inquiries, 14.2-hour average response time</t>
  </si>
  <si>
    <t>78% retention through proactive exception alerts, self-service visibility, and 2.4-hour response time</t>
  </si>
  <si>
    <t>Network Performance Intelligence</t>
  </si>
  <si>
    <t>$3.2M rail detention, 47-day claims cycle, manual rail schedule reconciliation</t>
  </si>
  <si>
    <t>40% detention reduction through predictive scheduling, 28-day claims cycle via automated documentation</t>
  </si>
  <si>
    <t>Regulatory Compliance Automation</t>
  </si>
  <si>
    <t>$1.8M potential exposure, 6,800 hours manual documentation, 8.4% error rate on cross-border paperwork</t>
  </si>
  <si>
    <t>75% error reduction through automated validation, 3,400-hour deflection, $450K risk mitigation</t>
  </si>
  <si>
    <t>Sales Pipeline Acceleration</t>
  </si>
  <si>
    <t>$42M pipeline, 18% close rate, 47-day average sales cycle, manual RFP response requiring 22 hours per bid</t>
  </si>
  <si>
    <t>24% close rate through AI-generated proposals, 34-day cycle, 9-hour per bid effort via template automation</t>
  </si>
  <si>
    <t>Market Share Expansion</t>
  </si>
  <si>
    <t>65% of qualified opportunities pursued; 12-day municipal bid cycle</t>
  </si>
  <si>
    <t>85% opportunity capture; 5-day bid cycle with 15% higher win rate</t>
  </si>
  <si>
    <t>Fleet &amp; Crew Optimization</t>
  </si>
  <si>
    <t>68% fleet utilization; 18% non-productive travel time</t>
  </si>
  <si>
    <t>82% fleet utilization; 8% non-productive travel time</t>
  </si>
  <si>
    <t>Contract Velocity</t>
  </si>
  <si>
    <t>19-day contract closeout; DSO at 52 days</t>
  </si>
  <si>
    <t>7-day contract closeout; DSO at 38 days</t>
  </si>
  <si>
    <t>Regulatory Excellence</t>
  </si>
  <si>
    <t>16,500 annual compliance hours; 47 jurisdiction manual tracking</t>
  </si>
  <si>
    <t>Automated compliance monitoring; 60% reduction in manual documentation</t>
  </si>
  <si>
    <t>Operational Intelligence</t>
  </si>
  <si>
    <t>Manual quality inspection; reactive maintenance scheduling</t>
  </si>
  <si>
    <t>AI-assisted defect detection; predictive maintenance reducing equipment downtime 25%</t>
  </si>
  <si>
    <t>Accelerate facility origination velocity</t>
  </si>
  <si>
    <t>220 applications/month, 17-day approval cycle, $890M annual originations</t>
  </si>
  <si>
    <t>340 applications/month, 8-day approval cycle, $1.2B annual originations</t>
  </si>
  <si>
    <t>Reduce credit losses through enhanced risk detection</t>
  </si>
  <si>
    <t>1.8% annual loss rate, $223M in total credit losses, reactive monitoring</t>
  </si>
  <si>
    <t>1.2% annual loss rate, $149M in total credit losses, predictive risk alerts</t>
  </si>
  <si>
    <t>Optimize working capital deployment</t>
  </si>
  <si>
    <t>52 days DSO, $32M excess working capital, manual collections prioritization</t>
  </si>
  <si>
    <t>38 days DSO, industry-standard working capital, AI-driven collections routing</t>
  </si>
  <si>
    <t>Scale compliance capacity without headcount</t>
  </si>
  <si>
    <t>6,800 compliance hours annually, $3.8M audit costs, reactive documentation</t>
  </si>
  <si>
    <t>4,100 compliance hours annually, $2.9M audit costs, automated monitoring</t>
  </si>
  <si>
    <t>Enhance portfolio visibility and decision quality</t>
  </si>
  <si>
    <t>Manual portfolio analysis, 5-day reporting cycle, reactive risk management</t>
  </si>
  <si>
    <t>Automated portfolio insights, real-time dashboards, proactive risk intervention</t>
  </si>
  <si>
    <t>Trade Compliance Automation</t>
  </si>
  <si>
    <t>89,000 annual hours in manual customs documentation; $12M detention fees; 4-day average processing time</t>
  </si>
  <si>
    <t>60% documentation automation; $7M detention fees; 1-day average processing time</t>
  </si>
  <si>
    <t>Predictive Supply Chain Visibility</t>
  </si>
  <si>
    <t>Reactive exception management; 47,000 monthly client inquiries; 23,000 agent hours consumed</t>
  </si>
  <si>
    <t>Proactive intervention 48 hours pre-delay; 28,000 monthly inquiries; 14,000 agent hours</t>
  </si>
  <si>
    <t>Dynamic Freight Optimization</t>
  </si>
  <si>
    <t>Static routing rules; $19M unrealized savings; 72-hour booking cycles</t>
  </si>
  <si>
    <t>Real-time rate arbitrage; $12M captured savings; 24-hour booking cycles</t>
  </si>
  <si>
    <t>Knowledge Management Modernization</t>
  </si>
  <si>
    <t>Siloed expertise; 18-month new hire productivity ramp; 40% quote accuracy variation</t>
  </si>
  <si>
    <t>Centralized intelligence; 9-month productivity ramp; 15% quote accuracy variation</t>
  </si>
  <si>
    <t>Client Communication Enhancement</t>
  </si>
  <si>
    <t>Manual status updates; 3-day average response time; 91% retention rate</t>
  </si>
  <si>
    <t>Automated proactive alerts; 4-hour average response time; 94% retention rate</t>
  </si>
  <si>
    <t>Accelerate Revenue Capture</t>
  </si>
  <si>
    <t>31% proposal win rate, 23% opportunity decline rate, 12-day proposal cycle</t>
  </si>
  <si>
    <t>42% win rate, 8% decline rate, 5-day proposal cycle within 18 months</t>
  </si>
  <si>
    <t>Scale Delivery Capacity</t>
  </si>
  <si>
    <t>35% senior consultant time on non-billable proposal work, 6,400 hours annual knowledge duplication</t>
  </si>
  <si>
    <t>18% non-billable time, 2,100 hours duplication, freeing 140 FTE days for client delivery</t>
  </si>
  <si>
    <t>Improve Project Economics</t>
  </si>
  <si>
    <t>4.2 percentage point margin erosion from delivery inefficiency, 8-day timeline extension on 40% of projects</t>
  </si>
  <si>
    <t>1.8 percentage point erosion, 3-day extension, recovering $2.8M in annual margin</t>
  </si>
  <si>
    <t>Strengthen Client Retention</t>
  </si>
  <si>
    <t>78% annual retention, 12-point satisfaction drop on delayed interventions, 5-day exception identification lag</t>
  </si>
  <si>
    <t>86% retention, 4-point satisfaction variance, 1-day exception identification</t>
  </si>
  <si>
    <t>Institutionalize Knowledge Assets</t>
  </si>
  <si>
    <t>47 disconnected repositories, consultants recreate 34% of deliverables, zero IP monetization</t>
  </si>
  <si>
    <t>Single governed repository, 8% deliverable recreation rate, $1.2M annual IP licensing revenue</t>
  </si>
  <si>
    <t>Expand Bid Capacity &amp; Win Rate</t>
  </si>
  <si>
    <t>185K annual bids, 48-hour turnaround, 23% decline rate during peak</t>
  </si>
  <si>
    <t>280K annual bids, 6-hour turnaround, 8% decline rate</t>
  </si>
  <si>
    <t>Improve Freight Margin Through Carrier Intelligence</t>
  </si>
  <si>
    <t>16.2% gross margin, manual carrier selection, limited rate benchmarking</t>
  </si>
  <si>
    <t>18.5% gross margin, AI-optimized carrier matching, real-time rate intelligence</t>
  </si>
  <si>
    <t>Scale Customer Service Without Headcount</t>
  </si>
  <si>
    <t>340K annual inquiries, 67% repetitive, 100% human-handled</t>
  </si>
  <si>
    <t>75% automated deflection, 4.2K hours reallocated to proactive account management</t>
  </si>
  <si>
    <t>Accelerate Claims &amp; Exception Resolution</t>
  </si>
  <si>
    <t>78K monthly invoices, 14% exception rate, 9-day resolution cycle</t>
  </si>
  <si>
    <t>6% exception rate, 2-day resolution cycle, 18K fewer manual investigations</t>
  </si>
  <si>
    <t>Modernize Contract &amp; Compliance Documentation</t>
  </si>
  <si>
    <t>Manual contract review, 4,800 carrier agreements, inconsistent compliance tracking</t>
  </si>
  <si>
    <t>Automated compliance monitoring, standardized contract analysis, 60% faster onboarding</t>
  </si>
  <si>
    <t>Regulatory Compliance Acceleration</t>
  </si>
  <si>
    <t>28,000 annual hours on manual compliance documentation with 45-day average backlogs</t>
  </si>
  <si>
    <t>18,200 annual hours with 28-day average cycle times through AI-assisted document generation</t>
  </si>
  <si>
    <t>Manufacturing Uptime Optimization</t>
  </si>
  <si>
    <t>12,400 hours unplanned downtime yearly costing $19M in lost production</t>
  </si>
  <si>
    <t>7,440 hours downtime with 40% reduction through predictive maintenance</t>
  </si>
  <si>
    <t>Sales Engineering Productivity</t>
  </si>
  <si>
    <t>15,600 engineering hours on proposal customization, 18-month average sales cycles</t>
  </si>
  <si>
    <t>9,360 engineering hours with 14-month sales cycles through automated technical documentation</t>
  </si>
  <si>
    <t>Technical Support Efficiency</t>
  </si>
  <si>
    <t>47,000 annual inquiries with 34% escalation rate costing $8.2M</t>
  </si>
  <si>
    <t>47,000 inquiries with 19% escalation rate through AI-powered triage and resolution</t>
  </si>
  <si>
    <t>Product Development Velocity</t>
  </si>
  <si>
    <t>24-month average time-to-market for new instruments with 67% on-time delivery</t>
  </si>
  <si>
    <t>19-month time-to-market with 82% on-time delivery through requirements analysis automation</t>
  </si>
  <si>
    <t>Engineering Productivity Transformation</t>
  </si>
  <si>
    <t>47K hours annually on documentation, 45-day proposal backlog, $23M burden</t>
  </si>
  <si>
    <t>Automated draft generation with engineer review, 15-day proposal cycle, $8M burden</t>
  </si>
  <si>
    <t>Predictive Service Operations</t>
  </si>
  <si>
    <t>28% travel time for reactive diagnostics, $8.7M emergency service costs, 12-day parts lead time</t>
  </si>
  <si>
    <t>Remote diagnostics triage, predictive maintenance scheduling, 4-day parts lead time, $3M emergency costs</t>
  </si>
  <si>
    <t>Proposal Win Rate Acceleration</t>
  </si>
  <si>
    <t>23% win rate, 180 hours per proposal, $10.8M spent on losing bids</t>
  </si>
  <si>
    <t>35% win rate through better targeting, 90 hours per proposal, $34M captured opportunities</t>
  </si>
  <si>
    <t>18 regulatory frameworks, manual certification tracking, 90-day compliance cycles</t>
  </si>
  <si>
    <t>Automated compliance mapping, continuous monitoring, 30-day certification cycles</t>
  </si>
  <si>
    <t>Knowledge Capital Activation</t>
  </si>
  <si>
    <t>1,240 project files in isolated repositories, redundant design analysis, 7.2-month implementation cycles</t>
  </si>
  <si>
    <t>Centralized semantic search, reusable design patterns, 5.5-month cycles through faster onboarding</t>
  </si>
  <si>
    <t>Customs &amp; Compliance Automation</t>
  </si>
  <si>
    <t>28,000 hours manual documentation; 4.2% error rate; $8.3M penalties</t>
  </si>
  <si>
    <t>18,200 hours (35% reduction); 1.5% error rate; $3.1M penalties</t>
  </si>
  <si>
    <t>Carrier Procurement Optimization</t>
  </si>
  <si>
    <t>73% first-choice allocation; 19,000 spot purchases; 3.2-day booking cycle</t>
  </si>
  <si>
    <t>89% first-choice allocation; automated spot market; 1.8-day booking cycle</t>
  </si>
  <si>
    <t>Customer Service Transformation</t>
  </si>
  <si>
    <t>31% self-service deflection; 47,000 agent contacts; 4.1-hour response time</t>
  </si>
  <si>
    <t>62% self-service deflection; 17,860 agent contacts; 1.8-hour response time</t>
  </si>
  <si>
    <t>Revenue Intelligence &amp; Pricing</t>
  </si>
  <si>
    <t>Manual quote preparation; 68% quote-to-close; 5.2-day quote turnaround</t>
  </si>
  <si>
    <t>AI-assisted pricing; 79% quote-to-close; 2.1-day quote turnaround</t>
  </si>
  <si>
    <t>Operational Analytics &amp; Forecasting</t>
  </si>
  <si>
    <t>Reactive capacity planning; 18% cost overruns; 45-day forecast accuracy</t>
  </si>
  <si>
    <t>Predictive capacity allocation; 9% cost overruns; 75-day forecast accuracy</t>
  </si>
  <si>
    <t>Accelerate Engineering-to-Order Cycle</t>
  </si>
  <si>
    <t>47-day proposal cycle, $18M lost revenue, 28,000 engineering hours</t>
  </si>
  <si>
    <t>28-day cycle, 15% win rate improvement, 40% engineering time deflection</t>
  </si>
  <si>
    <t>Transform Service Model to Predictive</t>
  </si>
  <si>
    <t>34% emergency calls, $22M reactive costs, NPS 42</t>
  </si>
  <si>
    <t>18% emergency rate, $14M annual savings, NPS 60+</t>
  </si>
  <si>
    <t>Optimize Working Capital Deployment</t>
  </si>
  <si>
    <t>127 days inventory, $87M tied capital, 67% forecast accuracy</t>
  </si>
  <si>
    <t>95 days inventory, $32M cash release, 82% forecast accuracy</t>
  </si>
  <si>
    <t>Enhance Quality &amp; Compliance Controls</t>
  </si>
  <si>
    <t>$4.8M annual warranty costs, 180 compliance incidents</t>
  </si>
  <si>
    <t>$3.1M warranty costs, 90 incidents, automated audit trails</t>
  </si>
  <si>
    <t>Modernize Knowledge Management</t>
  </si>
  <si>
    <t>Tribal knowledge silos, 45-day onboarding, 18% turnover</t>
  </si>
  <si>
    <t>Centralized AI-accessible repository, 28-day onboarding, retention improvement</t>
  </si>
  <si>
    <t>Accelerate Information Access</t>
  </si>
  <si>
    <t>4.2-day average RFI response time, 47,000 hours annual research burden</t>
  </si>
  <si>
    <t>1.8-day average response time, 65% deflection of routine inquiries, 30,500 hours reclaimed</t>
  </si>
  <si>
    <t>Eliminate Documentation Friction</t>
  </si>
  <si>
    <t>$215M client rework costs, 31,000 hours reconciliation effort, 22% drawing conflict rate</t>
  </si>
  <si>
    <t>8% drawing conflict rate, automated version control, 19,000 hours reclaimed</t>
  </si>
  <si>
    <t>Scale Safety Program Administration</t>
  </si>
  <si>
    <t>18% above benchmark incident rate, 23,000 hours compliance documentation, 42% reduction in proactive presence</t>
  </si>
  <si>
    <t>Industry benchmark incident rates, 14,000 hours reclaimed, 28% increase in proactive job site time</t>
  </si>
  <si>
    <t>Enhance Client Outcomes</t>
  </si>
  <si>
    <t>89% retention rate, $97K average contract value, $340M client delay costs</t>
  </si>
  <si>
    <t>93% retention rate, $118K average contract value through premium tier, $240M client delay costs</t>
  </si>
  <si>
    <t>Optimize Resource Allocation</t>
  </si>
  <si>
    <t>38% of senior staff time on information retrieval, reactive problem solving dominates workflow</t>
  </si>
  <si>
    <t>18% of time on retrieval, 50% increase in strategic planning and risk mitigation activities</t>
  </si>
  <si>
    <t>Accelerate New Program Capture</t>
  </si>
  <si>
    <t>45-day average response time on RFQs, 23% win rate on new programs, engineering capacity fully absorbed by documentation</t>
  </si>
  <si>
    <t>18-day response time, 35% win rate, 40% reduction in proposal engineering hours</t>
  </si>
  <si>
    <t>Transform Quality Management</t>
  </si>
  <si>
    <t>Reactive investigation processes, 18-day average resolution time, 2.8% defect rate, limited predictive capability</t>
  </si>
  <si>
    <t>Proactive process monitoring, 6-day resolution, 1.2% defect rate, predictive analytics on process drift</t>
  </si>
  <si>
    <t>Optimize Supply Chain Resilience</t>
  </si>
  <si>
    <t>120-day supplier onboarding, manual traceability processes, limited visibility to supply disruptions</t>
  </si>
  <si>
    <t>45-day onboarding, automated compliance verification, real-time risk monitoring across supplier network</t>
  </si>
  <si>
    <t>Scale Engineering Productivity</t>
  </si>
  <si>
    <t>38,000 hours annually on documentation, 6-week average for design changes, limited knowledge capture</t>
  </si>
  <si>
    <t>60% reduction in documentation hours, 2-week design change cycle, AI-augmented knowledge management</t>
  </si>
  <si>
    <t>Strengthen Regulatory Compliance</t>
  </si>
  <si>
    <t>Manual audit preparation, 90-day average audit response, fragmented compliance documentation across systems</t>
  </si>
  <si>
    <t>Automated audit trails, 20-day response capability, centralized compliance evidence repository</t>
  </si>
  <si>
    <t>Membership Retention Excellence</t>
  </si>
  <si>
    <t>91% monthly retention, 18-month average lifetime, reactive churn management</t>
  </si>
  <si>
    <t>94% monthly retention, 24-month average lifetime, predictive intervention before cancellation</t>
  </si>
  <si>
    <t>Operational Performance Consistency</t>
  </si>
  <si>
    <t>12-day equipment issue response time, 67,000 annual oversight hours, fragmented site visibility</t>
  </si>
  <si>
    <t>3-day equipment issue response time, 45,000 annual oversight hours, centralized performance monitoring</t>
  </si>
  <si>
    <t>Customer Experience Standardization</t>
  </si>
  <si>
    <t>68% employee turnover, 8,400 annual training hours, inconsistent service delivery across 385 locations</t>
  </si>
  <si>
    <t>52% employee turnover, 5,600 annual training hours, standardized service protocols with AI-assisted guidance</t>
  </si>
  <si>
    <t>Asset Utilization Optimization</t>
  </si>
  <si>
    <t>300 daily washes per site, reactive equipment maintenance, unplanned downtime averaging 18 hours monthly per location</t>
  </si>
  <si>
    <t>340 daily washes per site, predictive maintenance scheduling, unplanned downtime reduced to 8 hours monthly per location</t>
  </si>
  <si>
    <t>Market Expansion Precision</t>
  </si>
  <si>
    <t>Site selection based on demographic analysis and competitor proximity, 24-month payback period on new locations</t>
  </si>
  <si>
    <t>AI-enhanced site selection incorporating traffic patterns and micro-market demand signals, 18-month payback period</t>
  </si>
  <si>
    <t>Accelerate client onboarding cycles</t>
  </si>
  <si>
    <t>47-day average implementation backlog, 340 hours per client for data mapping</t>
  </si>
  <si>
    <t>22-day implementation cycle, 85 hours per client through automated schema mapping</t>
  </si>
  <si>
    <t>Scale mid-market penetration</t>
  </si>
  <si>
    <t>$2.1M average contract value limits addressable market to 1,200 enterprise prospects</t>
  </si>
  <si>
    <t>$450K mid-market offering serving 8,500 potential clients through automated delivery</t>
  </si>
  <si>
    <t>Transform client success from reactive to strategic</t>
  </si>
  <si>
    <t>89,000 hours annually on report generation, 23% of satisfaction concerns related to reporting delays</t>
  </si>
  <si>
    <t>32,000 hours on strategic consultation, 8% satisfaction concerns through automated insights</t>
  </si>
  <si>
    <t>Compress model development and compliance cycles</t>
  </si>
  <si>
    <t>8-month time-to-market for new predictive capabilities, 34,000 hours on documentation</t>
  </si>
  <si>
    <t>3-month time-to-market, 9,800 hours on documentation through AI-assisted workflows</t>
  </si>
  <si>
    <t>Reduce customer churn through proactive interventions</t>
  </si>
  <si>
    <t>91% retention rate, $76M annual churn, reactive escalation after satisfaction scores drop</t>
  </si>
  <si>
    <t>94% retention rate, $51M annual churn through predictive early warning system</t>
  </si>
  <si>
    <t>Accelerate New Business Velocity</t>
  </si>
  <si>
    <t>19-day average pitch preparation timeline, 28% win rate on complex RFPs, $3.2M annual pitch costs</t>
  </si>
  <si>
    <t>8-day pitch preparation, 38% win rate through differentiated insights, $2.1M pitch costs with AI-assisted content assembly</t>
  </si>
  <si>
    <t>Unify Cross-Agency Knowledge Capital</t>
  </si>
  <si>
    <t>68,000 hours annual search time, 11 disconnected systems, 73% manual content reuse</t>
  </si>
  <si>
    <t>Centralized knowledge graph, 3-second semantic search, 92% automated content retrieval with human curation</t>
  </si>
  <si>
    <t>Elevate Client Reporting Quality</t>
  </si>
  <si>
    <t>34,000 hours manual reporting, inconsistent formats, 23% client satisfaction with reporting timeliness</t>
  </si>
  <si>
    <t>Automated performance synthesis, standardized executive dashboards, 78% client satisfaction with real-time insights</t>
  </si>
  <si>
    <t>Compress Talent Time-to-Productivity</t>
  </si>
  <si>
    <t>120-day onboarding timeline, 8% productivity loss to knowledge transfer, 18% first-year attrition</t>
  </si>
  <si>
    <t>75-day onboarding with AI assistant, 2% productivity loss, 11% first-year attrition through better knowledge access</t>
  </si>
  <si>
    <t>Optimize Campaign Development Efficiency</t>
  </si>
  <si>
    <t>$8.4M annual creative rework costs, 34-day average campaign development cycle, 42% first-draft approval rate</t>
  </si>
  <si>
    <t>$5.1M rework costs through AI creative testing, 21-day development cycle, 68% first-draft approval with predictive insights</t>
  </si>
  <si>
    <t>Accelerate Product-to-Market Velocity</t>
  </si>
  <si>
    <t>45-day lag from product receipt to full web publication; 12,000 SKUs with incomplete content</t>
  </si>
  <si>
    <t>7-day publication cycle with 98% complete product content at launch</t>
  </si>
  <si>
    <t>Scale Customer Self-Service</t>
  </si>
  <si>
    <t>94,000 annual contacts with 63% repetitive technical questions; 12-minute average handle time</t>
  </si>
  <si>
    <t>45% deflection of tier-1 inquiries; 7-minute handle time for specialist consultations</t>
  </si>
  <si>
    <t>Optimize Inventory Capital Efficiency</t>
  </si>
  <si>
    <t>23% excess inventory; 8% stockout rate; manual spreadsheet-based forecasting</t>
  </si>
  <si>
    <t>12% excess inventory; 3% stockout rate; ML-driven demand forecasting</t>
  </si>
  <si>
    <t>Enhance Trade Account Development</t>
  </si>
  <si>
    <t>$520 trade CAC; 60-day sales cycle; 31% of revenue from trade channel</t>
  </si>
  <si>
    <t>$380 trade CAC; 35-day sales cycle; 42% of revenue from trade channel</t>
  </si>
  <si>
    <t>Strengthen Supplier Collaboration</t>
  </si>
  <si>
    <t>140 suppliers with manual communication; 180-day max lead times; 15% on-time delivery variance</t>
  </si>
  <si>
    <t>Automated supplier collaboration; 135-day max lead times; 8% delivery variance</t>
  </si>
  <si>
    <t>Connected Product Monetization</t>
  </si>
  <si>
    <t>620K active WiFIRE devices, 5% revenue from digital, 67% consumables retention</t>
  </si>
  <si>
    <t>850K active devices, 12% revenue from digital subscriptions and premium features, 78% consumables retention through predictive engagement</t>
  </si>
  <si>
    <t>Customer Experience Excellence</t>
  </si>
  <si>
    <t>9-day warranty resolution, customer satisfaction 14 points below industry, 18K hours annual claim processing</t>
  </si>
  <si>
    <t>3-day warranty resolution, industry-leading satisfaction scores, 40% reduction in manual claim processing hours</t>
  </si>
  <si>
    <t>Product Innovation Velocity</t>
  </si>
  <si>
    <t>90-day feature lag vs digital competitors, 22K hours annual competitive analysis, fragmented customer feedback</t>
  </si>
  <si>
    <t>30-day feature response time, unified intelligence platform, 12K hours research capacity redeployed to engineering</t>
  </si>
  <si>
    <t>18% forecast error, 87 days inventory, $8M annual excess costs, 11K planning hours</t>
  </si>
  <si>
    <t>8% forecast error, 65 days inventory, $22M working capital release, 6K planning hours with strategic focus</t>
  </si>
  <si>
    <t>Operational Scalability</t>
  </si>
  <si>
    <t>Manual processes across warranty, planning, content creation consuming 51K annual hours</t>
  </si>
  <si>
    <t>Automated workflows with human oversight, 28K hours redeployed to strategic initiatives, 30-day cash conversion improvement</t>
  </si>
  <si>
    <t>Design Velocity &amp; Customer Responsiveness</t>
  </si>
  <si>
    <t>12-day design iteration cycle, 3.7 supplier touchpoints per mockup, $2,800 coordination overhead per design</t>
  </si>
  <si>
    <t>4-day design cycle, 1.2 supplier touchpoints, $800 coordination overhead, 15% revenue lift from sub-$5K order capture</t>
  </si>
  <si>
    <t>Inventory Optimization &amp; Service Level Excellence</t>
  </si>
  <si>
    <t>87% fill rate, 31% Q4 forecast variance, 8-day average stock-out delay, 23% penalty incidence</t>
  </si>
  <si>
    <t>94% fill rate, 18% forecast variance, 3-day stock-out recovery, 12% penalty incidence</t>
  </si>
  <si>
    <t>Quote-to-Order Conversion Acceleration</t>
  </si>
  <si>
    <t>4.6-day quote turnaround, 38% conversion rate, 7 system touchpoints, $1,200 sunk cost per unconverted quote</t>
  </si>
  <si>
    <t>1.8-day quote turnaround, 52% conversion rate, 2 system touchpoints, $400 sunk cost per unconverted quote</t>
  </si>
  <si>
    <t>Supplier Relationship Intelligence &amp; Risk Mitigation</t>
  </si>
  <si>
    <t>340 active suppliers, manual performance tracking, 14-day issue escalation cycle, $3.2M annual quality failures</t>
  </si>
  <si>
    <t>Predictive supplier scoring, automated performance monitoring, 4-day issue escalation, $1.6M quality exposure</t>
  </si>
  <si>
    <t>Regulatory Compliance &amp; Documentation Efficiency</t>
  </si>
  <si>
    <t>18,000 annual compliance queries, 4.2-hour average research time, 23 jurisdictions, $6.8M annual legal support burden</t>
  </si>
  <si>
    <t>12,000 deflected queries, 1.4-hour research time, automated jurisdiction monitoring, $2.8M legal burden</t>
  </si>
  <si>
    <t>Quality Assurance Acceleration</t>
  </si>
  <si>
    <t>47,000 manual documentation hours annually, 14-day documentation backlog</t>
  </si>
  <si>
    <t>70% automation of routine reports, 3-day documentation turnaround</t>
  </si>
  <si>
    <t>$67M safety stock, 23% lead time variability, 34 stockout events annually</t>
  </si>
  <si>
    <t>$48M safety stock, 12% lead time variability, 15 stockout events annually</t>
  </si>
  <si>
    <t>Engineering Change Velocity</t>
  </si>
  <si>
    <t>19-day change order cycle time, 18% rework rate, 3,400 annual ECOs</t>
  </si>
  <si>
    <t>9-day change order cycle time, 8% rework rate, same volume processed</t>
  </si>
  <si>
    <t>Contract Capture Rate</t>
  </si>
  <si>
    <t>62% win rate on qualified opportunities, 34-day proposal cycle, $340M pipeline</t>
  </si>
  <si>
    <t>72% win rate, 18-day proposal cycle, maintain pipeline quality</t>
  </si>
  <si>
    <t>Manual tracking across AS9100, ITAR, ISO standards, 4 audit findings per year</t>
  </si>
  <si>
    <t>Automated compliance monitoring, 1 audit finding per year, real-time status visibility</t>
  </si>
  <si>
    <t>Accelerate Product Innovation Cycle</t>
  </si>
  <si>
    <t>45-day average regulatory approval cycle delays $22M innovation pipeline revenue</t>
  </si>
  <si>
    <t>28-day approval cycle enabling $8M incremental first-year revenue from faster time-to-market</t>
  </si>
  <si>
    <t>Scale Agronomic Advisory Capacity</t>
  </si>
  <si>
    <t>180 grower relationships per agronomist with $8.7M underserved market opportunity</t>
  </si>
  <si>
    <t>245 grower relationships per agronomist capturing $5.2M incremental revenue from expanded coverage</t>
  </si>
  <si>
    <t>Optimize Manufacturing Quality Systems</t>
  </si>
  <si>
    <t>12-day batch release cycle with 14,200 annual QA hours and $18M recall exposure</t>
  </si>
  <si>
    <t>8-day batch release cycle reducing QA burden 35% and recall risk 40%</t>
  </si>
  <si>
    <t>Enhance Regulatory Compliance Infrastructure</t>
  </si>
  <si>
    <t>18,500 annual hours on regulatory documentation with 70-jurisdiction compliance burden</t>
  </si>
  <si>
    <t>11,500 annual hours on regulatory work reducing compliance cost $1.1M while improving consistency</t>
  </si>
  <si>
    <t>Strengthen Supply Chain Resilience</t>
  </si>
  <si>
    <t>68-day average inventory holding with $42M working capital tied to seasonal demand volatility</t>
  </si>
  <si>
    <t>54-day inventory holding releasing $8.6M working capital while maintaining 98% service levels</t>
  </si>
  <si>
    <t>Accelerate Revenue per Account</t>
  </si>
  <si>
    <t>$485 average order value, 4.2 orders per account monthly, 91% retention</t>
  </si>
  <si>
    <t>$625 average order value through technical service attachment, 5.1 orders monthly, 94% retention by Q4 2027</t>
  </si>
  <si>
    <t>Optimize Supplier Network Economics</t>
  </si>
  <si>
    <t>380 active suppliers, 45-day new product launch lag, 18,000 annual hours on catalog reconciliation</t>
  </si>
  <si>
    <t>Consolidated supplier data platform, 15-day launch cycle, 12,000 annual hours through automation by Q2 2027</t>
  </si>
  <si>
    <t>Scale Technical Service Capacity</t>
  </si>
  <si>
    <t>86,000 annual technical inquiries, 11.4 minute handle time, 23% escalation rate, 34-day seasonal backlogs</t>
  </si>
  <si>
    <t>120,000 inquiry capacity with 7.2 minute handle time, 12% escalation, zero seasonal backlog by Q3 2027</t>
  </si>
  <si>
    <t>Modernize Compliance Operations</t>
  </si>
  <si>
    <t>2,400 registrations tracked manually across 50 states, 8,200 annual audit preparation hours, $340K average penalty exposure</t>
  </si>
  <si>
    <t>Automated tracking system, 4,800 audit preparation hours, $85K penalty exposure through proactive monitoring by Q4 2027</t>
  </si>
  <si>
    <t>Improve Working Capital Efficiency</t>
  </si>
  <si>
    <t>38-day inventory turns, 41-day receivables collection, manual demand forecasting consuming 4,200 annual hours</t>
  </si>
  <si>
    <t>45-day inventory turns, 32-day collections, automated forecasting reducing hours by 60% by Q2 2028</t>
  </si>
  <si>
    <t>Designer Experience Transformation</t>
  </si>
  <si>
    <t>4-day specification response time, 68,000 hours manual consultation annually</t>
  </si>
  <si>
    <t>Same-day specification delivery, 80% deflection on routine inquiries</t>
  </si>
  <si>
    <t>Demand Intelligence</t>
  </si>
  <si>
    <t>23% forecast error at SKU level, $28M excess inventory carrying cost</t>
  </si>
  <si>
    <t>12% forecast error, $14M inventory optimization</t>
  </si>
  <si>
    <t>Manufacturing Quality Automation</t>
  </si>
  <si>
    <t>45,000 hours manual visual inspection, 6-day quality hold time</t>
  </si>
  <si>
    <t>30,000 hours automated first-pass, 3-day release cycle</t>
  </si>
  <si>
    <t>Showroom Partner Enablement</t>
  </si>
  <si>
    <t>1,200 partners with inconsistent product knowledge, 15% quote error rate</t>
  </si>
  <si>
    <t>Standardized AI-assisted quoting, 5% error rate</t>
  </si>
  <si>
    <t>18-month collection launch cycle, limited market validation pre-production</t>
  </si>
  <si>
    <t>12-month cycle with AI-driven trend analysis and virtual prototyping</t>
  </si>
  <si>
    <t>Installation Logistics Optimization</t>
  </si>
  <si>
    <t>Manual dispatch coordinates 450 crews across 15 markets with 14-day material-to-install lag and 18% fuel cost premium</t>
  </si>
  <si>
    <t>AI-optimized routing reduces lag to 6 days and fuel premium to 7% while increasing crew utilization from 67% to 82%</t>
  </si>
  <si>
    <t>Sales Productivity Acceleration</t>
  </si>
  <si>
    <t>Representatives generate 18 proposals weekly with 6-day technical response time and 24% conversion rate</t>
  </si>
  <si>
    <t>AI-assisted proposal generation enables 28 weekly proposals with 2-day response time improving conversion to 29%</t>
  </si>
  <si>
    <t>Quality Documentation &amp; Compliance</t>
  </si>
  <si>
    <t>Manual inspection of 30,000 installations with inconsistent defect categorization and 9-day warranty resolution</t>
  </si>
  <si>
    <t>AI-powered image analysis standardizes defect detection and reduces warranty resolution to 3 days with 40% reduction in invalid claims</t>
  </si>
  <si>
    <t>89% satisfaction with 22% repeat/referral rate and 3.2 touchpoints per customer inquiry resolution</t>
  </si>
  <si>
    <t>Conversational AI reduces touchpoints to 1.4 while increasing satisfaction to 93% and repeat/referral rate to 31%</t>
  </si>
  <si>
    <t>Operational Data Intelligence</t>
  </si>
  <si>
    <t>Reactive inventory management creates $8.7M in excess working capital with 11% stockout rate on specialty products</t>
  </si>
  <si>
    <t>Predictive analytics reduces working capital to $5.2M while decreasing stockout rate to 4% and obsolescence write-offs by 60%</t>
  </si>
  <si>
    <t>Accelerate Bid-to-Win Conversion</t>
  </si>
  <si>
    <t>340 annual bids with 28% win rate, 19-day turnaround, $34M estimation cost</t>
  </si>
  <si>
    <t>480 annual bids with 35% win rate, 11-day turnaround, $21M estimation cost</t>
  </si>
  <si>
    <t>Optimize Field Resource Deployment</t>
  </si>
  <si>
    <t>73% labor utilization, 8% crew idle time, $28M coordination burden, 23-day delays</t>
  </si>
  <si>
    <t>82% labor utilization, 3% crew idle time, $17M coordination burden, 9-day delays</t>
  </si>
  <si>
    <t>Mitigate Procurement Volatility</t>
  </si>
  <si>
    <t>12% price volatility, $6.8M margin erosion, 31-day lead times, $19M procurement overhead</t>
  </si>
  <si>
    <t>7% price volatility, $2.9M margin erosion, 21-day lead times, $13M procurement overhead</t>
  </si>
  <si>
    <t>Compress Project Delivery Cycles</t>
  </si>
  <si>
    <t>16-month backlog conversion, 23-day average delays, $180K penalty exposure per project</t>
  </si>
  <si>
    <t>13-month backlog conversion, 9-day average delays, $60K penalty exposure per project</t>
  </si>
  <si>
    <t>Enhance Safety Compliance &amp; Risk Management</t>
  </si>
  <si>
    <t>340 annual safety incidents, $12M insurance premiums, 4,800 hours incident investigation</t>
  </si>
  <si>
    <t>220 annual safety incidents, $9.2M insurance premiums, 2,900 hours incident investigation</t>
  </si>
  <si>
    <t>IMPLEMENTATION ROADMAP</t>
  </si>
  <si>
    <t>BY PHASE</t>
  </si>
  <si>
    <t>Q1 IMPLEMENTATIONS (132 use cases)</t>
  </si>
  <si>
    <t>Q2 IMPLEMENTATIONS (169 use cases)</t>
  </si>
  <si>
    <t>Q3 IMPLEMENTATIONS (133 use cases)</t>
  </si>
  <si>
    <t>Q4 IMPLEMENTATIONS (56 use cases)</t>
  </si>
  <si>
    <t>FRAMEWORK 1: VALUE-READINESS MATRIX</t>
  </si>
  <si>
    <t>This framework assesses both strategic value and implementation readiness.</t>
  </si>
  <si>
    <t>QUADRANT DEFINITIONS</t>
  </si>
  <si>
    <t>Champion (Value ≥7, Readiness ≥7): Full resources, 90-day implementation</t>
  </si>
  <si>
    <t>Quick Win (Value &lt;7, Readiness ≥7): Fast-track, quick value capture</t>
  </si>
  <si>
    <t>Strategic (Value ≥7, Readiness &lt;7): Invest in readiness first</t>
  </si>
  <si>
    <t>Foundation (Value &lt;7, Readiness &lt;7): Build capabilities, revisit later</t>
  </si>
  <si>
    <t>SCORING FORMULAS</t>
  </si>
  <si>
    <t>Value Score = (EBITDA Impact × 50%) + (Revenue Enable × 25%) + (Risk Reduce × 25%)</t>
  </si>
  <si>
    <t>Readiness Score = (Org Cap × 35%) + (Data Ready × 35%) + (Tech Infra × 20%) + (Timeline × 10%)</t>
  </si>
  <si>
    <t>Adjusted EBITDA = Est EBITDA × 15% × (Value Score / 7)</t>
  </si>
  <si>
    <t>Priority Score = Est EBITDA × ((Value × 0.5) + (Readiness × 0.5)) / 10</t>
  </si>
  <si>
    <t>COMPANY DISTRIBUTION (see Company Master for full data)</t>
  </si>
  <si>
    <t>Quadrant</t>
  </si>
  <si>
    <t>Companies</t>
  </si>
  <si>
    <t>FRAMEWORK 2: PORTFOLIO AMPLIFICATION MODEL</t>
  </si>
  <si>
    <t>Identifies AI initiatives that can replicate across multiple portfolio companies.</t>
  </si>
  <si>
    <t>PLATFORM CLASSIFICATIONS</t>
  </si>
  <si>
    <t>Platform: Scalable across 10+ companies (Replication ≥7)</t>
  </si>
  <si>
    <t>Hybrid: Mix of platform and point solutions (Replication 5-6)</t>
  </si>
  <si>
    <t>Point: Single company focus (Replication &lt;5)</t>
  </si>
  <si>
    <t>PORTFOLIO ADJUSTMENT FORMULA</t>
  </si>
  <si>
    <t>Portfolio-Adjusted Priority = Adjusted Priority × (1 + (Replication Count × 0.1))</t>
  </si>
  <si>
    <t>HIGH-REPLICATION OPPORTUNITIES</t>
  </si>
  <si>
    <t>Avg Value ($M)</t>
  </si>
  <si>
    <t>Replication Potential</t>
  </si>
  <si>
    <t>FRAMEWORK 3: HOLD PERIOD VALUE CAPTURE</t>
  </si>
  <si>
    <t>Maps implementation timeline to holding period and exit strategy.</t>
  </si>
  <si>
    <t>TRACK DEFINITIONS</t>
  </si>
  <si>
    <t>T1: EBITDA ACCELERATORS</t>
  </si>
  <si>
    <t>Timeline: 0-12 months (Year 1)</t>
  </si>
  <si>
    <t>Investment: 40-50% of AI budget</t>
  </si>
  <si>
    <t>Focus: Quick EBITDA impact, margin expansion</t>
  </si>
  <si>
    <t>Criteria: Readiness ≥7, PE-Native Score ≥7, TTV ≤9 months</t>
  </si>
  <si>
    <t>T2: GROWTH ENABLERS</t>
  </si>
  <si>
    <t>Timeline: 6-24 months (Years 2-3)</t>
  </si>
  <si>
    <t>Investment: 30-40% of AI budget</t>
  </si>
  <si>
    <t>Focus: Revenue scaling, capability building</t>
  </si>
  <si>
    <t>Criteria: Value Score ≥6 OR (PE-Native ≥6 AND TTV ≤18 months)</t>
  </si>
  <si>
    <t>T3: EXIT MULTIPLIER PLAYS</t>
  </si>
  <si>
    <t>Timeline: 12-36 months (Years 3-4)</t>
  </si>
  <si>
    <t>Investment: 15-25% of AI budget</t>
  </si>
  <si>
    <t>Focus: Transformational value, exit multiple enhancement</t>
  </si>
  <si>
    <t>TRACK DISTRIBUTION</t>
  </si>
  <si>
    <t>Track</t>
  </si>
  <si>
    <t>Avg TTV (months)</t>
  </si>
  <si>
    <t>CALCULATION ASSUMPTIONS</t>
  </si>
  <si>
    <t>Modify these values to update all calculations throughout the workbook</t>
  </si>
  <si>
    <t>PARAMETER</t>
  </si>
  <si>
    <t>VALUE</t>
  </si>
  <si>
    <t>DESCRIPTION</t>
  </si>
  <si>
    <t>Efficiency Factor</t>
  </si>
  <si>
    <t>Implementation achievability (0-1)</t>
  </si>
  <si>
    <t>Adoption Factor</t>
  </si>
  <si>
    <t>Level 2 data maturity adjustment (0-1)</t>
  </si>
  <si>
    <t>Confidence Factor</t>
  </si>
  <si>
    <t>Risk confidence level (0-1)</t>
  </si>
  <si>
    <t>LABOR RATES</t>
  </si>
  <si>
    <t>Executive Rate ($/hr)</t>
  </si>
  <si>
    <t>Physician/executive fully-loaded cost</t>
  </si>
  <si>
    <t>Manager Rate ($/hr)</t>
  </si>
  <si>
    <t>Senior specialist fully-loaded cost</t>
  </si>
  <si>
    <t>Specialist Rate ($/hr)</t>
  </si>
  <si>
    <t>Operations staff fully-loaded cost</t>
  </si>
  <si>
    <t>Analyst Rate ($/hr)</t>
  </si>
  <si>
    <t>Back-office staff fully-loaded cost</t>
  </si>
  <si>
    <t>TOKEN COSTS</t>
  </si>
  <si>
    <t>Input Token Cost ($/M)</t>
  </si>
  <si>
    <t>Claude API input tokens per million</t>
  </si>
  <si>
    <t>Output Token Cost ($/M)</t>
  </si>
  <si>
    <t>Claude API output tokens per million</t>
  </si>
  <si>
    <t>FRAMEWORK THRESHOLDS</t>
  </si>
  <si>
    <t>Value Threshold</t>
  </si>
  <si>
    <t>Minimum for Champion/Strategic quadrant</t>
  </si>
  <si>
    <t>Readiness Threshold</t>
  </si>
  <si>
    <t>Minimum for Champion/Quick Win quadrant</t>
  </si>
  <si>
    <t>Replication Platform Threshold</t>
  </si>
  <si>
    <t>Minimum for Platform classification</t>
  </si>
  <si>
    <t>T1 TTV Threshold (months)</t>
  </si>
  <si>
    <t>Maximum for Track 1 assignment</t>
  </si>
  <si>
    <t>T2 TTV Threshold (months)</t>
  </si>
  <si>
    <t>Maximum for Track 2 assignment</t>
  </si>
  <si>
    <t>DATA DICTIONARY</t>
  </si>
  <si>
    <t>FIELD</t>
  </si>
  <si>
    <t>SOURCE</t>
  </si>
  <si>
    <t>COMPANY FIELDS</t>
  </si>
  <si>
    <t>Company Name</t>
  </si>
  <si>
    <t>Portfolio company name</t>
  </si>
  <si>
    <t>JSON companyName</t>
  </si>
  <si>
    <t>Annual revenue in millions</t>
  </si>
  <si>
    <t>Extracted from Step 0 overview</t>
  </si>
  <si>
    <t>Estimated EBITDA (10% of revenue if not stated)</t>
  </si>
  <si>
    <t>Step 0 or calculated</t>
  </si>
  <si>
    <t>Number of employees</t>
  </si>
  <si>
    <t>Extracted from Step 0</t>
  </si>
  <si>
    <t>USE CASE FIELDS</t>
  </si>
  <si>
    <t>Unique identifier (UC-01 through UC-10)</t>
  </si>
  <si>
    <t>Step 4 ID</t>
  </si>
  <si>
    <t>Descriptive title</t>
  </si>
  <si>
    <t>Step 4 Use Case Name</t>
  </si>
  <si>
    <t>Business function (Sales, Procurement, etc.)</t>
  </si>
  <si>
    <t>Step 4 Function</t>
  </si>
  <si>
    <t>Specific operational area</t>
  </si>
  <si>
    <t>Step 4 Sub-Function</t>
  </si>
  <si>
    <t>Description</t>
  </si>
  <si>
    <t>Full narrative description</t>
  </si>
  <si>
    <t>Step 4 Description</t>
  </si>
  <si>
    <t>AI capabilities used (Research, Data Analysis, etc.)</t>
  </si>
  <si>
    <t>Step 4 AI Primitives</t>
  </si>
  <si>
    <t>Target Friction</t>
  </si>
  <si>
    <t>Friction point being addressed</t>
  </si>
  <si>
    <t>Step 4 Target Friction</t>
  </si>
  <si>
    <t>Required human oversight point</t>
  </si>
  <si>
    <t>Step 4 Human-in-the-Loop</t>
  </si>
  <si>
    <t>BENEFIT FIELDS</t>
  </si>
  <si>
    <t>Calculation for cost savings</t>
  </si>
  <si>
    <t>Step 5 Cost Formula</t>
  </si>
  <si>
    <t>Cost Benefit ($)</t>
  </si>
  <si>
    <t>Quantified annual cost savings</t>
  </si>
  <si>
    <t>Step 5 Cost Benefit</t>
  </si>
  <si>
    <t>Calculation for revenue impact</t>
  </si>
  <si>
    <t>Step 5 Revenue Formula</t>
  </si>
  <si>
    <t>Revenue Benefit ($)</t>
  </si>
  <si>
    <t>Quantified annual revenue growth</t>
  </si>
  <si>
    <t>Step 5 Revenue Benefit</t>
  </si>
  <si>
    <t>Calculation for risk reduction</t>
  </si>
  <si>
    <t>Step 5 Risk Formula</t>
  </si>
  <si>
    <t>Risk Benefit ($)</t>
  </si>
  <si>
    <t>Quantified annual risk reduction</t>
  </si>
  <si>
    <t>Step 5 Risk Benefit</t>
  </si>
  <si>
    <t>Calculation for cash flow acceleration</t>
  </si>
  <si>
    <t>Step 5 Cash Flow Formula</t>
  </si>
  <si>
    <t>Cash Flow Benefit ($)</t>
  </si>
  <si>
    <t>Quantified annual cash flow impact</t>
  </si>
  <si>
    <t>Step 5 Cash Flow Benefit</t>
  </si>
  <si>
    <t>Total Annual Value ($)</t>
  </si>
  <si>
    <t>Sum of all benefit types</t>
  </si>
  <si>
    <t>Step 5 Total Annual Value</t>
  </si>
  <si>
    <t>Estimated implementation success rate (0-1)</t>
  </si>
  <si>
    <t>Step 5</t>
  </si>
  <si>
    <t>EFFORT FIELDS</t>
  </si>
  <si>
    <t>Runs/Month</t>
  </si>
  <si>
    <t>Expected monthly execution frequency</t>
  </si>
  <si>
    <t>Step 6 Runs/Month</t>
  </si>
  <si>
    <t>Monthly Tokens</t>
  </si>
  <si>
    <t>Estimated monthly token consumption</t>
  </si>
  <si>
    <t>Step 6 Monthly Tokens</t>
  </si>
  <si>
    <t>Annual Token Cost ($)</t>
  </si>
  <si>
    <t>Yearly API expense</t>
  </si>
  <si>
    <t>Step 6 Annual Token Cost</t>
  </si>
  <si>
    <t>Time-to-Value (months)</t>
  </si>
  <si>
    <t>Implementation timeline</t>
  </si>
  <si>
    <t>Step 6 Time-to-Value</t>
  </si>
  <si>
    <t>Effort Score (1-5)</t>
  </si>
  <si>
    <t>Implementation effort rating</t>
  </si>
  <si>
    <t>Step 6 Effort Score</t>
  </si>
  <si>
    <t>Data Readiness (1-5)</t>
  </si>
  <si>
    <t>Current data maturity score</t>
  </si>
  <si>
    <t>Step 6 Data Readiness</t>
  </si>
  <si>
    <t>Integration Complexity (1-5)</t>
  </si>
  <si>
    <t>Technical complexity rating</t>
  </si>
  <si>
    <t>Step 6 Integration Complexity</t>
  </si>
  <si>
    <t>Change Mgmt (1-5)</t>
  </si>
  <si>
    <t>Change management complexity</t>
  </si>
  <si>
    <t>Step 6 Change Mgmt</t>
  </si>
  <si>
    <t>PRIORITY FIELDS</t>
  </si>
  <si>
    <t>Critical, High, or Medium classification</t>
  </si>
  <si>
    <t>Step 7 Priority Tier</t>
  </si>
  <si>
    <t>Priority Score (0-100)</t>
  </si>
  <si>
    <t>Composite score (Value + TTV + Effort)</t>
  </si>
  <si>
    <t>Step 7 Priority Score</t>
  </si>
  <si>
    <t>Value Score (0-40)</t>
  </si>
  <si>
    <t>Financial value component</t>
  </si>
  <si>
    <t>Step 7 Value Score</t>
  </si>
  <si>
    <t>TTV Score (0-30)</t>
  </si>
  <si>
    <t>Time-to-value component</t>
  </si>
  <si>
    <t>Step 7 TTV Score</t>
  </si>
  <si>
    <t>Effort Score (0-30)</t>
  </si>
  <si>
    <t>Implementation effort component</t>
  </si>
  <si>
    <t>Step 7 Effort Score</t>
  </si>
  <si>
    <t>Q1, Q2, Q3, or Q4 deployment timing</t>
  </si>
  <si>
    <t>Step 7 Recommended Phase</t>
  </si>
  <si>
    <t>FORMULA STANDARDS</t>
  </si>
  <si>
    <t>Base Formula Pattern</t>
  </si>
  <si>
    <t>[Units] × [Rate] × [Efficiency 0.90] × [Adoption 0.75] = $Value</t>
  </si>
  <si>
    <t>Cost Formulas</t>
  </si>
  <si>
    <t>[Hours Saved] × [Hourly Rate] × 0.90 × 0.75</t>
  </si>
  <si>
    <t>Revenue Formulas</t>
  </si>
  <si>
    <t>[Revenue Base] × [Lift %] × 0.95 × 0.75</t>
  </si>
  <si>
    <t>Risk Formulas</t>
  </si>
  <si>
    <t>[Exposure] × [Reduction %] × 0.80 × 0.75</t>
  </si>
  <si>
    <t>Cash Flow Formulas</t>
  </si>
  <si>
    <t>[Days] × [Daily Value] × 0.85 × 0.75</t>
  </si>
  <si>
    <t>SCENARIO ASSUMPTIONS</t>
  </si>
  <si>
    <t>FINANCIAL PARAMETERS</t>
  </si>
  <si>
    <t>Parameter</t>
  </si>
  <si>
    <t>Value</t>
  </si>
  <si>
    <t>Unit</t>
  </si>
  <si>
    <t>Achievement Factor</t>
  </si>
  <si>
    <t>Expected % of target improvement achieved</t>
  </si>
  <si>
    <t>Avg Hourly Rate - Executive</t>
  </si>
  <si>
    <t>$/hr</t>
  </si>
  <si>
    <t>Timeline Acceleration</t>
  </si>
  <si>
    <t>Multiplier for implementation speed (1.0 = on-time)</t>
  </si>
  <si>
    <t>Avg Hourly Rate - Manager</t>
  </si>
  <si>
    <t>Risk Discount</t>
  </si>
  <si>
    <t>Risk-adjusted confidence factor</t>
  </si>
  <si>
    <t>Avg Hourly Rate - Specialist</t>
  </si>
  <si>
    <t>Adoption Rate</t>
  </si>
  <si>
    <t>Expected user adoption level</t>
  </si>
  <si>
    <t>Avg Hourly Rate - Analyst</t>
  </si>
  <si>
    <t>Industry Benchmark Weight</t>
  </si>
  <si>
    <t>Weight given to industry vs. target (0=target only)</t>
  </si>
  <si>
    <t>Blended Avg Rate</t>
  </si>
  <si>
    <t>Calculated average across roles</t>
  </si>
  <si>
    <t>Benefit Realization Period</t>
  </si>
  <si>
    <t>Years to calculate cumulative benefit</t>
  </si>
  <si>
    <t>Annual Working Hours</t>
  </si>
  <si>
    <t>hrs</t>
  </si>
  <si>
    <t>Standard FTE hours per year</t>
  </si>
  <si>
    <t>Discount Rate</t>
  </si>
  <si>
    <t>For NPV calculations</t>
  </si>
  <si>
    <t>Revenue per FTE</t>
  </si>
  <si>
    <t>$</t>
  </si>
  <si>
    <t>Average revenue productivity</t>
  </si>
  <si>
    <t>💡 Yellow cells are editable - change values to update all calculations</t>
  </si>
  <si>
    <t>DETAILED KPI IMPACT ANALYSIS</t>
  </si>
  <si>
    <t>SOURCE DATA</t>
  </si>
  <si>
    <t>BASELINE → TARGET ANALYSIS</t>
  </si>
  <si>
    <t>INDUSTRY COMPARISON</t>
  </si>
  <si>
    <t>KPI IMPACT QUANTIFICATION</t>
  </si>
  <si>
    <t>Baseline</t>
  </si>
  <si>
    <t>Target</t>
  </si>
  <si>
    <t>Industry</t>
  </si>
  <si>
    <t>Measurement</t>
  </si>
  <si>
    <t>Absolute Δ
(Baseline→Target)</t>
  </si>
  <si>
    <t>% Improvement
(Baseline→Target)</t>
  </si>
  <si>
    <t>Adjusted Target
(w/ Achievement)</t>
  </si>
  <si>
    <t>Risk-Adj Δ
(Achievable)</t>
  </si>
  <si>
    <t>Absolute Δ
(Industry→Target)</t>
  </si>
  <si>
    <t>% vs Industry
(Target Gap)</t>
  </si>
  <si>
    <t>Baseline vs
Industry</t>
  </si>
  <si>
    <t>Competitive
Position</t>
  </si>
  <si>
    <t>Numeric
Value</t>
  </si>
  <si>
    <t>Impact
Score</t>
  </si>
  <si>
    <t>Priority
Rank</t>
  </si>
  <si>
    <t>Est. Annual
Value ($)</t>
  </si>
  <si>
    <t>NPV
(Multi-Year)</t>
  </si>
  <si>
    <t>Months to
Breakeven</t>
  </si>
  <si>
    <t>Impact
Category</t>
  </si>
  <si>
    <t>PORTFOLIO SUMMARY</t>
  </si>
  <si>
    <t>Metric</t>
  </si>
  <si>
    <t>Total KPIs Analyzed</t>
  </si>
  <si>
    <t>Critical Impact KPIs</t>
  </si>
  <si>
    <t>Companies Covered</t>
  </si>
  <si>
    <t>High Impact KPIs</t>
  </si>
  <si>
    <t>Functions Covered</t>
  </si>
  <si>
    <t>Medium Impact KPIs</t>
  </si>
  <si>
    <t>Avg % Improvement</t>
  </si>
  <si>
    <t>Low Impact KPIs</t>
  </si>
  <si>
    <t>Total Est. Annual Value</t>
  </si>
  <si>
    <t>Leading vs Industry</t>
  </si>
  <si>
    <t>Total NPV (Multi-Year)</t>
  </si>
  <si>
    <t>Lagging vs Industry</t>
  </si>
  <si>
    <t>IMPROVEMENT DISTRIBUTION</t>
  </si>
  <si>
    <t>% Improvement Range</t>
  </si>
  <si>
    <t>Count</t>
  </si>
  <si>
    <t>&gt; 75% Improvement</t>
  </si>
  <si>
    <t>50% - 75% Improvement</t>
  </si>
  <si>
    <t>25% - 50% Improvement</t>
  </si>
  <si>
    <t>10% - 25% Improvement</t>
  </si>
  <si>
    <t>&lt; 10% Improvement</t>
  </si>
  <si>
    <t>Not Calculable</t>
  </si>
  <si>
    <t>USER GUIDE</t>
  </si>
  <si>
    <t>How to Use This Analysis:</t>
  </si>
  <si>
    <t>1️⃣ Adjust Assumptions (yellow cells) to model scenarios</t>
  </si>
  <si>
    <t>2️⃣ All calculations update automatically</t>
  </si>
  <si>
    <t>3️⃣ Filter by Company/Function/Impact Category</t>
  </si>
  <si>
    <t>4️⃣ Sort by Impact Score (Col T) for prioritization</t>
  </si>
  <si>
    <t>5️⃣ Use Priority Rank (Col U) for quick wins</t>
  </si>
  <si>
    <t>Impact Categories: 🔥Critical (≥50) | ⚠️High (25-49) | 📊Medium (10-24) | 📉Low (&lt;10)</t>
  </si>
  <si>
    <t>What-If Analysis &amp; Scenario Planning Tool</t>
  </si>
  <si>
    <t>📊 SCENARIO ASSUMPTIONS</t>
  </si>
  <si>
    <t>Range</t>
  </si>
  <si>
    <t>IMPLEMENTATION FACTORS</t>
  </si>
  <si>
    <t>50%-100%</t>
  </si>
  <si>
    <t>Implementation achievability (0.5-1.0)</t>
  </si>
  <si>
    <t>Organizational adoption rate</t>
  </si>
  <si>
    <t>60%-100%</t>
  </si>
  <si>
    <t>Risk confidence level</t>
  </si>
  <si>
    <t>Realization Rate</t>
  </si>
  <si>
    <t>70%-100%</t>
  </si>
  <si>
    <t>Cash flow realization rate</t>
  </si>
  <si>
    <t>COST ASSUMPTIONS</t>
  </si>
  <si>
    <t>$300-$500</t>
  </si>
  <si>
    <t>Physician/executive loaded cost</t>
  </si>
  <si>
    <t>$100-$200</t>
  </si>
  <si>
    <t>Senior specialist loaded cost</t>
  </si>
  <si>
    <t>$75-$150</t>
  </si>
  <si>
    <t>Operations staff loaded cost</t>
  </si>
  <si>
    <t>$60-$120</t>
  </si>
  <si>
    <t>Back-office staff loaded cost</t>
  </si>
  <si>
    <t>$1-$10</t>
  </si>
  <si>
    <t>Claude API input tokens/million</t>
  </si>
  <si>
    <t>$5-$30</t>
  </si>
  <si>
    <t>Claude API output tokens/million</t>
  </si>
  <si>
    <t>SCENARIO MULTIPLIERS</t>
  </si>
  <si>
    <t>Scenario Multiplier</t>
  </si>
  <si>
    <t>0.5x-2.0x</t>
  </si>
  <si>
    <t>Overall scenario adjustment</t>
  </si>
  <si>
    <t>🎯 FILTER CONTROLS</t>
  </si>
  <si>
    <t>Filter</t>
  </si>
  <si>
    <t>Selection</t>
  </si>
  <si>
    <t>Options</t>
  </si>
  <si>
    <t>Active</t>
  </si>
  <si>
    <t>All</t>
  </si>
  <si>
    <t>Critical/High/Medium/All</t>
  </si>
  <si>
    <t>✓</t>
  </si>
  <si>
    <t>Select from dropdown</t>
  </si>
  <si>
    <t>Business Driver Focus</t>
  </si>
  <si>
    <t>Cost/Revenue/Risk/Cash Flow/All</t>
  </si>
  <si>
    <t>Min Value ($M)</t>
  </si>
  <si>
    <t>$0 - $50</t>
  </si>
  <si>
    <t>Max Time-to-Value (mo)</t>
  </si>
  <si>
    <t>1-24 months</t>
  </si>
  <si>
    <t>Min Probability</t>
  </si>
  <si>
    <t>Filtered Use Cases:</t>
  </si>
  <si>
    <t>📊 PORTFOLIO IMPACT SUMMARY - FOUR BUSINESS DRIVERS</t>
  </si>
  <si>
    <t>Business Driver</t>
  </si>
  <si>
    <t>Base Value ($M)</t>
  </si>
  <si>
    <t>Adjusted Value ($M)</t>
  </si>
  <si>
    <t>Avg/Case ($M)</t>
  </si>
  <si>
    <t>High Impact</t>
  </si>
  <si>
    <t>Quick Wins</t>
  </si>
  <si>
    <t>Scenario Impact</t>
  </si>
  <si>
    <t>Risk-Adjusted</t>
  </si>
  <si>
    <t>💰 Cost Reduction</t>
  </si>
  <si>
    <t>📈 Revenue Growth</t>
  </si>
  <si>
    <t>🛡️ Risk Mitigation</t>
  </si>
  <si>
    <t>💵 Cash Flow Accel.</t>
  </si>
  <si>
    <t>📊 TOTAL PORTFOLIO</t>
  </si>
  <si>
    <t>⚡ Scenario vs Base Delta:</t>
  </si>
  <si>
    <t>Impact of assumption changes</t>
  </si>
  <si>
    <t>📈 Upside Potential (2x scenario):</t>
  </si>
  <si>
    <t>If scenario multiplier = 2x</t>
  </si>
  <si>
    <t>🏢 SUMMARY BY PRIORITY TIER</t>
  </si>
  <si>
    <t>Adjusted Total ($M)</t>
  </si>
  <si>
    <t>Avg Prob Success</t>
  </si>
  <si>
    <t>Avg TTV (mo)</t>
  </si>
  <si>
    <t>🔴 Critical</t>
  </si>
  <si>
    <t>🟠 High</t>
  </si>
  <si>
    <t>🟢 Medium</t>
  </si>
  <si>
    <t>TOTAL</t>
  </si>
  <si>
    <t>🏢 TOP 15 INVESTMENT GROUPS BY TOTAL VALUE</t>
  </si>
  <si>
    <t>Adjusted ($M)</t>
  </si>
  <si>
    <t>Critical Cases</t>
  </si>
  <si>
    <t>TOP 15 TOTAL</t>
  </si>
  <si>
    <t>💼 SUMMARY BY BUSINESS FUNCTION</t>
  </si>
  <si>
    <t>Avg Prob</t>
  </si>
  <si>
    <t>Avg TTV</t>
  </si>
  <si>
    <t>TOP FUNCTIONS TOTAL</t>
  </si>
  <si>
    <t>📊 SCENARIO ANALYSIS - SENSITIVITY TABLE</t>
  </si>
  <si>
    <t>What-If: Efficiency Factor Impact</t>
  </si>
  <si>
    <t>Total Portfolio Value ($M)</t>
  </si>
  <si>
    <t>What-If: Adoption Factor Impact</t>
  </si>
  <si>
    <t>What-If: Scenario Multiplier</t>
  </si>
  <si>
    <t>0.5x</t>
  </si>
  <si>
    <t>0.75x</t>
  </si>
  <si>
    <t>1.0x</t>
  </si>
  <si>
    <t>1.25x</t>
  </si>
  <si>
    <t>1.5x</t>
  </si>
  <si>
    <t>2.0x</t>
  </si>
  <si>
    <t>💡 Instructions: Change yellow cells in Assumptions section to see impact across all tables</t>
  </si>
  <si>
    <t>Adjusted Cost ($M)</t>
  </si>
  <si>
    <t>Adjusted Revenue ($M)</t>
  </si>
  <si>
    <t>Adjusted Risk ($M)</t>
  </si>
  <si>
    <t>Adjusted Cash Flow ($M)</t>
  </si>
  <si>
    <t>Total Adjusted Impact ($M)</t>
  </si>
  <si>
    <t>Risk-Weighted Value ($M)</t>
  </si>
  <si>
    <t>EXECUTIVE ANALYSIS DASHBOARD</t>
  </si>
  <si>
    <t>SECTION 1: FORMULA ASSUMPTIONS</t>
  </si>
  <si>
    <t>Assumption Name</t>
  </si>
  <si>
    <t>Applied To</t>
  </si>
  <si>
    <t>Realization Factor (High)</t>
  </si>
  <si>
    <t>Success rate applied to cost/revenue estimates</t>
  </si>
  <si>
    <t>Cost, Revenue Formulas</t>
  </si>
  <si>
    <t>Realization Factor (Standard)</t>
  </si>
  <si>
    <t>Success rate applied to risk estimates</t>
  </si>
  <si>
    <t>Adoption/Implementation Factor</t>
  </si>
  <si>
    <t>Expected adoption rate across organization</t>
  </si>
  <si>
    <t>All Formulas</t>
  </si>
  <si>
    <t>Cash Flow Timing Factor</t>
  </si>
  <si>
    <t>Working capital timing adjustment</t>
  </si>
  <si>
    <t>Revenue Attribution Factor</t>
  </si>
  <si>
    <t>Revenue benefit attribution rate</t>
  </si>
  <si>
    <t>Risk Mitigation Confidence</t>
  </si>
  <si>
    <t>Confidence level for risk reduction claims</t>
  </si>
  <si>
    <t>Risk</t>
  </si>
  <si>
    <t>Cost</t>
  </si>
  <si>
    <t>45,000 hrs × $45/hr</t>
  </si>
  <si>
    <t>Revenue</t>
  </si>
  <si>
    <t>Primary Benefit Driver</t>
  </si>
  <si>
    <t>Investment Group Notes</t>
  </si>
  <si>
    <t>Consumer services; high customer volume operations</t>
  </si>
  <si>
    <t>Professional services; labor-intensive operations</t>
  </si>
  <si>
    <t>Data/analytics; significant risk mitigation potential</t>
  </si>
  <si>
    <t>Consumer products; e-commerce &amp; content focus</t>
  </si>
  <si>
    <t>Consumer products; strong cash flow improvement</t>
  </si>
  <si>
    <t>E-commerce; balanced cost/revenue benefits</t>
  </si>
  <si>
    <t>Healthcare; clinical documentation focus</t>
  </si>
  <si>
    <t>Healthcare; patient engagement optimization</t>
  </si>
  <si>
    <t>Utilities; regulatory compliance focus</t>
  </si>
  <si>
    <t>Industrial equipment; engineering efficiency</t>
  </si>
  <si>
    <t>Customer experience; risk mitigation primary driver</t>
  </si>
  <si>
    <t>Agriculture; operational efficiency focus</t>
  </si>
  <si>
    <t>Logistics; process automation focus</t>
  </si>
  <si>
    <t>Distribution; catalog &amp; procurement focus</t>
  </si>
  <si>
    <t>Technology; document processing expertise</t>
  </si>
  <si>
    <t>SECTION 2: DYNAMIC FORMULA ANALYSIS - ALL USE CASES</t>
  </si>
  <si>
    <t>Cost: Input Variable</t>
  </si>
  <si>
    <t>Cost: Description</t>
  </si>
  <si>
    <t>Cost: Calculated ($)</t>
  </si>
  <si>
    <t>Cost: Original ($)</t>
  </si>
  <si>
    <t>Revenue: Input Variable</t>
  </si>
  <si>
    <t>Revenue: Description</t>
  </si>
  <si>
    <t>Revenue: Calculated ($)</t>
  </si>
  <si>
    <t>Revenue: Original ($)</t>
  </si>
  <si>
    <t>Risk: Reduction %</t>
  </si>
  <si>
    <t>Risk: Exposure ($)</t>
  </si>
  <si>
    <t>Risk: Description</t>
  </si>
  <si>
    <t>Risk: Calculated ($)</t>
  </si>
  <si>
    <t>Risk: Original ($)</t>
  </si>
  <si>
    <t>Cash Flow: Days</t>
  </si>
  <si>
    <t>Cash Flow: Daily Value ($)</t>
  </si>
  <si>
    <t>Cash Flow: Calculated ($)</t>
  </si>
  <si>
    <t>Cash Flow: Original ($)</t>
  </si>
  <si>
    <t>43,200 hrs × $85/hr</t>
  </si>
  <si>
    <t>43,200 hours × $85/hour × 60% deflection</t>
  </si>
  <si>
    <t>1,500 hrs × $125/hr</t>
  </si>
  <si>
    <t>15 reps × 1,500 hours × $125/hour × 0.90</t>
  </si>
  <si>
    <t>32% × $12.3M</t>
  </si>
  <si>
    <t>45,000 appointments × 32% non-close × 25</t>
  </si>
  <si>
    <t>Intelligent Measurement Validation Syste</t>
  </si>
  <si>
    <t>13,500 hrs × $125/hr</t>
  </si>
  <si>
    <t>13,500 hours × $125/hour × 0.90 × 0.75 =</t>
  </si>
  <si>
    <t>rework cost</t>
  </si>
  <si>
    <t>200 hrs × $125/hr</t>
  </si>
  <si>
    <t xml:space="preserve">300 reps × 200 hours × $125/hour × 0.90 </t>
  </si>
  <si>
    <t>3% × $1M</t>
  </si>
  <si>
    <t>45,000 appointments × 25 min saved × $12</t>
  </si>
  <si>
    <t>$1.4M friction cost × 75% automatio</t>
  </si>
  <si>
    <t>$1.4M friction cost × 75% automation × 0</t>
  </si>
  <si>
    <t>$890K friction cost × 80% automatio</t>
  </si>
  <si>
    <t>$890K friction cost × 80% automation × 0</t>
  </si>
  <si>
    <t>$500K duplicate payment exposure × 50% r</t>
  </si>
  <si>
    <t>Predictive Installation Quality Validato</t>
  </si>
  <si>
    <t>3,600 hrs × $100/hr</t>
  </si>
  <si>
    <t>3,600 hours × $100/hour × 75% time savin</t>
  </si>
  <si>
    <t>720 hrs × $125/hr</t>
  </si>
  <si>
    <t>720 hours × $125/hour × 75% time savings</t>
  </si>
  <si>
    <t>$300K training gap exposure × 40% reduct</t>
  </si>
  <si>
    <t>$340K friction cost × 70% time redu</t>
  </si>
  <si>
    <t>$340K friction cost × 70% time reduction</t>
  </si>
  <si>
    <t>$800K compliance exposure × 50% reductio</t>
  </si>
  <si>
    <t xml:space="preserve">Predictive Patient Engagement &amp; No-Show </t>
  </si>
  <si>
    <t>8,400 hrs × $50/hr</t>
  </si>
  <si>
    <t>8,400 hours deflected from manual confir</t>
  </si>
  <si>
    <t>11 percentage point no-show reducti</t>
  </si>
  <si>
    <t xml:space="preserve">11 percentage point no-show reduction × </t>
  </si>
  <si>
    <t>Intelligent Patient Inquiry Router &amp; Res</t>
  </si>
  <si>
    <t>22,000 hrs × $100/hr</t>
  </si>
  <si>
    <t>22,000 hours deflected from manual inqui</t>
  </si>
  <si>
    <t>14 percentage point conversion impr</t>
  </si>
  <si>
    <t>14 percentage point conversion improveme</t>
  </si>
  <si>
    <t>Automated Compliance &amp; Chart Quality Aud</t>
  </si>
  <si>
    <t>28,000 hrs × $100/hr</t>
  </si>
  <si>
    <t>28,000 hours deflected from manual chart</t>
  </si>
  <si>
    <t>regulatory and malpractice exposure</t>
  </si>
  <si>
    <t>Patient Lifetime Value Predictor &amp; Reten</t>
  </si>
  <si>
    <t>8,500 hrs × $100/hr</t>
  </si>
  <si>
    <t>8,500 hours deflected from manual campai</t>
  </si>
  <si>
    <t>9 percentage point retention improv</t>
  </si>
  <si>
    <t>9 percentage point retention improvement</t>
  </si>
  <si>
    <t>Intelligent Claims Scrubbing &amp; Denial Pr</t>
  </si>
  <si>
    <t>14,500 hrs × $100/hr</t>
  </si>
  <si>
    <t>14,500 hours deflected from rework on de</t>
  </si>
  <si>
    <t>compliance audit exposure from billing e</t>
  </si>
  <si>
    <t>Intelligent Insurance Verification &amp; Aut</t>
  </si>
  <si>
    <t>40,000 hrs × $150/hr</t>
  </si>
  <si>
    <t>40,000 hours deflected × $150/hour × 0.9</t>
  </si>
  <si>
    <t>authorization denial exposure</t>
  </si>
  <si>
    <t>AI-Powered Clinical Documentation Assist</t>
  </si>
  <si>
    <t>6 minutes saved × 850 dentists × 11</t>
  </si>
  <si>
    <t>6 minutes saved × 850 dentists × 11.2 vi</t>
  </si>
  <si>
    <t xml:space="preserve">2.8 patients added per dentist per </t>
  </si>
  <si>
    <t>2.8 patients added per dentist per day ×</t>
  </si>
  <si>
    <t>documentation deficiency exposure</t>
  </si>
  <si>
    <t>Automated Treatment Plan Acceptance Opti</t>
  </si>
  <si>
    <t>3 minutes saved per treatment prese</t>
  </si>
  <si>
    <t>3 minutes saved per treatment presentati</t>
  </si>
  <si>
    <t>15 percentage point acceptance impr</t>
  </si>
  <si>
    <t>15 percentage point acceptance improveme</t>
  </si>
  <si>
    <t>Real-Time Practice Performance Intellige</t>
  </si>
  <si>
    <t>18,000 hrs × $100/hr</t>
  </si>
  <si>
    <t>18,000 hours deflected from manual repor</t>
  </si>
  <si>
    <t>3% × $450M</t>
  </si>
  <si>
    <t>3% revenue improvement from faster inter</t>
  </si>
  <si>
    <t>Provider Credentialing Automation &amp; Trac</t>
  </si>
  <si>
    <t>12,000 hrs × $100/hr</t>
  </si>
  <si>
    <t>12,000 hours deflected from manual crede</t>
  </si>
  <si>
    <t>23,400 calls × 0.60 deflection × 12</t>
  </si>
  <si>
    <t>23,400 calls × 0.60 deflection × 12 minu</t>
  </si>
  <si>
    <t>Compliance tracking hours below $10</t>
  </si>
  <si>
    <t>Compliance tracking hours below $100K th</t>
  </si>
  <si>
    <t>potential fine</t>
  </si>
  <si>
    <t>120 saved quotes/month × 0.45 conve</t>
  </si>
  <si>
    <t>120 saved quotes/month × 0.45 conversion</t>
  </si>
  <si>
    <t>14,400 manual assignment hours × 0.</t>
  </si>
  <si>
    <t>14,400 manual assignment hours × 0.50 re</t>
  </si>
  <si>
    <t>3,200 hours × 0.70 reduction × $26.</t>
  </si>
  <si>
    <t>3,200 hours × 0.70 reduction × $26.44/hr</t>
  </si>
  <si>
    <t>280 hours × 0.50 reduction × $26.44</t>
  </si>
  <si>
    <t>280 hours × 0.50 reduction × $26.44/hr ×</t>
  </si>
  <si>
    <t>27 at-risk customers × 0.30 saved ×</t>
  </si>
  <si>
    <t>27 at-risk customers × 0.30 saved × $4,5</t>
  </si>
  <si>
    <t>0.05 probability × $500K annual reputati</t>
  </si>
  <si>
    <t>185,000 shipments × 0.03 incrementa</t>
  </si>
  <si>
    <t>185,000 shipments × 0.03 incremental cap</t>
  </si>
  <si>
    <t xml:space="preserve">340 accounts × 0.08 at-risk × 0.35 </t>
  </si>
  <si>
    <t>340 accounts × 0.08 at-risk × 0.35 saved</t>
  </si>
  <si>
    <t>185,000 shipments × 0.15 repriced ×</t>
  </si>
  <si>
    <t>185,000 shipments × 0.15 repriced × $151</t>
  </si>
  <si>
    <t>Prior Authorization Intelligent Assistan</t>
  </si>
  <si>
    <t>15% × $850M</t>
  </si>
  <si>
    <t>15% faster approvals × $850M revenue × 1</t>
  </si>
  <si>
    <t>annual attrition loss</t>
  </si>
  <si>
    <t>10% × $850M</t>
  </si>
  <si>
    <t>10% physician capacity × $850M revenue ×</t>
  </si>
  <si>
    <t xml:space="preserve">malpractice exposure from documentation </t>
  </si>
  <si>
    <t>8% × $850M</t>
  </si>
  <si>
    <t xml:space="preserve">8% lift in clean claims × $850M revenue </t>
  </si>
  <si>
    <t>audit exposure</t>
  </si>
  <si>
    <t>14% × $68M</t>
  </si>
  <si>
    <t>14% improvement × $68M patient responsib</t>
  </si>
  <si>
    <t>Provider Credentialing Verification Agen</t>
  </si>
  <si>
    <t>45 days faster × 18 providers annua</t>
  </si>
  <si>
    <t>45 days faster × 18 providers annually ×</t>
  </si>
  <si>
    <t>credentialing liability exposure</t>
  </si>
  <si>
    <t>5% × $850M</t>
  </si>
  <si>
    <t>5% improvement × $850M revenue × 6.8% at</t>
  </si>
  <si>
    <t>complication cost</t>
  </si>
  <si>
    <t>60% × $3.2M</t>
  </si>
  <si>
    <t>60% recovery × $3.2M annual underpayment</t>
  </si>
  <si>
    <t>15% × $6.8M</t>
  </si>
  <si>
    <t xml:space="preserve">15% improvement × 33,600 denials × $850 </t>
  </si>
  <si>
    <t>3.3% × $2.5M</t>
  </si>
  <si>
    <t xml:space="preserve">3.3% enrollment lift × 180,000 patients </t>
  </si>
  <si>
    <t>2% × $850M</t>
  </si>
  <si>
    <t>2% MIPS bonus × $850M Medicare revenue ×</t>
  </si>
  <si>
    <t>compliance exposure</t>
  </si>
  <si>
    <t>6 minutes saved × 1.8M encounters ×</t>
  </si>
  <si>
    <t>6 minutes saved × 1.8M encounters × $85/</t>
  </si>
  <si>
    <t>12,000 hrs × $45/hr</t>
  </si>
  <si>
    <t>12,000 hours saved × $45/hour × 0.90 × 0</t>
  </si>
  <si>
    <t>24% × $850M</t>
  </si>
  <si>
    <t>24% compliance improvement × $850M reven</t>
  </si>
  <si>
    <t>adverse outcome exposure</t>
  </si>
  <si>
    <t>15% reduction × $18M referral costs</t>
  </si>
  <si>
    <t>15% reduction × $18M referral costs × 0.</t>
  </si>
  <si>
    <t>7% × $850M</t>
  </si>
  <si>
    <t xml:space="preserve">7% accuracy improvement × $850M revenue </t>
  </si>
  <si>
    <t>malpractice exposure</t>
  </si>
  <si>
    <t>Conversational Appointment Scheduling Ag</t>
  </si>
  <si>
    <t>45,000 hours deflected × $45/hour × 0.90</t>
  </si>
  <si>
    <t>12% × $17.1M</t>
  </si>
  <si>
    <t>12% abandonment reduction × 2.4M calls ×</t>
  </si>
  <si>
    <t>8% × $34.2M</t>
  </si>
  <si>
    <t>8% no-show reduction × 2.1M appointments</t>
  </si>
  <si>
    <t>Regulatory Compliance Documentation Assi</t>
  </si>
  <si>
    <t>18,000 hrs × $85/hr</t>
  </si>
  <si>
    <t>18,000 hours saved × $85/hour × 0.90 × 0</t>
  </si>
  <si>
    <t>regulatory penalty exposure</t>
  </si>
  <si>
    <t>$6M stockout costs × 0.76 reduction</t>
  </si>
  <si>
    <t>$6M stockout costs × 0.76 reduction × 0.</t>
  </si>
  <si>
    <t>5.7% × $850M</t>
  </si>
  <si>
    <t xml:space="preserve">5.7% stockout reduction × $850M revenue </t>
  </si>
  <si>
    <t>8,500 hrs × $45/hr</t>
  </si>
  <si>
    <t>8,500 hours saved × $45/hour × 0.90 × 0.</t>
  </si>
  <si>
    <t>23% × $23.5M</t>
  </si>
  <si>
    <t>23% conversion improvement × 125K inquir</t>
  </si>
  <si>
    <t>9 minutes × 180K emergencies × $85/</t>
  </si>
  <si>
    <t xml:space="preserve">9 minutes × 180K emergencies × $85/hour </t>
  </si>
  <si>
    <t>4% × $76M</t>
  </si>
  <si>
    <t>Emergency volume increase 4% × $76M emer</t>
  </si>
  <si>
    <t>emergency malpractice exposure</t>
  </si>
  <si>
    <t xml:space="preserve">7% turnover reduction × 850 vets × </t>
  </si>
  <si>
    <t>7% turnover reduction × 850 vets × $120K</t>
  </si>
  <si>
    <t>19,600 hrs × $185/hr</t>
  </si>
  <si>
    <t xml:space="preserve">19,600 hours saved × $185/hour × 0.90 × </t>
  </si>
  <si>
    <t>15% × $2.0M</t>
  </si>
  <si>
    <t xml:space="preserve">15% faster implementations × 220 annual </t>
  </si>
  <si>
    <t>6,120 hrs × $125/hr</t>
  </si>
  <si>
    <t>6,120 hours saved × $125/hour × 0.90 × 0</t>
  </si>
  <si>
    <t>support cost</t>
  </si>
  <si>
    <t>Revenue Recognition Reconciliation Engin</t>
  </si>
  <si>
    <t>2,400 hrs × $150/hr</t>
  </si>
  <si>
    <t>2,400 hours saved × $150/hour × 0.90 × 0</t>
  </si>
  <si>
    <t>1,200 hrs × $100/hr</t>
  </si>
  <si>
    <t>1,200 hours saved × $100/hour × 0.90 × 0</t>
  </si>
  <si>
    <t>25 days faster hiring × 45 technica</t>
  </si>
  <si>
    <t>25 days faster hiring × 45 technical rol</t>
  </si>
  <si>
    <t>2.5% × $127M</t>
  </si>
  <si>
    <t>2.5% churn reduction × $127M revenue × 0</t>
  </si>
  <si>
    <t>renewal base</t>
  </si>
  <si>
    <t>57,720 hrs × $125/hr</t>
  </si>
  <si>
    <t>57,720 hours deflected × $125/hour × 0.9</t>
  </si>
  <si>
    <t>revenue</t>
  </si>
  <si>
    <t>4,680 hrs × $150/hr</t>
  </si>
  <si>
    <t>4,680 hours saved × $150/hour × 0.90 × 0</t>
  </si>
  <si>
    <t>12% × $42M</t>
  </si>
  <si>
    <t>12% win rate improvement × $42M pipeline</t>
  </si>
  <si>
    <t>2.4% response lift × 28,000 monthly</t>
  </si>
  <si>
    <t>2.4% response lift × 28,000 monthly outr</t>
  </si>
  <si>
    <t xml:space="preserve">15% sprint capacity × 65 engineers </t>
  </si>
  <si>
    <t>15% sprint capacity × 65 engineers × $18</t>
  </si>
  <si>
    <t>annual bug cost</t>
  </si>
  <si>
    <t>6,120 hrs × $100/hr</t>
  </si>
  <si>
    <t>6,120 hours saved × $100/hour × 0.90 × 0</t>
  </si>
  <si>
    <t>5% × $42M</t>
  </si>
  <si>
    <t>3× content volume × 5% conversion lift ×</t>
  </si>
  <si>
    <t>12,500 hrs × $150/hr</t>
  </si>
  <si>
    <t>12,500 hours × $150/hour × 0.90 × 0.75 =</t>
  </si>
  <si>
    <t>0.03 churn reduction × $1.8B revenue × 0</t>
  </si>
  <si>
    <t xml:space="preserve">7 days faster × $850K pipeline/day </t>
  </si>
  <si>
    <t>7 days faster × $850K pipeline/day × 0.0</t>
  </si>
  <si>
    <t>exposure</t>
  </si>
  <si>
    <t>2,800 hrs × $95/hr</t>
  </si>
  <si>
    <t>2,800 hours × $95/hour × 0.90 × 0.75 = $</t>
  </si>
  <si>
    <t>28,000 hrs × $150/hr</t>
  </si>
  <si>
    <t>28,000 hours × $150/hour × 0.90 × 0.75 =</t>
  </si>
  <si>
    <t>9,200 hrs × $95/hr</t>
  </si>
  <si>
    <t>9,200 hours × $95/hour × 0.90 × 0.75 = $</t>
  </si>
  <si>
    <t>23 days reduction × $350K/day × 0.1</t>
  </si>
  <si>
    <t>23 days reduction × $350K/day × 0.12 con</t>
  </si>
  <si>
    <t>0.15 lead rejection × $180M pipelin</t>
  </si>
  <si>
    <t>0.15 lead rejection × $180M pipeline × 0</t>
  </si>
  <si>
    <t>0.02 churn reduction × $1.8B revenue × 0</t>
  </si>
  <si>
    <t>31,500 hrs × $150/hr</t>
  </si>
  <si>
    <t>31,500 hours deflected × $150/hour × 0.9</t>
  </si>
  <si>
    <t>quality inquiry exposure</t>
  </si>
  <si>
    <t xml:space="preserve">71% schedule adherence improvement </t>
  </si>
  <si>
    <t>71% schedule adherence improvement × $9.</t>
  </si>
  <si>
    <t>50% productivity improvement × $3.6</t>
  </si>
  <si>
    <t>50% productivity improvement × $3.6M bas</t>
  </si>
  <si>
    <t>50% cycle time reduction × $5.8M ba</t>
  </si>
  <si>
    <t>50% cycle time reduction × $5.8M baselin</t>
  </si>
  <si>
    <t>9% × $5.8M</t>
  </si>
  <si>
    <t>9% win rate improvement × $5.8M baseline</t>
  </si>
  <si>
    <t>16 days cycle time reduction × $4.8</t>
  </si>
  <si>
    <t>16 days cycle time reduction × $4.8M bas</t>
  </si>
  <si>
    <t>8% downtime reduction × $14.7M base</t>
  </si>
  <si>
    <t xml:space="preserve">8% downtime reduction × $14.7M baseline </t>
  </si>
  <si>
    <t>16,800 hrs × $85/hr</t>
  </si>
  <si>
    <t>16,800 hours deflected × $85/hour × 0.90</t>
  </si>
  <si>
    <t>28% × $8.0M</t>
  </si>
  <si>
    <t xml:space="preserve">28% capture improvement × $8.0M revenue </t>
  </si>
  <si>
    <t xml:space="preserve">60% efficiency improvement × $1.9M </t>
  </si>
  <si>
    <t>60% efficiency improvement × $1.9M basel</t>
  </si>
  <si>
    <t>5,100 hrs × $150/hr</t>
  </si>
  <si>
    <t>5,100 hours saved × $150/hour × 0.90 × 0</t>
  </si>
  <si>
    <t>10% × $180M</t>
  </si>
  <si>
    <t>10% repeat rate lift (68% to 78%) × $180</t>
  </si>
  <si>
    <t>6,200 hrs × $150/hr</t>
  </si>
  <si>
    <t>6,200 hours saved × $150/hour × 0.90 × 0</t>
  </si>
  <si>
    <t>9,100 hrs × $150/hr</t>
  </si>
  <si>
    <t>9,100 hours saved × $150/hour × 0.90 × 0</t>
  </si>
  <si>
    <t>modeling error exposure</t>
  </si>
  <si>
    <t>Regulatory Compliance Intelligence Syste</t>
  </si>
  <si>
    <t>9,200 hrs × $150/hr</t>
  </si>
  <si>
    <t>9,200 hours saved × $150/hour × 0.90 × 0</t>
  </si>
  <si>
    <t>compliance failure exposure</t>
  </si>
  <si>
    <t>5,400 hrs × $150/hr</t>
  </si>
  <si>
    <t>5,400 hours saved × $150/hour × 0.90 × 0</t>
  </si>
  <si>
    <t>3,100 hrs × $150/hr</t>
  </si>
  <si>
    <t>3,100 hours saved × $150/hour × 0.90 × 0</t>
  </si>
  <si>
    <t>4,700 hrs × $150/hr</t>
  </si>
  <si>
    <t>4,700 hours saved × $150/hour × 0.90 × 0</t>
  </si>
  <si>
    <t>11,600 partner hours saved × $250/h</t>
  </si>
  <si>
    <t>11,600 partner hours saved × $250/hour ×</t>
  </si>
  <si>
    <t>quality failure exposure</t>
  </si>
  <si>
    <t>10,300 hrs × $150/hr</t>
  </si>
  <si>
    <t xml:space="preserve">10,300 hours saved × $150/hour × 0.90 × </t>
  </si>
  <si>
    <t>7% × $180M</t>
  </si>
  <si>
    <t xml:space="preserve">7% win rate lift × $180M revenue × 0.95 </t>
  </si>
  <si>
    <t>240 hrs × $150/hr</t>
  </si>
  <si>
    <t>240 hours saved per deal × 70 deals × $1</t>
  </si>
  <si>
    <t>annual diligence error exposure</t>
  </si>
  <si>
    <t>28000 hours × $145/hr × 0.90 × 0.75</t>
  </si>
  <si>
    <t>28000 hours × $145/hr × 0.90 × 0.75 = $2</t>
  </si>
  <si>
    <t xml:space="preserve">3.2 days reduction × 1840 quotes × </t>
  </si>
  <si>
    <t>3.2 days reduction × 1840 quotes × 6 hou</t>
  </si>
  <si>
    <t>10% quote abandonment reduction × 2</t>
  </si>
  <si>
    <t>10% quote abandonment reduction × 22% ba</t>
  </si>
  <si>
    <t>Safety Documentation Intelligence Platfo</t>
  </si>
  <si>
    <t xml:space="preserve">9800 hours × $135/hr × 0.90 × 0.75 </t>
  </si>
  <si>
    <t>9800 hours × $135/hr × 0.90 × 0.75 = $90</t>
  </si>
  <si>
    <t xml:space="preserve">40% incident reduction × 47 incidents × </t>
  </si>
  <si>
    <t>6100 hours procurement time × $145/</t>
  </si>
  <si>
    <t xml:space="preserve">6100 hours procurement time × $145/hr × </t>
  </si>
  <si>
    <t>5800 hours × $145/hr finance time ×</t>
  </si>
  <si>
    <t>5800 hours × $145/hr finance time × 0.90</t>
  </si>
  <si>
    <t xml:space="preserve">3200 hours × $135/hr × 0.90 × 0.75 </t>
  </si>
  <si>
    <t>3200 hours × $135/hr × 0.90 × 0.75 = $2.</t>
  </si>
  <si>
    <t>19500 hours × $125/hr × 0.70 deflec</t>
  </si>
  <si>
    <t xml:space="preserve">19500 hours × $125/hr × 0.70 deflection </t>
  </si>
  <si>
    <t xml:space="preserve">4900 hours × $125/hr × 0.90 × 0.75 </t>
  </si>
  <si>
    <t>4900 hours × $125/hr × 0.90 × 0.75 = $3.</t>
  </si>
  <si>
    <t>15% win rate improvement × 28% base</t>
  </si>
  <si>
    <t xml:space="preserve">15% win rate improvement × 28% baseline </t>
  </si>
  <si>
    <t xml:space="preserve">4600 hours × $135/hr × 0.90 × 0.75 </t>
  </si>
  <si>
    <t>4600 hours × $135/hr × 0.90 × 0.75 = $3.</t>
  </si>
  <si>
    <t xml:space="preserve">30% incident reduction × 47 incidents × </t>
  </si>
  <si>
    <t xml:space="preserve">1800 hours × $125/hr × 0.90 × 0.75 </t>
  </si>
  <si>
    <t>1800 hours × $125/hr × 0.90 × 0.75 = $1.</t>
  </si>
  <si>
    <t>81 new patients × $28K lifetime val</t>
  </si>
  <si>
    <t xml:space="preserve">81 new patients × $28K lifetime value × </t>
  </si>
  <si>
    <t>protocol error exposure</t>
  </si>
  <si>
    <t xml:space="preserve">13,440 coaching hours × $65/hour × </t>
  </si>
  <si>
    <t xml:space="preserve">13,440 coaching hours × $65/hour × 0.90 </t>
  </si>
  <si>
    <t>192 retained patients × $28K lifeti</t>
  </si>
  <si>
    <t>192 retained patients × $28K lifetime va</t>
  </si>
  <si>
    <t>3,060 physician hours × $185/hour ×</t>
  </si>
  <si>
    <t>3,060 physician hours × $185/hour × 0.90</t>
  </si>
  <si>
    <t>outdated protocol risk</t>
  </si>
  <si>
    <t>Automated Clinical Documentation Assista</t>
  </si>
  <si>
    <t>8,400 staff hours × $95/hour × 0.90</t>
  </si>
  <si>
    <t>8,400 staff hours × $95/hour × 0.90 × 0.</t>
  </si>
  <si>
    <t xml:space="preserve">2,400 analysis hours × $150/hour × </t>
  </si>
  <si>
    <t xml:space="preserve">2,400 analysis hours × $150/hour × 0.90 </t>
  </si>
  <si>
    <t>85 new patients × $28K lifetime val</t>
  </si>
  <si>
    <t xml:space="preserve">85 new patients × $28K lifetime value × </t>
  </si>
  <si>
    <t>7,680 staff hours × $95/hour × 0.90</t>
  </si>
  <si>
    <t>7,680 staff hours × $95/hour × 0.90 × 0.</t>
  </si>
  <si>
    <t>38 retained patients × $28K lifetim</t>
  </si>
  <si>
    <t>38 retained patients × $28K lifetime val</t>
  </si>
  <si>
    <t>patient safety exposure</t>
  </si>
  <si>
    <t>7,200 admin hours × $65/hour × 0.90</t>
  </si>
  <si>
    <t>7,200 admin hours × $65/hour × 0.90 × 0.</t>
  </si>
  <si>
    <t>3,360 physician hours × $185/hour ×</t>
  </si>
  <si>
    <t>3,360 physician hours × $185/hour × 0.90</t>
  </si>
  <si>
    <t>54 new patients × $28K lifetime val</t>
  </si>
  <si>
    <t xml:space="preserve">54 new patients × $28K lifetime value × </t>
  </si>
  <si>
    <t>4,800 coaching hours × $65/hour × 0</t>
  </si>
  <si>
    <t>4,800 coaching hours × $65/hour × 0.90 ×</t>
  </si>
  <si>
    <t>48 retained patients × $28K lifetim</t>
  </si>
  <si>
    <t>48 retained patients × $28K lifetime val</t>
  </si>
  <si>
    <t>1,920 physician hours × $185/hour ×</t>
  </si>
  <si>
    <t>1,920 physician hours × $185/hour × 0.90</t>
  </si>
  <si>
    <t>128 new enrollments × $28K lifetime</t>
  </si>
  <si>
    <t>128 new enrollments × $28K lifetime valu</t>
  </si>
  <si>
    <t>42 hrs × $85/hr</t>
  </si>
  <si>
    <t>27,900 deflected contacts × 0.42 hours ×</t>
  </si>
  <si>
    <t>17% × $2.1M</t>
  </si>
  <si>
    <t>13,000 deflected contacts × $95 AOV × 17</t>
  </si>
  <si>
    <t xml:space="preserve">2,400 hours × $150/hour × 0.90 × 0.75 = </t>
  </si>
  <si>
    <t>8% × $150M</t>
  </si>
  <si>
    <t xml:space="preserve">8% stockout reduction × $150M revenue × </t>
  </si>
  <si>
    <t>2,800 hrs × $125/hr</t>
  </si>
  <si>
    <t xml:space="preserve">2,800 hours × $125/hour × 0.90 × 0.75 = </t>
  </si>
  <si>
    <t>1,400 hrs × $85/hr</t>
  </si>
  <si>
    <t>1,400 hours × $85/hour × 0.90 × 0.75 = $</t>
  </si>
  <si>
    <t>Ingredient Compatibility Research Assist</t>
  </si>
  <si>
    <t>800 hrs × $150/hr</t>
  </si>
  <si>
    <t>800 hours × $150/hour × 0.90 × 0.75 = $5</t>
  </si>
  <si>
    <t>10 day acceleration × 52 projects ×</t>
  </si>
  <si>
    <t>10 day acceleration × 52 projects × $5.4</t>
  </si>
  <si>
    <t>formulation failure cost</t>
  </si>
  <si>
    <t>18,000 hrs × $125/hr</t>
  </si>
  <si>
    <t>18,000 hours × $125/hour × 0.90 × 0.75 =</t>
  </si>
  <si>
    <t>52 additional SKUs/year × $65K reve</t>
  </si>
  <si>
    <t>52 additional SKUs/year × $65K revenue/S</t>
  </si>
  <si>
    <t>Real-Time Competitive Intelligence Monit</t>
  </si>
  <si>
    <t>1,200 hrs × $125/hr</t>
  </si>
  <si>
    <t xml:space="preserve">1,200 hours × $125/hour × 0.90 × 0.75 = </t>
  </si>
  <si>
    <t>3% × $150M</t>
  </si>
  <si>
    <t xml:space="preserve">3% price optimization × $150M revenue × </t>
  </si>
  <si>
    <t>1,800 hrs × $125/hr</t>
  </si>
  <si>
    <t xml:space="preserve">1,800 hours × $125/hour × 0.90 × 0.75 = </t>
  </si>
  <si>
    <t>16% × $32M</t>
  </si>
  <si>
    <t>16% win rate improvement × $32M wholesal</t>
  </si>
  <si>
    <t>26% × $7.9M</t>
  </si>
  <si>
    <t xml:space="preserve">26% zero-result reduction × 420K annual </t>
  </si>
  <si>
    <t>1,620 hrs × $85/hr</t>
  </si>
  <si>
    <t>1,620 hours × $85/hour × 0.90 × 0.75 = $</t>
  </si>
  <si>
    <t>27 day reduction × 45 new hires × $85/ho</t>
  </si>
  <si>
    <t>28,000 hrs × $95/hr</t>
  </si>
  <si>
    <t xml:space="preserve">28,000 hours × $95/hour × 0.90 × 0.75 = </t>
  </si>
  <si>
    <t>quality incident exposure</t>
  </si>
  <si>
    <t>2 hrs × $95/hr</t>
  </si>
  <si>
    <t>11% emergency work reduction × 8,900 WOs</t>
  </si>
  <si>
    <t>7% reduction × 8,900 WOs × 4.2 hours × $</t>
  </si>
  <si>
    <t>6,400 hrs × $150/hr</t>
  </si>
  <si>
    <t xml:space="preserve">6,400 hours × $150/hour × 0.90 × 0.75 = </t>
  </si>
  <si>
    <t>environmental penalty exposure</t>
  </si>
  <si>
    <t xml:space="preserve">6% utilization improvement × $892M </t>
  </si>
  <si>
    <t>6% utilization improvement × $892M reven</t>
  </si>
  <si>
    <t>13,000 hrs × $150/hr</t>
  </si>
  <si>
    <t xml:space="preserve">13,000 hours saved × $150/hour × 0.90 × </t>
  </si>
  <si>
    <t>compliance violation exposure</t>
  </si>
  <si>
    <t>1.6% price variance improvement × $</t>
  </si>
  <si>
    <t xml:space="preserve">1.6% price variance improvement × $595M </t>
  </si>
  <si>
    <t>6 hrs × $150/hr</t>
  </si>
  <si>
    <t>4 days saved × 520 quotes/year × 6 hours</t>
  </si>
  <si>
    <t>12% × $282M</t>
  </si>
  <si>
    <t xml:space="preserve">12% win rate improvement × $282M annual </t>
  </si>
  <si>
    <t>40 hrs × $150/hr</t>
  </si>
  <si>
    <t>3 weeks saved × 52 cycles × 40 hours × $</t>
  </si>
  <si>
    <t>240 hrs × $100/hr</t>
  </si>
  <si>
    <t>240 hours × 12 months × $100/hour × 0.90</t>
  </si>
  <si>
    <t>Intelligent Document Classification Engi</t>
  </si>
  <si>
    <t>66,300 hours saved × $115/hr × 0.90</t>
  </si>
  <si>
    <t>66,300 hours saved × $115/hr × 0.90 × 0.</t>
  </si>
  <si>
    <t>Automated Client Integration Configurato</t>
  </si>
  <si>
    <t>68 hours saved per client × 240 cli</t>
  </si>
  <si>
    <t xml:space="preserve">68 hours saved per client × 240 clients </t>
  </si>
  <si>
    <t>46 day reduction × $180K daily oppo</t>
  </si>
  <si>
    <t>46 day reduction × $180K daily opportuni</t>
  </si>
  <si>
    <t>54 hours saved × 180 RFPs × $150/hr</t>
  </si>
  <si>
    <t>54 hours saved × 180 RFPs × $150/hr × 0.</t>
  </si>
  <si>
    <t>15% × $2.1M</t>
  </si>
  <si>
    <t xml:space="preserve">15% win rate improvement × $56K average </t>
  </si>
  <si>
    <t>5 days saved × 420 contracts × $150</t>
  </si>
  <si>
    <t>5 days saved × 420 contracts × $150/hr ×</t>
  </si>
  <si>
    <t>contract risk exposure</t>
  </si>
  <si>
    <t>120 hours monthly × $150/hr × 12 mo</t>
  </si>
  <si>
    <t xml:space="preserve">120 hours monthly × $150/hr × 12 months </t>
  </si>
  <si>
    <t>6 percentage point improvement × 3,</t>
  </si>
  <si>
    <t>6 percentage point improvement × 3,200 c</t>
  </si>
  <si>
    <t>AI Support Triage and Resolution Assista</t>
  </si>
  <si>
    <t>5,780 tickets deflected monthly × 1</t>
  </si>
  <si>
    <t>5,780 tickets deflected monthly × 1.5 ho</t>
  </si>
  <si>
    <t>240 hours monthly × $115/hr × 12 mo</t>
  </si>
  <si>
    <t xml:space="preserve">240 hours monthly × $115/hr × 12 months </t>
  </si>
  <si>
    <t>2% × $180M</t>
  </si>
  <si>
    <t xml:space="preserve">6 month cycle reduction × $180M revenue </t>
  </si>
  <si>
    <t xml:space="preserve">1,200 hours saved × $150/hr × 0.90 </t>
  </si>
  <si>
    <t>1,200 hours saved × $150/hr × 0.90 × 0.7</t>
  </si>
  <si>
    <t>technical debt exposure</t>
  </si>
  <si>
    <t>16 hours saved per asset × 24 asset</t>
  </si>
  <si>
    <t>16 hours saved per asset × 24 assets × $</t>
  </si>
  <si>
    <t>24 additional assets × $56K pipelin</t>
  </si>
  <si>
    <t>24 additional assets × $56K pipeline per</t>
  </si>
  <si>
    <t>Engineering Candidate Pre-Screening Syst</t>
  </si>
  <si>
    <t>4 hours saved × 450 candidates × $1</t>
  </si>
  <si>
    <t>4 hours saved × 450 candidates × $115/hr</t>
  </si>
  <si>
    <t>9 hrs × $200/hr</t>
  </si>
  <si>
    <t>0.9 hours × 47 physicians × 240 days × $</t>
  </si>
  <si>
    <t>0.9 hours reclaimed × 47 physicians</t>
  </si>
  <si>
    <t>0.9 hours reclaimed × 47 physicians × 24</t>
  </si>
  <si>
    <t>documentation quality risk exposure</t>
  </si>
  <si>
    <t>8,700 hrs × $85/hr</t>
  </si>
  <si>
    <t>8,700 hours saved × $85/hour × 0.90 × 0.</t>
  </si>
  <si>
    <t>15% approval rate improvement × 28,</t>
  </si>
  <si>
    <t>15% approval rate improvement × 28,100 a</t>
  </si>
  <si>
    <t>authorization error exposure</t>
  </si>
  <si>
    <t>0.6 touches eliminated × 28,100 cla</t>
  </si>
  <si>
    <t>0.6 touches eliminated × 28,100 claims/m</t>
  </si>
  <si>
    <t>3.5% denial rate reduction × 28,100</t>
  </si>
  <si>
    <t>3.5% denial rate reduction × 28,100 clai</t>
  </si>
  <si>
    <t>18% reduction × $740K claims error expos</t>
  </si>
  <si>
    <t>2,400 hrs × $85/hr</t>
  </si>
  <si>
    <t>2,400 hours saved × $85/hour × 0.90 × 0.</t>
  </si>
  <si>
    <t>18% of denied claims now appealed ×</t>
  </si>
  <si>
    <t>18% of denied claims now appealed × $470</t>
  </si>
  <si>
    <t>1.8 FTE verification staff × $55K s</t>
  </si>
  <si>
    <t>1.8 FTE verification staff × $55K salary</t>
  </si>
  <si>
    <t>6.8% cancellation reduction × 2,340</t>
  </si>
  <si>
    <t>6.8% cancellation reduction × 2,340 proc</t>
  </si>
  <si>
    <t>85% reduction × $680K verification failu</t>
  </si>
  <si>
    <t>6 hrs × $200/hr</t>
  </si>
  <si>
    <t>0.6 hours × 47 physicians × 18 complex c</t>
  </si>
  <si>
    <t>8% authorization approval improveme</t>
  </si>
  <si>
    <t xml:space="preserve">8% authorization approval improvement × </t>
  </si>
  <si>
    <t>medical necessity documentation risk</t>
  </si>
  <si>
    <t>0.8 FTE collections staff × $48K sa</t>
  </si>
  <si>
    <t xml:space="preserve">0.8 FTE collections staff × $48K salary </t>
  </si>
  <si>
    <t>28% reduction × $540K bad debt risk × 0.</t>
  </si>
  <si>
    <t>2,900 hrs × $85/hr</t>
  </si>
  <si>
    <t>2,900 hours saved × $85/hour × 0.90 × 0.</t>
  </si>
  <si>
    <t>16% overturn rate improvement × 7,5</t>
  </si>
  <si>
    <t>16% overturn rate improvement × 7,590 ap</t>
  </si>
  <si>
    <t xml:space="preserve">1.2 FTE coding staff × $65K salary </t>
  </si>
  <si>
    <t>1.2 FTE coding staff × $65K salary × 0.9</t>
  </si>
  <si>
    <t>60% capture × $890K undercoding lea</t>
  </si>
  <si>
    <t xml:space="preserve">60% capture × $890K undercoding leakage </t>
  </si>
  <si>
    <t>75% reduction × $340K overcoding exposur</t>
  </si>
  <si>
    <t>2 hrs × $200/hr</t>
  </si>
  <si>
    <t>1.2 hours × 47 physicians × 20 charts/mo</t>
  </si>
  <si>
    <t>18% reduction × $820K incomplete chart r</t>
  </si>
  <si>
    <t>12 hrs × $95/hr</t>
  </si>
  <si>
    <t>12 hours saved × 1,550 quotes/year × $95</t>
  </si>
  <si>
    <t xml:space="preserve">12 hours saved × 1,550 quotes/year </t>
  </si>
  <si>
    <t>1,850 service calls × 50% reduction × $3</t>
  </si>
  <si>
    <t>160 hrs × $95/hr</t>
  </si>
  <si>
    <t>6 new hires/year × 4 months saved × $95/</t>
  </si>
  <si>
    <t>14,200 calls × 1.2 hours saved × $95/hou</t>
  </si>
  <si>
    <t>35 hrs × $125/hr</t>
  </si>
  <si>
    <t>240 proposals × 35 hours saved × $125/ho</t>
  </si>
  <si>
    <t>8% × $3.8M</t>
  </si>
  <si>
    <t>240 proposals × $425K avg value × 8% win</t>
  </si>
  <si>
    <t>420 installations × 12 hours saved × $95</t>
  </si>
  <si>
    <t xml:space="preserve">420 installations × 18% callback rate × </t>
  </si>
  <si>
    <t>14 hrs × $125/hr</t>
  </si>
  <si>
    <t>850 submittals × 14 hours saved × $125/h</t>
  </si>
  <si>
    <t>8 hrs × $95/hr</t>
  </si>
  <si>
    <t xml:space="preserve">23 engineers × 1.8 hours/day × 240 days </t>
  </si>
  <si>
    <t>10 hrs × $95/hr</t>
  </si>
  <si>
    <t>420 projects × 10 hours saved × $95/hour</t>
  </si>
  <si>
    <t>56,070 hours deflected × 0.63 routi</t>
  </si>
  <si>
    <t>56,070 hours deflected × 0.63 routine in</t>
  </si>
  <si>
    <t>10,200 hours saved × $85 hourly rat</t>
  </si>
  <si>
    <t>10,200 hours saved × $85 hourly rate × 0</t>
  </si>
  <si>
    <t>average cost</t>
  </si>
  <si>
    <t>Intelligent Supplier Onboarding Assistan</t>
  </si>
  <si>
    <t>$1.9M onboarding cost × 0.62 time r</t>
  </si>
  <si>
    <t>$1.9M onboarding cost × 0.62 time reduct</t>
  </si>
  <si>
    <t>$1.6M production cost × 0.58 time r</t>
  </si>
  <si>
    <t>$1.6M production cost × 0.58 time reduct</t>
  </si>
  <si>
    <t>10 additional bulletins × $4,200 av</t>
  </si>
  <si>
    <t>10 additional bulletins × $4,200 avg cus</t>
  </si>
  <si>
    <t xml:space="preserve">$2.4M planning inefficiency × 0.55 </t>
  </si>
  <si>
    <t>$2.4M planning inefficiency × 0.55 reduc</t>
  </si>
  <si>
    <t>$190M pipeline × 0.063 cross-sell l</t>
  </si>
  <si>
    <t>$190M pipeline × 0.063 cross-sell lift ×</t>
  </si>
  <si>
    <t>Intelligent Product Data Extraction &amp; No</t>
  </si>
  <si>
    <t>59,800 hours saved × $85 hourly rat</t>
  </si>
  <si>
    <t>59,800 hours saved × $85 hourly rate × 0</t>
  </si>
  <si>
    <t>12% supplier partnership increase × $42M</t>
  </si>
  <si>
    <t>$28M carrying cost reduction × 0.60</t>
  </si>
  <si>
    <t>$28M carrying cost reduction × 0.60 inve</t>
  </si>
  <si>
    <t xml:space="preserve">2,850 proposals × 10 hours saved × </t>
  </si>
  <si>
    <t xml:space="preserve">2,850 proposals × 10 hours saved × $150 </t>
  </si>
  <si>
    <t>$190M pipeline × 0.08 win rate lift</t>
  </si>
  <si>
    <t>$190M pipeline × 0.08 win rate lift × 0.</t>
  </si>
  <si>
    <t>$6.7M allocation inefficiency × 0.6</t>
  </si>
  <si>
    <t>$6.7M allocation inefficiency × 0.68 imp</t>
  </si>
  <si>
    <t>35,250 hours saved × $120/hr × 0.90</t>
  </si>
  <si>
    <t>35,250 hours saved × $120/hr × 0.90 × 0.</t>
  </si>
  <si>
    <t>annual rework cost</t>
  </si>
  <si>
    <t>16,800 hours saved (60% of 28K) × $</t>
  </si>
  <si>
    <t>16,800 hours saved (60% of 28K) × $78/hr</t>
  </si>
  <si>
    <t>4% × $2.1M</t>
  </si>
  <si>
    <t xml:space="preserve">4% defect reduction × 16,800 units/yr × </t>
  </si>
  <si>
    <t>6% defect escape rate × 16,800 units × $</t>
  </si>
  <si>
    <t>5,100 hours saved (60% of 8.5K) × $</t>
  </si>
  <si>
    <t>5,100 hours saved (60% of 8.5K) × $78/hr</t>
  </si>
  <si>
    <t>procurement</t>
  </si>
  <si>
    <t>1,680 hours saved (60% of 2.8K) × $</t>
  </si>
  <si>
    <t>1,680 hours saved (60% of 2.8K) × $120/h</t>
  </si>
  <si>
    <t>8% certification delay risk × 47 product</t>
  </si>
  <si>
    <t xml:space="preserve">2,760 hours saved (11.25 hrs × 245 </t>
  </si>
  <si>
    <t>2,760 hours saved (11.25 hrs × 245 custo</t>
  </si>
  <si>
    <t>3% × $278M</t>
  </si>
  <si>
    <t>3% retention improvement × $278M renewal</t>
  </si>
  <si>
    <t xml:space="preserve">29,400 inquiries deflected (70% of </t>
  </si>
  <si>
    <t xml:space="preserve">29,400 inquiries deflected (70% of 42K) </t>
  </si>
  <si>
    <t>15% escalation rate × 42K inquiries × $1</t>
  </si>
  <si>
    <t>480 hours saved per RFP × 85 RFPs ×</t>
  </si>
  <si>
    <t>480 hours saved per RFP × 85 RFPs × $120</t>
  </si>
  <si>
    <t>7% × $1.1M</t>
  </si>
  <si>
    <t>7% win rate improvement (38% to 45%) × 8</t>
  </si>
  <si>
    <t>3,400 events × 4.5 hrs saved × $78/</t>
  </si>
  <si>
    <t xml:space="preserve">3,400 events × 4.5 hrs saved × $78/hr × </t>
  </si>
  <si>
    <t>22% recurrence rate × 3,400 events × $2,</t>
  </si>
  <si>
    <t>8,400 hours saved (70% of 12K) × $1</t>
  </si>
  <si>
    <t>8,400 hours saved (70% of 12K) × $120/hr</t>
  </si>
  <si>
    <t>validation cost</t>
  </si>
  <si>
    <t>3,060 hours saved annually (255 hrs</t>
  </si>
  <si>
    <t>3,060 hours saved annually (255 hrs × 12</t>
  </si>
  <si>
    <t>9,000 deflected analysis hours × $1</t>
  </si>
  <si>
    <t>9,000 deflected analysis hours × $185/ho</t>
  </si>
  <si>
    <t>12% × $45M</t>
  </si>
  <si>
    <t>12% faster feature delivery × 8% revenue</t>
  </si>
  <si>
    <t>4,800 deflected proposal hours × $1</t>
  </si>
  <si>
    <t>4,800 deflected proposal hours × $150/ho</t>
  </si>
  <si>
    <t>8% × $45M</t>
  </si>
  <si>
    <t>4-day sales cycle reduction × 8% deal ve</t>
  </si>
  <si>
    <t>24,000 deflected support hours × $9</t>
  </si>
  <si>
    <t>24,000 deflected support hours × $95/hou</t>
  </si>
  <si>
    <t>28% × $45M</t>
  </si>
  <si>
    <t>28% ticket deflection × 2% retention imp</t>
  </si>
  <si>
    <t>7,800 deflected content creation ho</t>
  </si>
  <si>
    <t>7,800 deflected content creation hours ×</t>
  </si>
  <si>
    <t>100% × $45M</t>
  </si>
  <si>
    <t>100% content output increase × 3% lead g</t>
  </si>
  <si>
    <t>32,000 deflected onboarding hours ×</t>
  </si>
  <si>
    <t>32,000 deflected onboarding hours × $150</t>
  </si>
  <si>
    <t>15% × $45M</t>
  </si>
  <si>
    <t xml:space="preserve">15% reduction in time-to-first-campaign </t>
  </si>
  <si>
    <t>11,250 deflected QBR hours × $150/h</t>
  </si>
  <si>
    <t>11,250 deflected QBR hours × $150/hour ×</t>
  </si>
  <si>
    <t>7% × $45M</t>
  </si>
  <si>
    <t>7% retention rate improvement × $45M rev</t>
  </si>
  <si>
    <t>14,500 deflected compliance monitor</t>
  </si>
  <si>
    <t>14,500 deflected compliance monitoring h</t>
  </si>
  <si>
    <t>75% reduction × $180K annual penalties ×</t>
  </si>
  <si>
    <t>7,200 deflected research hours × $1</t>
  </si>
  <si>
    <t>7,200 deflected research hours × $150/ho</t>
  </si>
  <si>
    <t>9% × $45M</t>
  </si>
  <si>
    <t>9% conversion rate improvement × 18% bas</t>
  </si>
  <si>
    <t>3,600 deflected documentation hours</t>
  </si>
  <si>
    <t>3,600 deflected documentation hours × $1</t>
  </si>
  <si>
    <t>40% reduction × $200K annual customer co</t>
  </si>
  <si>
    <t>4,200 deflected documentation hours</t>
  </si>
  <si>
    <t>4,200 deflected documentation hours × $1</t>
  </si>
  <si>
    <t>28% documentation coverage improvement ×</t>
  </si>
  <si>
    <t>14,200 hours × $185/hr × 0.90 × 0.7</t>
  </si>
  <si>
    <t>14,200 hours × $185/hr × 0.90 × 0.75 = $</t>
  </si>
  <si>
    <t>6% × $1.9M</t>
  </si>
  <si>
    <t>120 incremental pursuits × $375K avg val</t>
  </si>
  <si>
    <t>18 hours × 280 projects × $185/hr ×</t>
  </si>
  <si>
    <t>18 hours × 280 projects × $185/hr × 0.90</t>
  </si>
  <si>
    <t>12 hours × 280 projects × $125/hr ×</t>
  </si>
  <si>
    <t>12 hours × 280 projects × $125/hr × 0.90</t>
  </si>
  <si>
    <t>client retention risk</t>
  </si>
  <si>
    <t xml:space="preserve">24 hours × 180 pitches × $285/hr × </t>
  </si>
  <si>
    <t xml:space="preserve">24 hours × 180 pitches × $285/hr × 0.90 </t>
  </si>
  <si>
    <t>5% × $1.5M</t>
  </si>
  <si>
    <t>90 incremental pitches × $375K avg value</t>
  </si>
  <si>
    <t xml:space="preserve">8 hours × 140 projects × $125/hr × </t>
  </si>
  <si>
    <t xml:space="preserve">8 hours × 140 projects × $125/hr × 0.90 </t>
  </si>
  <si>
    <t>2.5 hours × 140 clients × 12 months</t>
  </si>
  <si>
    <t>2.5 hours × 140 clients × 12 months × $1</t>
  </si>
  <si>
    <t>32 hours × 140 engagements × $285/h</t>
  </si>
  <si>
    <t>32 hours × 140 engagements × $285/hr × 0</t>
  </si>
  <si>
    <t xml:space="preserve">32 hours saved × 140 engagements × </t>
  </si>
  <si>
    <t>32 hours saved × 140 engagements × $285/</t>
  </si>
  <si>
    <t>Automated Competitive Intelligence Monit</t>
  </si>
  <si>
    <t>8 hours × 140 engagements × $185/hr</t>
  </si>
  <si>
    <t>8 hours × 140 engagements × $185/hr × 0.</t>
  </si>
  <si>
    <t>Competitive insights enabling 3% wi</t>
  </si>
  <si>
    <t>Competitive insights enabling 3% win rat</t>
  </si>
  <si>
    <t>3 hours × 140 projects × 52 weeks ×</t>
  </si>
  <si>
    <t>3 hours × 140 projects × 52 weeks × $125</t>
  </si>
  <si>
    <t>retention risk</t>
  </si>
  <si>
    <t xml:space="preserve">12 minutes × 280 consultants × 220 </t>
  </si>
  <si>
    <t>12 minutes × 280 consultants × 220 workd</t>
  </si>
  <si>
    <t>7% × $190M</t>
  </si>
  <si>
    <t>7% win rate lift × $190M annual pitch pi</t>
  </si>
  <si>
    <t>post-launch remediation</t>
  </si>
  <si>
    <t>scope dispute exposure</t>
  </si>
  <si>
    <t>brand compliance incidents</t>
  </si>
  <si>
    <t>margin variance exposure</t>
  </si>
  <si>
    <t>contract dispute exposure</t>
  </si>
  <si>
    <t>18,500 hrs × $125/hr</t>
  </si>
  <si>
    <t>18,500 hours × $125/hour × 75% time redu</t>
  </si>
  <si>
    <t>data quality exposure</t>
  </si>
  <si>
    <t>14 percentage point engagement lift</t>
  </si>
  <si>
    <t>14 percentage point engagement lift × $1</t>
  </si>
  <si>
    <t>undetected high-risk exposure</t>
  </si>
  <si>
    <t>285,000 contacts × 68% tier-one × 6</t>
  </si>
  <si>
    <t>285,000 contacts × 68% tier-one × 60% de</t>
  </si>
  <si>
    <t>Personalized Engagement Recommendation E</t>
  </si>
  <si>
    <t>10 percentage point engagement lift</t>
  </si>
  <si>
    <t>10 percentage point engagement lift × $1</t>
  </si>
  <si>
    <t>124 hrs × $125/hr</t>
  </si>
  <si>
    <t xml:space="preserve">32 annual audits × 124 hours × 70% time </t>
  </si>
  <si>
    <t>compliance penalty exposure</t>
  </si>
  <si>
    <t>Product Development Documentation Accele</t>
  </si>
  <si>
    <t>6 hrs × $125/hr</t>
  </si>
  <si>
    <t>24 features/year × 34 days × 60% time re</t>
  </si>
  <si>
    <t>4 percentage point retention lift ×</t>
  </si>
  <si>
    <t>4 percentage point retention lift × $180</t>
  </si>
  <si>
    <t>4 hrs × $95/hr</t>
  </si>
  <si>
    <t>180 RFPs × 42 days × 18 days reduction ×</t>
  </si>
  <si>
    <t xml:space="preserve">8 percentage point win rate lift × </t>
  </si>
  <si>
    <t>8 percentage point win rate lift × 180 a</t>
  </si>
  <si>
    <t>28 hrs × $95/hr</t>
  </si>
  <si>
    <t xml:space="preserve">450 clients × 4 reports/year × 28 hours </t>
  </si>
  <si>
    <t>450 contracts × 12 hours × 70% time redu</t>
  </si>
  <si>
    <t>pricing error exposure</t>
  </si>
  <si>
    <t>185 locations × (15 - 8) hrs/week ×</t>
  </si>
  <si>
    <t>185 locations × (15 - 8) hrs/week × 52 w</t>
  </si>
  <si>
    <t xml:space="preserve">185 locations × (6 - 2) hrs/week × </t>
  </si>
  <si>
    <t>185 locations × (6 - 2) hrs/week × 52 we</t>
  </si>
  <si>
    <t xml:space="preserve">(2.4 - 1.2) incidents × 185 locations × </t>
  </si>
  <si>
    <t xml:space="preserve">185 locations × 9 hrs saved × $125 </t>
  </si>
  <si>
    <t>185 locations × 9 hrs saved × $125 emerg</t>
  </si>
  <si>
    <t>(18 - 9) hrs × 185 locations × $950</t>
  </si>
  <si>
    <t xml:space="preserve">(18 - 9) hrs × 185 locations × $950 avg </t>
  </si>
  <si>
    <t>annual equipment incidents</t>
  </si>
  <si>
    <t xml:space="preserve">(45 - 25) days × 0.30 productivity </t>
  </si>
  <si>
    <t xml:space="preserve">(45 - 25) days × 0.30 productivity loss </t>
  </si>
  <si>
    <t xml:space="preserve">(3.8% - 1.8%) × 52M transactions × </t>
  </si>
  <si>
    <t>(3.8% - 1.8%) × 52M transactions × $8.60</t>
  </si>
  <si>
    <t>0.02 error rate reduction × 52M transact</t>
  </si>
  <si>
    <t>(4.1% - 2.5%) × $320M × 0.32 food c</t>
  </si>
  <si>
    <t>(4.1% - 2.5%) × $320M × 0.32 food cost ×</t>
  </si>
  <si>
    <t>2.3% × $320M</t>
  </si>
  <si>
    <t xml:space="preserve">2.3% stockout reduction × $320M revenue </t>
  </si>
  <si>
    <t xml:space="preserve">($9.20 - $8.60) × 52M transactions </t>
  </si>
  <si>
    <t>($9.20 - $8.60) × 52M transactions × 0.9</t>
  </si>
  <si>
    <t>(110% - 85%) × 4200 employees × ($1</t>
  </si>
  <si>
    <t>(110% - 85%) × 4200 employees × ($1400 r</t>
  </si>
  <si>
    <t xml:space="preserve">185 locations × 120 invoices/month </t>
  </si>
  <si>
    <t>185 locations × 120 invoices/month × 0.2</t>
  </si>
  <si>
    <t>18 district managers × 8 hrs/week ×</t>
  </si>
  <si>
    <t>18 district managers × 8 hrs/week × 52 w</t>
  </si>
  <si>
    <t>0.03 revenue lift × $320M × 0.50 at</t>
  </si>
  <si>
    <t>0.03 revenue lift × $320M × 0.50 attribu</t>
  </si>
  <si>
    <t>5% × $11.9M</t>
  </si>
  <si>
    <t>5% price lift × $385K avg × 14,500 trans</t>
  </si>
  <si>
    <t>35,000 hours × $65/hr × 0.90 × 0.75</t>
  </si>
  <si>
    <t>35,000 hours × $65/hr × 0.90 × 0.75 = $1</t>
  </si>
  <si>
    <t>13,800 hours × $85/hr × 0.90 × 0.75</t>
  </si>
  <si>
    <t>13,800 hours × $85/hr × 0.90 × 0.75 = $1</t>
  </si>
  <si>
    <t>8% × $20.8M</t>
  </si>
  <si>
    <t>8% price lift × $385K avg × 14,500 trans</t>
  </si>
  <si>
    <t>23% to 14% attrition × 150 annual h</t>
  </si>
  <si>
    <t xml:space="preserve">23% to 14% attrition × 150 annual hires </t>
  </si>
  <si>
    <t>4 additional transactions × 650 age</t>
  </si>
  <si>
    <t>4 additional transactions × 650 agents ×</t>
  </si>
  <si>
    <t>34,800 hours × $85/hr × 0.90 × 0.75</t>
  </si>
  <si>
    <t>34,800 hours × $85/hr × 0.90 × 0.75 = $2</t>
  </si>
  <si>
    <t xml:space="preserve">12% to 3% error reduction × 14,500 </t>
  </si>
  <si>
    <t>12% to 3% error reduction × 14,500 trans</t>
  </si>
  <si>
    <t>penalty exposure</t>
  </si>
  <si>
    <t>16,800 hours × $95/hr × 0.90 × 0.75</t>
  </si>
  <si>
    <t>16,800 hours × $95/hr × 0.90 × 0.75 = $1</t>
  </si>
  <si>
    <t>2% retention improvement × 73% base</t>
  </si>
  <si>
    <t xml:space="preserve">2% retention improvement × 73% baseline </t>
  </si>
  <si>
    <t xml:space="preserve">$210 per new client cost reduction </t>
  </si>
  <si>
    <t>$210 per new client cost reduction × 2,5</t>
  </si>
  <si>
    <t>6% × $9.9M</t>
  </si>
  <si>
    <t>6% referral rate improvement × 14,500 tr</t>
  </si>
  <si>
    <t xml:space="preserve">160 hours saved × 150 new agents × </t>
  </si>
  <si>
    <t>160 hours saved × 150 new agents × $95/h</t>
  </si>
  <si>
    <t>30 days faster productivity × 150 n</t>
  </si>
  <si>
    <t>30 days faster productivity × 150 new ag</t>
  </si>
  <si>
    <t>25,500 hours × $65/hr × 0.90 × 0.75</t>
  </si>
  <si>
    <t>25,500 hours × $65/hr × 0.90 × 0.75 = $1</t>
  </si>
  <si>
    <t>8,900 hours × $150/hr × 70% time re</t>
  </si>
  <si>
    <t>8,900 hours × $150/hr × 70% time reducti</t>
  </si>
  <si>
    <t>$2.8M annual burden × 65% reduction</t>
  </si>
  <si>
    <t>$2.8M annual burden × 65% reduction × 0.</t>
  </si>
  <si>
    <t xml:space="preserve">85 techs × 180 days × $85/hr × 22% </t>
  </si>
  <si>
    <t>85 techs × 180 days × $85/hr × 22% reduc</t>
  </si>
  <si>
    <t>knowledge loss exposure</t>
  </si>
  <si>
    <t>180 contracts × 8 hours × $150/hr ×</t>
  </si>
  <si>
    <t xml:space="preserve">180 contracts × 8 hours × $150/hr × 50% </t>
  </si>
  <si>
    <t>35 reps × 1,820 hours × $100/hr × 3</t>
  </si>
  <si>
    <t>35 reps × 1,820 hours × $100/hr × 30% ti</t>
  </si>
  <si>
    <t>14% FCR improvement × 124,000 calls</t>
  </si>
  <si>
    <t>14% FCR improvement × 124,000 calls × 2%</t>
  </si>
  <si>
    <t>Intelligent Emergency Dispatch Optimizat</t>
  </si>
  <si>
    <t>0.5 hours savings × 8,500 emergency</t>
  </si>
  <si>
    <t>0.5 hours savings × 8,500 emergency call</t>
  </si>
  <si>
    <t>safety incident exposure</t>
  </si>
  <si>
    <t xml:space="preserve">340 incidents × 12 hours × $150/hr </t>
  </si>
  <si>
    <t>340 incidents × 12 hours × $150/hr × 50%</t>
  </si>
  <si>
    <t>repeat incident cost</t>
  </si>
  <si>
    <t xml:space="preserve">340 outages × 4.7 hours × $85/hr × </t>
  </si>
  <si>
    <t>340 outages × 4.7 hours × $85/hr × 25% r</t>
  </si>
  <si>
    <t>unplanned outage cost</t>
  </si>
  <si>
    <t>800 hours biennial × $150/hr ÷ 2 ye</t>
  </si>
  <si>
    <t>800 hours biennial × $150/hr ÷ 2 years ×</t>
  </si>
  <si>
    <t>220 reviews × 8 hours × $150/hr × 4</t>
  </si>
  <si>
    <t>220 reviews × 8 hours × $150/hr × 40% re</t>
  </si>
  <si>
    <t>design error exposure</t>
  </si>
  <si>
    <t>disruption cost</t>
  </si>
  <si>
    <t>8 hrs × $185/hr</t>
  </si>
  <si>
    <t>4,800 quotes × 2.5 days saved × $185/hou</t>
  </si>
  <si>
    <t>5% × $127M</t>
  </si>
  <si>
    <t>5% conversion lift × $127M pipeline × 2.</t>
  </si>
  <si>
    <t>NCR burden</t>
  </si>
  <si>
    <t>160 hrs × $185/hr</t>
  </si>
  <si>
    <t>5.3 months × 45 engineers/year × $185/ho</t>
  </si>
  <si>
    <t>knowledge loss risk</t>
  </si>
  <si>
    <t>8 hrs × $150/hr</t>
  </si>
  <si>
    <t>280 disputes × 11 days × $150/hour × 8 h</t>
  </si>
  <si>
    <t>7 hrs × $185/hr</t>
  </si>
  <si>
    <t>7,900 packages × 7.7 hours saved × $185/</t>
  </si>
  <si>
    <t>28,000 hrs × $185/hr</t>
  </si>
  <si>
    <t>28,000 hours × $185/hour × 0.70 reductio</t>
  </si>
  <si>
    <t>Intelligent Quality Documentation Assist</t>
  </si>
  <si>
    <t>31,000 hrs × $125/hr</t>
  </si>
  <si>
    <t>31,000 hours × $125/hour × 0.60 reductio</t>
  </si>
  <si>
    <t>audit/certification risk</t>
  </si>
  <si>
    <t>42,000 hrs × $95/hr</t>
  </si>
  <si>
    <t>42,000 hours × $95/hour × 0.50 deflectio</t>
  </si>
  <si>
    <t>Indirect through capacity optimizat</t>
  </si>
  <si>
    <t>late delivery penalty</t>
  </si>
  <si>
    <t>0.045 margin lift × $180M revenue ×</t>
  </si>
  <si>
    <t>0.045 margin lift × $180M revenue × 0.95</t>
  </si>
  <si>
    <t>× 0.02 pricing error rate</t>
  </si>
  <si>
    <t>2400 hours × 0.60 reduction × $85 r</t>
  </si>
  <si>
    <t>2400 hours × 0.60 reduction × $85 rate ×</t>
  </si>
  <si>
    <t>0.75 reduction × 23 violations × $100K a</t>
  </si>
  <si>
    <t>8900 hours × $85 rate × 0.90 × 0.75</t>
  </si>
  <si>
    <t>8900 hours × $85 rate × 0.90 × 0.75 = $2</t>
  </si>
  <si>
    <t>400000 shipments × 0.12 backhaul ra</t>
  </si>
  <si>
    <t xml:space="preserve">400000 shipments × 0.12 backhaul rate × </t>
  </si>
  <si>
    <t>52000 quotes × 0.58 hours saved × $</t>
  </si>
  <si>
    <t>52000 quotes × 0.58 hours saved × $80 ra</t>
  </si>
  <si>
    <t>35 min time reduction × 52000 quote</t>
  </si>
  <si>
    <t>35 min time reduction × 52000 quotes × $</t>
  </si>
  <si>
    <t>28000 exceptions × 0.45 hours saved</t>
  </si>
  <si>
    <t>28000 exceptions × 0.45 hours saved × $6</t>
  </si>
  <si>
    <t>0.05 retention impact × $180M × 0.2</t>
  </si>
  <si>
    <t>0.05 retention impact × $180M × 0.28 exc</t>
  </si>
  <si>
    <t>0.40 reduction × 28000 × $185 avg goodwi</t>
  </si>
  <si>
    <t>Intelligent Payment Verification Assista</t>
  </si>
  <si>
    <t>48000 payments × 0.25 hours saved ×</t>
  </si>
  <si>
    <t xml:space="preserve">48000 payments × 0.25 hours saved × $75 </t>
  </si>
  <si>
    <t>× 0.004 error rate</t>
  </si>
  <si>
    <t>Carrier Performance Intelligence Dashboa</t>
  </si>
  <si>
    <t xml:space="preserve">0.35 reduction × 400000 shipments × $65 </t>
  </si>
  <si>
    <t xml:space="preserve">45000 hours deflected × $85 rate × </t>
  </si>
  <si>
    <t xml:space="preserve">45000 hours deflected × $85 rate × 0.90 </t>
  </si>
  <si>
    <t>12% × $180M</t>
  </si>
  <si>
    <t>12% abandonment × $180M revenue × 0.50 r</t>
  </si>
  <si>
    <t xml:space="preserve">89000 inquiries × 12 months × 0.65 </t>
  </si>
  <si>
    <t>89000 inquiries × 12 months × 0.65 defle</t>
  </si>
  <si>
    <t xml:space="preserve">0.08 CSAT impact × $180M revenue × </t>
  </si>
  <si>
    <t xml:space="preserve">0.08 CSAT impact × $180M revenue × 0.15 </t>
  </si>
  <si>
    <t>0.15 reduction × 89000 × 12 × 0.03 escal</t>
  </si>
  <si>
    <t>4800 claims × 3.6 hours saved × $95</t>
  </si>
  <si>
    <t>4800 claims × 3.6 hours saved × $95 rate</t>
  </si>
  <si>
    <t xml:space="preserve">0.25 reduction × 4800 claims × $850 avg </t>
  </si>
  <si>
    <t>8% utilization gain × 8,200 workers</t>
  </si>
  <si>
    <t>8% utilization gain × 8,200 workers × 1,</t>
  </si>
  <si>
    <t xml:space="preserve">47,600 hours saved × $75/hr × 0.90 </t>
  </si>
  <si>
    <t>47,600 hours saved × $75/hr × 0.90 × 0.7</t>
  </si>
  <si>
    <t>excess premium</t>
  </si>
  <si>
    <t xml:space="preserve">85,680 hours saved × $95/hr × 0.90 </t>
  </si>
  <si>
    <t>85,680 hours saved × $95/hr × 0.90 × 0.7</t>
  </si>
  <si>
    <t xml:space="preserve">38,070 hours saved × $95/hr × 0.90 </t>
  </si>
  <si>
    <t>38,070 hours saved × $95/hr × 0.90 × 0.7</t>
  </si>
  <si>
    <t>dispute cost</t>
  </si>
  <si>
    <t>67% training reduction × $4.7M trai</t>
  </si>
  <si>
    <t xml:space="preserve">67% training reduction × $4.7M training </t>
  </si>
  <si>
    <t>67% × $2.5M</t>
  </si>
  <si>
    <t>67% faster ramp × 42 new estimators × $1</t>
  </si>
  <si>
    <t>Intelligent Roof Assessment &amp; Measuremen</t>
  </si>
  <si>
    <t>107,950 hours saved × $95/hr × 0.90</t>
  </si>
  <si>
    <t>107,950 hours saved × $95/hr × 0.90 × 0.</t>
  </si>
  <si>
    <t>9% × $79.7M</t>
  </si>
  <si>
    <t>9% win rate lift × $1,240M pipeline × 0.</t>
  </si>
  <si>
    <t xml:space="preserve">29,070 hours saved × $95/hr × 0.90 </t>
  </si>
  <si>
    <t>29,070 hours saved × $95/hr × 0.90 × 0.7</t>
  </si>
  <si>
    <t>15% × $315M</t>
  </si>
  <si>
    <t>3-day faster turnaround × 15% competitiv</t>
  </si>
  <si>
    <t>71% error reduction × $9.8M expedit</t>
  </si>
  <si>
    <t>71% error reduction × $9.8M expedited co</t>
  </si>
  <si>
    <t xml:space="preserve">18,480 hours saved × $75/hr × 0.90 </t>
  </si>
  <si>
    <t>18,480 hours saved × $75/hr × 0.90 × 0.7</t>
  </si>
  <si>
    <t xml:space="preserve">19,320 hours saved × $75/hr × 0.90 </t>
  </si>
  <si>
    <t>19,320 hours saved × $75/hr × 0.90 × 0.7</t>
  </si>
  <si>
    <t>2.9-hour faster response × 8,400 em</t>
  </si>
  <si>
    <t>2.9-hour faster response × 8,400 emergen</t>
  </si>
  <si>
    <t>customer retention risk</t>
  </si>
  <si>
    <t>Automated Certification Verification Eng</t>
  </si>
  <si>
    <t xml:space="preserve">41,400 hours saved × $85/hr × 0.90 </t>
  </si>
  <si>
    <t>41,400 hours saved × $85/hr × 0.90 × 0.7</t>
  </si>
  <si>
    <t>8% non-compliance rate × 18,000 placemen</t>
  </si>
  <si>
    <t>AI-Augmented Technical Screening Assista</t>
  </si>
  <si>
    <t>105,700 hours saved × $85/hr × 0.90</t>
  </si>
  <si>
    <t>105,700 hours saved × $85/hr × 0.90 × 0.</t>
  </si>
  <si>
    <t>25% × $7.6M</t>
  </si>
  <si>
    <t>25% capacity increase × 18,000 placement</t>
  </si>
  <si>
    <t>78% reduction × 804,000 annual hour</t>
  </si>
  <si>
    <t>78% reduction × 804,000 annual hours × $</t>
  </si>
  <si>
    <t xml:space="preserve">9% error reduction × 804,000 timesheets </t>
  </si>
  <si>
    <t>8,520 hours saved × $95/hr × 0.90 ×</t>
  </si>
  <si>
    <t>8,520 hours saved × $95/hr × 0.90 × 0.75</t>
  </si>
  <si>
    <t>contract error exposure</t>
  </si>
  <si>
    <t>18,400 hours saved × $125/hr × 0.90</t>
  </si>
  <si>
    <t>18,400 hours saved × $125/hr × 0.90 × 0.</t>
  </si>
  <si>
    <t xml:space="preserve">15% cross-sell increase × $850M revenue </t>
  </si>
  <si>
    <t>8-day reduction × 280 proposals × 4</t>
  </si>
  <si>
    <t>8-day reduction × 280 proposals × 42 hou</t>
  </si>
  <si>
    <t>7% × $450M</t>
  </si>
  <si>
    <t>7% win rate increase × $450M RFP pipelin</t>
  </si>
  <si>
    <t xml:space="preserve">3.1 hours saved × 1,840 disputes × </t>
  </si>
  <si>
    <t>3.1 hours saved × 1,840 disputes × $95/h</t>
  </si>
  <si>
    <t>65% workload reduction × 2,160 annu</t>
  </si>
  <si>
    <t>65% workload reduction × 2,160 annual ho</t>
  </si>
  <si>
    <t xml:space="preserve">6,240 hours saved × $125/hr × 0.90 </t>
  </si>
  <si>
    <t>6,240 hours saved × $125/hr × 0.90 × 0.7</t>
  </si>
  <si>
    <t>regulatory exposure</t>
  </si>
  <si>
    <t>22 minutes saved × 14,400 queries ×</t>
  </si>
  <si>
    <t>22 minutes saved × 14,400 queries × $95/</t>
  </si>
  <si>
    <t>specification error exposure</t>
  </si>
  <si>
    <t>26,000 hrs × $150/hr</t>
  </si>
  <si>
    <t>26,000 hours × $150/hour × 0.90 × 0.75 =</t>
  </si>
  <si>
    <t>annual audit adjustment risk</t>
  </si>
  <si>
    <t>9 hrs × $150/hr</t>
  </si>
  <si>
    <t xml:space="preserve">0.9 hours saved × 145,000 evaluations × </t>
  </si>
  <si>
    <t>24 hrs × $65/hr</t>
  </si>
  <si>
    <t>24 hours saved × 28,400 referrals × $65/</t>
  </si>
  <si>
    <t>3.5% conversion improvement × 28,40</t>
  </si>
  <si>
    <t>3.5% conversion improvement × 28,400 ref</t>
  </si>
  <si>
    <t>3,200 hrs × $150/hr</t>
  </si>
  <si>
    <t>3,200 hours saved × $150/hour × 0.90 × 0</t>
  </si>
  <si>
    <t>240 miles reduced daily × 450 techs</t>
  </si>
  <si>
    <t>240 miles reduced daily × 450 techs × 24</t>
  </si>
  <si>
    <t>11% utilization improvement × 450 t</t>
  </si>
  <si>
    <t>11% utilization improvement × 450 techni</t>
  </si>
  <si>
    <t>8,000 hrs × $150/hr</t>
  </si>
  <si>
    <t>8,000 hours saved × $150/hour × 0.90 × 0</t>
  </si>
  <si>
    <t>35 minutes saved × 87,000 service c</t>
  </si>
  <si>
    <t xml:space="preserve">35 minutes saved × 87,000 service calls </t>
  </si>
  <si>
    <t>Multi-Channel Client Support Orchestrato</t>
  </si>
  <si>
    <t>40% deflection × 124,000 annual cal</t>
  </si>
  <si>
    <t xml:space="preserve">40% deflection × 124,000 annual calls × </t>
  </si>
  <si>
    <t>Compliance Documentation Retrieval Syste</t>
  </si>
  <si>
    <t>5,500 hrs × $150/hr</t>
  </si>
  <si>
    <t>5,500 hours saved × $150/hour × 0.90 × 0</t>
  </si>
  <si>
    <t>× 0.80</t>
  </si>
  <si>
    <t>4% error reduction × 145,000 orders</t>
  </si>
  <si>
    <t>4% error reduction × 145,000 orders × $6</t>
  </si>
  <si>
    <t>liability</t>
  </si>
  <si>
    <t>6% empty rate reduction × 12,400 mo</t>
  </si>
  <si>
    <t>6% empty rate reduction × 12,400 monthly</t>
  </si>
  <si>
    <t>7,250 deflected hours × $55/hr × 0.</t>
  </si>
  <si>
    <t xml:space="preserve">7,250 deflected hours × $55/hr × 0.90 × </t>
  </si>
  <si>
    <t>4% × $380M</t>
  </si>
  <si>
    <t>4% retention improvement × $380M revenue</t>
  </si>
  <si>
    <t>Intelligent Load Matching &amp; Route Optimi</t>
  </si>
  <si>
    <t xml:space="preserve">2,100 hours × $95/hr × 0.90 × 0.75 </t>
  </si>
  <si>
    <t>2,100 hours × $95/hr × 0.90 × 0.75 = $1.</t>
  </si>
  <si>
    <t>40% reduction × $3.2M detention × 0</t>
  </si>
  <si>
    <t>40% reduction × $3.2M detention × 0.90 ×</t>
  </si>
  <si>
    <t>3,400 deflected hours × $75/hr × 0.</t>
  </si>
  <si>
    <t xml:space="preserve">3,400 deflected hours × $75/hr × 0.90 × </t>
  </si>
  <si>
    <t>13 hours saved per bid × 185 bids ×</t>
  </si>
  <si>
    <t>13 hours saved per bid × 185 bids × $150</t>
  </si>
  <si>
    <t>6% × $6.3M</t>
  </si>
  <si>
    <t>6% close rate improvement × 185 bids × $</t>
  </si>
  <si>
    <t>1,800 deflected hours × $75/hr × 15</t>
  </si>
  <si>
    <t xml:space="preserve">1,800 deflected hours × $75/hr × 15 day </t>
  </si>
  <si>
    <t>2.5% downtime reduction × 1,850 con</t>
  </si>
  <si>
    <t>2.5% downtime reduction × 1,850 containe</t>
  </si>
  <si>
    <t>8% × $380M</t>
  </si>
  <si>
    <t>8% retention improvement × $380M revenue</t>
  </si>
  <si>
    <t>2,400 deflected hours × $75/hr × 0.</t>
  </si>
  <si>
    <t xml:space="preserve">2,400 deflected hours × $75/hr × 0.90 × </t>
  </si>
  <si>
    <t>47,000 hrs × $95/hr</t>
  </si>
  <si>
    <t>10% travel time reduction × 47,000 hours</t>
  </si>
  <si>
    <t>customer satisfaction exposure</t>
  </si>
  <si>
    <t>Intelligent Compliance Documentation Ass</t>
  </si>
  <si>
    <t>9,900 hrs × $125/hr</t>
  </si>
  <si>
    <t>9,900 hours saved × 60% reduction × $125</t>
  </si>
  <si>
    <t>annual compliance violation exposure</t>
  </si>
  <si>
    <t>5.1% downtime reduction × 420 units</t>
  </si>
  <si>
    <t>5.1% downtime reduction × 420 units × $2</t>
  </si>
  <si>
    <t>breakdown-related project delay exposure</t>
  </si>
  <si>
    <t xml:space="preserve">19% defect detection improvement × </t>
  </si>
  <si>
    <t>19% defect detection improvement × 14,50</t>
  </si>
  <si>
    <t>warranty claim exposure</t>
  </si>
  <si>
    <t>6,400 hrs × $125/hr</t>
  </si>
  <si>
    <t>6,400 hours proposal development time sa</t>
  </si>
  <si>
    <t>5% × $287M</t>
  </si>
  <si>
    <t>5% win rate improvement × $287M annual b</t>
  </si>
  <si>
    <t>12,000 hrs × $125/hr</t>
  </si>
  <si>
    <t xml:space="preserve">12,000 hours saved × $125/hour × 0.90 × </t>
  </si>
  <si>
    <t>20% × $169M</t>
  </si>
  <si>
    <t>20% opportunity capture lift × $169M unr</t>
  </si>
  <si>
    <t>annual bid error exposure</t>
  </si>
  <si>
    <t>Automated Contract Closeout Documentatio</t>
  </si>
  <si>
    <t>8 hrs × $125/hr</t>
  </si>
  <si>
    <t>12 days reduction × 14,500 jobs × 0.8 ho</t>
  </si>
  <si>
    <t>payment dispute exposure</t>
  </si>
  <si>
    <t>10% overstock reduction × $34.2M an</t>
  </si>
  <si>
    <t xml:space="preserve">10% overstock reduction × $34.2M annual </t>
  </si>
  <si>
    <t>material shortage project delay exposure</t>
  </si>
  <si>
    <t>3 hrs × $125/hr</t>
  </si>
  <si>
    <t>2.3 hours saved per incident × 420 annua</t>
  </si>
  <si>
    <t>workers comp and OSHA penalty exposure</t>
  </si>
  <si>
    <t>3.2% margin improvement × $847M rev</t>
  </si>
  <si>
    <t xml:space="preserve">3.2% margin improvement × $847M revenue </t>
  </si>
  <si>
    <t>unprofitable job exposure</t>
  </si>
  <si>
    <t>4,800 hours × $150/hr × 0.90 × 0.75</t>
  </si>
  <si>
    <t>4,800 hours × $150/hr × 0.90 × 0.75 = $2</t>
  </si>
  <si>
    <t>0.2% loss reduction × $12.4B volume × 0.</t>
  </si>
  <si>
    <t>6,800 hours × $185/hr × 70% efficie</t>
  </si>
  <si>
    <t>6,800 hours × $185/hr × 70% efficiency ×</t>
  </si>
  <si>
    <t xml:space="preserve">1,360 hours × $150/hr × 4 quarters </t>
  </si>
  <si>
    <t>1,360 hours × $150/hr × 4 quarters × 0.9</t>
  </si>
  <si>
    <t>2,640 agreements × 0.8 hours × $200</t>
  </si>
  <si>
    <t>2,640 agreements × 0.8 hours × $200/hr ×</t>
  </si>
  <si>
    <t>1,920 hours × $120/hr × 0.90 × 0.75</t>
  </si>
  <si>
    <t>1,920 hours × $120/hr × 0.90 × 0.75 = $1</t>
  </si>
  <si>
    <t>Intelligent Credit Underwriting Assistan</t>
  </si>
  <si>
    <t>18,900 hours × $150/hr × 0.90 × 0.7</t>
  </si>
  <si>
    <t>18,900 hours × $150/hr × 0.90 × 0.75 = $</t>
  </si>
  <si>
    <t>7.5% × $2.8M</t>
  </si>
  <si>
    <t>120 additional facilities × $2.8M averag</t>
  </si>
  <si>
    <t>8,300 hours × $100/hr × 0.90 × 0.75</t>
  </si>
  <si>
    <t>8,300 hours × $100/hr × 0.90 × 0.75 = $5</t>
  </si>
  <si>
    <t>Predictive Collections Prioritization Sy</t>
  </si>
  <si>
    <t>19,200 hours × $120/hr × 60% effici</t>
  </si>
  <si>
    <t xml:space="preserve">19,200 hours × $120/hr × 60% efficiency </t>
  </si>
  <si>
    <t>0.3% loss reduction × $12.4B volume × 0.</t>
  </si>
  <si>
    <t>4,800 hours × $100/hr × 0.90 × 0.75</t>
  </si>
  <si>
    <t>4,800 hours × $100/hr × 0.90 × 0.75 = $2</t>
  </si>
  <si>
    <t>18 retained clients × $2.8M facility × 7</t>
  </si>
  <si>
    <t>7,200 hours × $150/hr × 0.90 × 0.75</t>
  </si>
  <si>
    <t>7,200 hours × $150/hr × 0.90 × 0.75 = $3</t>
  </si>
  <si>
    <t>60,000 hrs × $150/hr</t>
  </si>
  <si>
    <t>60,000 hours × $150/hour × 0.90 × 0.75 =</t>
  </si>
  <si>
    <t>42,000 hrs × $150/hr</t>
  </si>
  <si>
    <t>42,000 hours × $150/hour × 0.90 × 0.75 =</t>
  </si>
  <si>
    <t>non-compliance exposure</t>
  </si>
  <si>
    <t>34,000 hrs × $100/hr</t>
  </si>
  <si>
    <t>34,000 hours × $100/hour × 0.90 × 0.75 =</t>
  </si>
  <si>
    <t>2% × $13.6M</t>
  </si>
  <si>
    <t>2% retention improvement × $2.8B revenue</t>
  </si>
  <si>
    <t>35% of $19M savings retained × 0.90</t>
  </si>
  <si>
    <t>35% of $19M savings retained × 0.90 × 0.</t>
  </si>
  <si>
    <t>65% × $19M</t>
  </si>
  <si>
    <t xml:space="preserve">65% of $19M savings passed to clients × </t>
  </si>
  <si>
    <t>30,000 hrs × $150/hr</t>
  </si>
  <si>
    <t>30,000 hours × $150/hour × 0.90 × 0.75 =</t>
  </si>
  <si>
    <t>12% × $190M</t>
  </si>
  <si>
    <t xml:space="preserve">12% win rate improvement × $190M annual </t>
  </si>
  <si>
    <t>48,000 hrs × $100/hr</t>
  </si>
  <si>
    <t>48,000 hours × $100/hour × 0.90 × 0.75 =</t>
  </si>
  <si>
    <t>28,000 hours × $100/hour × 0.90 × 0.75 =</t>
  </si>
  <si>
    <t>9-month productivity gain × 240 new</t>
  </si>
  <si>
    <t>9-month productivity gain × 240 new hire</t>
  </si>
  <si>
    <t>138,000 hrs × $100/hr</t>
  </si>
  <si>
    <t xml:space="preserve">138,000 hours × $100/hour × 0.90 × 0.75 </t>
  </si>
  <si>
    <t>24,000 hrs × $150/hr</t>
  </si>
  <si>
    <t>24,000 hours × $150/hour × 0.90 × 0.75 =</t>
  </si>
  <si>
    <t>audit finding exposure</t>
  </si>
  <si>
    <t xml:space="preserve">Carrier Performance &amp; Rate Benchmarking </t>
  </si>
  <si>
    <t>1.2% × $950M</t>
  </si>
  <si>
    <t xml:space="preserve">1.2% margin improvement × $950M revenue </t>
  </si>
  <si>
    <t>1,950 hrs × $150/hr</t>
  </si>
  <si>
    <t>1,950 hours saved × $150/hour × 0.90 × 0</t>
  </si>
  <si>
    <t>12% × $200M</t>
  </si>
  <si>
    <t>12% win rate improvement × $200M RFP pip</t>
  </si>
  <si>
    <t>AI-Powered Freight Rate Intelligence Eng</t>
  </si>
  <si>
    <t>21,300 hrs × $150/hr</t>
  </si>
  <si>
    <t xml:space="preserve">21,300 hours saved × $150/hour × 0.90 × </t>
  </si>
  <si>
    <t>15% × $87M</t>
  </si>
  <si>
    <t>15% decline reduction × $87M opportunity</t>
  </si>
  <si>
    <t>25,500 hrs × $100/hr</t>
  </si>
  <si>
    <t>25,500 hours deflected × $100/hour × 0.9</t>
  </si>
  <si>
    <t>Automated Freight Bill Audit &amp; Exception</t>
  </si>
  <si>
    <t>104,800 hrs × $85/hr</t>
  </si>
  <si>
    <t xml:space="preserve">104,800 hours saved × $85/hour × 0.90 × </t>
  </si>
  <si>
    <t>Carrier Compliance &amp; Contract Intelligen</t>
  </si>
  <si>
    <t>2,800 hrs × $150/hr</t>
  </si>
  <si>
    <t>2,800 hours saved × $150/hour × 0.90 × 0</t>
  </si>
  <si>
    <t>Route Optimization &amp; Mode Selection Advi</t>
  </si>
  <si>
    <t>5% efficiency gain × $6.8M baseline</t>
  </si>
  <si>
    <t>5% efficiency gain × $6.8M baseline cost</t>
  </si>
  <si>
    <t>1,100 hrs × $85/hr</t>
  </si>
  <si>
    <t>1,100 hours saved × $85/hour × 0.90 × 0.</t>
  </si>
  <si>
    <t>7-day faster onboarding × 420 carri</t>
  </si>
  <si>
    <t>7-day faster onboarding × 420 carriers/y</t>
  </si>
  <si>
    <t>1,800 hrs × $100/hr</t>
  </si>
  <si>
    <t>1,800 hours saved × $100/hour × 0.90 × 0</t>
  </si>
  <si>
    <t>customer churn risk</t>
  </si>
  <si>
    <t>60% documentation time × $8.9M insp</t>
  </si>
  <si>
    <t>60% documentation time × $8.9M inspectio</t>
  </si>
  <si>
    <t>quality risk exposure</t>
  </si>
  <si>
    <t>14,600 hrs × $165/hr</t>
  </si>
  <si>
    <t>14,600 hours × $165/hour × 0.90 × 0.75 =</t>
  </si>
  <si>
    <t xml:space="preserve">4,960 downtime hours × $1,530/hour </t>
  </si>
  <si>
    <t>4,960 downtime hours × $1,530/hour × 0.9</t>
  </si>
  <si>
    <t>6,240 hrs × $165/hr</t>
  </si>
  <si>
    <t xml:space="preserve">6,240 hours × $165/hour × 0.90 × 0.75 = </t>
  </si>
  <si>
    <t>22% × $190M</t>
  </si>
  <si>
    <t>22% sales cycle reduction × $190M annual</t>
  </si>
  <si>
    <t>7,050 escalations × $385/escalation</t>
  </si>
  <si>
    <t>7,050 escalations × $385/escalation × 0.</t>
  </si>
  <si>
    <t>4% × $151M</t>
  </si>
  <si>
    <t xml:space="preserve">4% service renewal lift × $151M service </t>
  </si>
  <si>
    <t>34% scope change reduction × $18.6M</t>
  </si>
  <si>
    <t>34% scope change reduction × $18.6M rewo</t>
  </si>
  <si>
    <t>21% × $276M</t>
  </si>
  <si>
    <t>21% time-to-market reduction × $276M ins</t>
  </si>
  <si>
    <t>38% cycle time reduction × $12.7M a</t>
  </si>
  <si>
    <t>38% cycle time reduction × $12.7M assess</t>
  </si>
  <si>
    <t>compliance risk exposure</t>
  </si>
  <si>
    <t>76-day lag reduction × $4.2M intell</t>
  </si>
  <si>
    <t>76-day lag reduction × $4.2M intelligenc</t>
  </si>
  <si>
    <t>12% × $276M</t>
  </si>
  <si>
    <t>12% feature parity improvement × $276M i</t>
  </si>
  <si>
    <t>39% forecast error reduction × $7.8</t>
  </si>
  <si>
    <t>39% forecast error reduction × $7.8M exc</t>
  </si>
  <si>
    <t>41% dispute resolution time × $6.5M</t>
  </si>
  <si>
    <t>41% dispute resolution time × $6.5M coll</t>
  </si>
  <si>
    <t>5,740 hrs × $150/hr</t>
  </si>
  <si>
    <t>5,740 hours saved × $150/hour × 0.90 × 0</t>
  </si>
  <si>
    <t>11% × $29.5M</t>
  </si>
  <si>
    <t>11% win rate lift × $29.5M annual pipeli</t>
  </si>
  <si>
    <t>Dynamic Knowledge Repository with Semant</t>
  </si>
  <si>
    <t>4,300 hrs × $150/hr</t>
  </si>
  <si>
    <t>4,300 hours saved × $150/hour × 0.90 × 0</t>
  </si>
  <si>
    <t>satisfaction impact</t>
  </si>
  <si>
    <t>Automated Deliverable Generation Framewo</t>
  </si>
  <si>
    <t>2,176 hrs × $150/hr</t>
  </si>
  <si>
    <t>2,176 hours saved × $150/hour × 0.90 × 0</t>
  </si>
  <si>
    <t>4% × $29.5M</t>
  </si>
  <si>
    <t>4% win rate improvement × $29.5M pipelin</t>
  </si>
  <si>
    <t>3,280 hrs × $85/hr</t>
  </si>
  <si>
    <t>3,280 hours saved × $85/hour × 0.90 × 0.</t>
  </si>
  <si>
    <t>4% × $37.6M</t>
  </si>
  <si>
    <t>4% retention improvement × $37.6M retain</t>
  </si>
  <si>
    <t>$1.2M licensing target × 0.95 × 0.7</t>
  </si>
  <si>
    <t>$1.2M licensing target × 0.95 × 0.75 = $</t>
  </si>
  <si>
    <t>12% × $6.3M</t>
  </si>
  <si>
    <t>12% decline reduction × $6.3M opportunit</t>
  </si>
  <si>
    <t>6,800 hrs × $100/hr</t>
  </si>
  <si>
    <t>6,800 hours saved × $100/hour × 0.90 × 0</t>
  </si>
  <si>
    <t>11% × $5.9M</t>
  </si>
  <si>
    <t>11% conversion lift × $1,800M pipeline ×</t>
  </si>
  <si>
    <t>55% dispute reduction × $9.2M dispu</t>
  </si>
  <si>
    <t>55% dispute reduction × $9.2M dispute co</t>
  </si>
  <si>
    <t>9,800 hrs × $150/hr</t>
  </si>
  <si>
    <t>9,800 hours saved × $150/hour × 0.90 × 0</t>
  </si>
  <si>
    <t>penalties</t>
  </si>
  <si>
    <t>4,440 hrs × $150/hr</t>
  </si>
  <si>
    <t>4,440 hours saved × $150/hour × 0.90 × 0</t>
  </si>
  <si>
    <t xml:space="preserve">16% allocation improvement × 5,130 </t>
  </si>
  <si>
    <t>16% allocation improvement × 5,130 shipm</t>
  </si>
  <si>
    <t>3,200 hrs × $100/hr</t>
  </si>
  <si>
    <t>3,200 hours saved × $100/hour × 0.90 × 0</t>
  </si>
  <si>
    <t>31% deflection improvement × 47,000</t>
  </si>
  <si>
    <t>31% deflection improvement × 47,000 cont</t>
  </si>
  <si>
    <t xml:space="preserve">65% deflection × 12,800 contacts × </t>
  </si>
  <si>
    <t>65% deflection × 12,800 contacts × $38/c</t>
  </si>
  <si>
    <t>2.8% × $35.9M</t>
  </si>
  <si>
    <t>2.8% margin improvement × $1,800M revenu</t>
  </si>
  <si>
    <t>50% overrun reduction × $18.3M exce</t>
  </si>
  <si>
    <t>50% overrun reduction × $18.3M excess co</t>
  </si>
  <si>
    <t>Intelligent Technical Documentation Gene</t>
  </si>
  <si>
    <t>38,000 hrs × $165/hr</t>
  </si>
  <si>
    <t xml:space="preserve">38,000 hours saved × $165/hour × 0.90 × </t>
  </si>
  <si>
    <t>Predictive Maintenance Intelligence Plat</t>
  </si>
  <si>
    <t>30% reduction × $8.7M emergency cos</t>
  </si>
  <si>
    <t xml:space="preserve">30% reduction × $8.7M emergency costs × </t>
  </si>
  <si>
    <t>downtime exposure</t>
  </si>
  <si>
    <t>13% travel reduction × $3.7M dispat</t>
  </si>
  <si>
    <t>13% travel reduction × $3.7M dispatch co</t>
  </si>
  <si>
    <t>5 hrs × $140/hr</t>
  </si>
  <si>
    <t>24% resolution improvement × 8,400 ticke</t>
  </si>
  <si>
    <t>Cost reduction realized through ris</t>
  </si>
  <si>
    <t>Cost reduction realized through risk mit</t>
  </si>
  <si>
    <t>5% failure reduction × 84 projects × $42</t>
  </si>
  <si>
    <t>4 hrs × $100/hr</t>
  </si>
  <si>
    <t>73% automation × 1,008 invoices × 4 hour</t>
  </si>
  <si>
    <t>billing dispute exposure</t>
  </si>
  <si>
    <t>90 hrs × $185/hr</t>
  </si>
  <si>
    <t>90 hours saved × 290 proposals × $185/ho</t>
  </si>
  <si>
    <t>9% × $270M</t>
  </si>
  <si>
    <t>9% win rate lift × $270M pipeline × 0.95</t>
  </si>
  <si>
    <t>8 hrs × $165/hr</t>
  </si>
  <si>
    <t xml:space="preserve">55 days saved × 24 projects × $165/hour </t>
  </si>
  <si>
    <t>Cost reduction realized through cas</t>
  </si>
  <si>
    <t>Cost reduction realized through cash flo</t>
  </si>
  <si>
    <t>stockout exposure</t>
  </si>
  <si>
    <t>40% time reduction × $5.9M programm</t>
  </si>
  <si>
    <t>40% time reduction × $5.9M programming c</t>
  </si>
  <si>
    <t>code quality exposure</t>
  </si>
  <si>
    <t>Intelligent Proposal Configuration Engin</t>
  </si>
  <si>
    <t xml:space="preserve">15,400 hours deflected × $125/hr × </t>
  </si>
  <si>
    <t xml:space="preserve">15,400 hours deflected × $125/hr × 0.90 </t>
  </si>
  <si>
    <t>12% × $95.8M</t>
  </si>
  <si>
    <t>12% win rate lift × $95.8M addressable p</t>
  </si>
  <si>
    <t xml:space="preserve">25% reduction × $9.6M obsolescence </t>
  </si>
  <si>
    <t>25% reduction × $9.6M obsolescence &amp; exp</t>
  </si>
  <si>
    <t xml:space="preserve">28% reduction × $6.8M rework costs </t>
  </si>
  <si>
    <t>28% reduction × $6.8M rework costs × 0.9</t>
  </si>
  <si>
    <t>warranty exposure</t>
  </si>
  <si>
    <t>9,200 hours proposal writers × $110</t>
  </si>
  <si>
    <t>9,200 hours proposal writers × $110/hr ×</t>
  </si>
  <si>
    <t>17 days faster productivity × 140 n</t>
  </si>
  <si>
    <t>17 days faster productivity × 140 new hi</t>
  </si>
  <si>
    <t>turnover costs</t>
  </si>
  <si>
    <t>4,200 hours AR specialist time × $8</t>
  </si>
  <si>
    <t xml:space="preserve">4,200 hours AR specialist time × $85/hr </t>
  </si>
  <si>
    <t>1,680 emergency calls avoided × $84</t>
  </si>
  <si>
    <t>1,680 emergency calls avoided × $840 pre</t>
  </si>
  <si>
    <t xml:space="preserve">14,200 hours technician time saved </t>
  </si>
  <si>
    <t>14,200 hours technician time saved × $95</t>
  </si>
  <si>
    <t xml:space="preserve">5,600 hours legal review × $185/hr </t>
  </si>
  <si>
    <t>5,600 hours legal review × $185/hr × 0.9</t>
  </si>
  <si>
    <t>contract dispute costs</t>
  </si>
  <si>
    <t xml:space="preserve">6,400 hours planner time × $110/hr </t>
  </si>
  <si>
    <t>6,400 hours planner time × $110/hr × 0.9</t>
  </si>
  <si>
    <t>5% × $38.2M</t>
  </si>
  <si>
    <t>5% late delivery reduction × $38.2M reve</t>
  </si>
  <si>
    <t>14,000 hrs × $125/hr</t>
  </si>
  <si>
    <t>14,000 hours deflected × $125/hour × 0.9</t>
  </si>
  <si>
    <t>client exposure</t>
  </si>
  <si>
    <t>8,200 hrs × $125/hr</t>
  </si>
  <si>
    <t>8,200 hours deflected × $125/hour × 0.90</t>
  </si>
  <si>
    <t xml:space="preserve">18% faster time to value × 340 new </t>
  </si>
  <si>
    <t>18% faster time to value × 340 new clien</t>
  </si>
  <si>
    <t>annual exposure</t>
  </si>
  <si>
    <t>6,400 hours deflected × $150/hour × 0.90</t>
  </si>
  <si>
    <t>0.8% × $180M</t>
  </si>
  <si>
    <t>0.8% retention improvement from faster r</t>
  </si>
  <si>
    <t>customer satisfaction risk</t>
  </si>
  <si>
    <t>2,800 hours deflected × $125/hour × 0.90</t>
  </si>
  <si>
    <t>22% × $52M</t>
  </si>
  <si>
    <t>22% sales cycle acceleration × $52M pipe</t>
  </si>
  <si>
    <t>25,000 hrs × $150/hr</t>
  </si>
  <si>
    <t>25,000 hours deflected × $150/hour × 0.9</t>
  </si>
  <si>
    <t>15% × $100M</t>
  </si>
  <si>
    <t>15% reduction in client delay costs × $1</t>
  </si>
  <si>
    <t>19,000 hrs × $125/hr</t>
  </si>
  <si>
    <t>19,000 hours deflected × $125/hour × 0.9</t>
  </si>
  <si>
    <t>1.5% × $180M</t>
  </si>
  <si>
    <t xml:space="preserve">1.5% retention improvement from quality </t>
  </si>
  <si>
    <t>5,200 hrs × $125/hr</t>
  </si>
  <si>
    <t>5,200 hours deflected × $125/hour × 0.90</t>
  </si>
  <si>
    <t>preventable recurrence costs</t>
  </si>
  <si>
    <t>3,800 hrs × $100/hr</t>
  </si>
  <si>
    <t>3,800 hours deflected × $100/hour × 0.90</t>
  </si>
  <si>
    <t>28% improvement in lead-to-opportun</t>
  </si>
  <si>
    <t>28% improvement in lead-to-opportunity c</t>
  </si>
  <si>
    <t>10,200 hrs × $125/hr</t>
  </si>
  <si>
    <t>10,200 hours deflected annually × $125/h</t>
  </si>
  <si>
    <t>restatement risk</t>
  </si>
  <si>
    <t>6,800 hrs × $125/hr</t>
  </si>
  <si>
    <t>6,800 hours deflected × $125/hour × 0.90</t>
  </si>
  <si>
    <t>technical debt costs</t>
  </si>
  <si>
    <t>AI-Augmented Technical Documentation Gen</t>
  </si>
  <si>
    <t>38,000 hrs × $150/hr</t>
  </si>
  <si>
    <t>38,000 hours × 60% reduction × $150/hour</t>
  </si>
  <si>
    <t>21,000 hrs × $100/hr</t>
  </si>
  <si>
    <t>21,000 hours × 40% reduction × $100/hour</t>
  </si>
  <si>
    <t>Automated Supplier Qualification Assista</t>
  </si>
  <si>
    <t>36 hrs × $100/hr</t>
  </si>
  <si>
    <t xml:space="preserve">340 suppliers × 36 hours/supplier × 65% </t>
  </si>
  <si>
    <t>5 hrs × $150/hr</t>
  </si>
  <si>
    <t>480 changes × 8 stakeholders × 2.5 hours</t>
  </si>
  <si>
    <t>22 day cycle reduction × 480 change</t>
  </si>
  <si>
    <t>22 day cycle reduction × 480 changes/yea</t>
  </si>
  <si>
    <t>Materials Traceability Intelligence Syst</t>
  </si>
  <si>
    <t>8,200 hrs × $100/hr</t>
  </si>
  <si>
    <t xml:space="preserve">8,200 hours × 70% reduction × $100/hour </t>
  </si>
  <si>
    <t>recall cost</t>
  </si>
  <si>
    <t>280 hrs × $125/hr</t>
  </si>
  <si>
    <t>4 audits/year × 280 hours/audit × 65% re</t>
  </si>
  <si>
    <t>certification risk</t>
  </si>
  <si>
    <t>42 hrs × $110/hr</t>
  </si>
  <si>
    <t>65 contracts × 42 hours/contract × 50% r</t>
  </si>
  <si>
    <t>2 hrs × $150/hr</t>
  </si>
  <si>
    <t>12,500 engineering questions × 2.2 hours</t>
  </si>
  <si>
    <t>program loss</t>
  </si>
  <si>
    <t>4,800 proposal hours × 55% reductio</t>
  </si>
  <si>
    <t>4,800 proposal hours × 55% reduction × $</t>
  </si>
  <si>
    <t>12% win rate improvement × $180M pipelin</t>
  </si>
  <si>
    <t>6,200 escalations × 3.5 hours × 62% defl</t>
  </si>
  <si>
    <t>3% × $298M</t>
  </si>
  <si>
    <t>3% retention lift × $298M membership rev</t>
  </si>
  <si>
    <t>annual churn loss</t>
  </si>
  <si>
    <t xml:space="preserve">22,000 hours saved × $125 regional </t>
  </si>
  <si>
    <t>22,000 hours saved × $125 regional manag</t>
  </si>
  <si>
    <t>oversight cost risk</t>
  </si>
  <si>
    <t>5,600 training hours saved × $32 fr</t>
  </si>
  <si>
    <t>5,600 training hours saved × $32 frontli</t>
  </si>
  <si>
    <t>2.5% × $122M</t>
  </si>
  <si>
    <t>2.5% upsell improvement × $122M single-w</t>
  </si>
  <si>
    <t>training inconsistency risk</t>
  </si>
  <si>
    <t>Intelligent Customer Service Knowledge B</t>
  </si>
  <si>
    <t>2.7-day resolution reduction × 18,5</t>
  </si>
  <si>
    <t>2.7-day resolution reduction × 18,500 an</t>
  </si>
  <si>
    <t>complaint risk</t>
  </si>
  <si>
    <t>Single-Wash Membership Conversion Assist</t>
  </si>
  <si>
    <t>5% × $10.2M</t>
  </si>
  <si>
    <t>5% conversion lift × 10.2M single washes</t>
  </si>
  <si>
    <t>4,200 recovery hours saved × $32 st</t>
  </si>
  <si>
    <t>4,200 recovery hours saved × $32 staff r</t>
  </si>
  <si>
    <t>payment friction risk</t>
  </si>
  <si>
    <t>$15 acquisition cost reduction × 95</t>
  </si>
  <si>
    <t xml:space="preserve">$15 acquisition cost reduction × 95,000 </t>
  </si>
  <si>
    <t>8% membership growth × 298,000 memb</t>
  </si>
  <si>
    <t>8% membership growth × 298,000 members ×</t>
  </si>
  <si>
    <t>marketing inefficiency risk</t>
  </si>
  <si>
    <t>28% maintenance cost reduction × $6</t>
  </si>
  <si>
    <t>28% maintenance cost reduction × $6.2M a</t>
  </si>
  <si>
    <t>10-hour downtime reduction × 385 si</t>
  </si>
  <si>
    <t>10-hour downtime reduction × 385 sites ×</t>
  </si>
  <si>
    <t>equipment performance risk</t>
  </si>
  <si>
    <t>site selection risk</t>
  </si>
  <si>
    <t>2,400 staff hours optimized × $32 r</t>
  </si>
  <si>
    <t>2,400 staff hours optimized × $32 rate ×</t>
  </si>
  <si>
    <t>12% throughput improvement × 300 da</t>
  </si>
  <si>
    <t>12% throughput improvement × 300 daily w</t>
  </si>
  <si>
    <t>queue management risk</t>
  </si>
  <si>
    <t>255 hrs × $165/hr</t>
  </si>
  <si>
    <t>255 hours saved × 28 clients × $165/hour</t>
  </si>
  <si>
    <t xml:space="preserve">0.03 retention improvement × $847M </t>
  </si>
  <si>
    <t>0.03 retention improvement × $847M reven</t>
  </si>
  <si>
    <t>churn</t>
  </si>
  <si>
    <t>2 hrs × $165/hr</t>
  </si>
  <si>
    <t>3.2 hours saved × 142 requests × 12 mont</t>
  </si>
  <si>
    <t>9 hrs × $165/hr</t>
  </si>
  <si>
    <t>127 configs × 6 updates/year × 9 hours ×</t>
  </si>
  <si>
    <t>8 hrs × $250/hr</t>
  </si>
  <si>
    <t>8 hours saved × 84 contracts × $250/hour</t>
  </si>
  <si>
    <t>43 hrs × $165/hr</t>
  </si>
  <si>
    <t xml:space="preserve">43 hours saved × 28 clients × $165/hour </t>
  </si>
  <si>
    <t>13 hrs × $145/hr</t>
  </si>
  <si>
    <t>13 hours saved × 340 clients × 12 months</t>
  </si>
  <si>
    <t>19 hrs × $215/hr</t>
  </si>
  <si>
    <t>19 hours saved × 216 models × 4 quarters</t>
  </si>
  <si>
    <t>regulatory penalty</t>
  </si>
  <si>
    <t>14 hrs × $165/hr</t>
  </si>
  <si>
    <t>14 hours saved × 186 demos × $165/hour ×</t>
  </si>
  <si>
    <t>14 hours saved × 186 demos × $165/h</t>
  </si>
  <si>
    <t>14 hours saved × 186 demos × $165/hour e</t>
  </si>
  <si>
    <t>8 hrs × $145/hr</t>
  </si>
  <si>
    <t>12 days saved × 12 cycles × 8 hours × $1</t>
  </si>
  <si>
    <t xml:space="preserve">12 days accelerated × 6 releases × </t>
  </si>
  <si>
    <t>12 days accelerated × 6 releases × $350K</t>
  </si>
  <si>
    <t>28,000 hrs × $125/hr</t>
  </si>
  <si>
    <t xml:space="preserve">28,000 hours saved × $125/hour × 0.90 × </t>
  </si>
  <si>
    <t>10% × $133M</t>
  </si>
  <si>
    <t>10% win rate lift × $133M annual pitch p</t>
  </si>
  <si>
    <t xml:space="preserve">45 days × 180 new hires × $165/day </t>
  </si>
  <si>
    <t>45 days × 180 new hires × $165/day × 0.9</t>
  </si>
  <si>
    <t>7% attrition reduction × 850 employees ×</t>
  </si>
  <si>
    <t>3,200 hrs × $165/hr</t>
  </si>
  <si>
    <t xml:space="preserve">3,200 hours contract review × $165/hour </t>
  </si>
  <si>
    <t>8% × $149M</t>
  </si>
  <si>
    <t>8% churn reduction × $149M retention rev</t>
  </si>
  <si>
    <t>churn risk</t>
  </si>
  <si>
    <t>68,000 hrs × $125/hr</t>
  </si>
  <si>
    <t>68,000 hours × $125/hour × 80% time save</t>
  </si>
  <si>
    <t>34,000 hrs × $125/hr</t>
  </si>
  <si>
    <t>34,000 hours × $125/hour × 75% time save</t>
  </si>
  <si>
    <t>5% × $135M</t>
  </si>
  <si>
    <t>5% revenue retention lift × $135M at-ris</t>
  </si>
  <si>
    <t>client churn risk</t>
  </si>
  <si>
    <t xml:space="preserve">$8.4M rework costs × 40% reduction </t>
  </si>
  <si>
    <t>$8.4M rework costs × 40% reduction × 0.9</t>
  </si>
  <si>
    <t>8,200 hrs × $165/hr</t>
  </si>
  <si>
    <t xml:space="preserve">8,200 hours research time × $165/hour × </t>
  </si>
  <si>
    <t>3% × $118M</t>
  </si>
  <si>
    <t>3% revenue lift from faster insights × $</t>
  </si>
  <si>
    <t>4,800 hrs × $95/hr</t>
  </si>
  <si>
    <t>4,800 hours invoice processing × $95/hou</t>
  </si>
  <si>
    <t>5% × $122M</t>
  </si>
  <si>
    <t>5% bench time reduction × $122M billable</t>
  </si>
  <si>
    <t>59,220 contacts deflected × $34 per</t>
  </si>
  <si>
    <t>59,220 contacts deflected × $34 per cont</t>
  </si>
  <si>
    <t>12% specialist time redeployed × $5</t>
  </si>
  <si>
    <t>12% specialist time redeployed × $5,200,</t>
  </si>
  <si>
    <t>16 additional guides × $65,400 reve</t>
  </si>
  <si>
    <t>16 additional guides × $65,400 revenue p</t>
  </si>
  <si>
    <t xml:space="preserve">8,200 hours × $100/hour × 0.75 adoption </t>
  </si>
  <si>
    <t>38 days reduction × $23,400 daily o</t>
  </si>
  <si>
    <t>38 days reduction × $23,400 daily opport</t>
  </si>
  <si>
    <t>Demand Forecasting &amp; Inventory Optimizat</t>
  </si>
  <si>
    <t>5% stockout reduction × $24,100,000</t>
  </si>
  <si>
    <t>5% stockout reduction × $24,100,000 affe</t>
  </si>
  <si>
    <t>40% reduction × $680,000 stockout loss e</t>
  </si>
  <si>
    <t>25-day cycle reduction × $58,000 da</t>
  </si>
  <si>
    <t>25-day cycle reduction × $58,000 daily p</t>
  </si>
  <si>
    <t>Intelligent Product Recommendation Engin</t>
  </si>
  <si>
    <t>15% match accuracy improvement × $1</t>
  </si>
  <si>
    <t>15% match accuracy improvement × $10,300</t>
  </si>
  <si>
    <t>Supplier Performance Analytics &amp; Communi</t>
  </si>
  <si>
    <t>35% reduction × $2,800,000 supplier fail</t>
  </si>
  <si>
    <t xml:space="preserve">30% reduction × $1,600,000 obsolescence </t>
  </si>
  <si>
    <t>2.8% margin improvement × $25,400,0</t>
  </si>
  <si>
    <t>2.8% margin improvement × $25,400,000 af</t>
  </si>
  <si>
    <t>25% sales time redeployment × $4,60</t>
  </si>
  <si>
    <t>25% sales time redeployment × $4,600,000</t>
  </si>
  <si>
    <t>Unified Technical Support Knowledge Assi</t>
  </si>
  <si>
    <t>4.2 minutes × 95,000 calls × $100/h</t>
  </si>
  <si>
    <t>4.2 minutes × 95,000 calls × $100/hr ÷ 6</t>
  </si>
  <si>
    <t>$3.3M friction × 0.75 reduction × 0</t>
  </si>
  <si>
    <t>$3.3M friction × 0.75 reduction × 0.90 ×</t>
  </si>
  <si>
    <t>0.15 faster feature velocity × $85M</t>
  </si>
  <si>
    <t xml:space="preserve">0.15 faster feature velocity × $85M app </t>
  </si>
  <si>
    <t>$4.2M expedited freight × 0.85 redu</t>
  </si>
  <si>
    <t>$4.2M expedited freight × 0.85 reduction</t>
  </si>
  <si>
    <t>Slow-Moving Inventory Optimization Advis</t>
  </si>
  <si>
    <t>$950K friction × 0.70 reduction × 0</t>
  </si>
  <si>
    <t>$950K friction × 0.70 reduction × 0.90 ×</t>
  </si>
  <si>
    <t>Dynamic Customer Engagement Campaign Opt</t>
  </si>
  <si>
    <t>$680K friction × 0.65 reduction × 0</t>
  </si>
  <si>
    <t>$680K friction × 0.65 reduction × 0.90 ×</t>
  </si>
  <si>
    <t>0.25 CTR improvement × 95K app user</t>
  </si>
  <si>
    <t>0.25 CTR improvement × 95K app users × 2</t>
  </si>
  <si>
    <t>Intelligent Vendor Contract Risk Analyze</t>
  </si>
  <si>
    <t>$1.6M friction × 0.70 reduction × 0</t>
  </si>
  <si>
    <t>$1.6M friction × 0.70 reduction × 0.90 ×</t>
  </si>
  <si>
    <t>contract liability exposure</t>
  </si>
  <si>
    <t>13,500 hours × $100/hr × 0.70 defle</t>
  </si>
  <si>
    <t>13,500 hours × $100/hr × 0.70 deflection</t>
  </si>
  <si>
    <t>customer satisfaction loss</t>
  </si>
  <si>
    <t>Competitive Intelligence Monitoring Syst</t>
  </si>
  <si>
    <t>$2.1M friction × 0.75 reduction × 0</t>
  </si>
  <si>
    <t>$2.1M friction × 0.75 reduction × 0.90 ×</t>
  </si>
  <si>
    <t>0.08 pricing optimization × $400M g</t>
  </si>
  <si>
    <t xml:space="preserve">0.08 pricing optimization × $400M grill </t>
  </si>
  <si>
    <t>$420K friction × 0.50 reduction × 0</t>
  </si>
  <si>
    <t>$420K friction × 0.50 reduction × 0.90 ×</t>
  </si>
  <si>
    <t>240 incremental recipes × $11,500 r</t>
  </si>
  <si>
    <t>240 incremental recipes × $11,500 revenu</t>
  </si>
  <si>
    <t>Retail Partner Training Material Automat</t>
  </si>
  <si>
    <t xml:space="preserve">$1.25M friction × 0.70 reduction × </t>
  </si>
  <si>
    <t xml:space="preserve">$1.25M friction × 0.70 reduction × 0.90 </t>
  </si>
  <si>
    <t>0.12 sell-through improvement × $17</t>
  </si>
  <si>
    <t>0.12 sell-through improvement × $175M re</t>
  </si>
  <si>
    <t>Intelligent Design Assistant with Suppli</t>
  </si>
  <si>
    <t>18,600 hrs × $150/hr</t>
  </si>
  <si>
    <t xml:space="preserve">18,600 hours saved × $150/hour × 0.90 × </t>
  </si>
  <si>
    <t>15% × $42M</t>
  </si>
  <si>
    <t>15% revenue lift × $42M sub-$5K pipeline</t>
  </si>
  <si>
    <t>Predictive Demand Planning with Seasonal</t>
  </si>
  <si>
    <t>42% inventory reduction × $12.3M ca</t>
  </si>
  <si>
    <t>42% inventory reduction × $12.3M carryin</t>
  </si>
  <si>
    <t>AI-Powered Technical Support Knowledge B</t>
  </si>
  <si>
    <t>18,400 hrs × $50/hr</t>
  </si>
  <si>
    <t>26% deflection increase × 18,400 hours ×</t>
  </si>
  <si>
    <t>14,700 hrs × $100/hr</t>
  </si>
  <si>
    <t xml:space="preserve">14,700 hours saved × $100/hour × 0.90 × </t>
  </si>
  <si>
    <t>14% × $190M</t>
  </si>
  <si>
    <t>14% conversion lift × $190M annual pipel</t>
  </si>
  <si>
    <t>Supplier Performance Intelligence &amp; Risk</t>
  </si>
  <si>
    <t>9,200 hrs × $85/hr</t>
  </si>
  <si>
    <t>9,200 hours saved × $85/hour × 0.90 × 0.</t>
  </si>
  <si>
    <t>quality exposure</t>
  </si>
  <si>
    <t>33,600 hrs × $150/hr</t>
  </si>
  <si>
    <t xml:space="preserve">33,600 hours saved × $150/hour × 0.90 × </t>
  </si>
  <si>
    <t>Contextualized Product Recommendation En</t>
  </si>
  <si>
    <t>15% × $156M</t>
  </si>
  <si>
    <t xml:space="preserve">15% cross-sell lift × $156M opportunity </t>
  </si>
  <si>
    <t>Automated Contract Analysis &amp; Risk Flagg</t>
  </si>
  <si>
    <t>16,800 hrs × $150/hr</t>
  </si>
  <si>
    <t xml:space="preserve">16,800 hours saved × $150/hour × 0.90 × </t>
  </si>
  <si>
    <t>Intelligent Specification Validation &amp; E</t>
  </si>
  <si>
    <t xml:space="preserve">68% error reduction × $1.9M rework </t>
  </si>
  <si>
    <t xml:space="preserve">68% error reduction × $1.9M rework cost </t>
  </si>
  <si>
    <t>specification risk</t>
  </si>
  <si>
    <t>Cross-Warehouse Inventory Intelligence &amp;</t>
  </si>
  <si>
    <t>62% reduction × $1.7M expedited fre</t>
  </si>
  <si>
    <t xml:space="preserve">62% reduction × $1.7M expedited freight </t>
  </si>
  <si>
    <t>Engineering Change Order Orchestration A</t>
  </si>
  <si>
    <t>3,400 ECOs × 6.2 hours saved × $165/hour</t>
  </si>
  <si>
    <t>4 hrs × $140/hr</t>
  </si>
  <si>
    <t xml:space="preserve">280 CAPAs × 8.4 hours saved × $140/hour </t>
  </si>
  <si>
    <t>supplier quality cost</t>
  </si>
  <si>
    <t>12 hrs × $50/hr</t>
  </si>
  <si>
    <t xml:space="preserve">4,200 inquiries × 12 hours × 14 minutes </t>
  </si>
  <si>
    <t>Contract Term Extraction and Risk Flaggi</t>
  </si>
  <si>
    <t>340 contracts × 4.2 hours saved × $165/h</t>
  </si>
  <si>
    <t xml:space="preserve">Intelligent First Article Documentation </t>
  </si>
  <si>
    <t>6 hrs × $165/hr</t>
  </si>
  <si>
    <t>820 FAI reports × 5.6 hours saved × $165</t>
  </si>
  <si>
    <t>15% × $30M</t>
  </si>
  <si>
    <t>15% win rate lift × $30M delayed pipelin</t>
  </si>
  <si>
    <t>FAI error exposure</t>
  </si>
  <si>
    <t>8,200 hrs × $115/hr</t>
  </si>
  <si>
    <t xml:space="preserve">14 stockout events avoided × $185K each </t>
  </si>
  <si>
    <t>Proposal Content Library with Dynamic As</t>
  </si>
  <si>
    <t>32 hrs × $150/hr</t>
  </si>
  <si>
    <t>340 proposals × 32 hours saved × $150/ho</t>
  </si>
  <si>
    <t>8% × $340M</t>
  </si>
  <si>
    <t>8% win rate lift × $340M pipeline × 0.95</t>
  </si>
  <si>
    <t>Regulatory Compliance Intelligence Monit</t>
  </si>
  <si>
    <t>936 hrs × $140/hr</t>
  </si>
  <si>
    <t>936 hours saved × $140/hour × 0.90 × 0.7</t>
  </si>
  <si>
    <t>18 hrs × $150/hr</t>
  </si>
  <si>
    <t xml:space="preserve">340 quotes × 18 hours saved × $150/hour </t>
  </si>
  <si>
    <t>4% × $285M</t>
  </si>
  <si>
    <t>4% margin improvement × $285M won busine</t>
  </si>
  <si>
    <t>underpricing risk</t>
  </si>
  <si>
    <t>Technical Drawing Version Control Assist</t>
  </si>
  <si>
    <t>65 engineers × 4.2 hours/week × 48 weeks</t>
  </si>
  <si>
    <t>obsolete drawing risk</t>
  </si>
  <si>
    <t>14,000 hrs × $120/hr</t>
  </si>
  <si>
    <t>14,000 hours saved × $120/hour × 0.90 co</t>
  </si>
  <si>
    <t>65 incremental relationships × 85 a</t>
  </si>
  <si>
    <t>65 incremental relationships × 85 accoun</t>
  </si>
  <si>
    <t>8,400 hrs × $85/hr</t>
  </si>
  <si>
    <t>8,400 hours saved × $85/hour × 0.90 cost</t>
  </si>
  <si>
    <t>7,000 hrs × $150/hr</t>
  </si>
  <si>
    <t>7,000 hours saved × $150/hour × 0.90 cos</t>
  </si>
  <si>
    <t>17 days faster approval × $22M dela</t>
  </si>
  <si>
    <t>17 days faster approval × $22M delayed p</t>
  </si>
  <si>
    <t>5,000 hrs × $85/hr</t>
  </si>
  <si>
    <t>5,000 hours saved × $85/hour × 0.90 cost</t>
  </si>
  <si>
    <t>recall exposure</t>
  </si>
  <si>
    <t>Research Literature Intelligence Platfor</t>
  </si>
  <si>
    <t>145 hrs × $150/hr</t>
  </si>
  <si>
    <t>145 hours saved × 8 projects × $150/hour</t>
  </si>
  <si>
    <t>2,100 hrs × $85/hr</t>
  </si>
  <si>
    <t>2,100 hours saved × $85/hour × 0.90 cost</t>
  </si>
  <si>
    <t>annual bad debt</t>
  </si>
  <si>
    <t>Technical Recruiting Intelligence Assist</t>
  </si>
  <si>
    <t>1,200 hrs × $120/hr</t>
  </si>
  <si>
    <t>1,200 hours saved × $120/hour × 0.90 cos</t>
  </si>
  <si>
    <t>SECTION 3: COMPANY SUMMARY &amp; INVESTMENT GROUP ANALYSIS</t>
  </si>
  <si>
    <t>SECTION 4: CONSOLIDATED FUNCTION CATEGORIES</t>
  </si>
  <si>
    <t>Consolidated Function</t>
  </si>
  <si>
    <t>Original Functions Included</t>
  </si>
  <si>
    <t>Original Sub-Functions Included</t>
  </si>
  <si>
    <t>Use Case Count</t>
  </si>
  <si>
    <t>Avg Value per UC ($M)</t>
  </si>
  <si>
    <t>Clinical &amp; Patient Operations</t>
  </si>
  <si>
    <t>Clinical Operations, Patient Services, Patient Engagement</t>
  </si>
  <si>
    <t>Documentation, Treatment Planning, Care Coordination, Medical Records, Appointment Scheduling, Patient Communication</t>
  </si>
  <si>
    <t>All patient-facing and clinical documentation activities</t>
  </si>
  <si>
    <t>Revenue Cycle &amp; Finance</t>
  </si>
  <si>
    <t>Revenue Cycle, Finance, Accounts Payable/Receivable</t>
  </si>
  <si>
    <t>Claims Processing, Insurance Verification, Billing, Collections, Denial Management, Revenue Operations</t>
  </si>
  <si>
    <t>All financial operations from billing through collections</t>
  </si>
  <si>
    <t>Sales &amp; Business Development</t>
  </si>
  <si>
    <t>Sales, Business Development, Sales Operations</t>
  </si>
  <si>
    <t>Proposal Development, Lead Qualification, Account Management, Pitch Preparation, Quote Generation</t>
  </si>
  <si>
    <t>Revenue-generating activities and client acquisition</t>
  </si>
  <si>
    <t>Customer Service &amp; Support</t>
  </si>
  <si>
    <t>Customer Service, Customer Support, Customer Success</t>
  </si>
  <si>
    <t>Contact Center, Technical Support, Inquiry Resolution, Account Management, Onboarding</t>
  </si>
  <si>
    <t>Post-sale customer interactions and retention</t>
  </si>
  <si>
    <t>Supply Chain &amp; Operations</t>
  </si>
  <si>
    <t>Supply Chain, Operations, Procurement, Manufacturing</t>
  </si>
  <si>
    <t>Inventory Management, Demand Planning, Production Scheduling, Vendor Management, Logistics</t>
  </si>
  <si>
    <t>End-to-end supply chain and operational efficiency</t>
  </si>
  <si>
    <t>Engineering &amp; Product Development</t>
  </si>
  <si>
    <t>Engineering, Product Management, Product Development</t>
  </si>
  <si>
    <t>Technical Documentation, Design, Development, Feature Planning, Code Quality</t>
  </si>
  <si>
    <t>Product creation and technical delivery</t>
  </si>
  <si>
    <t>Compliance, Legal, Quality Assurance, Regulatory</t>
  </si>
  <si>
    <t>Regulatory Documentation, Contract Management, Safety Documentation, Audit Response</t>
  </si>
  <si>
    <t>Risk mitigation and regulatory adherence</t>
  </si>
  <si>
    <t>Human Resources &amp; Training</t>
  </si>
  <si>
    <t>Human Resources, Training &amp; Development, Talent Acquisition</t>
  </si>
  <si>
    <t>Recruiting, Onboarding, Training Development, Credentialing</t>
  </si>
  <si>
    <t>People operations and workforce development</t>
  </si>
  <si>
    <t>Marketing &amp; Content</t>
  </si>
  <si>
    <t>Marketing, Content Production, Market Research</t>
  </si>
  <si>
    <t>Content Creation, Competitive Intelligence, Campaign Management, Market Analysis</t>
  </si>
  <si>
    <t>Brand, content, and market positioning</t>
  </si>
  <si>
    <t>Knowledge &amp; Data Management</t>
  </si>
  <si>
    <t>Knowledge Management, Data Operations, Research &amp; Analysis</t>
  </si>
  <si>
    <t>Technical Documentation, Data Quality, Knowledge Transfer, Research</t>
  </si>
  <si>
    <t>Information architecture and data governance</t>
  </si>
  <si>
    <t>Field Operations &amp; Service Delivery</t>
  </si>
  <si>
    <t>Field Operations, Service Delivery, Installation</t>
  </si>
  <si>
    <t>Scheduling, Safety Documentation, Progress Tracking, Emergency Response</t>
  </si>
  <si>
    <t>On-site service and field workforce management</t>
  </si>
  <si>
    <t>Executive &amp; Strategic</t>
  </si>
  <si>
    <t>Business Intelligence, Strategy, Executive Reporting</t>
  </si>
  <si>
    <t>Performance Reporting, Financial Planning, Strategic Analysis</t>
  </si>
  <si>
    <t>Leadership decision support and strategic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</si>
</sst>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"/>
    <numFmt numFmtId="165" formatCode="&quot;$&quot;#,##0.0"/>
    <numFmt numFmtId="166" formatCode="&quot;$&quot;#,##0"/>
    <numFmt numFmtId="167" formatCode="0.0\x"/>
    <numFmt numFmtId="168" formatCode="0.0%"/>
    <numFmt numFmtId="169" formatCode="0.0"/>
    <numFmt numFmtId="170" formatCode="0.00\x"/>
    <numFmt numFmtId="171" formatCode="&quot;$&quot;#,##0.00;\(&quot;$&quot;#,##0.00\);\-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2"/>
      <color rgb="FF70AD47"/>
      <name val="Calibri"/>
      <family val="2"/>
      <scheme val="minor"/>
    </font>
    <font>
      <b/>
      <sz val="12"/>
      <color rgb="FF5B9BD5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i/>
      <sz val="12"/>
      <color rgb="FF1F4E79"/>
      <name val="Calibri"/>
      <family val="2"/>
      <scheme val="minor"/>
    </font>
    <font>
      <b/>
      <sz val="18"/>
      <color rgb="FF1F4E7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3756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9" fontId="4" fillId="5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4" fillId="5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2" borderId="0" xfId="0" applyFont="1" applyFill="1"/>
    <xf numFmtId="0" fontId="6" fillId="7" borderId="0" xfId="0" applyFont="1" applyFill="1" applyAlignment="1">
      <alignment horizontal="center"/>
    </xf>
    <xf numFmtId="0" fontId="0" fillId="7" borderId="0" xfId="0" applyFill="1"/>
    <xf numFmtId="0" fontId="6" fillId="8" borderId="0" xfId="0" applyFont="1" applyFill="1" applyAlignment="1">
      <alignment horizontal="center"/>
    </xf>
    <xf numFmtId="0" fontId="0" fillId="8" borderId="0" xfId="0" applyFill="1"/>
    <xf numFmtId="0" fontId="6" fillId="9" borderId="0" xfId="0" applyFont="1" applyFill="1" applyAlignment="1">
      <alignment horizontal="center"/>
    </xf>
    <xf numFmtId="0" fontId="0" fillId="9" borderId="0" xfId="0" applyFill="1"/>
    <xf numFmtId="0" fontId="6" fillId="10" borderId="0" xfId="0" applyFont="1" applyFill="1" applyAlignment="1">
      <alignment horizontal="center"/>
    </xf>
    <xf numFmtId="0" fontId="0" fillId="10" borderId="0" xfId="0" applyFill="1"/>
    <xf numFmtId="0" fontId="1" fillId="11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 wrapText="1"/>
    </xf>
    <xf numFmtId="168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4" borderId="0" xfId="0" applyFill="1"/>
    <xf numFmtId="0" fontId="13" fillId="6" borderId="0" xfId="0" applyFont="1" applyFill="1"/>
    <xf numFmtId="0" fontId="14" fillId="3" borderId="0" xfId="0" applyFont="1" applyFill="1" applyAlignment="1">
      <alignment horizontal="center"/>
    </xf>
    <xf numFmtId="0" fontId="0" fillId="18" borderId="0" xfId="0" applyFill="1"/>
    <xf numFmtId="0" fontId="3" fillId="3" borderId="0" xfId="0" applyFont="1" applyFill="1" applyAlignment="1">
      <alignment horizontal="center"/>
    </xf>
    <xf numFmtId="0" fontId="1" fillId="19" borderId="0" xfId="0" applyFont="1" applyFill="1"/>
    <xf numFmtId="0" fontId="1" fillId="19" borderId="0" xfId="0" applyFont="1" applyFill="1" applyAlignment="1">
      <alignment horizontal="center"/>
    </xf>
    <xf numFmtId="0" fontId="15" fillId="0" borderId="0" xfId="0" applyFont="1"/>
    <xf numFmtId="0" fontId="15" fillId="20" borderId="0" xfId="0" applyFont="1" applyFill="1"/>
    <xf numFmtId="0" fontId="0" fillId="20" borderId="0" xfId="0" applyFill="1"/>
    <xf numFmtId="9" fontId="4" fillId="5" borderId="0" xfId="0" applyNumberFormat="1" applyFont="1" applyFill="1"/>
    <xf numFmtId="166" fontId="4" fillId="5" borderId="0" xfId="0" applyNumberFormat="1" applyFont="1" applyFill="1"/>
    <xf numFmtId="164" fontId="4" fillId="5" borderId="0" xfId="0" applyNumberFormat="1" applyFont="1" applyFill="1"/>
    <xf numFmtId="170" fontId="4" fillId="5" borderId="0" xfId="0" applyNumberFormat="1" applyFont="1" applyFill="1"/>
    <xf numFmtId="0" fontId="11" fillId="0" borderId="0" xfId="0" applyFont="1" applyAlignment="1">
      <alignment horizontal="center"/>
    </xf>
    <xf numFmtId="1" fontId="4" fillId="5" borderId="0" xfId="0" applyNumberFormat="1" applyFont="1" applyFill="1"/>
    <xf numFmtId="0" fontId="3" fillId="2" borderId="0" xfId="0" applyFont="1" applyFill="1" applyAlignment="1">
      <alignment horizontal="center"/>
    </xf>
    <xf numFmtId="0" fontId="0" fillId="11" borderId="0" xfId="0" applyFill="1"/>
    <xf numFmtId="164" fontId="0" fillId="11" borderId="0" xfId="0" applyNumberFormat="1" applyFill="1"/>
    <xf numFmtId="168" fontId="0" fillId="11" borderId="0" xfId="0" applyNumberFormat="1" applyFill="1"/>
    <xf numFmtId="0" fontId="0" fillId="11" borderId="0" xfId="0" applyFill="1" applyAlignment="1">
      <alignment horizontal="center"/>
    </xf>
    <xf numFmtId="0" fontId="1" fillId="21" borderId="0" xfId="0" applyFont="1" applyFill="1"/>
    <xf numFmtId="0" fontId="0" fillId="21" borderId="0" xfId="0" applyFill="1"/>
    <xf numFmtId="164" fontId="0" fillId="21" borderId="0" xfId="0" applyNumberFormat="1" applyFill="1"/>
    <xf numFmtId="168" fontId="0" fillId="21" borderId="0" xfId="0" applyNumberFormat="1" applyFill="1"/>
    <xf numFmtId="0" fontId="0" fillId="21" borderId="0" xfId="0" applyFill="1" applyAlignment="1">
      <alignment horizontal="center"/>
    </xf>
    <xf numFmtId="0" fontId="1" fillId="12" borderId="0" xfId="0" applyFont="1" applyFill="1"/>
    <xf numFmtId="0" fontId="0" fillId="12" borderId="0" xfId="0" applyFill="1"/>
    <xf numFmtId="164" fontId="0" fillId="12" borderId="0" xfId="0" applyNumberFormat="1" applyFill="1"/>
    <xf numFmtId="168" fontId="0" fillId="12" borderId="0" xfId="0" applyNumberFormat="1" applyFill="1"/>
    <xf numFmtId="0" fontId="0" fillId="12" borderId="0" xfId="0" applyFill="1" applyAlignment="1">
      <alignment horizontal="center"/>
    </xf>
    <xf numFmtId="0" fontId="1" fillId="22" borderId="0" xfId="0" applyFont="1" applyFill="1"/>
    <xf numFmtId="0" fontId="0" fillId="22" borderId="0" xfId="0" applyFill="1"/>
    <xf numFmtId="164" fontId="0" fillId="22" borderId="0" xfId="0" applyNumberFormat="1" applyFill="1"/>
    <xf numFmtId="168" fontId="0" fillId="22" borderId="0" xfId="0" applyNumberFormat="1" applyFill="1"/>
    <xf numFmtId="0" fontId="0" fillId="22" borderId="0" xfId="0" applyFill="1" applyAlignment="1">
      <alignment horizontal="center"/>
    </xf>
    <xf numFmtId="0" fontId="14" fillId="2" borderId="0" xfId="0" applyFont="1" applyFill="1"/>
    <xf numFmtId="164" fontId="14" fillId="2" borderId="0" xfId="0" applyNumberFormat="1" applyFont="1" applyFill="1"/>
    <xf numFmtId="9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71" fontId="12" fillId="0" borderId="0" xfId="0" applyNumberFormat="1" applyFont="1"/>
    <xf numFmtId="164" fontId="12" fillId="0" borderId="0" xfId="0" applyNumberFormat="1" applyFont="1"/>
    <xf numFmtId="0" fontId="1" fillId="23" borderId="0" xfId="0" applyFont="1" applyFill="1"/>
    <xf numFmtId="0" fontId="0" fillId="23" borderId="0" xfId="0" applyFill="1" applyAlignment="1">
      <alignment horizontal="center"/>
    </xf>
    <xf numFmtId="164" fontId="0" fillId="23" borderId="0" xfId="0" applyNumberFormat="1" applyFill="1"/>
    <xf numFmtId="168" fontId="0" fillId="23" borderId="0" xfId="0" applyNumberFormat="1" applyFill="1"/>
    <xf numFmtId="169" fontId="0" fillId="23" borderId="0" xfId="0" applyNumberFormat="1" applyFill="1"/>
    <xf numFmtId="0" fontId="1" fillId="24" borderId="0" xfId="0" applyFont="1" applyFill="1"/>
    <xf numFmtId="0" fontId="0" fillId="24" borderId="0" xfId="0" applyFill="1" applyAlignment="1">
      <alignment horizontal="center"/>
    </xf>
    <xf numFmtId="164" fontId="0" fillId="24" borderId="0" xfId="0" applyNumberFormat="1" applyFill="1"/>
    <xf numFmtId="168" fontId="0" fillId="24" borderId="0" xfId="0" applyNumberFormat="1" applyFill="1"/>
    <xf numFmtId="169" fontId="0" fillId="24" borderId="0" xfId="0" applyNumberFormat="1" applyFill="1"/>
    <xf numFmtId="0" fontId="1" fillId="14" borderId="0" xfId="0" applyFont="1" applyFill="1"/>
    <xf numFmtId="0" fontId="0" fillId="14" borderId="0" xfId="0" applyFill="1" applyAlignment="1">
      <alignment horizontal="center"/>
    </xf>
    <xf numFmtId="164" fontId="0" fillId="14" borderId="0" xfId="0" applyNumberFormat="1" applyFill="1"/>
    <xf numFmtId="168" fontId="0" fillId="14" borderId="0" xfId="0" applyNumberFormat="1" applyFill="1"/>
    <xf numFmtId="169" fontId="0" fillId="14" borderId="0" xfId="0" applyNumberFormat="1" applyFill="1"/>
    <xf numFmtId="168" fontId="14" fillId="2" borderId="0" xfId="0" applyNumberFormat="1" applyFont="1" applyFill="1"/>
    <xf numFmtId="169" fontId="14" fillId="2" borderId="0" xfId="0" applyNumberFormat="1" applyFont="1" applyFill="1"/>
    <xf numFmtId="164" fontId="14" fillId="2" borderId="0" xfId="0" applyNumberFormat="1" applyFont="1" applyFill="1" applyAlignment="1">
      <alignment horizontal="center"/>
    </xf>
    <xf numFmtId="169" fontId="0" fillId="11" borderId="0" xfId="0" applyNumberFormat="1" applyFill="1"/>
    <xf numFmtId="169" fontId="0" fillId="21" borderId="0" xfId="0" applyNumberFormat="1" applyFill="1"/>
    <xf numFmtId="9" fontId="1" fillId="19" borderId="0" xfId="0" applyNumberFormat="1" applyFont="1" applyFill="1" applyAlignment="1">
      <alignment horizontal="center"/>
    </xf>
    <xf numFmtId="0" fontId="0" fillId="19" borderId="0" xfId="0" applyFill="1"/>
    <xf numFmtId="165" fontId="0" fillId="11" borderId="0" xfId="0" applyNumberFormat="1" applyFill="1"/>
    <xf numFmtId="165" fontId="0" fillId="21" borderId="0" xfId="0" applyNumberFormat="1" applyFill="1"/>
    <xf numFmtId="165" fontId="0" fillId="12" borderId="0" xfId="0" applyNumberFormat="1" applyFill="1"/>
    <xf numFmtId="0" fontId="16" fillId="22" borderId="0" xfId="0" applyFont="1" applyFill="1"/>
    <xf numFmtId="164" fontId="1" fillId="20" borderId="0" xfId="0" applyNumberFormat="1" applyFont="1" applyFill="1"/>
    <xf numFmtId="164" fontId="0" fillId="19" borderId="0" xfId="0" applyNumberFormat="1" applyFill="1"/>
    <xf numFmtId="0" fontId="17" fillId="19" borderId="0" xfId="0" applyFont="1" applyFill="1"/>
    <xf numFmtId="9" fontId="4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69" fontId="4" fillId="0" borderId="0" xfId="0" applyNumberFormat="1" applyFont="1"/>
    <xf numFmtId="0" fontId="14" fillId="10" borderId="0" xfId="0" applyFont="1" applyFill="1"/>
    <xf numFmtId="165" fontId="1" fillId="0" borderId="0" xfId="0" applyNumberFormat="1" applyFont="1"/>
    <xf numFmtId="0" fontId="14" fillId="25" borderId="0" xfId="0" applyFont="1" applyFill="1"/>
    <xf numFmtId="0" fontId="0" fillId="25" borderId="0" xfId="0" applyFill="1"/>
    <xf numFmtId="0" fontId="1" fillId="21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EE83FA-C5FF-7E43-94A0-5827EEB7715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zoomScale="140" zoomScaleNormal="140" workbookViewId="0">
      <selection activeCell="C7" sqref="C7"/>
    </sheetView>
  </sheetViews>
  <sheetFormatPr baseColWidth="10" defaultRowHeight="16" x14ac:dyDescent="0.2"/>
  <cols>
    <col min="1" max="1" width="30.83203125" customWidth="1"/>
    <col min="2" max="2" width="50.83203125" customWidth="1"/>
    <col min="3" max="3" width="15.83203125" customWidth="1"/>
    <col min="4" max="4" width="12.83203125" customWidth="1"/>
    <col min="5" max="5" width="10.8320312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</row>
    <row r="5" spans="1:2" x14ac:dyDescent="0.2">
      <c r="A5" t="s">
        <v>3</v>
      </c>
      <c r="B5">
        <v>54</v>
      </c>
    </row>
    <row r="6" spans="1:2" x14ac:dyDescent="0.2">
      <c r="A6" t="s">
        <v>4</v>
      </c>
      <c r="B6">
        <v>540</v>
      </c>
    </row>
    <row r="7" spans="1:2" x14ac:dyDescent="0.2">
      <c r="A7" t="s">
        <v>5</v>
      </c>
      <c r="B7" s="1">
        <v>388.99362059999976</v>
      </c>
    </row>
    <row r="8" spans="1:2" x14ac:dyDescent="0.2">
      <c r="A8" t="s">
        <v>6</v>
      </c>
      <c r="B8" s="1">
        <v>7.2035855666666624</v>
      </c>
    </row>
    <row r="9" spans="1:2" x14ac:dyDescent="0.2">
      <c r="B9" s="1"/>
    </row>
    <row r="10" spans="1:2" x14ac:dyDescent="0.2">
      <c r="A10" t="s">
        <v>7</v>
      </c>
      <c r="B10" s="1"/>
    </row>
    <row r="11" spans="1:2" x14ac:dyDescent="0.2">
      <c r="A11" t="s">
        <v>8</v>
      </c>
      <c r="B11" s="1">
        <v>169.0514860000001</v>
      </c>
    </row>
    <row r="12" spans="1:2" x14ac:dyDescent="0.2">
      <c r="A12" t="s">
        <v>9</v>
      </c>
      <c r="B12" s="1">
        <v>148.10121979999994</v>
      </c>
    </row>
    <row r="13" spans="1:2" x14ac:dyDescent="0.2">
      <c r="A13" t="s">
        <v>10</v>
      </c>
      <c r="B13" s="1">
        <v>65.960392399999989</v>
      </c>
    </row>
    <row r="14" spans="1:2" x14ac:dyDescent="0.2">
      <c r="A14" t="s">
        <v>11</v>
      </c>
      <c r="B14" s="1">
        <v>57.370511300000018</v>
      </c>
    </row>
    <row r="16" spans="1:2" x14ac:dyDescent="0.2">
      <c r="A16" t="s">
        <v>12</v>
      </c>
    </row>
    <row r="17" spans="1:5" x14ac:dyDescent="0.2">
      <c r="A17" t="s">
        <v>13</v>
      </c>
      <c r="B17">
        <v>111</v>
      </c>
    </row>
    <row r="18" spans="1:5" x14ac:dyDescent="0.2">
      <c r="A18" t="s">
        <v>14</v>
      </c>
      <c r="B18">
        <v>247</v>
      </c>
    </row>
    <row r="19" spans="1:5" x14ac:dyDescent="0.2">
      <c r="A19" t="s">
        <v>15</v>
      </c>
      <c r="B19">
        <v>182</v>
      </c>
    </row>
    <row r="21" spans="1:5" x14ac:dyDescent="0.2">
      <c r="A21" t="s">
        <v>16</v>
      </c>
    </row>
    <row r="22" spans="1:5" x14ac:dyDescent="0.2">
      <c r="A22" t="s">
        <v>17</v>
      </c>
      <c r="B22" t="s">
        <v>18</v>
      </c>
      <c r="C22" t="s">
        <v>19</v>
      </c>
      <c r="D22" t="s">
        <v>20</v>
      </c>
      <c r="E22" t="s">
        <v>21</v>
      </c>
    </row>
    <row r="23" spans="1:5" x14ac:dyDescent="0.2">
      <c r="A23" t="s">
        <v>22</v>
      </c>
      <c r="B23" t="s">
        <v>23</v>
      </c>
      <c r="C23">
        <v>32.5</v>
      </c>
      <c r="D23" t="s">
        <v>24</v>
      </c>
      <c r="E23" t="s">
        <v>25</v>
      </c>
    </row>
    <row r="24" spans="1:5" x14ac:dyDescent="0.2">
      <c r="A24" t="s">
        <v>26</v>
      </c>
      <c r="B24" t="s">
        <v>27</v>
      </c>
      <c r="C24">
        <v>17.399999999999999</v>
      </c>
      <c r="D24" t="s">
        <v>24</v>
      </c>
      <c r="E24" t="s">
        <v>28</v>
      </c>
    </row>
    <row r="25" spans="1:5" x14ac:dyDescent="0.2">
      <c r="A25" t="s">
        <v>29</v>
      </c>
      <c r="B25" t="s">
        <v>30</v>
      </c>
      <c r="C25">
        <v>17.2</v>
      </c>
      <c r="D25" t="s">
        <v>31</v>
      </c>
      <c r="E25" t="s">
        <v>28</v>
      </c>
    </row>
    <row r="26" spans="1:5" x14ac:dyDescent="0.2">
      <c r="A26" t="s">
        <v>29</v>
      </c>
      <c r="B26" t="s">
        <v>32</v>
      </c>
      <c r="C26">
        <v>14.7</v>
      </c>
      <c r="D26" t="s">
        <v>24</v>
      </c>
      <c r="E26" t="s">
        <v>33</v>
      </c>
    </row>
    <row r="27" spans="1:5" x14ac:dyDescent="0.2">
      <c r="A27" t="s">
        <v>34</v>
      </c>
      <c r="B27" t="s">
        <v>35</v>
      </c>
      <c r="C27">
        <v>12.7</v>
      </c>
      <c r="D27" t="s">
        <v>24</v>
      </c>
      <c r="E27" t="s">
        <v>28</v>
      </c>
    </row>
    <row r="28" spans="1:5" x14ac:dyDescent="0.2">
      <c r="A28" t="s">
        <v>26</v>
      </c>
      <c r="B28" t="s">
        <v>36</v>
      </c>
      <c r="C28">
        <v>12.6</v>
      </c>
      <c r="D28" t="s">
        <v>24</v>
      </c>
      <c r="E28" t="s">
        <v>28</v>
      </c>
    </row>
    <row r="29" spans="1:5" x14ac:dyDescent="0.2">
      <c r="A29" t="s">
        <v>26</v>
      </c>
      <c r="B29" t="s">
        <v>37</v>
      </c>
      <c r="C29">
        <v>11.6</v>
      </c>
      <c r="D29" t="s">
        <v>38</v>
      </c>
      <c r="E29" t="s">
        <v>33</v>
      </c>
    </row>
    <row r="30" spans="1:5" x14ac:dyDescent="0.2">
      <c r="A30" t="s">
        <v>29</v>
      </c>
      <c r="B30" t="s">
        <v>39</v>
      </c>
      <c r="C30">
        <v>10.7</v>
      </c>
      <c r="D30" t="s">
        <v>24</v>
      </c>
      <c r="E30" t="s">
        <v>33</v>
      </c>
    </row>
    <row r="31" spans="1:5" x14ac:dyDescent="0.2">
      <c r="A31" t="s">
        <v>34</v>
      </c>
      <c r="B31" t="s">
        <v>40</v>
      </c>
      <c r="C31">
        <v>10.7</v>
      </c>
      <c r="D31" t="s">
        <v>24</v>
      </c>
      <c r="E31" t="s">
        <v>28</v>
      </c>
    </row>
    <row r="32" spans="1:5" x14ac:dyDescent="0.2">
      <c r="A32" t="s">
        <v>26</v>
      </c>
      <c r="B32" t="s">
        <v>41</v>
      </c>
      <c r="C32">
        <v>10</v>
      </c>
      <c r="D32" t="s">
        <v>38</v>
      </c>
      <c r="E32" t="s">
        <v>33</v>
      </c>
    </row>
  </sheetData>
  <pageMargins left="0.7" right="0.7" top="0.75" bottom="0.75" header="0.3" footer="0.3"/>
  <ignoredErrors>
    <ignoredError sqref="A1:E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topLeftCell="A15" workbookViewId="0"/>
  </sheetViews>
  <sheetFormatPr baseColWidth="10" defaultRowHeight="16" x14ac:dyDescent="0.2"/>
  <cols>
    <col min="1" max="1" width="6.83203125" customWidth="1"/>
    <col min="2" max="2" width="30.83203125" customWidth="1"/>
    <col min="3" max="3" width="12.83203125" customWidth="1"/>
    <col min="4" max="4" width="14.83203125" customWidth="1"/>
    <col min="5" max="5" width="10.83203125" customWidth="1"/>
    <col min="6" max="6" width="12.83203125" customWidth="1"/>
    <col min="7" max="7" width="21.5" bestFit="1" customWidth="1"/>
    <col min="8" max="8" width="15.6640625" bestFit="1" customWidth="1"/>
    <col min="9" max="9" width="16.83203125" customWidth="1"/>
    <col min="10" max="10" width="15.83203125" customWidth="1"/>
    <col min="11" max="11" width="20.6640625" bestFit="1" customWidth="1"/>
    <col min="12" max="12" width="16.5" bestFit="1" customWidth="1"/>
    <col min="13" max="13" width="14.83203125" customWidth="1"/>
  </cols>
  <sheetData>
    <row r="1" spans="1:13" x14ac:dyDescent="0.2">
      <c r="A1" t="s">
        <v>42</v>
      </c>
      <c r="B1" t="s">
        <v>17</v>
      </c>
      <c r="C1" t="s">
        <v>43</v>
      </c>
      <c r="D1" t="s">
        <v>44</v>
      </c>
      <c r="E1" t="s">
        <v>45</v>
      </c>
      <c r="F1" t="s">
        <v>4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">
      <c r="A2">
        <v>1</v>
      </c>
      <c r="B2" t="s">
        <v>53</v>
      </c>
      <c r="C2">
        <v>850</v>
      </c>
      <c r="D2">
        <v>85</v>
      </c>
      <c r="E2">
        <v>0</v>
      </c>
      <c r="F2">
        <v>10</v>
      </c>
      <c r="G2">
        <v>200.4</v>
      </c>
      <c r="H2">
        <v>98.2</v>
      </c>
      <c r="I2">
        <v>82.5</v>
      </c>
      <c r="J2">
        <v>12.6</v>
      </c>
      <c r="K2">
        <v>7</v>
      </c>
      <c r="L2">
        <v>4417</v>
      </c>
      <c r="M2">
        <v>3</v>
      </c>
    </row>
    <row r="3" spans="1:13" x14ac:dyDescent="0.2">
      <c r="A3">
        <v>2</v>
      </c>
      <c r="B3" t="s">
        <v>54</v>
      </c>
      <c r="C3">
        <v>892</v>
      </c>
      <c r="D3">
        <v>89.2</v>
      </c>
      <c r="E3">
        <v>1850</v>
      </c>
      <c r="F3">
        <v>10</v>
      </c>
      <c r="G3">
        <v>171.1</v>
      </c>
      <c r="H3">
        <v>80.5</v>
      </c>
      <c r="I3">
        <v>32.1</v>
      </c>
      <c r="J3">
        <v>37.299999999999997</v>
      </c>
      <c r="K3">
        <v>21.2</v>
      </c>
      <c r="L3">
        <v>12.58</v>
      </c>
      <c r="M3">
        <v>2</v>
      </c>
    </row>
    <row r="4" spans="1:13" x14ac:dyDescent="0.2">
      <c r="A4">
        <v>3</v>
      </c>
      <c r="B4" t="s">
        <v>55</v>
      </c>
      <c r="C4">
        <v>847</v>
      </c>
      <c r="D4">
        <v>84.7</v>
      </c>
      <c r="E4">
        <v>3200</v>
      </c>
      <c r="F4">
        <v>10</v>
      </c>
      <c r="G4">
        <v>166.3</v>
      </c>
      <c r="H4">
        <v>71.099999999999994</v>
      </c>
      <c r="I4">
        <v>13.6</v>
      </c>
      <c r="J4">
        <v>24.9</v>
      </c>
      <c r="K4">
        <v>56.7</v>
      </c>
      <c r="L4">
        <v>15700</v>
      </c>
      <c r="M4">
        <v>3</v>
      </c>
    </row>
    <row r="5" spans="1:13" x14ac:dyDescent="0.2">
      <c r="A5">
        <v>4</v>
      </c>
      <c r="B5" t="s">
        <v>56</v>
      </c>
      <c r="C5">
        <v>850</v>
      </c>
      <c r="D5">
        <v>85</v>
      </c>
      <c r="E5">
        <v>4000</v>
      </c>
      <c r="F5">
        <v>10</v>
      </c>
      <c r="G5">
        <v>154.5</v>
      </c>
      <c r="H5">
        <v>73.900000000000006</v>
      </c>
      <c r="I5">
        <v>39.6</v>
      </c>
      <c r="J5">
        <v>23.5</v>
      </c>
      <c r="K5">
        <v>17.5</v>
      </c>
      <c r="L5">
        <v>32870</v>
      </c>
      <c r="M5">
        <v>9</v>
      </c>
    </row>
    <row r="6" spans="1:13" x14ac:dyDescent="0.2">
      <c r="A6">
        <v>5</v>
      </c>
      <c r="B6" t="s">
        <v>57</v>
      </c>
      <c r="C6">
        <v>450</v>
      </c>
      <c r="D6">
        <v>45</v>
      </c>
      <c r="E6">
        <v>0</v>
      </c>
      <c r="F6">
        <v>10</v>
      </c>
      <c r="G6">
        <v>153.80000000000001</v>
      </c>
      <c r="H6">
        <v>47.3</v>
      </c>
      <c r="I6">
        <v>76.8</v>
      </c>
      <c r="J6">
        <v>9.4</v>
      </c>
      <c r="K6">
        <v>21.3</v>
      </c>
      <c r="L6">
        <v>5542</v>
      </c>
      <c r="M6">
        <v>3</v>
      </c>
    </row>
    <row r="7" spans="1:13" x14ac:dyDescent="0.2">
      <c r="A7">
        <v>6</v>
      </c>
      <c r="B7" t="s">
        <v>58</v>
      </c>
      <c r="C7">
        <v>890</v>
      </c>
      <c r="D7">
        <v>89</v>
      </c>
      <c r="E7">
        <v>1850</v>
      </c>
      <c r="F7">
        <v>10</v>
      </c>
      <c r="G7">
        <v>153.80000000000001</v>
      </c>
      <c r="H7">
        <v>92.3</v>
      </c>
      <c r="I7">
        <v>28.5</v>
      </c>
      <c r="J7">
        <v>13.6</v>
      </c>
      <c r="K7">
        <v>19.399999999999999</v>
      </c>
      <c r="L7">
        <v>1203000</v>
      </c>
      <c r="M7">
        <v>4</v>
      </c>
    </row>
    <row r="8" spans="1:13" x14ac:dyDescent="0.2">
      <c r="A8">
        <v>7</v>
      </c>
      <c r="B8" t="s">
        <v>59</v>
      </c>
      <c r="C8">
        <v>1800</v>
      </c>
      <c r="D8">
        <v>180</v>
      </c>
      <c r="E8">
        <v>3500</v>
      </c>
      <c r="F8">
        <v>10</v>
      </c>
      <c r="G8">
        <v>126.9</v>
      </c>
      <c r="H8">
        <v>56.6</v>
      </c>
      <c r="I8">
        <v>13.2</v>
      </c>
      <c r="J8">
        <v>9.9</v>
      </c>
      <c r="K8">
        <v>48.5</v>
      </c>
      <c r="L8">
        <v>10.9</v>
      </c>
      <c r="M8">
        <v>1</v>
      </c>
    </row>
    <row r="9" spans="1:13" x14ac:dyDescent="0.2">
      <c r="A9">
        <v>8</v>
      </c>
      <c r="B9" t="s">
        <v>60</v>
      </c>
      <c r="C9">
        <v>890</v>
      </c>
      <c r="D9">
        <v>89</v>
      </c>
      <c r="E9">
        <v>3200</v>
      </c>
      <c r="F9">
        <v>10</v>
      </c>
      <c r="G9">
        <v>124.8</v>
      </c>
      <c r="H9">
        <v>23.6</v>
      </c>
      <c r="I9">
        <v>72.7</v>
      </c>
      <c r="J9">
        <v>13.6</v>
      </c>
      <c r="K9">
        <v>14.9</v>
      </c>
      <c r="L9">
        <v>3208</v>
      </c>
      <c r="M9">
        <v>4</v>
      </c>
    </row>
    <row r="10" spans="1:13" x14ac:dyDescent="0.2">
      <c r="A10">
        <v>9</v>
      </c>
      <c r="B10" t="s">
        <v>61</v>
      </c>
      <c r="C10">
        <v>2800</v>
      </c>
      <c r="D10">
        <v>280</v>
      </c>
      <c r="E10">
        <v>6200</v>
      </c>
      <c r="F10">
        <v>10</v>
      </c>
      <c r="G10">
        <v>118.7</v>
      </c>
      <c r="H10">
        <v>56.8</v>
      </c>
      <c r="I10">
        <v>28.1</v>
      </c>
      <c r="J10">
        <v>10.4</v>
      </c>
      <c r="K10">
        <v>23.4</v>
      </c>
      <c r="L10">
        <v>227400</v>
      </c>
      <c r="M10">
        <v>0</v>
      </c>
    </row>
    <row r="11" spans="1:13" x14ac:dyDescent="0.2">
      <c r="A11">
        <v>10</v>
      </c>
      <c r="B11" t="s">
        <v>62</v>
      </c>
      <c r="C11">
        <v>2800</v>
      </c>
      <c r="D11">
        <v>280</v>
      </c>
      <c r="E11">
        <v>6200</v>
      </c>
      <c r="F11">
        <v>10</v>
      </c>
      <c r="G11">
        <v>116.8</v>
      </c>
      <c r="H11">
        <v>69.3</v>
      </c>
      <c r="I11">
        <v>30.7</v>
      </c>
      <c r="J11">
        <v>5.5</v>
      </c>
      <c r="K11">
        <v>11.3</v>
      </c>
      <c r="L11">
        <v>4441</v>
      </c>
      <c r="M11">
        <v>1</v>
      </c>
    </row>
    <row r="12" spans="1:13" x14ac:dyDescent="0.2">
      <c r="A12">
        <v>11</v>
      </c>
      <c r="B12" t="s">
        <v>63</v>
      </c>
      <c r="C12">
        <v>180</v>
      </c>
      <c r="D12">
        <v>18</v>
      </c>
      <c r="E12">
        <v>850</v>
      </c>
      <c r="F12">
        <v>10</v>
      </c>
      <c r="G12">
        <v>115.2</v>
      </c>
      <c r="H12">
        <v>45.1</v>
      </c>
      <c r="I12">
        <v>51.4</v>
      </c>
      <c r="J12">
        <v>6.8</v>
      </c>
      <c r="K12">
        <v>11.9</v>
      </c>
      <c r="L12">
        <v>6867</v>
      </c>
      <c r="M12">
        <v>4</v>
      </c>
    </row>
    <row r="13" spans="1:13" x14ac:dyDescent="0.2">
      <c r="A13">
        <v>12</v>
      </c>
      <c r="B13" t="s">
        <v>64</v>
      </c>
      <c r="C13">
        <v>0</v>
      </c>
      <c r="D13">
        <v>0</v>
      </c>
      <c r="E13">
        <v>0</v>
      </c>
      <c r="F13">
        <v>10</v>
      </c>
      <c r="G13">
        <v>114.9</v>
      </c>
      <c r="H13">
        <v>59.2</v>
      </c>
      <c r="I13">
        <v>27.9</v>
      </c>
      <c r="J13">
        <v>11.3</v>
      </c>
      <c r="K13">
        <v>16.5</v>
      </c>
      <c r="L13">
        <v>24691</v>
      </c>
      <c r="M13">
        <v>1</v>
      </c>
    </row>
    <row r="14" spans="1:13" x14ac:dyDescent="0.2">
      <c r="A14">
        <v>13</v>
      </c>
      <c r="B14" t="s">
        <v>65</v>
      </c>
      <c r="C14">
        <v>1800</v>
      </c>
      <c r="D14">
        <v>180</v>
      </c>
      <c r="E14">
        <v>3200</v>
      </c>
      <c r="F14">
        <v>10</v>
      </c>
      <c r="G14">
        <v>107.8</v>
      </c>
      <c r="H14">
        <v>68.099999999999994</v>
      </c>
      <c r="I14">
        <v>20</v>
      </c>
      <c r="J14">
        <v>10.8</v>
      </c>
      <c r="K14">
        <v>8.9</v>
      </c>
      <c r="L14">
        <v>467918</v>
      </c>
      <c r="M14">
        <v>0</v>
      </c>
    </row>
    <row r="15" spans="1:13" x14ac:dyDescent="0.2">
      <c r="A15">
        <v>14</v>
      </c>
      <c r="B15" t="s">
        <v>66</v>
      </c>
      <c r="C15">
        <v>1800</v>
      </c>
      <c r="D15">
        <v>180</v>
      </c>
      <c r="E15">
        <v>2100</v>
      </c>
      <c r="F15">
        <v>10</v>
      </c>
      <c r="G15">
        <v>106.9</v>
      </c>
      <c r="H15">
        <v>41.3</v>
      </c>
      <c r="I15">
        <v>28</v>
      </c>
      <c r="J15">
        <v>22.3</v>
      </c>
      <c r="K15">
        <v>15.3</v>
      </c>
      <c r="L15">
        <v>11400</v>
      </c>
      <c r="M15">
        <v>0</v>
      </c>
    </row>
    <row r="16" spans="1:13" x14ac:dyDescent="0.2">
      <c r="A16">
        <v>15</v>
      </c>
      <c r="B16" t="s">
        <v>67</v>
      </c>
      <c r="C16">
        <v>950</v>
      </c>
      <c r="D16">
        <v>95</v>
      </c>
      <c r="E16">
        <v>850</v>
      </c>
      <c r="F16">
        <v>10</v>
      </c>
      <c r="G16">
        <v>106.7</v>
      </c>
      <c r="H16">
        <v>29.3</v>
      </c>
      <c r="I16">
        <v>68.099999999999994</v>
      </c>
      <c r="J16">
        <v>8.3000000000000007</v>
      </c>
      <c r="K16">
        <v>1.1000000000000001</v>
      </c>
      <c r="L16">
        <v>16710</v>
      </c>
      <c r="M16">
        <v>0</v>
      </c>
    </row>
    <row r="17" spans="1:13" x14ac:dyDescent="0.2">
      <c r="A17">
        <v>16</v>
      </c>
      <c r="B17" t="s">
        <v>68</v>
      </c>
      <c r="C17">
        <v>890</v>
      </c>
      <c r="D17">
        <v>89</v>
      </c>
      <c r="E17">
        <v>3200</v>
      </c>
      <c r="F17">
        <v>10</v>
      </c>
      <c r="G17">
        <v>95.5</v>
      </c>
      <c r="H17">
        <v>34.6</v>
      </c>
      <c r="I17">
        <v>30.6</v>
      </c>
      <c r="J17">
        <v>15.9</v>
      </c>
      <c r="K17">
        <v>14.5</v>
      </c>
      <c r="L17">
        <v>143800</v>
      </c>
      <c r="M17">
        <v>5</v>
      </c>
    </row>
    <row r="18" spans="1:13" x14ac:dyDescent="0.2">
      <c r="A18">
        <v>17</v>
      </c>
      <c r="B18" t="s">
        <v>69</v>
      </c>
      <c r="C18">
        <v>275</v>
      </c>
      <c r="D18">
        <v>27.5</v>
      </c>
      <c r="E18">
        <v>0</v>
      </c>
      <c r="F18">
        <v>10</v>
      </c>
      <c r="G18">
        <v>91.3</v>
      </c>
      <c r="H18">
        <v>15.6</v>
      </c>
      <c r="I18">
        <v>22.2</v>
      </c>
      <c r="J18">
        <v>6.9</v>
      </c>
      <c r="K18">
        <v>7.4</v>
      </c>
      <c r="L18">
        <v>19400</v>
      </c>
      <c r="M18">
        <v>3</v>
      </c>
    </row>
    <row r="19" spans="1:13" x14ac:dyDescent="0.2">
      <c r="A19">
        <v>18</v>
      </c>
      <c r="B19" t="s">
        <v>26</v>
      </c>
      <c r="C19">
        <v>420</v>
      </c>
      <c r="D19">
        <v>42</v>
      </c>
      <c r="E19">
        <v>0</v>
      </c>
      <c r="F19">
        <v>10</v>
      </c>
      <c r="G19">
        <v>90.6</v>
      </c>
      <c r="H19">
        <v>17.399999999999999</v>
      </c>
      <c r="I19">
        <v>40.299999999999997</v>
      </c>
      <c r="J19">
        <v>10.7</v>
      </c>
      <c r="K19">
        <v>22.2</v>
      </c>
      <c r="L19">
        <v>7000</v>
      </c>
      <c r="M19">
        <v>0</v>
      </c>
    </row>
    <row r="20" spans="1:13" x14ac:dyDescent="0.2">
      <c r="A20">
        <v>19</v>
      </c>
      <c r="B20" t="s">
        <v>70</v>
      </c>
      <c r="C20">
        <v>180</v>
      </c>
      <c r="D20">
        <v>18</v>
      </c>
      <c r="E20">
        <v>420</v>
      </c>
      <c r="F20">
        <v>10</v>
      </c>
      <c r="G20">
        <v>89.7</v>
      </c>
      <c r="H20">
        <v>13.7</v>
      </c>
      <c r="I20">
        <v>39.200000000000003</v>
      </c>
      <c r="J20">
        <v>27.6</v>
      </c>
      <c r="K20">
        <v>9.1999999999999993</v>
      </c>
      <c r="L20">
        <v>6880</v>
      </c>
      <c r="M20">
        <v>2</v>
      </c>
    </row>
    <row r="21" spans="1:13" x14ac:dyDescent="0.2">
      <c r="A21">
        <v>20</v>
      </c>
      <c r="B21" t="s">
        <v>29</v>
      </c>
      <c r="C21">
        <v>180</v>
      </c>
      <c r="D21">
        <v>18</v>
      </c>
      <c r="E21">
        <v>285</v>
      </c>
      <c r="F21">
        <v>10</v>
      </c>
      <c r="G21">
        <v>81.400000000000006</v>
      </c>
      <c r="H21">
        <v>55.3</v>
      </c>
      <c r="I21">
        <v>15.6</v>
      </c>
      <c r="J21">
        <v>8.6</v>
      </c>
      <c r="K21">
        <v>2.1</v>
      </c>
      <c r="L21">
        <v>69400</v>
      </c>
      <c r="M21">
        <v>2</v>
      </c>
    </row>
    <row r="22" spans="1:13" x14ac:dyDescent="0.2">
      <c r="A22">
        <v>21</v>
      </c>
      <c r="B22" t="s">
        <v>71</v>
      </c>
      <c r="C22">
        <v>1400</v>
      </c>
      <c r="D22">
        <v>140</v>
      </c>
      <c r="E22">
        <v>2100</v>
      </c>
      <c r="F22">
        <v>10</v>
      </c>
      <c r="G22">
        <v>77.3</v>
      </c>
      <c r="H22">
        <v>28</v>
      </c>
      <c r="I22">
        <v>35.799999999999997</v>
      </c>
      <c r="J22">
        <v>1.6</v>
      </c>
      <c r="K22">
        <v>12.1</v>
      </c>
      <c r="L22">
        <v>32800</v>
      </c>
      <c r="M22">
        <v>4</v>
      </c>
    </row>
    <row r="23" spans="1:13" x14ac:dyDescent="0.2">
      <c r="A23">
        <v>22</v>
      </c>
      <c r="B23" t="s">
        <v>72</v>
      </c>
      <c r="C23">
        <v>180</v>
      </c>
      <c r="D23">
        <v>18</v>
      </c>
      <c r="E23">
        <v>850</v>
      </c>
      <c r="F23">
        <v>10</v>
      </c>
      <c r="G23">
        <v>75.8</v>
      </c>
      <c r="H23">
        <v>35.4</v>
      </c>
      <c r="I23">
        <v>24.1</v>
      </c>
      <c r="J23">
        <v>7.9</v>
      </c>
      <c r="K23">
        <v>8.4</v>
      </c>
      <c r="L23">
        <v>10986</v>
      </c>
      <c r="M23">
        <v>3</v>
      </c>
    </row>
    <row r="24" spans="1:13" x14ac:dyDescent="0.2">
      <c r="A24">
        <v>23</v>
      </c>
      <c r="B24" t="s">
        <v>73</v>
      </c>
      <c r="C24">
        <v>847</v>
      </c>
      <c r="D24">
        <v>84.7</v>
      </c>
      <c r="E24">
        <v>3200</v>
      </c>
      <c r="F24">
        <v>10</v>
      </c>
      <c r="G24">
        <v>72.7</v>
      </c>
      <c r="H24">
        <v>30.2</v>
      </c>
      <c r="I24">
        <v>24.4</v>
      </c>
      <c r="J24">
        <v>10.9</v>
      </c>
      <c r="K24">
        <v>8.1</v>
      </c>
      <c r="L24">
        <v>56100</v>
      </c>
      <c r="M24">
        <v>2</v>
      </c>
    </row>
    <row r="25" spans="1:13" x14ac:dyDescent="0.2">
      <c r="A25">
        <v>24</v>
      </c>
      <c r="B25" t="s">
        <v>22</v>
      </c>
      <c r="C25">
        <v>847000</v>
      </c>
      <c r="D25">
        <v>84700</v>
      </c>
      <c r="E25">
        <v>2100</v>
      </c>
      <c r="F25">
        <v>10</v>
      </c>
      <c r="G25">
        <v>69.900000000000006</v>
      </c>
      <c r="H25">
        <v>14.3</v>
      </c>
      <c r="I25">
        <v>29</v>
      </c>
      <c r="J25">
        <v>21.7</v>
      </c>
      <c r="K25">
        <v>4.9000000000000004</v>
      </c>
      <c r="L25">
        <v>247916</v>
      </c>
      <c r="M25">
        <v>4</v>
      </c>
    </row>
    <row r="26" spans="1:13" x14ac:dyDescent="0.2">
      <c r="A26">
        <v>25</v>
      </c>
      <c r="B26" t="s">
        <v>74</v>
      </c>
      <c r="C26">
        <v>180</v>
      </c>
      <c r="D26">
        <v>18</v>
      </c>
      <c r="E26">
        <v>0</v>
      </c>
      <c r="F26">
        <v>10</v>
      </c>
      <c r="G26">
        <v>68.5</v>
      </c>
      <c r="H26">
        <v>10.8</v>
      </c>
      <c r="I26">
        <v>50.4</v>
      </c>
      <c r="J26">
        <v>2.1</v>
      </c>
      <c r="K26">
        <v>3.8</v>
      </c>
      <c r="L26">
        <v>149600</v>
      </c>
      <c r="M26">
        <v>1</v>
      </c>
    </row>
    <row r="27" spans="1:13" x14ac:dyDescent="0.2">
      <c r="A27">
        <v>26</v>
      </c>
      <c r="B27" t="s">
        <v>75</v>
      </c>
      <c r="C27">
        <v>847</v>
      </c>
      <c r="D27">
        <v>84.7</v>
      </c>
      <c r="E27">
        <v>2100</v>
      </c>
      <c r="F27">
        <v>10</v>
      </c>
      <c r="G27">
        <v>67.7</v>
      </c>
      <c r="H27">
        <v>46.5</v>
      </c>
      <c r="I27">
        <v>11.3</v>
      </c>
      <c r="J27">
        <v>4.9000000000000004</v>
      </c>
      <c r="K27">
        <v>5.4</v>
      </c>
      <c r="L27">
        <v>32750</v>
      </c>
      <c r="M27">
        <v>3</v>
      </c>
    </row>
    <row r="28" spans="1:13" x14ac:dyDescent="0.2">
      <c r="A28">
        <v>27</v>
      </c>
      <c r="B28" t="s">
        <v>76</v>
      </c>
      <c r="C28">
        <v>847</v>
      </c>
      <c r="D28">
        <v>84.7</v>
      </c>
      <c r="E28">
        <v>2100</v>
      </c>
      <c r="F28">
        <v>10</v>
      </c>
      <c r="G28">
        <v>65.599999999999994</v>
      </c>
      <c r="H28">
        <v>25.7</v>
      </c>
      <c r="I28">
        <v>23.2</v>
      </c>
      <c r="J28">
        <v>1.5</v>
      </c>
      <c r="K28">
        <v>15.2</v>
      </c>
      <c r="L28">
        <v>14623</v>
      </c>
      <c r="M28">
        <v>1</v>
      </c>
    </row>
    <row r="29" spans="1:13" x14ac:dyDescent="0.2">
      <c r="A29">
        <v>28</v>
      </c>
      <c r="B29" t="s">
        <v>77</v>
      </c>
      <c r="C29">
        <v>180</v>
      </c>
      <c r="D29">
        <v>18</v>
      </c>
      <c r="E29">
        <v>850</v>
      </c>
      <c r="F29">
        <v>10</v>
      </c>
      <c r="G29">
        <v>63.4</v>
      </c>
      <c r="H29">
        <v>21.7</v>
      </c>
      <c r="I29">
        <v>21.7</v>
      </c>
      <c r="J29">
        <v>13.4</v>
      </c>
      <c r="K29">
        <v>6.6</v>
      </c>
      <c r="L29">
        <v>175438</v>
      </c>
      <c r="M29">
        <v>2</v>
      </c>
    </row>
    <row r="30" spans="1:13" x14ac:dyDescent="0.2">
      <c r="A30">
        <v>29</v>
      </c>
      <c r="B30" t="s">
        <v>78</v>
      </c>
      <c r="C30">
        <v>150</v>
      </c>
      <c r="D30">
        <v>15</v>
      </c>
      <c r="E30">
        <v>450</v>
      </c>
      <c r="F30">
        <v>10</v>
      </c>
      <c r="G30">
        <v>62.1</v>
      </c>
      <c r="H30">
        <v>15.4</v>
      </c>
      <c r="I30">
        <v>27.1</v>
      </c>
      <c r="J30">
        <v>3.2</v>
      </c>
      <c r="K30">
        <v>5.4</v>
      </c>
      <c r="L30">
        <v>28840</v>
      </c>
      <c r="M30">
        <v>4</v>
      </c>
    </row>
    <row r="31" spans="1:13" x14ac:dyDescent="0.2">
      <c r="A31">
        <v>30</v>
      </c>
      <c r="B31" t="s">
        <v>79</v>
      </c>
      <c r="C31">
        <v>320</v>
      </c>
      <c r="D31">
        <v>32</v>
      </c>
      <c r="E31">
        <v>0</v>
      </c>
      <c r="F31">
        <v>10</v>
      </c>
      <c r="G31">
        <v>60.9</v>
      </c>
      <c r="H31">
        <v>26.9</v>
      </c>
      <c r="I31">
        <v>26.3</v>
      </c>
      <c r="J31">
        <v>2.7</v>
      </c>
      <c r="K31">
        <v>5</v>
      </c>
      <c r="L31">
        <v>137</v>
      </c>
      <c r="M31">
        <v>5</v>
      </c>
    </row>
    <row r="32" spans="1:13" x14ac:dyDescent="0.2">
      <c r="A32">
        <v>31</v>
      </c>
      <c r="B32" t="s">
        <v>80</v>
      </c>
      <c r="C32">
        <v>180</v>
      </c>
      <c r="D32">
        <v>18</v>
      </c>
      <c r="E32">
        <v>850</v>
      </c>
      <c r="F32">
        <v>10</v>
      </c>
      <c r="G32">
        <v>60.7</v>
      </c>
      <c r="H32">
        <v>24.4</v>
      </c>
      <c r="I32">
        <v>31.4</v>
      </c>
      <c r="J32">
        <v>11.4</v>
      </c>
      <c r="K32">
        <v>6.8</v>
      </c>
      <c r="L32">
        <v>89714</v>
      </c>
      <c r="M32">
        <v>0</v>
      </c>
    </row>
    <row r="33" spans="1:13" x14ac:dyDescent="0.2">
      <c r="A33">
        <v>32</v>
      </c>
      <c r="B33" t="s">
        <v>81</v>
      </c>
      <c r="C33">
        <v>2800</v>
      </c>
      <c r="D33">
        <v>8.1999999999999993</v>
      </c>
      <c r="E33">
        <v>12400</v>
      </c>
      <c r="F33">
        <v>10</v>
      </c>
      <c r="G33">
        <v>56.5</v>
      </c>
      <c r="H33">
        <v>29.5</v>
      </c>
      <c r="I33">
        <v>8.5</v>
      </c>
      <c r="J33">
        <v>8.8000000000000007</v>
      </c>
      <c r="K33">
        <v>9.6999999999999993</v>
      </c>
      <c r="L33">
        <v>30600</v>
      </c>
      <c r="M33">
        <v>1</v>
      </c>
    </row>
    <row r="34" spans="1:13" x14ac:dyDescent="0.2">
      <c r="A34">
        <v>33</v>
      </c>
      <c r="B34" t="s">
        <v>82</v>
      </c>
      <c r="C34">
        <v>45000</v>
      </c>
      <c r="D34">
        <v>4500</v>
      </c>
      <c r="E34">
        <v>285</v>
      </c>
      <c r="F34">
        <v>10</v>
      </c>
      <c r="G34">
        <v>55.5</v>
      </c>
      <c r="H34">
        <v>25.3</v>
      </c>
      <c r="I34">
        <v>27.7</v>
      </c>
      <c r="J34">
        <v>2.5</v>
      </c>
      <c r="K34">
        <v>0</v>
      </c>
      <c r="L34">
        <v>21230</v>
      </c>
      <c r="M34">
        <v>3</v>
      </c>
    </row>
    <row r="35" spans="1:13" x14ac:dyDescent="0.2">
      <c r="A35">
        <v>34</v>
      </c>
      <c r="B35" t="s">
        <v>83</v>
      </c>
      <c r="C35">
        <v>180</v>
      </c>
      <c r="D35">
        <v>18</v>
      </c>
      <c r="E35">
        <v>850</v>
      </c>
      <c r="F35">
        <v>10</v>
      </c>
      <c r="G35">
        <v>49.8</v>
      </c>
      <c r="H35">
        <v>16.600000000000001</v>
      </c>
      <c r="I35">
        <v>15.3</v>
      </c>
      <c r="J35">
        <v>15.2</v>
      </c>
      <c r="K35">
        <v>2.7</v>
      </c>
      <c r="L35">
        <v>54400</v>
      </c>
      <c r="M35">
        <v>2</v>
      </c>
    </row>
    <row r="36" spans="1:13" x14ac:dyDescent="0.2">
      <c r="A36">
        <v>35</v>
      </c>
      <c r="B36" t="s">
        <v>84</v>
      </c>
      <c r="C36" t="s">
        <v>85</v>
      </c>
      <c r="D36" t="s">
        <v>85</v>
      </c>
      <c r="E36">
        <v>450</v>
      </c>
      <c r="F36">
        <v>10</v>
      </c>
      <c r="G36">
        <v>47.5</v>
      </c>
      <c r="H36">
        <v>21.1</v>
      </c>
      <c r="I36">
        <v>14.4</v>
      </c>
      <c r="J36">
        <v>2.2999999999999998</v>
      </c>
      <c r="K36">
        <v>7.5</v>
      </c>
      <c r="L36">
        <v>3045</v>
      </c>
      <c r="M36">
        <v>0</v>
      </c>
    </row>
    <row r="37" spans="1:13" x14ac:dyDescent="0.2">
      <c r="A37">
        <v>36</v>
      </c>
      <c r="B37" t="s">
        <v>34</v>
      </c>
      <c r="C37">
        <v>600</v>
      </c>
      <c r="D37">
        <v>60</v>
      </c>
      <c r="E37">
        <v>800</v>
      </c>
      <c r="F37">
        <v>10</v>
      </c>
      <c r="G37">
        <v>46.53</v>
      </c>
      <c r="H37">
        <v>13.5</v>
      </c>
      <c r="I37">
        <v>19.899999999999999</v>
      </c>
      <c r="J37">
        <v>1.58</v>
      </c>
      <c r="K37">
        <v>11.55</v>
      </c>
      <c r="L37">
        <v>111</v>
      </c>
      <c r="M37">
        <v>3</v>
      </c>
    </row>
    <row r="38" spans="1:13" x14ac:dyDescent="0.2">
      <c r="A38">
        <v>37</v>
      </c>
      <c r="B38" t="s">
        <v>86</v>
      </c>
      <c r="C38">
        <v>800</v>
      </c>
      <c r="D38">
        <v>80</v>
      </c>
      <c r="E38">
        <v>2000</v>
      </c>
      <c r="F38">
        <v>10</v>
      </c>
      <c r="G38">
        <v>45.3</v>
      </c>
      <c r="H38">
        <v>17.3</v>
      </c>
      <c r="I38">
        <v>6.8</v>
      </c>
      <c r="J38">
        <v>2.2000000000000002</v>
      </c>
      <c r="K38">
        <v>18.3</v>
      </c>
      <c r="L38">
        <v>11830</v>
      </c>
      <c r="M38">
        <v>0</v>
      </c>
    </row>
    <row r="39" spans="1:13" x14ac:dyDescent="0.2">
      <c r="A39">
        <v>38</v>
      </c>
      <c r="B39" t="s">
        <v>87</v>
      </c>
      <c r="C39">
        <v>847</v>
      </c>
      <c r="D39">
        <v>84.7</v>
      </c>
      <c r="E39">
        <v>0</v>
      </c>
      <c r="F39">
        <v>10</v>
      </c>
      <c r="G39">
        <v>42.7</v>
      </c>
      <c r="H39">
        <v>16.5</v>
      </c>
      <c r="I39">
        <v>13.4</v>
      </c>
      <c r="J39">
        <v>3.8</v>
      </c>
      <c r="K39">
        <v>9</v>
      </c>
      <c r="L39">
        <v>3405</v>
      </c>
      <c r="M39">
        <v>2</v>
      </c>
    </row>
    <row r="40" spans="1:13" x14ac:dyDescent="0.2">
      <c r="A40">
        <v>39</v>
      </c>
      <c r="B40" t="s">
        <v>88</v>
      </c>
      <c r="C40">
        <v>900</v>
      </c>
      <c r="D40">
        <v>90</v>
      </c>
      <c r="E40">
        <v>6500</v>
      </c>
      <c r="F40">
        <v>10</v>
      </c>
      <c r="G40">
        <v>40.4</v>
      </c>
      <c r="H40">
        <v>15.2</v>
      </c>
      <c r="I40">
        <v>10</v>
      </c>
      <c r="J40">
        <v>10.5</v>
      </c>
      <c r="K40">
        <v>4.7</v>
      </c>
      <c r="L40">
        <v>8624</v>
      </c>
      <c r="M40">
        <v>5</v>
      </c>
    </row>
    <row r="41" spans="1:13" x14ac:dyDescent="0.2">
      <c r="A41">
        <v>40</v>
      </c>
      <c r="B41" t="s">
        <v>89</v>
      </c>
      <c r="C41">
        <v>300</v>
      </c>
      <c r="D41">
        <v>30</v>
      </c>
      <c r="E41">
        <v>0</v>
      </c>
      <c r="F41">
        <v>10</v>
      </c>
      <c r="G41">
        <v>39.200000000000003</v>
      </c>
      <c r="H41">
        <v>26.2</v>
      </c>
      <c r="I41">
        <v>3.8</v>
      </c>
      <c r="J41">
        <v>5.0999999999999996</v>
      </c>
      <c r="K41">
        <v>4.0999999999999996</v>
      </c>
      <c r="L41">
        <v>26308</v>
      </c>
      <c r="M41">
        <v>0</v>
      </c>
    </row>
    <row r="42" spans="1:13" x14ac:dyDescent="0.2">
      <c r="A42">
        <v>41</v>
      </c>
      <c r="B42" t="s">
        <v>90</v>
      </c>
      <c r="C42">
        <v>450</v>
      </c>
      <c r="D42">
        <v>45</v>
      </c>
      <c r="E42">
        <v>850</v>
      </c>
      <c r="F42">
        <v>10</v>
      </c>
      <c r="G42">
        <v>39.1</v>
      </c>
      <c r="H42">
        <v>16.100000000000001</v>
      </c>
      <c r="I42">
        <v>8.9</v>
      </c>
      <c r="J42">
        <v>5.8</v>
      </c>
      <c r="K42">
        <v>8.1999999999999993</v>
      </c>
      <c r="L42">
        <v>42117</v>
      </c>
      <c r="M42">
        <v>3</v>
      </c>
    </row>
    <row r="43" spans="1:13" x14ac:dyDescent="0.2">
      <c r="A43">
        <v>42</v>
      </c>
      <c r="B43" t="s">
        <v>91</v>
      </c>
      <c r="C43">
        <v>380</v>
      </c>
      <c r="D43">
        <v>38</v>
      </c>
      <c r="E43">
        <v>850</v>
      </c>
      <c r="F43">
        <v>10</v>
      </c>
      <c r="G43">
        <v>37</v>
      </c>
      <c r="H43">
        <v>11.9</v>
      </c>
      <c r="I43">
        <v>19.2</v>
      </c>
      <c r="J43">
        <v>0.2</v>
      </c>
      <c r="K43">
        <v>5.6</v>
      </c>
      <c r="L43">
        <v>7120</v>
      </c>
      <c r="M43">
        <v>2</v>
      </c>
    </row>
    <row r="44" spans="1:13" x14ac:dyDescent="0.2">
      <c r="A44">
        <v>43</v>
      </c>
      <c r="B44" t="s">
        <v>92</v>
      </c>
      <c r="C44">
        <v>127</v>
      </c>
      <c r="D44">
        <v>12.700000000000001</v>
      </c>
      <c r="E44">
        <v>890</v>
      </c>
      <c r="F44">
        <v>10</v>
      </c>
      <c r="G44">
        <v>35</v>
      </c>
      <c r="H44">
        <v>12.2</v>
      </c>
      <c r="I44">
        <v>17.7</v>
      </c>
      <c r="J44">
        <v>4.7</v>
      </c>
      <c r="K44">
        <v>1.2</v>
      </c>
      <c r="L44">
        <v>11800</v>
      </c>
      <c r="M44">
        <v>4</v>
      </c>
    </row>
    <row r="45" spans="1:13" x14ac:dyDescent="0.2">
      <c r="A45">
        <v>44</v>
      </c>
      <c r="B45" t="s">
        <v>93</v>
      </c>
      <c r="C45">
        <v>180</v>
      </c>
      <c r="D45">
        <v>18</v>
      </c>
      <c r="E45">
        <v>0</v>
      </c>
      <c r="F45">
        <v>10</v>
      </c>
      <c r="G45">
        <v>34.4</v>
      </c>
      <c r="H45">
        <v>13.6</v>
      </c>
      <c r="I45">
        <v>14.2</v>
      </c>
      <c r="J45">
        <v>2.8</v>
      </c>
      <c r="K45">
        <v>3.8</v>
      </c>
      <c r="L45">
        <v>38600</v>
      </c>
      <c r="M45">
        <v>1</v>
      </c>
    </row>
    <row r="46" spans="1:13" x14ac:dyDescent="0.2">
      <c r="A46">
        <v>45</v>
      </c>
      <c r="B46" t="s">
        <v>94</v>
      </c>
      <c r="C46">
        <v>45</v>
      </c>
      <c r="D46">
        <v>4.5</v>
      </c>
      <c r="E46">
        <v>280</v>
      </c>
      <c r="F46">
        <v>10</v>
      </c>
      <c r="G46">
        <v>33.700000000000003</v>
      </c>
      <c r="H46">
        <v>19.8</v>
      </c>
      <c r="I46">
        <v>7.5</v>
      </c>
      <c r="J46">
        <v>3.8</v>
      </c>
      <c r="K46">
        <v>3.3</v>
      </c>
      <c r="L46">
        <v>2300</v>
      </c>
      <c r="M46">
        <v>0</v>
      </c>
    </row>
    <row r="47" spans="1:13" x14ac:dyDescent="0.2">
      <c r="A47">
        <v>46</v>
      </c>
      <c r="B47" t="s">
        <v>95</v>
      </c>
      <c r="C47">
        <v>47</v>
      </c>
      <c r="D47">
        <v>4.7</v>
      </c>
      <c r="E47">
        <v>285</v>
      </c>
      <c r="F47">
        <v>10</v>
      </c>
      <c r="G47">
        <v>27.3</v>
      </c>
      <c r="H47">
        <v>13.2</v>
      </c>
      <c r="I47">
        <v>10.199999999999999</v>
      </c>
      <c r="J47">
        <v>2.9</v>
      </c>
      <c r="K47">
        <v>1</v>
      </c>
      <c r="L47">
        <v>88400</v>
      </c>
      <c r="M47">
        <v>1</v>
      </c>
    </row>
    <row r="48" spans="1:13" x14ac:dyDescent="0.2">
      <c r="A48">
        <v>47</v>
      </c>
      <c r="B48" t="s">
        <v>96</v>
      </c>
      <c r="C48">
        <v>850</v>
      </c>
      <c r="D48">
        <v>85</v>
      </c>
      <c r="E48">
        <v>1400</v>
      </c>
      <c r="F48">
        <v>10</v>
      </c>
      <c r="G48">
        <v>24.7</v>
      </c>
      <c r="H48">
        <v>5.3</v>
      </c>
      <c r="I48">
        <v>10.6</v>
      </c>
      <c r="J48">
        <v>3.1</v>
      </c>
      <c r="K48">
        <v>5.6</v>
      </c>
      <c r="L48">
        <v>28073</v>
      </c>
      <c r="M48">
        <v>0</v>
      </c>
    </row>
    <row r="49" spans="1:13" x14ac:dyDescent="0.2">
      <c r="A49">
        <v>48</v>
      </c>
      <c r="B49" t="s">
        <v>97</v>
      </c>
      <c r="C49">
        <v>45</v>
      </c>
      <c r="D49">
        <v>4.5</v>
      </c>
      <c r="E49">
        <v>180</v>
      </c>
      <c r="F49">
        <v>10</v>
      </c>
      <c r="G49">
        <v>24.1</v>
      </c>
      <c r="H49">
        <v>5.6</v>
      </c>
      <c r="I49">
        <v>13.6</v>
      </c>
      <c r="J49">
        <v>1.8</v>
      </c>
      <c r="K49">
        <v>1.2</v>
      </c>
      <c r="L49">
        <v>3442</v>
      </c>
      <c r="M49">
        <v>0</v>
      </c>
    </row>
    <row r="50" spans="1:13" x14ac:dyDescent="0.2">
      <c r="A50">
        <v>49</v>
      </c>
      <c r="B50" t="s">
        <v>98</v>
      </c>
      <c r="C50">
        <v>180</v>
      </c>
      <c r="D50">
        <v>18</v>
      </c>
      <c r="E50">
        <v>0</v>
      </c>
      <c r="F50">
        <v>10</v>
      </c>
      <c r="G50">
        <v>21.2</v>
      </c>
      <c r="H50">
        <v>9.6999999999999993</v>
      </c>
      <c r="I50">
        <v>6.1</v>
      </c>
      <c r="J50">
        <v>3.2</v>
      </c>
      <c r="K50">
        <v>2.2000000000000002</v>
      </c>
      <c r="L50">
        <v>62300</v>
      </c>
      <c r="M50">
        <v>1</v>
      </c>
    </row>
    <row r="51" spans="1:13" x14ac:dyDescent="0.2">
      <c r="A51">
        <v>50</v>
      </c>
      <c r="B51" t="s">
        <v>99</v>
      </c>
      <c r="C51">
        <v>85</v>
      </c>
      <c r="D51">
        <v>8.5</v>
      </c>
      <c r="E51">
        <v>0</v>
      </c>
      <c r="F51">
        <v>10</v>
      </c>
      <c r="G51">
        <v>20.399999999999999</v>
      </c>
      <c r="H51">
        <v>7.6</v>
      </c>
      <c r="I51">
        <v>9.4</v>
      </c>
      <c r="J51">
        <v>1.1000000000000001</v>
      </c>
      <c r="K51">
        <v>2.2999999999999998</v>
      </c>
      <c r="L51">
        <v>13300</v>
      </c>
      <c r="M51">
        <v>1</v>
      </c>
    </row>
    <row r="52" spans="1:13" x14ac:dyDescent="0.2">
      <c r="A52">
        <v>51</v>
      </c>
      <c r="B52" t="s">
        <v>100</v>
      </c>
      <c r="C52" t="s">
        <v>85</v>
      </c>
      <c r="D52" t="s">
        <v>85</v>
      </c>
      <c r="E52">
        <v>0</v>
      </c>
      <c r="F52">
        <v>10</v>
      </c>
      <c r="G52">
        <v>14.7</v>
      </c>
      <c r="H52">
        <v>5.9</v>
      </c>
      <c r="I52">
        <v>4.0999999999999996</v>
      </c>
      <c r="J52">
        <v>1.3</v>
      </c>
      <c r="K52">
        <v>3.4</v>
      </c>
      <c r="L52">
        <v>3519</v>
      </c>
      <c r="M52">
        <v>2</v>
      </c>
    </row>
    <row r="53" spans="1:13" x14ac:dyDescent="0.2">
      <c r="A53">
        <v>52</v>
      </c>
      <c r="B53" t="s">
        <v>101</v>
      </c>
      <c r="C53">
        <v>340</v>
      </c>
      <c r="D53">
        <v>34</v>
      </c>
      <c r="E53">
        <v>520</v>
      </c>
      <c r="F53">
        <v>10</v>
      </c>
      <c r="G53">
        <v>13.9</v>
      </c>
      <c r="H53">
        <v>6</v>
      </c>
      <c r="I53">
        <v>0.3</v>
      </c>
      <c r="J53">
        <v>3.6</v>
      </c>
      <c r="K53">
        <v>4</v>
      </c>
      <c r="L53">
        <v>29500</v>
      </c>
      <c r="M53">
        <v>2</v>
      </c>
    </row>
    <row r="54" spans="1:13" x14ac:dyDescent="0.2">
      <c r="A54">
        <v>53</v>
      </c>
      <c r="B54" t="s">
        <v>102</v>
      </c>
      <c r="C54">
        <v>28</v>
      </c>
      <c r="D54">
        <v>2.8000000000000003</v>
      </c>
      <c r="E54">
        <v>45</v>
      </c>
      <c r="F54">
        <v>10</v>
      </c>
      <c r="G54">
        <v>4.0999999999999996</v>
      </c>
      <c r="H54">
        <v>0.6</v>
      </c>
      <c r="I54">
        <v>3.1</v>
      </c>
      <c r="J54">
        <v>0.2</v>
      </c>
      <c r="K54">
        <v>0.2</v>
      </c>
      <c r="L54">
        <v>2874</v>
      </c>
      <c r="M54">
        <v>1</v>
      </c>
    </row>
    <row r="55" spans="1:13" x14ac:dyDescent="0.2">
      <c r="A55">
        <v>54</v>
      </c>
      <c r="B55" t="s">
        <v>103</v>
      </c>
      <c r="C55" t="s">
        <v>85</v>
      </c>
      <c r="D55" t="s">
        <v>85</v>
      </c>
      <c r="E55">
        <v>0</v>
      </c>
      <c r="F55">
        <v>10</v>
      </c>
      <c r="G55">
        <v>1.1340000000000001E-4</v>
      </c>
      <c r="H55">
        <v>4.0899999999999998E-5</v>
      </c>
      <c r="I55">
        <v>3.7700000000000002E-5</v>
      </c>
      <c r="J55">
        <v>7.7000000000000008E-6</v>
      </c>
      <c r="K55">
        <v>2.7100000000000001E-5</v>
      </c>
      <c r="L55">
        <v>272</v>
      </c>
      <c r="M55">
        <v>1</v>
      </c>
    </row>
  </sheetData>
  <pageMargins left="0.7" right="0.7" top="0.75" bottom="0.75" header="0.3" footer="0.3"/>
  <ignoredErrors>
    <ignoredError sqref="A1:M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541"/>
  <sheetViews>
    <sheetView tabSelected="1" topLeftCell="P274" zoomScale="120" zoomScaleNormal="120" workbookViewId="0">
      <selection activeCell="U2" sqref="U2"/>
    </sheetView>
  </sheetViews>
  <sheetFormatPr baseColWidth="10" defaultRowHeight="16" x14ac:dyDescent="0.2"/>
  <cols>
    <col min="1" max="1" width="25" bestFit="1" customWidth="1"/>
    <col min="2" max="2" width="10.83203125" customWidth="1"/>
    <col min="3" max="3" width="54" bestFit="1" customWidth="1"/>
    <col min="4" max="4" width="28.5" bestFit="1" customWidth="1"/>
    <col min="5" max="5" width="30.1640625" bestFit="1" customWidth="1"/>
    <col min="6" max="6" width="117.83203125" bestFit="1" customWidth="1"/>
    <col min="7" max="7" width="26.5" customWidth="1"/>
    <col min="8" max="8" width="19" bestFit="1" customWidth="1"/>
    <col min="9" max="9" width="15.6640625" bestFit="1" customWidth="1"/>
    <col min="10" max="10" width="19.33203125" bestFit="1" customWidth="1"/>
    <col min="11" max="11" width="15.5" bestFit="1" customWidth="1"/>
    <col min="12" max="12" width="20.6640625" bestFit="1" customWidth="1"/>
    <col min="13" max="13" width="21.5" bestFit="1" customWidth="1"/>
    <col min="14" max="14" width="19.1640625" bestFit="1" customWidth="1"/>
    <col min="15" max="15" width="23.33203125" customWidth="1"/>
    <col min="16" max="16" width="15" customWidth="1"/>
    <col min="17" max="17" width="20" customWidth="1"/>
    <col min="18" max="18" width="20.1640625" bestFit="1" customWidth="1"/>
    <col min="19" max="19" width="21.5" customWidth="1"/>
    <col min="20" max="20" width="20.5" bestFit="1" customWidth="1"/>
    <col min="21" max="21" width="100.83203125" customWidth="1"/>
    <col min="22" max="22" width="94.1640625" bestFit="1" customWidth="1"/>
    <col min="23" max="23" width="91.5" bestFit="1" customWidth="1"/>
    <col min="24" max="24" width="91.1640625" bestFit="1" customWidth="1"/>
    <col min="25" max="25" width="93.1640625" bestFit="1" customWidth="1"/>
    <col min="26" max="26" width="17.5" bestFit="1" customWidth="1"/>
    <col min="27" max="27" width="21.1640625" bestFit="1" customWidth="1"/>
    <col min="28" max="28" width="17" bestFit="1" customWidth="1"/>
    <col min="29" max="29" width="22.1640625" bestFit="1" customWidth="1"/>
    <col min="30" max="30" width="24.33203125" bestFit="1" customWidth="1"/>
    <col min="31" max="31" width="23.33203125" bestFit="1" customWidth="1"/>
  </cols>
  <sheetData>
    <row r="1" spans="1:31" x14ac:dyDescent="0.2">
      <c r="A1" t="s">
        <v>17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47</v>
      </c>
      <c r="J1" t="s">
        <v>48</v>
      </c>
      <c r="K1" t="s">
        <v>49</v>
      </c>
      <c r="L1" t="s">
        <v>50</v>
      </c>
      <c r="M1" t="s">
        <v>46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s="91" t="s">
        <v>7310</v>
      </c>
      <c r="AA1" s="91" t="s">
        <v>7311</v>
      </c>
      <c r="AB1" s="91" t="s">
        <v>7312</v>
      </c>
      <c r="AC1" s="91" t="s">
        <v>7313</v>
      </c>
      <c r="AD1" s="91" t="s">
        <v>7314</v>
      </c>
      <c r="AE1" s="91" t="s">
        <v>7315</v>
      </c>
    </row>
    <row r="2" spans="1:31" x14ac:dyDescent="0.2">
      <c r="A2" t="s">
        <v>93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24</v>
      </c>
      <c r="H2" t="s">
        <v>25</v>
      </c>
      <c r="I2">
        <v>4.0999999999999997E-6</v>
      </c>
      <c r="J2">
        <v>0</v>
      </c>
      <c r="K2">
        <v>0</v>
      </c>
      <c r="L2">
        <v>0</v>
      </c>
      <c r="M2">
        <v>4.0999999999999997E-6</v>
      </c>
      <c r="N2">
        <v>0.85</v>
      </c>
      <c r="O2">
        <v>6</v>
      </c>
      <c r="P2">
        <v>3</v>
      </c>
      <c r="Q2">
        <v>4</v>
      </c>
      <c r="R2">
        <v>3</v>
      </c>
      <c r="S2">
        <v>23400</v>
      </c>
      <c r="T2">
        <v>351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s="70">
        <f>I2*'Dynamic Analysis Dashboard'!$B$8*'Dynamic Analysis Dashboard'!$B$9*'Dynamic Analysis Dashboard'!$B$21</f>
        <v>2.7674999999999998E-6</v>
      </c>
      <c r="AA2" s="75">
        <f>J2*'Dynamic Analysis Dashboard'!$B$8*'Dynamic Analysis Dashboard'!$B$9*'Dynamic Analysis Dashboard'!$B$21</f>
        <v>0</v>
      </c>
      <c r="AB2" s="80">
        <f>K2*'Dynamic Analysis Dashboard'!$B$10*'Dynamic Analysis Dashboard'!$B$9*'Dynamic Analysis Dashboard'!$B$21</f>
        <v>0</v>
      </c>
      <c r="AC2" s="85">
        <f>L2*'Dynamic Analysis Dashboard'!$B$11*'Dynamic Analysis Dashboard'!$B$9*'Dynamic Analysis Dashboard'!$B$21</f>
        <v>0</v>
      </c>
      <c r="AD2" s="120">
        <f>SUM(Z2:AC2)</f>
        <v>2.7674999999999998E-6</v>
      </c>
      <c r="AE2" s="121">
        <f>AD2*N2</f>
        <v>2.3523749999999996E-6</v>
      </c>
    </row>
    <row r="3" spans="1:31" x14ac:dyDescent="0.2">
      <c r="A3" t="s">
        <v>93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 t="s">
        <v>24</v>
      </c>
      <c r="H3" t="s">
        <v>28</v>
      </c>
      <c r="I3">
        <v>0.8</v>
      </c>
      <c r="J3">
        <v>8.4999999999999999E-6</v>
      </c>
      <c r="K3">
        <v>0</v>
      </c>
      <c r="L3">
        <v>0</v>
      </c>
      <c r="M3">
        <v>9.3000000000000007E-6</v>
      </c>
      <c r="N3">
        <v>0.7</v>
      </c>
      <c r="O3">
        <v>9</v>
      </c>
      <c r="P3">
        <v>4</v>
      </c>
      <c r="Q3">
        <v>3</v>
      </c>
      <c r="R3">
        <v>4</v>
      </c>
      <c r="S3">
        <v>11040</v>
      </c>
      <c r="T3">
        <v>189</v>
      </c>
      <c r="U3" t="s">
        <v>138</v>
      </c>
      <c r="V3" t="s">
        <v>139</v>
      </c>
      <c r="W3" t="s">
        <v>130</v>
      </c>
      <c r="X3" t="s">
        <v>131</v>
      </c>
      <c r="Y3" t="s">
        <v>140</v>
      </c>
      <c r="Z3" s="70">
        <f>I3*'Dynamic Analysis Dashboard'!$B$8*'Dynamic Analysis Dashboard'!$B$9*'Dynamic Analysis Dashboard'!$B$21</f>
        <v>0.54</v>
      </c>
      <c r="AA3" s="75">
        <f>J3*'Dynamic Analysis Dashboard'!$B$8*'Dynamic Analysis Dashboard'!$B$9*'Dynamic Analysis Dashboard'!$B$21</f>
        <v>5.7374999999999997E-6</v>
      </c>
      <c r="AB3" s="80">
        <f>K3*'Dynamic Analysis Dashboard'!$B$10*'Dynamic Analysis Dashboard'!$B$9*'Dynamic Analysis Dashboard'!$B$21</f>
        <v>0</v>
      </c>
      <c r="AC3" s="85">
        <f>L3*'Dynamic Analysis Dashboard'!$B$11*'Dynamic Analysis Dashboard'!$B$9*'Dynamic Analysis Dashboard'!$B$21</f>
        <v>0</v>
      </c>
      <c r="AD3" s="120">
        <f t="shared" ref="AD3:AD66" si="0">SUM(Z3:AC3)</f>
        <v>0.54000573750000003</v>
      </c>
      <c r="AE3" s="121">
        <f t="shared" ref="AE3:AE66" si="1">AD3*N3</f>
        <v>0.37800401625000002</v>
      </c>
    </row>
    <row r="4" spans="1:31" hidden="1" x14ac:dyDescent="0.2">
      <c r="A4" t="s">
        <v>93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38</v>
      </c>
      <c r="H4" t="s">
        <v>28</v>
      </c>
      <c r="I4">
        <v>5.2000000000000002E-6</v>
      </c>
      <c r="J4">
        <v>0</v>
      </c>
      <c r="K4">
        <v>0.9</v>
      </c>
      <c r="L4">
        <v>0</v>
      </c>
      <c r="M4">
        <v>6.1E-6</v>
      </c>
      <c r="N4">
        <v>0.8</v>
      </c>
      <c r="O4">
        <v>9</v>
      </c>
      <c r="P4">
        <v>4</v>
      </c>
      <c r="Q4">
        <v>3</v>
      </c>
      <c r="R4">
        <v>4</v>
      </c>
      <c r="S4">
        <v>12375</v>
      </c>
      <c r="T4">
        <v>185</v>
      </c>
      <c r="U4" t="s">
        <v>146</v>
      </c>
      <c r="V4" t="s">
        <v>129</v>
      </c>
      <c r="W4" t="s">
        <v>147</v>
      </c>
      <c r="X4" t="s">
        <v>131</v>
      </c>
      <c r="Y4" t="s">
        <v>148</v>
      </c>
      <c r="Z4" s="70">
        <f>I4*'Dynamic Analysis Dashboard'!$B$8*'Dynamic Analysis Dashboard'!$B$9*'Dynamic Analysis Dashboard'!$B$21</f>
        <v>3.5100000000000003E-6</v>
      </c>
      <c r="AA4" s="75">
        <f>J4*'Dynamic Analysis Dashboard'!$B$8*'Dynamic Analysis Dashboard'!$B$9*'Dynamic Analysis Dashboard'!$B$21</f>
        <v>0</v>
      </c>
      <c r="AB4" s="80">
        <f>K4*'Dynamic Analysis Dashboard'!$B$10*'Dynamic Analysis Dashboard'!$B$9*'Dynamic Analysis Dashboard'!$B$21</f>
        <v>0.54</v>
      </c>
      <c r="AC4" s="85">
        <f>L4*'Dynamic Analysis Dashboard'!$B$11*'Dynamic Analysis Dashboard'!$B$9*'Dynamic Analysis Dashboard'!$B$21</f>
        <v>0</v>
      </c>
      <c r="AD4" s="120">
        <f t="shared" si="0"/>
        <v>0.54000351000000002</v>
      </c>
      <c r="AE4" s="121">
        <f t="shared" si="1"/>
        <v>0.43200280800000002</v>
      </c>
    </row>
    <row r="5" spans="1:31" hidden="1" x14ac:dyDescent="0.2">
      <c r="A5" t="s">
        <v>93</v>
      </c>
      <c r="B5" t="s">
        <v>149</v>
      </c>
      <c r="C5" t="s">
        <v>150</v>
      </c>
      <c r="D5" t="s">
        <v>135</v>
      </c>
      <c r="E5" t="s">
        <v>151</v>
      </c>
      <c r="F5" t="s">
        <v>152</v>
      </c>
      <c r="G5" t="s">
        <v>31</v>
      </c>
      <c r="H5" t="s">
        <v>25</v>
      </c>
      <c r="I5">
        <v>1.6000000000000001E-6</v>
      </c>
      <c r="J5">
        <v>5.7000000000000005E-6</v>
      </c>
      <c r="K5">
        <v>0</v>
      </c>
      <c r="L5">
        <v>0</v>
      </c>
      <c r="M5">
        <v>7.2999999999999996E-6</v>
      </c>
      <c r="N5">
        <v>0.75</v>
      </c>
      <c r="O5">
        <v>6</v>
      </c>
      <c r="P5">
        <v>3</v>
      </c>
      <c r="Q5">
        <v>3</v>
      </c>
      <c r="R5">
        <v>3</v>
      </c>
      <c r="S5">
        <v>11250</v>
      </c>
      <c r="T5">
        <v>236</v>
      </c>
      <c r="U5" t="s">
        <v>153</v>
      </c>
      <c r="V5" t="s">
        <v>154</v>
      </c>
      <c r="W5" t="s">
        <v>130</v>
      </c>
      <c r="X5" t="s">
        <v>131</v>
      </c>
      <c r="Y5" t="s">
        <v>155</v>
      </c>
      <c r="Z5" s="70">
        <f>I5*'Dynamic Analysis Dashboard'!$B$8*'Dynamic Analysis Dashboard'!$B$9*'Dynamic Analysis Dashboard'!$B$21</f>
        <v>1.0800000000000002E-6</v>
      </c>
      <c r="AA5" s="75">
        <f>J5*'Dynamic Analysis Dashboard'!$B$8*'Dynamic Analysis Dashboard'!$B$9*'Dynamic Analysis Dashboard'!$B$21</f>
        <v>3.8475000000000009E-6</v>
      </c>
      <c r="AB5" s="80">
        <f>K5*'Dynamic Analysis Dashboard'!$B$10*'Dynamic Analysis Dashboard'!$B$9*'Dynamic Analysis Dashboard'!$B$21</f>
        <v>0</v>
      </c>
      <c r="AC5" s="85">
        <f>L5*'Dynamic Analysis Dashboard'!$B$11*'Dynamic Analysis Dashboard'!$B$9*'Dynamic Analysis Dashboard'!$B$21</f>
        <v>0</v>
      </c>
      <c r="AD5" s="120">
        <f t="shared" si="0"/>
        <v>4.9275000000000015E-6</v>
      </c>
      <c r="AE5" s="121">
        <f t="shared" si="1"/>
        <v>3.6956250000000011E-6</v>
      </c>
    </row>
    <row r="6" spans="1:31" hidden="1" x14ac:dyDescent="0.2">
      <c r="A6" t="s">
        <v>93</v>
      </c>
      <c r="B6" t="s">
        <v>156</v>
      </c>
      <c r="C6" t="s">
        <v>157</v>
      </c>
      <c r="D6" t="s">
        <v>158</v>
      </c>
      <c r="E6" t="s">
        <v>159</v>
      </c>
      <c r="F6" t="s">
        <v>160</v>
      </c>
      <c r="G6" t="s">
        <v>38</v>
      </c>
      <c r="H6" t="s">
        <v>33</v>
      </c>
      <c r="I6">
        <v>0.9</v>
      </c>
      <c r="J6">
        <v>0</v>
      </c>
      <c r="K6">
        <v>0</v>
      </c>
      <c r="L6">
        <v>1.7E-6</v>
      </c>
      <c r="M6">
        <v>2.6000000000000001E-6</v>
      </c>
      <c r="N6">
        <v>0.75</v>
      </c>
      <c r="O6">
        <v>12</v>
      </c>
      <c r="P6">
        <v>4</v>
      </c>
      <c r="Q6">
        <v>2</v>
      </c>
      <c r="R6">
        <v>4</v>
      </c>
      <c r="S6">
        <v>2700</v>
      </c>
      <c r="T6">
        <v>46</v>
      </c>
      <c r="U6" t="s">
        <v>161</v>
      </c>
      <c r="V6" t="s">
        <v>129</v>
      </c>
      <c r="W6" t="s">
        <v>130</v>
      </c>
      <c r="X6" t="s">
        <v>162</v>
      </c>
      <c r="Y6" t="s">
        <v>163</v>
      </c>
      <c r="Z6" s="70">
        <f>I6*'Dynamic Analysis Dashboard'!$B$8*'Dynamic Analysis Dashboard'!$B$9*'Dynamic Analysis Dashboard'!$B$21</f>
        <v>0.60750000000000004</v>
      </c>
      <c r="AA6" s="75">
        <f>J6*'Dynamic Analysis Dashboard'!$B$8*'Dynamic Analysis Dashboard'!$B$9*'Dynamic Analysis Dashboard'!$B$21</f>
        <v>0</v>
      </c>
      <c r="AB6" s="80">
        <f>K6*'Dynamic Analysis Dashboard'!$B$10*'Dynamic Analysis Dashboard'!$B$9*'Dynamic Analysis Dashboard'!$B$21</f>
        <v>0</v>
      </c>
      <c r="AC6" s="85">
        <f>L6*'Dynamic Analysis Dashboard'!$B$11*'Dynamic Analysis Dashboard'!$B$9*'Dynamic Analysis Dashboard'!$B$21</f>
        <v>1.08375E-6</v>
      </c>
      <c r="AD6" s="120">
        <f t="shared" si="0"/>
        <v>0.60750108375</v>
      </c>
      <c r="AE6" s="121">
        <f t="shared" si="1"/>
        <v>0.45562581281250003</v>
      </c>
    </row>
    <row r="7" spans="1:31" hidden="1" x14ac:dyDescent="0.2">
      <c r="A7" t="s">
        <v>93</v>
      </c>
      <c r="B7" t="s">
        <v>164</v>
      </c>
      <c r="C7" t="s">
        <v>165</v>
      </c>
      <c r="D7" t="s">
        <v>166</v>
      </c>
      <c r="E7" t="s">
        <v>167</v>
      </c>
      <c r="F7" t="s">
        <v>145</v>
      </c>
      <c r="G7" t="s">
        <v>38</v>
      </c>
      <c r="H7" t="s">
        <v>28</v>
      </c>
      <c r="I7">
        <v>0.6</v>
      </c>
      <c r="J7">
        <v>0</v>
      </c>
      <c r="K7">
        <v>0.2</v>
      </c>
      <c r="L7">
        <v>1.5E-6</v>
      </c>
      <c r="M7">
        <v>2.3E-6</v>
      </c>
      <c r="N7">
        <v>0.8</v>
      </c>
      <c r="O7">
        <v>6</v>
      </c>
      <c r="P7">
        <v>3</v>
      </c>
      <c r="Q7">
        <v>3</v>
      </c>
      <c r="R7">
        <v>3</v>
      </c>
      <c r="S7">
        <v>5280</v>
      </c>
      <c r="T7">
        <v>84</v>
      </c>
      <c r="U7" t="s">
        <v>168</v>
      </c>
      <c r="V7" t="s">
        <v>129</v>
      </c>
      <c r="W7" t="s">
        <v>169</v>
      </c>
      <c r="X7" t="s">
        <v>170</v>
      </c>
      <c r="Y7" t="s">
        <v>171</v>
      </c>
      <c r="Z7" s="70">
        <f>I7*'Dynamic Analysis Dashboard'!$B$8*'Dynamic Analysis Dashboard'!$B$9*'Dynamic Analysis Dashboard'!$B$21</f>
        <v>0.40500000000000003</v>
      </c>
      <c r="AA7" s="75">
        <f>J7*'Dynamic Analysis Dashboard'!$B$8*'Dynamic Analysis Dashboard'!$B$9*'Dynamic Analysis Dashboard'!$B$21</f>
        <v>0</v>
      </c>
      <c r="AB7" s="80">
        <f>K7*'Dynamic Analysis Dashboard'!$B$10*'Dynamic Analysis Dashboard'!$B$9*'Dynamic Analysis Dashboard'!$B$21</f>
        <v>0.12000000000000002</v>
      </c>
      <c r="AC7" s="85">
        <f>L7*'Dynamic Analysis Dashboard'!$B$11*'Dynamic Analysis Dashboard'!$B$9*'Dynamic Analysis Dashboard'!$B$21</f>
        <v>9.5624999999999995E-7</v>
      </c>
      <c r="AD7" s="120">
        <f t="shared" si="0"/>
        <v>0.52500095624999998</v>
      </c>
      <c r="AE7" s="121">
        <f t="shared" si="1"/>
        <v>0.420000765</v>
      </c>
    </row>
    <row r="8" spans="1:31" hidden="1" x14ac:dyDescent="0.2">
      <c r="A8" t="s">
        <v>93</v>
      </c>
      <c r="B8" t="s">
        <v>172</v>
      </c>
      <c r="C8" t="s">
        <v>173</v>
      </c>
      <c r="D8" t="s">
        <v>174</v>
      </c>
      <c r="E8" t="s">
        <v>175</v>
      </c>
      <c r="F8" t="s">
        <v>145</v>
      </c>
      <c r="G8" t="s">
        <v>38</v>
      </c>
      <c r="H8" t="s">
        <v>33</v>
      </c>
      <c r="I8">
        <v>0</v>
      </c>
      <c r="J8">
        <v>0</v>
      </c>
      <c r="K8">
        <v>1.1999999999999999E-6</v>
      </c>
      <c r="L8">
        <v>0</v>
      </c>
      <c r="M8">
        <v>1.1999999999999999E-6</v>
      </c>
      <c r="N8">
        <v>0.75</v>
      </c>
      <c r="O8">
        <v>9</v>
      </c>
      <c r="P8">
        <v>3</v>
      </c>
      <c r="Q8">
        <v>3</v>
      </c>
      <c r="R8">
        <v>3</v>
      </c>
      <c r="S8">
        <v>6750</v>
      </c>
      <c r="T8">
        <v>106</v>
      </c>
      <c r="U8" t="s">
        <v>176</v>
      </c>
      <c r="V8" t="s">
        <v>129</v>
      </c>
      <c r="W8" t="s">
        <v>177</v>
      </c>
      <c r="X8" t="s">
        <v>131</v>
      </c>
      <c r="Y8" t="s">
        <v>178</v>
      </c>
      <c r="Z8" s="70">
        <f>I8*'Dynamic Analysis Dashboard'!$B$8*'Dynamic Analysis Dashboard'!$B$9*'Dynamic Analysis Dashboard'!$B$21</f>
        <v>0</v>
      </c>
      <c r="AA8" s="75">
        <f>J8*'Dynamic Analysis Dashboard'!$B$8*'Dynamic Analysis Dashboard'!$B$9*'Dynamic Analysis Dashboard'!$B$21</f>
        <v>0</v>
      </c>
      <c r="AB8" s="80">
        <f>K8*'Dynamic Analysis Dashboard'!$B$10*'Dynamic Analysis Dashboard'!$B$9*'Dynamic Analysis Dashboard'!$B$21</f>
        <v>7.1999999999999988E-7</v>
      </c>
      <c r="AC8" s="85">
        <f>L8*'Dynamic Analysis Dashboard'!$B$11*'Dynamic Analysis Dashboard'!$B$9*'Dynamic Analysis Dashboard'!$B$21</f>
        <v>0</v>
      </c>
      <c r="AD8" s="120">
        <f t="shared" si="0"/>
        <v>7.1999999999999988E-7</v>
      </c>
      <c r="AE8" s="121">
        <f t="shared" si="1"/>
        <v>5.3999999999999991E-7</v>
      </c>
    </row>
    <row r="9" spans="1:31" hidden="1" x14ac:dyDescent="0.2">
      <c r="A9" t="s">
        <v>93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38</v>
      </c>
      <c r="H9" t="s">
        <v>25</v>
      </c>
      <c r="I9">
        <v>0.2</v>
      </c>
      <c r="J9">
        <v>0</v>
      </c>
      <c r="K9">
        <v>0</v>
      </c>
      <c r="L9">
        <v>0</v>
      </c>
      <c r="M9">
        <v>0.2</v>
      </c>
      <c r="N9">
        <v>0.85</v>
      </c>
      <c r="O9">
        <v>4</v>
      </c>
      <c r="P9">
        <v>2</v>
      </c>
      <c r="Q9">
        <v>4</v>
      </c>
      <c r="R9">
        <v>2</v>
      </c>
      <c r="S9">
        <v>600</v>
      </c>
      <c r="T9">
        <v>13</v>
      </c>
      <c r="U9" t="s">
        <v>184</v>
      </c>
      <c r="V9" t="s">
        <v>129</v>
      </c>
      <c r="W9" t="s">
        <v>130</v>
      </c>
      <c r="X9" t="s">
        <v>131</v>
      </c>
      <c r="Y9" t="s">
        <v>185</v>
      </c>
      <c r="Z9" s="70">
        <f>I9*'Dynamic Analysis Dashboard'!$B$8*'Dynamic Analysis Dashboard'!$B$9*'Dynamic Analysis Dashboard'!$B$21</f>
        <v>0.13500000000000001</v>
      </c>
      <c r="AA9" s="75">
        <f>J9*'Dynamic Analysis Dashboard'!$B$8*'Dynamic Analysis Dashboard'!$B$9*'Dynamic Analysis Dashboard'!$B$21</f>
        <v>0</v>
      </c>
      <c r="AB9" s="80">
        <f>K9*'Dynamic Analysis Dashboard'!$B$10*'Dynamic Analysis Dashboard'!$B$9*'Dynamic Analysis Dashboard'!$B$21</f>
        <v>0</v>
      </c>
      <c r="AC9" s="85">
        <f>L9*'Dynamic Analysis Dashboard'!$B$11*'Dynamic Analysis Dashboard'!$B$9*'Dynamic Analysis Dashboard'!$B$21</f>
        <v>0</v>
      </c>
      <c r="AD9" s="120">
        <f t="shared" si="0"/>
        <v>0.13500000000000001</v>
      </c>
      <c r="AE9" s="121">
        <f t="shared" si="1"/>
        <v>0.11475</v>
      </c>
    </row>
    <row r="10" spans="1:31" hidden="1" x14ac:dyDescent="0.2">
      <c r="A10" t="s">
        <v>93</v>
      </c>
      <c r="B10" t="s">
        <v>186</v>
      </c>
      <c r="C10" t="s">
        <v>187</v>
      </c>
      <c r="D10" t="s">
        <v>188</v>
      </c>
      <c r="E10" t="s">
        <v>189</v>
      </c>
      <c r="F10" t="s">
        <v>190</v>
      </c>
      <c r="G10" t="s">
        <v>38</v>
      </c>
      <c r="H10" t="s">
        <v>28</v>
      </c>
      <c r="I10">
        <v>0.06</v>
      </c>
      <c r="J10">
        <v>0</v>
      </c>
      <c r="K10">
        <v>0.1</v>
      </c>
      <c r="L10">
        <v>0</v>
      </c>
      <c r="M10">
        <v>0.16</v>
      </c>
      <c r="N10">
        <v>0.8</v>
      </c>
      <c r="O10">
        <v>4</v>
      </c>
      <c r="P10">
        <v>2</v>
      </c>
      <c r="Q10">
        <v>4</v>
      </c>
      <c r="R10">
        <v>2</v>
      </c>
      <c r="S10">
        <v>200</v>
      </c>
      <c r="T10">
        <v>5</v>
      </c>
      <c r="U10" t="s">
        <v>191</v>
      </c>
      <c r="V10" t="s">
        <v>129</v>
      </c>
      <c r="W10" t="s">
        <v>192</v>
      </c>
      <c r="X10" t="s">
        <v>131</v>
      </c>
      <c r="Y10" t="s">
        <v>193</v>
      </c>
      <c r="Z10" s="70">
        <f>I10*'Dynamic Analysis Dashboard'!$B$8*'Dynamic Analysis Dashboard'!$B$9*'Dynamic Analysis Dashboard'!$B$21</f>
        <v>4.0500000000000001E-2</v>
      </c>
      <c r="AA10" s="75">
        <f>J10*'Dynamic Analysis Dashboard'!$B$8*'Dynamic Analysis Dashboard'!$B$9*'Dynamic Analysis Dashboard'!$B$21</f>
        <v>0</v>
      </c>
      <c r="AB10" s="80">
        <f>K10*'Dynamic Analysis Dashboard'!$B$10*'Dynamic Analysis Dashboard'!$B$9*'Dynamic Analysis Dashboard'!$B$21</f>
        <v>6.0000000000000012E-2</v>
      </c>
      <c r="AC10" s="85">
        <f>L10*'Dynamic Analysis Dashboard'!$B$11*'Dynamic Analysis Dashboard'!$B$9*'Dynamic Analysis Dashboard'!$B$21</f>
        <v>0</v>
      </c>
      <c r="AD10" s="120">
        <f t="shared" si="0"/>
        <v>0.10050000000000001</v>
      </c>
      <c r="AE10" s="121">
        <f t="shared" si="1"/>
        <v>8.0400000000000013E-2</v>
      </c>
    </row>
    <row r="11" spans="1:31" hidden="1" x14ac:dyDescent="0.2">
      <c r="A11" t="s">
        <v>93</v>
      </c>
      <c r="B11" t="s">
        <v>194</v>
      </c>
      <c r="C11" t="s">
        <v>195</v>
      </c>
      <c r="D11" t="s">
        <v>196</v>
      </c>
      <c r="E11" t="s">
        <v>197</v>
      </c>
      <c r="F11" t="s">
        <v>198</v>
      </c>
      <c r="G11" t="s">
        <v>38</v>
      </c>
      <c r="H11" t="s">
        <v>33</v>
      </c>
      <c r="I11">
        <v>0.2</v>
      </c>
      <c r="J11">
        <v>0</v>
      </c>
      <c r="K11">
        <v>0.3</v>
      </c>
      <c r="L11">
        <v>0.6</v>
      </c>
      <c r="M11">
        <v>1.1000000000000001E-6</v>
      </c>
      <c r="N11">
        <v>0.75</v>
      </c>
      <c r="O11">
        <v>6</v>
      </c>
      <c r="P11">
        <v>3</v>
      </c>
      <c r="Q11">
        <v>3</v>
      </c>
      <c r="R11">
        <v>3</v>
      </c>
      <c r="S11">
        <v>900</v>
      </c>
      <c r="T11">
        <v>16</v>
      </c>
      <c r="U11" t="s">
        <v>199</v>
      </c>
      <c r="V11" t="s">
        <v>129</v>
      </c>
      <c r="W11" t="s">
        <v>200</v>
      </c>
      <c r="X11" t="s">
        <v>201</v>
      </c>
      <c r="Y11" t="s">
        <v>202</v>
      </c>
      <c r="Z11" s="70">
        <f>I11*'Dynamic Analysis Dashboard'!$B$8*'Dynamic Analysis Dashboard'!$B$9*'Dynamic Analysis Dashboard'!$B$21</f>
        <v>0.13500000000000001</v>
      </c>
      <c r="AA11" s="75">
        <f>J11*'Dynamic Analysis Dashboard'!$B$8*'Dynamic Analysis Dashboard'!$B$9*'Dynamic Analysis Dashboard'!$B$21</f>
        <v>0</v>
      </c>
      <c r="AB11" s="80">
        <f>K11*'Dynamic Analysis Dashboard'!$B$10*'Dynamic Analysis Dashboard'!$B$9*'Dynamic Analysis Dashboard'!$B$21</f>
        <v>0.18</v>
      </c>
      <c r="AC11" s="85">
        <f>L11*'Dynamic Analysis Dashboard'!$B$11*'Dynamic Analysis Dashboard'!$B$9*'Dynamic Analysis Dashboard'!$B$21</f>
        <v>0.38250000000000001</v>
      </c>
      <c r="AD11" s="120">
        <f t="shared" si="0"/>
        <v>0.69750000000000001</v>
      </c>
      <c r="AE11" s="121">
        <f t="shared" si="1"/>
        <v>0.52312500000000006</v>
      </c>
    </row>
    <row r="12" spans="1:31" x14ac:dyDescent="0.2">
      <c r="A12" t="s">
        <v>57</v>
      </c>
      <c r="B12" t="s">
        <v>149</v>
      </c>
      <c r="C12" t="s">
        <v>203</v>
      </c>
      <c r="D12" t="s">
        <v>204</v>
      </c>
      <c r="E12" t="s">
        <v>205</v>
      </c>
      <c r="F12" t="s">
        <v>206</v>
      </c>
      <c r="G12" t="s">
        <v>24</v>
      </c>
      <c r="H12" t="s">
        <v>207</v>
      </c>
      <c r="I12">
        <v>2.3999999999999999E-6</v>
      </c>
      <c r="J12">
        <v>1.1800000000000001E-5</v>
      </c>
      <c r="K12">
        <v>0</v>
      </c>
      <c r="L12">
        <v>0</v>
      </c>
      <c r="M12">
        <v>1.42E-5</v>
      </c>
      <c r="N12">
        <v>0.85</v>
      </c>
      <c r="O12">
        <v>7</v>
      </c>
      <c r="P12">
        <v>3</v>
      </c>
      <c r="Q12">
        <v>3</v>
      </c>
      <c r="R12">
        <v>3</v>
      </c>
      <c r="S12">
        <v>259200</v>
      </c>
      <c r="T12">
        <v>3.9700000000000006E-2</v>
      </c>
      <c r="U12" t="s">
        <v>208</v>
      </c>
      <c r="V12" t="s">
        <v>209</v>
      </c>
      <c r="W12" t="s">
        <v>210</v>
      </c>
      <c r="X12" t="s">
        <v>211</v>
      </c>
      <c r="Y12" t="s">
        <v>212</v>
      </c>
      <c r="Z12" s="70">
        <f>I12*'Dynamic Analysis Dashboard'!$B$8*'Dynamic Analysis Dashboard'!$B$9*'Dynamic Analysis Dashboard'!$B$21</f>
        <v>1.6200000000000002E-6</v>
      </c>
      <c r="AA12" s="75">
        <f>J12*'Dynamic Analysis Dashboard'!$B$8*'Dynamic Analysis Dashboard'!$B$9*'Dynamic Analysis Dashboard'!$B$21</f>
        <v>7.9649999999999991E-6</v>
      </c>
      <c r="AB12" s="80">
        <f>K12*'Dynamic Analysis Dashboard'!$B$10*'Dynamic Analysis Dashboard'!$B$9*'Dynamic Analysis Dashboard'!$B$21</f>
        <v>0</v>
      </c>
      <c r="AC12" s="85">
        <f>L12*'Dynamic Analysis Dashboard'!$B$11*'Dynamic Analysis Dashboard'!$B$9*'Dynamic Analysis Dashboard'!$B$21</f>
        <v>0</v>
      </c>
      <c r="AD12" s="120">
        <f t="shared" si="0"/>
        <v>9.5849999999999989E-6</v>
      </c>
      <c r="AE12" s="121">
        <f t="shared" si="1"/>
        <v>8.1472499999999989E-6</v>
      </c>
    </row>
    <row r="13" spans="1:31" x14ac:dyDescent="0.2">
      <c r="A13" t="s">
        <v>57</v>
      </c>
      <c r="B13" t="s">
        <v>156</v>
      </c>
      <c r="C13" t="s">
        <v>213</v>
      </c>
      <c r="D13" t="s">
        <v>204</v>
      </c>
      <c r="E13" t="s">
        <v>214</v>
      </c>
      <c r="F13" t="s">
        <v>215</v>
      </c>
      <c r="G13" t="s">
        <v>24</v>
      </c>
      <c r="H13" t="s">
        <v>216</v>
      </c>
      <c r="I13">
        <v>3.6000000000000003E-6</v>
      </c>
      <c r="J13">
        <v>8.1000000000000004E-6</v>
      </c>
      <c r="K13">
        <v>0</v>
      </c>
      <c r="L13">
        <v>0</v>
      </c>
      <c r="M13">
        <v>1.17E-5</v>
      </c>
      <c r="N13">
        <v>0.8</v>
      </c>
      <c r="O13">
        <v>6</v>
      </c>
      <c r="P13">
        <v>2</v>
      </c>
      <c r="Q13">
        <v>3</v>
      </c>
      <c r="R13">
        <v>3</v>
      </c>
      <c r="S13">
        <v>25920</v>
      </c>
      <c r="T13">
        <v>6.4999999999999997E-3</v>
      </c>
      <c r="U13" t="s">
        <v>217</v>
      </c>
      <c r="V13" t="s">
        <v>218</v>
      </c>
      <c r="W13" t="s">
        <v>210</v>
      </c>
      <c r="X13" t="s">
        <v>211</v>
      </c>
      <c r="Y13" t="s">
        <v>219</v>
      </c>
      <c r="Z13" s="70">
        <f>I13*'Dynamic Analysis Dashboard'!$B$8*'Dynamic Analysis Dashboard'!$B$9*'Dynamic Analysis Dashboard'!$B$21</f>
        <v>2.4300000000000005E-6</v>
      </c>
      <c r="AA13" s="75">
        <f>J13*'Dynamic Analysis Dashboard'!$B$8*'Dynamic Analysis Dashboard'!$B$9*'Dynamic Analysis Dashboard'!$B$21</f>
        <v>5.4675000000000006E-6</v>
      </c>
      <c r="AB13" s="80">
        <f>K13*'Dynamic Analysis Dashboard'!$B$10*'Dynamic Analysis Dashboard'!$B$9*'Dynamic Analysis Dashboard'!$B$21</f>
        <v>0</v>
      </c>
      <c r="AC13" s="85">
        <f>L13*'Dynamic Analysis Dashboard'!$B$11*'Dynamic Analysis Dashboard'!$B$9*'Dynamic Analysis Dashboard'!$B$21</f>
        <v>0</v>
      </c>
      <c r="AD13" s="120">
        <f t="shared" si="0"/>
        <v>7.8975000000000002E-6</v>
      </c>
      <c r="AE13" s="121">
        <f t="shared" si="1"/>
        <v>6.3180000000000003E-6</v>
      </c>
    </row>
    <row r="14" spans="1:31" x14ac:dyDescent="0.2">
      <c r="A14" t="s">
        <v>57</v>
      </c>
      <c r="B14" t="s">
        <v>172</v>
      </c>
      <c r="C14" t="s">
        <v>220</v>
      </c>
      <c r="D14" t="s">
        <v>221</v>
      </c>
      <c r="E14" t="s">
        <v>222</v>
      </c>
      <c r="F14" t="s">
        <v>223</v>
      </c>
      <c r="G14" t="s">
        <v>24</v>
      </c>
      <c r="H14" t="s">
        <v>224</v>
      </c>
      <c r="I14">
        <v>4.6999999999999999E-6</v>
      </c>
      <c r="J14">
        <v>0</v>
      </c>
      <c r="K14">
        <v>5.2000000000000002E-6</v>
      </c>
      <c r="L14">
        <v>0</v>
      </c>
      <c r="M14">
        <v>9.9000000000000001E-6</v>
      </c>
      <c r="N14">
        <v>0.8</v>
      </c>
      <c r="O14">
        <v>10</v>
      </c>
      <c r="P14">
        <v>4</v>
      </c>
      <c r="Q14">
        <v>2</v>
      </c>
      <c r="R14">
        <v>4</v>
      </c>
      <c r="S14">
        <v>64800</v>
      </c>
      <c r="T14">
        <v>8.7499999999999994E-2</v>
      </c>
      <c r="U14" t="s">
        <v>225</v>
      </c>
      <c r="V14" t="s">
        <v>226</v>
      </c>
      <c r="W14" t="s">
        <v>227</v>
      </c>
      <c r="X14" t="s">
        <v>211</v>
      </c>
      <c r="Y14" t="s">
        <v>228</v>
      </c>
      <c r="Z14" s="70">
        <f>I14*'Dynamic Analysis Dashboard'!$B$8*'Dynamic Analysis Dashboard'!$B$9*'Dynamic Analysis Dashboard'!$B$21</f>
        <v>3.1725000000000001E-6</v>
      </c>
      <c r="AA14" s="75">
        <f>J14*'Dynamic Analysis Dashboard'!$B$8*'Dynamic Analysis Dashboard'!$B$9*'Dynamic Analysis Dashboard'!$B$21</f>
        <v>0</v>
      </c>
      <c r="AB14" s="80">
        <f>K14*'Dynamic Analysis Dashboard'!$B$10*'Dynamic Analysis Dashboard'!$B$9*'Dynamic Analysis Dashboard'!$B$21</f>
        <v>3.1199999999999998E-6</v>
      </c>
      <c r="AC14" s="85">
        <f>L14*'Dynamic Analysis Dashboard'!$B$11*'Dynamic Analysis Dashboard'!$B$9*'Dynamic Analysis Dashboard'!$B$21</f>
        <v>0</v>
      </c>
      <c r="AD14" s="120">
        <f t="shared" si="0"/>
        <v>6.2924999999999995E-6</v>
      </c>
      <c r="AE14" s="121">
        <f t="shared" si="1"/>
        <v>5.0339999999999996E-6</v>
      </c>
    </row>
    <row r="15" spans="1:31" x14ac:dyDescent="0.2">
      <c r="A15" t="s">
        <v>57</v>
      </c>
      <c r="B15" t="s">
        <v>186</v>
      </c>
      <c r="C15" t="s">
        <v>229</v>
      </c>
      <c r="D15" t="s">
        <v>181</v>
      </c>
      <c r="E15" t="s">
        <v>230</v>
      </c>
      <c r="F15" t="s">
        <v>231</v>
      </c>
      <c r="G15" t="s">
        <v>24</v>
      </c>
      <c r="H15" t="s">
        <v>224</v>
      </c>
      <c r="I15">
        <v>1.6000000000000001E-6</v>
      </c>
      <c r="J15">
        <v>1.08E-5</v>
      </c>
      <c r="K15">
        <v>0</v>
      </c>
      <c r="L15">
        <v>0</v>
      </c>
      <c r="M15">
        <v>1.24E-5</v>
      </c>
      <c r="N15">
        <v>0.75</v>
      </c>
      <c r="O15">
        <v>9</v>
      </c>
      <c r="P15">
        <v>3</v>
      </c>
      <c r="Q15">
        <v>2</v>
      </c>
      <c r="R15">
        <v>4</v>
      </c>
      <c r="S15">
        <v>66667.199999999997</v>
      </c>
      <c r="T15">
        <v>3.2000000000000001E-2</v>
      </c>
      <c r="U15" t="s">
        <v>232</v>
      </c>
      <c r="V15" t="s">
        <v>233</v>
      </c>
      <c r="W15" t="s">
        <v>210</v>
      </c>
      <c r="X15" t="s">
        <v>211</v>
      </c>
      <c r="Y15" t="s">
        <v>234</v>
      </c>
      <c r="Z15" s="70">
        <f>I15*'Dynamic Analysis Dashboard'!$B$8*'Dynamic Analysis Dashboard'!$B$9*'Dynamic Analysis Dashboard'!$B$21</f>
        <v>1.0800000000000002E-6</v>
      </c>
      <c r="AA15" s="75">
        <f>J15*'Dynamic Analysis Dashboard'!$B$8*'Dynamic Analysis Dashboard'!$B$9*'Dynamic Analysis Dashboard'!$B$21</f>
        <v>7.2899999999999997E-6</v>
      </c>
      <c r="AB15" s="80">
        <f>K15*'Dynamic Analysis Dashboard'!$B$10*'Dynamic Analysis Dashboard'!$B$9*'Dynamic Analysis Dashboard'!$B$21</f>
        <v>0</v>
      </c>
      <c r="AC15" s="85">
        <f>L15*'Dynamic Analysis Dashboard'!$B$11*'Dynamic Analysis Dashboard'!$B$9*'Dynamic Analysis Dashboard'!$B$21</f>
        <v>0</v>
      </c>
      <c r="AD15" s="120">
        <f t="shared" si="0"/>
        <v>8.3699999999999995E-6</v>
      </c>
      <c r="AE15" s="121">
        <f t="shared" si="1"/>
        <v>6.2774999999999996E-6</v>
      </c>
    </row>
    <row r="16" spans="1:31" x14ac:dyDescent="0.2">
      <c r="A16" t="s">
        <v>57</v>
      </c>
      <c r="B16" t="s">
        <v>194</v>
      </c>
      <c r="C16" t="s">
        <v>235</v>
      </c>
      <c r="D16" t="s">
        <v>236</v>
      </c>
      <c r="E16" t="s">
        <v>237</v>
      </c>
      <c r="F16" t="s">
        <v>223</v>
      </c>
      <c r="G16" t="s">
        <v>24</v>
      </c>
      <c r="H16" t="s">
        <v>207</v>
      </c>
      <c r="I16">
        <v>2.7999999999999999E-6</v>
      </c>
      <c r="J16">
        <v>0</v>
      </c>
      <c r="K16">
        <v>9.0000000000000007E-7</v>
      </c>
      <c r="L16">
        <v>5.4E-6</v>
      </c>
      <c r="M16">
        <v>9.0999999999999993E-6</v>
      </c>
      <c r="N16">
        <v>0.8</v>
      </c>
      <c r="O16">
        <v>8</v>
      </c>
      <c r="P16">
        <v>3</v>
      </c>
      <c r="Q16">
        <v>3</v>
      </c>
      <c r="R16">
        <v>4</v>
      </c>
      <c r="S16">
        <v>234000</v>
      </c>
      <c r="T16">
        <v>4.6799999999999994E-2</v>
      </c>
      <c r="U16" t="s">
        <v>238</v>
      </c>
      <c r="V16" t="s">
        <v>226</v>
      </c>
      <c r="W16" t="s">
        <v>239</v>
      </c>
      <c r="X16" t="s">
        <v>240</v>
      </c>
      <c r="Y16" t="s">
        <v>241</v>
      </c>
      <c r="Z16" s="70">
        <f>I16*'Dynamic Analysis Dashboard'!$B$8*'Dynamic Analysis Dashboard'!$B$9*'Dynamic Analysis Dashboard'!$B$21</f>
        <v>1.8900000000000001E-6</v>
      </c>
      <c r="AA16" s="75">
        <f>J16*'Dynamic Analysis Dashboard'!$B$8*'Dynamic Analysis Dashboard'!$B$9*'Dynamic Analysis Dashboard'!$B$21</f>
        <v>0</v>
      </c>
      <c r="AB16" s="80">
        <f>K16*'Dynamic Analysis Dashboard'!$B$10*'Dynamic Analysis Dashboard'!$B$9*'Dynamic Analysis Dashboard'!$B$21</f>
        <v>5.4000000000000012E-7</v>
      </c>
      <c r="AC16" s="85">
        <f>L16*'Dynamic Analysis Dashboard'!$B$11*'Dynamic Analysis Dashboard'!$B$9*'Dynamic Analysis Dashboard'!$B$21</f>
        <v>3.4425000000000001E-6</v>
      </c>
      <c r="AD16" s="120">
        <f t="shared" si="0"/>
        <v>5.8725000000000001E-6</v>
      </c>
      <c r="AE16" s="121">
        <f t="shared" si="1"/>
        <v>4.6980000000000006E-6</v>
      </c>
    </row>
    <row r="17" spans="1:31" hidden="1" x14ac:dyDescent="0.2">
      <c r="A17" t="s">
        <v>57</v>
      </c>
      <c r="B17" t="s">
        <v>141</v>
      </c>
      <c r="C17" t="s">
        <v>242</v>
      </c>
      <c r="D17" t="s">
        <v>236</v>
      </c>
      <c r="E17" t="s">
        <v>243</v>
      </c>
      <c r="F17" t="s">
        <v>244</v>
      </c>
      <c r="G17" t="s">
        <v>31</v>
      </c>
      <c r="H17" t="s">
        <v>224</v>
      </c>
      <c r="I17">
        <v>1.3900000000000001E-5</v>
      </c>
      <c r="J17">
        <v>0</v>
      </c>
      <c r="K17">
        <v>1.3999999999999999E-6</v>
      </c>
      <c r="L17">
        <v>4.7999999999999998E-6</v>
      </c>
      <c r="M17">
        <v>2.0100000000000001E-5</v>
      </c>
      <c r="N17">
        <v>0.8</v>
      </c>
      <c r="O17">
        <v>12</v>
      </c>
      <c r="P17">
        <v>4</v>
      </c>
      <c r="Q17">
        <v>2</v>
      </c>
      <c r="R17">
        <v>5</v>
      </c>
      <c r="S17">
        <v>489600</v>
      </c>
      <c r="T17">
        <v>0.1198</v>
      </c>
      <c r="U17" t="s">
        <v>245</v>
      </c>
      <c r="V17" t="s">
        <v>226</v>
      </c>
      <c r="W17" t="s">
        <v>246</v>
      </c>
      <c r="X17" t="s">
        <v>247</v>
      </c>
      <c r="Y17" t="s">
        <v>248</v>
      </c>
      <c r="Z17" s="70">
        <f>I17*'Dynamic Analysis Dashboard'!$B$8*'Dynamic Analysis Dashboard'!$B$9*'Dynamic Analysis Dashboard'!$B$21</f>
        <v>9.3825000000000004E-6</v>
      </c>
      <c r="AA17" s="75">
        <f>J17*'Dynamic Analysis Dashboard'!$B$8*'Dynamic Analysis Dashboard'!$B$9*'Dynamic Analysis Dashboard'!$B$21</f>
        <v>0</v>
      </c>
      <c r="AB17" s="80">
        <f>K17*'Dynamic Analysis Dashboard'!$B$10*'Dynamic Analysis Dashboard'!$B$9*'Dynamic Analysis Dashboard'!$B$21</f>
        <v>8.4E-7</v>
      </c>
      <c r="AC17" s="85">
        <f>L17*'Dynamic Analysis Dashboard'!$B$11*'Dynamic Analysis Dashboard'!$B$9*'Dynamic Analysis Dashboard'!$B$21</f>
        <v>3.0599999999999999E-6</v>
      </c>
      <c r="AD17" s="120">
        <f t="shared" si="0"/>
        <v>1.32825E-5</v>
      </c>
      <c r="AE17" s="121">
        <f t="shared" si="1"/>
        <v>1.0626000000000001E-5</v>
      </c>
    </row>
    <row r="18" spans="1:31" hidden="1" x14ac:dyDescent="0.2">
      <c r="A18" t="s">
        <v>57</v>
      </c>
      <c r="B18" t="s">
        <v>123</v>
      </c>
      <c r="C18" t="s">
        <v>249</v>
      </c>
      <c r="D18" t="s">
        <v>250</v>
      </c>
      <c r="E18" t="s">
        <v>251</v>
      </c>
      <c r="F18" t="s">
        <v>252</v>
      </c>
      <c r="G18" t="s">
        <v>31</v>
      </c>
      <c r="H18" t="s">
        <v>216</v>
      </c>
      <c r="I18">
        <v>1.1199999999999999E-5</v>
      </c>
      <c r="J18">
        <v>2.4300000000000001E-5</v>
      </c>
      <c r="K18">
        <v>1.8999999999999998E-6</v>
      </c>
      <c r="L18">
        <v>0</v>
      </c>
      <c r="M18">
        <v>3.7400000000000001E-5</v>
      </c>
      <c r="N18">
        <v>0.75</v>
      </c>
      <c r="O18">
        <v>10</v>
      </c>
      <c r="P18">
        <v>4</v>
      </c>
      <c r="Q18">
        <v>3</v>
      </c>
      <c r="R18">
        <v>4</v>
      </c>
      <c r="S18">
        <v>893280</v>
      </c>
      <c r="T18">
        <v>0.23760000000000001</v>
      </c>
      <c r="U18" t="s">
        <v>253</v>
      </c>
      <c r="V18" t="s">
        <v>254</v>
      </c>
      <c r="W18" t="s">
        <v>255</v>
      </c>
      <c r="X18" t="s">
        <v>211</v>
      </c>
      <c r="Y18" t="s">
        <v>256</v>
      </c>
      <c r="Z18" s="70">
        <f>I18*'Dynamic Analysis Dashboard'!$B$8*'Dynamic Analysis Dashboard'!$B$9*'Dynamic Analysis Dashboard'!$B$21</f>
        <v>7.5600000000000005E-6</v>
      </c>
      <c r="AA18" s="75">
        <f>J18*'Dynamic Analysis Dashboard'!$B$8*'Dynamic Analysis Dashboard'!$B$9*'Dynamic Analysis Dashboard'!$B$21</f>
        <v>1.6402500000000001E-5</v>
      </c>
      <c r="AB18" s="80">
        <f>K18*'Dynamic Analysis Dashboard'!$B$10*'Dynamic Analysis Dashboard'!$B$9*'Dynamic Analysis Dashboard'!$B$21</f>
        <v>1.1399999999999999E-6</v>
      </c>
      <c r="AC18" s="85">
        <f>L18*'Dynamic Analysis Dashboard'!$B$11*'Dynamic Analysis Dashboard'!$B$9*'Dynamic Analysis Dashboard'!$B$21</f>
        <v>0</v>
      </c>
      <c r="AD18" s="120">
        <f t="shared" si="0"/>
        <v>2.5102499999999999E-5</v>
      </c>
      <c r="AE18" s="121">
        <f t="shared" si="1"/>
        <v>1.8826874999999999E-5</v>
      </c>
    </row>
    <row r="19" spans="1:31" hidden="1" x14ac:dyDescent="0.2">
      <c r="A19" t="s">
        <v>57</v>
      </c>
      <c r="B19" t="s">
        <v>133</v>
      </c>
      <c r="C19" t="s">
        <v>257</v>
      </c>
      <c r="D19" t="s">
        <v>236</v>
      </c>
      <c r="E19" t="s">
        <v>258</v>
      </c>
      <c r="F19" t="s">
        <v>259</v>
      </c>
      <c r="G19" t="s">
        <v>31</v>
      </c>
      <c r="H19" t="s">
        <v>207</v>
      </c>
      <c r="I19">
        <v>1.8000000000000001E-6</v>
      </c>
      <c r="J19">
        <v>1.6200000000000001E-5</v>
      </c>
      <c r="K19">
        <v>0</v>
      </c>
      <c r="L19">
        <v>8.6999999999999997E-6</v>
      </c>
      <c r="M19">
        <v>2.6699999999999998E-5</v>
      </c>
      <c r="N19">
        <v>0.75</v>
      </c>
      <c r="O19">
        <v>9</v>
      </c>
      <c r="P19">
        <v>3</v>
      </c>
      <c r="Q19">
        <v>2</v>
      </c>
      <c r="R19">
        <v>4</v>
      </c>
      <c r="S19">
        <v>252720</v>
      </c>
      <c r="T19">
        <v>0.1981</v>
      </c>
      <c r="U19" t="s">
        <v>260</v>
      </c>
      <c r="V19" t="s">
        <v>261</v>
      </c>
      <c r="W19" t="s">
        <v>210</v>
      </c>
      <c r="X19" t="s">
        <v>262</v>
      </c>
      <c r="Y19" t="s">
        <v>263</v>
      </c>
      <c r="Z19" s="70">
        <f>I19*'Dynamic Analysis Dashboard'!$B$8*'Dynamic Analysis Dashboard'!$B$9*'Dynamic Analysis Dashboard'!$B$21</f>
        <v>1.2150000000000002E-6</v>
      </c>
      <c r="AA19" s="75">
        <f>J19*'Dynamic Analysis Dashboard'!$B$8*'Dynamic Analysis Dashboard'!$B$9*'Dynamic Analysis Dashboard'!$B$21</f>
        <v>1.0935000000000001E-5</v>
      </c>
      <c r="AB19" s="80">
        <f>K19*'Dynamic Analysis Dashboard'!$B$10*'Dynamic Analysis Dashboard'!$B$9*'Dynamic Analysis Dashboard'!$B$21</f>
        <v>0</v>
      </c>
      <c r="AC19" s="85">
        <f>L19*'Dynamic Analysis Dashboard'!$B$11*'Dynamic Analysis Dashboard'!$B$9*'Dynamic Analysis Dashboard'!$B$21</f>
        <v>5.5462499999999996E-6</v>
      </c>
      <c r="AD19" s="120">
        <f t="shared" si="0"/>
        <v>1.7696249999999998E-5</v>
      </c>
      <c r="AE19" s="121">
        <f t="shared" si="1"/>
        <v>1.3272187499999999E-5</v>
      </c>
    </row>
    <row r="20" spans="1:31" hidden="1" x14ac:dyDescent="0.2">
      <c r="A20" t="s">
        <v>57</v>
      </c>
      <c r="B20" t="s">
        <v>164</v>
      </c>
      <c r="C20" t="s">
        <v>264</v>
      </c>
      <c r="D20" t="s">
        <v>265</v>
      </c>
      <c r="E20" t="s">
        <v>266</v>
      </c>
      <c r="F20" t="s">
        <v>267</v>
      </c>
      <c r="G20" t="s">
        <v>38</v>
      </c>
      <c r="H20" t="s">
        <v>268</v>
      </c>
      <c r="I20">
        <v>3.2000000000000003E-6</v>
      </c>
      <c r="J20">
        <v>4.6E-6</v>
      </c>
      <c r="K20">
        <v>0</v>
      </c>
      <c r="L20">
        <v>0</v>
      </c>
      <c r="M20">
        <v>7.7999999999999999E-6</v>
      </c>
      <c r="N20">
        <v>0.7</v>
      </c>
      <c r="O20">
        <v>11</v>
      </c>
      <c r="P20">
        <v>4</v>
      </c>
      <c r="Q20">
        <v>2</v>
      </c>
      <c r="R20">
        <v>5</v>
      </c>
      <c r="S20">
        <v>23760</v>
      </c>
      <c r="T20">
        <v>0.1166</v>
      </c>
      <c r="U20" t="s">
        <v>269</v>
      </c>
      <c r="V20" t="s">
        <v>270</v>
      </c>
      <c r="W20" t="s">
        <v>210</v>
      </c>
      <c r="X20" t="s">
        <v>211</v>
      </c>
      <c r="Y20" t="s">
        <v>271</v>
      </c>
      <c r="Z20" s="70">
        <f>I20*'Dynamic Analysis Dashboard'!$B$8*'Dynamic Analysis Dashboard'!$B$9*'Dynamic Analysis Dashboard'!$B$21</f>
        <v>2.1600000000000005E-6</v>
      </c>
      <c r="AA20" s="75">
        <f>J20*'Dynamic Analysis Dashboard'!$B$8*'Dynamic Analysis Dashboard'!$B$9*'Dynamic Analysis Dashboard'!$B$21</f>
        <v>3.1049999999999999E-6</v>
      </c>
      <c r="AB20" s="80">
        <f>K20*'Dynamic Analysis Dashboard'!$B$10*'Dynamic Analysis Dashboard'!$B$9*'Dynamic Analysis Dashboard'!$B$21</f>
        <v>0</v>
      </c>
      <c r="AC20" s="85">
        <f>L20*'Dynamic Analysis Dashboard'!$B$11*'Dynamic Analysis Dashboard'!$B$9*'Dynamic Analysis Dashboard'!$B$21</f>
        <v>0</v>
      </c>
      <c r="AD20" s="120">
        <f t="shared" si="0"/>
        <v>5.2650000000000004E-6</v>
      </c>
      <c r="AE20" s="121">
        <f t="shared" si="1"/>
        <v>3.6855000000000001E-6</v>
      </c>
    </row>
    <row r="21" spans="1:31" hidden="1" x14ac:dyDescent="0.2">
      <c r="A21" t="s">
        <v>57</v>
      </c>
      <c r="B21" t="s">
        <v>179</v>
      </c>
      <c r="C21" t="s">
        <v>272</v>
      </c>
      <c r="D21" t="s">
        <v>188</v>
      </c>
      <c r="E21" t="s">
        <v>273</v>
      </c>
      <c r="F21" t="s">
        <v>274</v>
      </c>
      <c r="G21" t="s">
        <v>38</v>
      </c>
      <c r="H21" t="s">
        <v>224</v>
      </c>
      <c r="I21">
        <v>2.1000000000000002E-6</v>
      </c>
      <c r="J21">
        <v>0</v>
      </c>
      <c r="K21">
        <v>0</v>
      </c>
      <c r="L21">
        <v>2.3999999999999999E-6</v>
      </c>
      <c r="M21">
        <v>4.5000000000000001E-6</v>
      </c>
      <c r="N21">
        <v>0.85</v>
      </c>
      <c r="O21">
        <v>6</v>
      </c>
      <c r="P21">
        <v>2</v>
      </c>
      <c r="Q21">
        <v>2</v>
      </c>
      <c r="R21">
        <v>3</v>
      </c>
      <c r="S21">
        <v>1080</v>
      </c>
      <c r="T21">
        <v>1.2999999999999999E-2</v>
      </c>
      <c r="U21" t="s">
        <v>275</v>
      </c>
      <c r="V21" t="s">
        <v>226</v>
      </c>
      <c r="W21" t="s">
        <v>276</v>
      </c>
      <c r="X21" t="s">
        <v>277</v>
      </c>
      <c r="Y21" t="s">
        <v>278</v>
      </c>
      <c r="Z21" s="70">
        <f>I21*'Dynamic Analysis Dashboard'!$B$8*'Dynamic Analysis Dashboard'!$B$9*'Dynamic Analysis Dashboard'!$B$21</f>
        <v>1.4175000000000002E-6</v>
      </c>
      <c r="AA21" s="75">
        <f>J21*'Dynamic Analysis Dashboard'!$B$8*'Dynamic Analysis Dashboard'!$B$9*'Dynamic Analysis Dashboard'!$B$21</f>
        <v>0</v>
      </c>
      <c r="AB21" s="80">
        <f>K21*'Dynamic Analysis Dashboard'!$B$10*'Dynamic Analysis Dashboard'!$B$9*'Dynamic Analysis Dashboard'!$B$21</f>
        <v>0</v>
      </c>
      <c r="AC21" s="85">
        <f>L21*'Dynamic Analysis Dashboard'!$B$11*'Dynamic Analysis Dashboard'!$B$9*'Dynamic Analysis Dashboard'!$B$21</f>
        <v>1.53E-6</v>
      </c>
      <c r="AD21" s="120">
        <f t="shared" si="0"/>
        <v>2.9475000000000002E-6</v>
      </c>
      <c r="AE21" s="121">
        <f t="shared" si="1"/>
        <v>2.5053750000000001E-6</v>
      </c>
    </row>
    <row r="22" spans="1:31" x14ac:dyDescent="0.2">
      <c r="A22" t="s">
        <v>102</v>
      </c>
      <c r="B22" t="s">
        <v>149</v>
      </c>
      <c r="C22" t="s">
        <v>279</v>
      </c>
      <c r="D22" t="s">
        <v>125</v>
      </c>
      <c r="E22" t="s">
        <v>280</v>
      </c>
      <c r="F22" t="s">
        <v>127</v>
      </c>
      <c r="G22" t="s">
        <v>24</v>
      </c>
      <c r="H22" t="s">
        <v>28</v>
      </c>
      <c r="I22">
        <v>1.0000000000000001E-7</v>
      </c>
      <c r="J22">
        <v>0</v>
      </c>
      <c r="K22">
        <v>0</v>
      </c>
      <c r="L22">
        <v>0</v>
      </c>
      <c r="M22">
        <v>1.0000000000000001E-7</v>
      </c>
      <c r="N22">
        <v>0.85</v>
      </c>
      <c r="O22">
        <v>6</v>
      </c>
      <c r="P22">
        <v>2</v>
      </c>
      <c r="Q22">
        <v>4</v>
      </c>
      <c r="R22">
        <v>2</v>
      </c>
      <c r="S22">
        <v>11200</v>
      </c>
      <c r="T22">
        <v>4.1000000000000002E-2</v>
      </c>
      <c r="U22" t="s">
        <v>281</v>
      </c>
      <c r="V22" t="s">
        <v>282</v>
      </c>
      <c r="W22" t="s">
        <v>283</v>
      </c>
      <c r="X22" t="s">
        <v>284</v>
      </c>
      <c r="Y22" t="s">
        <v>285</v>
      </c>
      <c r="Z22" s="70">
        <f>I22*'Dynamic Analysis Dashboard'!$B$8*'Dynamic Analysis Dashboard'!$B$9*'Dynamic Analysis Dashboard'!$B$21</f>
        <v>6.7500000000000015E-8</v>
      </c>
      <c r="AA22" s="75">
        <f>J22*'Dynamic Analysis Dashboard'!$B$8*'Dynamic Analysis Dashboard'!$B$9*'Dynamic Analysis Dashboard'!$B$21</f>
        <v>0</v>
      </c>
      <c r="AB22" s="80">
        <f>K22*'Dynamic Analysis Dashboard'!$B$10*'Dynamic Analysis Dashboard'!$B$9*'Dynamic Analysis Dashboard'!$B$21</f>
        <v>0</v>
      </c>
      <c r="AC22" s="85">
        <f>L22*'Dynamic Analysis Dashboard'!$B$11*'Dynamic Analysis Dashboard'!$B$9*'Dynamic Analysis Dashboard'!$B$21</f>
        <v>0</v>
      </c>
      <c r="AD22" s="120">
        <f t="shared" si="0"/>
        <v>6.7500000000000015E-8</v>
      </c>
      <c r="AE22" s="121">
        <f t="shared" si="1"/>
        <v>5.7375000000000009E-8</v>
      </c>
    </row>
    <row r="23" spans="1:31" x14ac:dyDescent="0.2">
      <c r="A23" t="s">
        <v>102</v>
      </c>
      <c r="B23" t="s">
        <v>194</v>
      </c>
      <c r="C23" t="s">
        <v>286</v>
      </c>
      <c r="D23" t="s">
        <v>287</v>
      </c>
      <c r="E23" t="s">
        <v>288</v>
      </c>
      <c r="F23" t="s">
        <v>289</v>
      </c>
      <c r="G23" t="s">
        <v>24</v>
      </c>
      <c r="H23" t="s">
        <v>28</v>
      </c>
      <c r="I23">
        <v>0</v>
      </c>
      <c r="J23">
        <v>0</v>
      </c>
      <c r="K23">
        <v>1.0000000000000001E-7</v>
      </c>
      <c r="L23">
        <v>0</v>
      </c>
      <c r="M23">
        <v>1.0000000000000001E-7</v>
      </c>
      <c r="N23">
        <v>0.85</v>
      </c>
      <c r="O23">
        <v>6</v>
      </c>
      <c r="P23">
        <v>2</v>
      </c>
      <c r="Q23">
        <v>3</v>
      </c>
      <c r="R23">
        <v>2</v>
      </c>
      <c r="S23">
        <v>462</v>
      </c>
      <c r="T23">
        <v>1.6999999999999999E-3</v>
      </c>
      <c r="U23" t="s">
        <v>290</v>
      </c>
      <c r="V23" t="s">
        <v>282</v>
      </c>
      <c r="W23" t="s">
        <v>291</v>
      </c>
      <c r="X23" t="s">
        <v>284</v>
      </c>
      <c r="Y23" t="s">
        <v>292</v>
      </c>
      <c r="Z23" s="70">
        <f>I23*'Dynamic Analysis Dashboard'!$B$8*'Dynamic Analysis Dashboard'!$B$9*'Dynamic Analysis Dashboard'!$B$21</f>
        <v>0</v>
      </c>
      <c r="AA23" s="75">
        <f>J23*'Dynamic Analysis Dashboard'!$B$8*'Dynamic Analysis Dashboard'!$B$9*'Dynamic Analysis Dashboard'!$B$21</f>
        <v>0</v>
      </c>
      <c r="AB23" s="80">
        <f>K23*'Dynamic Analysis Dashboard'!$B$10*'Dynamic Analysis Dashboard'!$B$9*'Dynamic Analysis Dashboard'!$B$21</f>
        <v>6.0000000000000008E-8</v>
      </c>
      <c r="AC23" s="85">
        <f>L23*'Dynamic Analysis Dashboard'!$B$11*'Dynamic Analysis Dashboard'!$B$9*'Dynamic Analysis Dashboard'!$B$21</f>
        <v>0</v>
      </c>
      <c r="AD23" s="120">
        <f t="shared" si="0"/>
        <v>6.0000000000000008E-8</v>
      </c>
      <c r="AE23" s="121">
        <f t="shared" si="1"/>
        <v>5.1000000000000007E-8</v>
      </c>
    </row>
    <row r="24" spans="1:31" hidden="1" x14ac:dyDescent="0.2">
      <c r="A24" t="s">
        <v>102</v>
      </c>
      <c r="B24" t="s">
        <v>141</v>
      </c>
      <c r="C24" t="s">
        <v>293</v>
      </c>
      <c r="D24" t="s">
        <v>294</v>
      </c>
      <c r="E24" t="s">
        <v>295</v>
      </c>
      <c r="F24" t="s">
        <v>231</v>
      </c>
      <c r="G24" t="s">
        <v>31</v>
      </c>
      <c r="H24" t="s">
        <v>25</v>
      </c>
      <c r="I24">
        <v>0</v>
      </c>
      <c r="J24">
        <v>1.8000000000000001E-6</v>
      </c>
      <c r="K24">
        <v>0</v>
      </c>
      <c r="L24">
        <v>0</v>
      </c>
      <c r="M24">
        <v>1.8000000000000001E-6</v>
      </c>
      <c r="N24">
        <v>0.75</v>
      </c>
      <c r="O24">
        <v>9</v>
      </c>
      <c r="P24">
        <v>3</v>
      </c>
      <c r="Q24">
        <v>3</v>
      </c>
      <c r="R24">
        <v>3</v>
      </c>
      <c r="S24">
        <v>3840</v>
      </c>
      <c r="T24">
        <v>1.4199999999999999E-2</v>
      </c>
      <c r="U24" t="s">
        <v>296</v>
      </c>
      <c r="V24" t="s">
        <v>297</v>
      </c>
      <c r="W24" t="s">
        <v>283</v>
      </c>
      <c r="X24" t="s">
        <v>284</v>
      </c>
      <c r="Y24" t="s">
        <v>298</v>
      </c>
      <c r="Z24" s="70">
        <f>I24*'Dynamic Analysis Dashboard'!$B$8*'Dynamic Analysis Dashboard'!$B$9*'Dynamic Analysis Dashboard'!$B$21</f>
        <v>0</v>
      </c>
      <c r="AA24" s="75">
        <f>J24*'Dynamic Analysis Dashboard'!$B$8*'Dynamic Analysis Dashboard'!$B$9*'Dynamic Analysis Dashboard'!$B$21</f>
        <v>1.2150000000000002E-6</v>
      </c>
      <c r="AB24" s="80">
        <f>K24*'Dynamic Analysis Dashboard'!$B$10*'Dynamic Analysis Dashboard'!$B$9*'Dynamic Analysis Dashboard'!$B$21</f>
        <v>0</v>
      </c>
      <c r="AC24" s="85">
        <f>L24*'Dynamic Analysis Dashboard'!$B$11*'Dynamic Analysis Dashboard'!$B$9*'Dynamic Analysis Dashboard'!$B$21</f>
        <v>0</v>
      </c>
      <c r="AD24" s="120">
        <f t="shared" si="0"/>
        <v>1.2150000000000002E-6</v>
      </c>
      <c r="AE24" s="121">
        <f t="shared" si="1"/>
        <v>9.1125000000000017E-7</v>
      </c>
    </row>
    <row r="25" spans="1:31" hidden="1" x14ac:dyDescent="0.2">
      <c r="A25" t="s">
        <v>102</v>
      </c>
      <c r="B25" t="s">
        <v>123</v>
      </c>
      <c r="C25" t="s">
        <v>299</v>
      </c>
      <c r="D25" t="s">
        <v>294</v>
      </c>
      <c r="E25" t="s">
        <v>300</v>
      </c>
      <c r="F25" t="s">
        <v>145</v>
      </c>
      <c r="G25" t="s">
        <v>38</v>
      </c>
      <c r="H25" t="s">
        <v>33</v>
      </c>
      <c r="I25">
        <v>4.0000000000000003E-7</v>
      </c>
      <c r="J25">
        <v>0</v>
      </c>
      <c r="K25">
        <v>0</v>
      </c>
      <c r="L25">
        <v>0</v>
      </c>
      <c r="M25">
        <v>4.0000000000000003E-7</v>
      </c>
      <c r="N25">
        <v>0.8</v>
      </c>
      <c r="O25">
        <v>12</v>
      </c>
      <c r="P25">
        <v>4</v>
      </c>
      <c r="Q25">
        <v>3</v>
      </c>
      <c r="R25">
        <v>4</v>
      </c>
      <c r="S25">
        <v>43120</v>
      </c>
      <c r="T25">
        <v>0.15930000000000002</v>
      </c>
      <c r="U25" t="s">
        <v>301</v>
      </c>
      <c r="V25" t="s">
        <v>282</v>
      </c>
      <c r="W25" t="s">
        <v>283</v>
      </c>
      <c r="X25" t="s">
        <v>284</v>
      </c>
      <c r="Y25" t="s">
        <v>302</v>
      </c>
      <c r="Z25" s="70">
        <f>I25*'Dynamic Analysis Dashboard'!$B$8*'Dynamic Analysis Dashboard'!$B$9*'Dynamic Analysis Dashboard'!$B$21</f>
        <v>2.7000000000000006E-7</v>
      </c>
      <c r="AA25" s="75">
        <f>J25*'Dynamic Analysis Dashboard'!$B$8*'Dynamic Analysis Dashboard'!$B$9*'Dynamic Analysis Dashboard'!$B$21</f>
        <v>0</v>
      </c>
      <c r="AB25" s="80">
        <f>K25*'Dynamic Analysis Dashboard'!$B$10*'Dynamic Analysis Dashboard'!$B$9*'Dynamic Analysis Dashboard'!$B$21</f>
        <v>0</v>
      </c>
      <c r="AC25" s="85">
        <f>L25*'Dynamic Analysis Dashboard'!$B$11*'Dynamic Analysis Dashboard'!$B$9*'Dynamic Analysis Dashboard'!$B$21</f>
        <v>0</v>
      </c>
      <c r="AD25" s="120">
        <f t="shared" si="0"/>
        <v>2.7000000000000006E-7</v>
      </c>
      <c r="AE25" s="121">
        <f t="shared" si="1"/>
        <v>2.1600000000000005E-7</v>
      </c>
    </row>
    <row r="26" spans="1:31" hidden="1" x14ac:dyDescent="0.2">
      <c r="A26" t="s">
        <v>102</v>
      </c>
      <c r="B26" t="s">
        <v>133</v>
      </c>
      <c r="C26" t="s">
        <v>303</v>
      </c>
      <c r="D26" t="s">
        <v>166</v>
      </c>
      <c r="E26" t="s">
        <v>304</v>
      </c>
      <c r="F26" t="s">
        <v>145</v>
      </c>
      <c r="G26" t="s">
        <v>38</v>
      </c>
      <c r="H26" t="s">
        <v>33</v>
      </c>
      <c r="I26">
        <v>1.0000000000000001E-7</v>
      </c>
      <c r="J26">
        <v>0</v>
      </c>
      <c r="K26">
        <v>0</v>
      </c>
      <c r="L26">
        <v>2.0000000000000002E-7</v>
      </c>
      <c r="M26">
        <v>2.9999999999999999E-7</v>
      </c>
      <c r="N26">
        <v>0.8</v>
      </c>
      <c r="O26">
        <v>12</v>
      </c>
      <c r="P26">
        <v>3</v>
      </c>
      <c r="Q26">
        <v>2</v>
      </c>
      <c r="R26">
        <v>4</v>
      </c>
      <c r="S26">
        <v>53900</v>
      </c>
      <c r="T26">
        <v>0.19889999999999999</v>
      </c>
      <c r="U26" t="s">
        <v>305</v>
      </c>
      <c r="V26" t="s">
        <v>282</v>
      </c>
      <c r="W26" t="s">
        <v>283</v>
      </c>
      <c r="X26" t="s">
        <v>306</v>
      </c>
      <c r="Y26" t="s">
        <v>307</v>
      </c>
      <c r="Z26" s="70">
        <f>I26*'Dynamic Analysis Dashboard'!$B$8*'Dynamic Analysis Dashboard'!$B$9*'Dynamic Analysis Dashboard'!$B$21</f>
        <v>6.7500000000000015E-8</v>
      </c>
      <c r="AA26" s="75">
        <f>J26*'Dynamic Analysis Dashboard'!$B$8*'Dynamic Analysis Dashboard'!$B$9*'Dynamic Analysis Dashboard'!$B$21</f>
        <v>0</v>
      </c>
      <c r="AB26" s="80">
        <f>K26*'Dynamic Analysis Dashboard'!$B$10*'Dynamic Analysis Dashboard'!$B$9*'Dynamic Analysis Dashboard'!$B$21</f>
        <v>0</v>
      </c>
      <c r="AC26" s="85">
        <f>L26*'Dynamic Analysis Dashboard'!$B$11*'Dynamic Analysis Dashboard'!$B$9*'Dynamic Analysis Dashboard'!$B$21</f>
        <v>1.275E-7</v>
      </c>
      <c r="AD26" s="120">
        <f t="shared" si="0"/>
        <v>1.9500000000000001E-7</v>
      </c>
      <c r="AE26" s="121">
        <f t="shared" si="1"/>
        <v>1.5600000000000002E-7</v>
      </c>
    </row>
    <row r="27" spans="1:31" hidden="1" x14ac:dyDescent="0.2">
      <c r="A27" t="s">
        <v>102</v>
      </c>
      <c r="B27" t="s">
        <v>156</v>
      </c>
      <c r="C27" t="s">
        <v>308</v>
      </c>
      <c r="D27" t="s">
        <v>188</v>
      </c>
      <c r="E27" t="s">
        <v>309</v>
      </c>
      <c r="F27" t="s">
        <v>310</v>
      </c>
      <c r="G27" t="s">
        <v>38</v>
      </c>
      <c r="H27" t="s">
        <v>311</v>
      </c>
      <c r="I27">
        <v>0</v>
      </c>
      <c r="J27">
        <v>0</v>
      </c>
      <c r="K27">
        <v>0</v>
      </c>
      <c r="L27">
        <v>0</v>
      </c>
      <c r="M27">
        <v>0</v>
      </c>
      <c r="N27">
        <v>0.9</v>
      </c>
      <c r="O27">
        <v>9</v>
      </c>
      <c r="P27">
        <v>3</v>
      </c>
      <c r="Q27">
        <v>3</v>
      </c>
      <c r="R27">
        <v>3</v>
      </c>
      <c r="S27">
        <v>76.8</v>
      </c>
      <c r="T27">
        <v>2.9999999999999997E-4</v>
      </c>
      <c r="U27" t="s">
        <v>312</v>
      </c>
      <c r="V27" t="s">
        <v>282</v>
      </c>
      <c r="W27" t="s">
        <v>283</v>
      </c>
      <c r="X27" t="s">
        <v>284</v>
      </c>
      <c r="Y27" t="s">
        <v>313</v>
      </c>
      <c r="Z27" s="70">
        <f>I27*'Dynamic Analysis Dashboard'!$B$8*'Dynamic Analysis Dashboard'!$B$9*'Dynamic Analysis Dashboard'!$B$21</f>
        <v>0</v>
      </c>
      <c r="AA27" s="75">
        <f>J27*'Dynamic Analysis Dashboard'!$B$8*'Dynamic Analysis Dashboard'!$B$9*'Dynamic Analysis Dashboard'!$B$21</f>
        <v>0</v>
      </c>
      <c r="AB27" s="80">
        <f>K27*'Dynamic Analysis Dashboard'!$B$10*'Dynamic Analysis Dashboard'!$B$9*'Dynamic Analysis Dashboard'!$B$21</f>
        <v>0</v>
      </c>
      <c r="AC27" s="85">
        <f>L27*'Dynamic Analysis Dashboard'!$B$11*'Dynamic Analysis Dashboard'!$B$9*'Dynamic Analysis Dashboard'!$B$21</f>
        <v>0</v>
      </c>
      <c r="AD27" s="120">
        <f t="shared" si="0"/>
        <v>0</v>
      </c>
      <c r="AE27" s="121">
        <f t="shared" si="1"/>
        <v>0</v>
      </c>
    </row>
    <row r="28" spans="1:31" hidden="1" x14ac:dyDescent="0.2">
      <c r="A28" t="s">
        <v>102</v>
      </c>
      <c r="B28" t="s">
        <v>164</v>
      </c>
      <c r="C28" t="s">
        <v>314</v>
      </c>
      <c r="D28" t="s">
        <v>315</v>
      </c>
      <c r="E28" t="s">
        <v>316</v>
      </c>
      <c r="F28" t="s">
        <v>317</v>
      </c>
      <c r="G28" t="s">
        <v>38</v>
      </c>
      <c r="H28" t="s">
        <v>28</v>
      </c>
      <c r="I28">
        <v>0</v>
      </c>
      <c r="J28">
        <v>4.0000000000000003E-7</v>
      </c>
      <c r="K28">
        <v>1.0000000000000001E-7</v>
      </c>
      <c r="L28">
        <v>0</v>
      </c>
      <c r="M28">
        <v>4.9999999999999998E-7</v>
      </c>
      <c r="N28">
        <v>0.7</v>
      </c>
      <c r="O28">
        <v>12</v>
      </c>
      <c r="P28">
        <v>3</v>
      </c>
      <c r="Q28">
        <v>3</v>
      </c>
      <c r="R28">
        <v>3</v>
      </c>
      <c r="S28">
        <v>26950</v>
      </c>
      <c r="T28">
        <v>9.9299999999999999E-2</v>
      </c>
      <c r="U28" t="s">
        <v>318</v>
      </c>
      <c r="V28" t="s">
        <v>319</v>
      </c>
      <c r="W28" t="s">
        <v>320</v>
      </c>
      <c r="X28" t="s">
        <v>284</v>
      </c>
      <c r="Y28" t="s">
        <v>321</v>
      </c>
      <c r="Z28" s="70">
        <f>I28*'Dynamic Analysis Dashboard'!$B$8*'Dynamic Analysis Dashboard'!$B$9*'Dynamic Analysis Dashboard'!$B$21</f>
        <v>0</v>
      </c>
      <c r="AA28" s="75">
        <f>J28*'Dynamic Analysis Dashboard'!$B$8*'Dynamic Analysis Dashboard'!$B$9*'Dynamic Analysis Dashboard'!$B$21</f>
        <v>2.7000000000000006E-7</v>
      </c>
      <c r="AB28" s="80">
        <f>K28*'Dynamic Analysis Dashboard'!$B$10*'Dynamic Analysis Dashboard'!$B$9*'Dynamic Analysis Dashboard'!$B$21</f>
        <v>6.0000000000000008E-8</v>
      </c>
      <c r="AC28" s="85">
        <f>L28*'Dynamic Analysis Dashboard'!$B$11*'Dynamic Analysis Dashboard'!$B$9*'Dynamic Analysis Dashboard'!$B$21</f>
        <v>0</v>
      </c>
      <c r="AD28" s="120">
        <f t="shared" si="0"/>
        <v>3.3000000000000007E-7</v>
      </c>
      <c r="AE28" s="121">
        <f t="shared" si="1"/>
        <v>2.3100000000000004E-7</v>
      </c>
    </row>
    <row r="29" spans="1:31" hidden="1" x14ac:dyDescent="0.2">
      <c r="A29" t="s">
        <v>102</v>
      </c>
      <c r="B29" t="s">
        <v>172</v>
      </c>
      <c r="C29" t="s">
        <v>322</v>
      </c>
      <c r="D29" t="s">
        <v>315</v>
      </c>
      <c r="E29" t="s">
        <v>323</v>
      </c>
      <c r="F29" t="s">
        <v>324</v>
      </c>
      <c r="G29" t="s">
        <v>38</v>
      </c>
      <c r="H29" t="s">
        <v>311</v>
      </c>
      <c r="I29">
        <v>0</v>
      </c>
      <c r="J29">
        <v>2.0000000000000002E-7</v>
      </c>
      <c r="K29">
        <v>0</v>
      </c>
      <c r="L29">
        <v>0</v>
      </c>
      <c r="M29">
        <v>2.0000000000000002E-7</v>
      </c>
      <c r="N29">
        <v>0.65</v>
      </c>
      <c r="O29">
        <v>15</v>
      </c>
      <c r="P29">
        <v>3</v>
      </c>
      <c r="Q29">
        <v>2</v>
      </c>
      <c r="R29">
        <v>3</v>
      </c>
      <c r="S29">
        <v>195</v>
      </c>
      <c r="T29">
        <v>6.9999999999999999E-4</v>
      </c>
      <c r="U29" t="s">
        <v>318</v>
      </c>
      <c r="V29" t="s">
        <v>325</v>
      </c>
      <c r="W29" t="s">
        <v>283</v>
      </c>
      <c r="X29" t="s">
        <v>284</v>
      </c>
      <c r="Y29" t="s">
        <v>326</v>
      </c>
      <c r="Z29" s="70">
        <f>I29*'Dynamic Analysis Dashboard'!$B$8*'Dynamic Analysis Dashboard'!$B$9*'Dynamic Analysis Dashboard'!$B$21</f>
        <v>0</v>
      </c>
      <c r="AA29" s="75">
        <f>J29*'Dynamic Analysis Dashboard'!$B$8*'Dynamic Analysis Dashboard'!$B$9*'Dynamic Analysis Dashboard'!$B$21</f>
        <v>1.3500000000000003E-7</v>
      </c>
      <c r="AB29" s="80">
        <f>K29*'Dynamic Analysis Dashboard'!$B$10*'Dynamic Analysis Dashboard'!$B$9*'Dynamic Analysis Dashboard'!$B$21</f>
        <v>0</v>
      </c>
      <c r="AC29" s="85">
        <f>L29*'Dynamic Analysis Dashboard'!$B$11*'Dynamic Analysis Dashboard'!$B$9*'Dynamic Analysis Dashboard'!$B$21</f>
        <v>0</v>
      </c>
      <c r="AD29" s="120">
        <f t="shared" si="0"/>
        <v>1.3500000000000003E-7</v>
      </c>
      <c r="AE29" s="121">
        <f t="shared" si="1"/>
        <v>8.7750000000000028E-8</v>
      </c>
    </row>
    <row r="30" spans="1:31" hidden="1" x14ac:dyDescent="0.2">
      <c r="A30" t="s">
        <v>102</v>
      </c>
      <c r="B30" t="s">
        <v>179</v>
      </c>
      <c r="C30" t="s">
        <v>327</v>
      </c>
      <c r="D30" t="s">
        <v>328</v>
      </c>
      <c r="E30" t="s">
        <v>329</v>
      </c>
      <c r="F30" t="s">
        <v>330</v>
      </c>
      <c r="G30" t="s">
        <v>38</v>
      </c>
      <c r="H30" t="s">
        <v>33</v>
      </c>
      <c r="I30">
        <v>0</v>
      </c>
      <c r="J30">
        <v>2.9999999999999999E-7</v>
      </c>
      <c r="K30">
        <v>0</v>
      </c>
      <c r="L30">
        <v>0</v>
      </c>
      <c r="M30">
        <v>2.9999999999999999E-7</v>
      </c>
      <c r="N30">
        <v>0.7</v>
      </c>
      <c r="O30">
        <v>12</v>
      </c>
      <c r="P30">
        <v>3</v>
      </c>
      <c r="Q30">
        <v>3</v>
      </c>
      <c r="R30">
        <v>3</v>
      </c>
      <c r="S30">
        <v>952</v>
      </c>
      <c r="T30">
        <v>3.5000000000000001E-3</v>
      </c>
      <c r="U30" t="s">
        <v>318</v>
      </c>
      <c r="V30" t="s">
        <v>331</v>
      </c>
      <c r="W30" t="s">
        <v>283</v>
      </c>
      <c r="X30" t="s">
        <v>284</v>
      </c>
      <c r="Y30" t="s">
        <v>332</v>
      </c>
      <c r="Z30" s="70">
        <f>I30*'Dynamic Analysis Dashboard'!$B$8*'Dynamic Analysis Dashboard'!$B$9*'Dynamic Analysis Dashboard'!$B$21</f>
        <v>0</v>
      </c>
      <c r="AA30" s="75">
        <f>J30*'Dynamic Analysis Dashboard'!$B$8*'Dynamic Analysis Dashboard'!$B$9*'Dynamic Analysis Dashboard'!$B$21</f>
        <v>2.0250000000000002E-7</v>
      </c>
      <c r="AB30" s="80">
        <f>K30*'Dynamic Analysis Dashboard'!$B$10*'Dynamic Analysis Dashboard'!$B$9*'Dynamic Analysis Dashboard'!$B$21</f>
        <v>0</v>
      </c>
      <c r="AC30" s="85">
        <f>L30*'Dynamic Analysis Dashboard'!$B$11*'Dynamic Analysis Dashboard'!$B$9*'Dynamic Analysis Dashboard'!$B$21</f>
        <v>0</v>
      </c>
      <c r="AD30" s="120">
        <f t="shared" si="0"/>
        <v>2.0250000000000002E-7</v>
      </c>
      <c r="AE30" s="121">
        <f t="shared" si="1"/>
        <v>1.4175000000000001E-7</v>
      </c>
    </row>
    <row r="31" spans="1:31" hidden="1" x14ac:dyDescent="0.2">
      <c r="A31" t="s">
        <v>102</v>
      </c>
      <c r="B31" t="s">
        <v>186</v>
      </c>
      <c r="C31" t="s">
        <v>333</v>
      </c>
      <c r="D31" t="s">
        <v>166</v>
      </c>
      <c r="E31" t="s">
        <v>334</v>
      </c>
      <c r="F31" t="s">
        <v>145</v>
      </c>
      <c r="G31" t="s">
        <v>38</v>
      </c>
      <c r="H31" t="s">
        <v>311</v>
      </c>
      <c r="I31">
        <v>0</v>
      </c>
      <c r="J31">
        <v>4.0000000000000003E-7</v>
      </c>
      <c r="K31">
        <v>0</v>
      </c>
      <c r="L31">
        <v>0</v>
      </c>
      <c r="M31">
        <v>4.0000000000000003E-7</v>
      </c>
      <c r="N31">
        <v>0.75</v>
      </c>
      <c r="O31">
        <v>15</v>
      </c>
      <c r="P31">
        <v>4</v>
      </c>
      <c r="Q31">
        <v>2</v>
      </c>
      <c r="R31">
        <v>4</v>
      </c>
      <c r="S31">
        <v>2500</v>
      </c>
      <c r="T31">
        <v>9.1999999999999998E-3</v>
      </c>
      <c r="U31" t="s">
        <v>318</v>
      </c>
      <c r="V31" t="s">
        <v>335</v>
      </c>
      <c r="W31" t="s">
        <v>283</v>
      </c>
      <c r="X31" t="s">
        <v>284</v>
      </c>
      <c r="Y31" t="s">
        <v>336</v>
      </c>
      <c r="Z31" s="70">
        <f>I31*'Dynamic Analysis Dashboard'!$B$8*'Dynamic Analysis Dashboard'!$B$9*'Dynamic Analysis Dashboard'!$B$21</f>
        <v>0</v>
      </c>
      <c r="AA31" s="75">
        <f>J31*'Dynamic Analysis Dashboard'!$B$8*'Dynamic Analysis Dashboard'!$B$9*'Dynamic Analysis Dashboard'!$B$21</f>
        <v>2.7000000000000006E-7</v>
      </c>
      <c r="AB31" s="80">
        <f>K31*'Dynamic Analysis Dashboard'!$B$10*'Dynamic Analysis Dashboard'!$B$9*'Dynamic Analysis Dashboard'!$B$21</f>
        <v>0</v>
      </c>
      <c r="AC31" s="85">
        <f>L31*'Dynamic Analysis Dashboard'!$B$11*'Dynamic Analysis Dashboard'!$B$9*'Dynamic Analysis Dashboard'!$B$21</f>
        <v>0</v>
      </c>
      <c r="AD31" s="120">
        <f t="shared" si="0"/>
        <v>2.7000000000000006E-7</v>
      </c>
      <c r="AE31" s="121">
        <f t="shared" si="1"/>
        <v>2.0250000000000005E-7</v>
      </c>
    </row>
    <row r="32" spans="1:31" hidden="1" x14ac:dyDescent="0.2">
      <c r="A32" t="s">
        <v>103</v>
      </c>
      <c r="B32" t="s">
        <v>141</v>
      </c>
      <c r="C32" t="s">
        <v>337</v>
      </c>
      <c r="D32" t="s">
        <v>250</v>
      </c>
      <c r="E32" t="s">
        <v>258</v>
      </c>
      <c r="F32" t="s">
        <v>338</v>
      </c>
      <c r="G32" t="s">
        <v>24</v>
      </c>
      <c r="H32" t="s">
        <v>25</v>
      </c>
      <c r="I32">
        <v>9.0000000000000002E-6</v>
      </c>
      <c r="J32">
        <v>1.8000000000000001E-6</v>
      </c>
      <c r="K32">
        <v>2.1000000000000002E-6</v>
      </c>
      <c r="L32">
        <v>3.2000000000000003E-6</v>
      </c>
      <c r="M32">
        <v>1.6100000000000002E-5</v>
      </c>
      <c r="N32">
        <v>0.8</v>
      </c>
      <c r="O32">
        <v>9</v>
      </c>
      <c r="P32">
        <v>3</v>
      </c>
      <c r="Q32">
        <v>3</v>
      </c>
      <c r="R32">
        <v>4</v>
      </c>
      <c r="S32">
        <v>17734.400000000001</v>
      </c>
      <c r="T32">
        <v>4.0000000000000001E-3</v>
      </c>
      <c r="U32" t="s">
        <v>339</v>
      </c>
      <c r="V32" t="s">
        <v>340</v>
      </c>
      <c r="W32" t="s">
        <v>341</v>
      </c>
      <c r="X32" t="s">
        <v>342</v>
      </c>
      <c r="Y32" t="s">
        <v>343</v>
      </c>
      <c r="Z32" s="70">
        <f>I32*'Dynamic Analysis Dashboard'!$B$8*'Dynamic Analysis Dashboard'!$B$9*'Dynamic Analysis Dashboard'!$B$21</f>
        <v>6.0750000000000003E-6</v>
      </c>
      <c r="AA32" s="75">
        <f>J32*'Dynamic Analysis Dashboard'!$B$8*'Dynamic Analysis Dashboard'!$B$9*'Dynamic Analysis Dashboard'!$B$21</f>
        <v>1.2150000000000002E-6</v>
      </c>
      <c r="AB32" s="80">
        <f>K32*'Dynamic Analysis Dashboard'!$B$10*'Dynamic Analysis Dashboard'!$B$9*'Dynamic Analysis Dashboard'!$B$21</f>
        <v>1.2600000000000002E-6</v>
      </c>
      <c r="AC32" s="85">
        <f>L32*'Dynamic Analysis Dashboard'!$B$11*'Dynamic Analysis Dashboard'!$B$9*'Dynamic Analysis Dashboard'!$B$21</f>
        <v>2.04E-6</v>
      </c>
      <c r="AD32" s="120">
        <f t="shared" si="0"/>
        <v>1.0590000000000002E-5</v>
      </c>
      <c r="AE32" s="121">
        <f t="shared" si="1"/>
        <v>8.4720000000000012E-6</v>
      </c>
    </row>
    <row r="33" spans="1:31" hidden="1" x14ac:dyDescent="0.2">
      <c r="A33" t="s">
        <v>103</v>
      </c>
      <c r="B33" t="s">
        <v>123</v>
      </c>
      <c r="C33" t="s">
        <v>344</v>
      </c>
      <c r="D33" t="s">
        <v>250</v>
      </c>
      <c r="E33" t="s">
        <v>251</v>
      </c>
      <c r="F33" t="s">
        <v>252</v>
      </c>
      <c r="G33" t="s">
        <v>24</v>
      </c>
      <c r="H33" t="s">
        <v>28</v>
      </c>
      <c r="I33">
        <v>1.26E-5</v>
      </c>
      <c r="J33">
        <v>4.5000000000000001E-6</v>
      </c>
      <c r="K33">
        <v>1.3999999999999999E-6</v>
      </c>
      <c r="L33">
        <v>0</v>
      </c>
      <c r="M33">
        <v>1.8499999999999999E-5</v>
      </c>
      <c r="N33">
        <v>0.75</v>
      </c>
      <c r="O33">
        <v>12</v>
      </c>
      <c r="P33">
        <v>4</v>
      </c>
      <c r="Q33">
        <v>3</v>
      </c>
      <c r="R33">
        <v>4</v>
      </c>
      <c r="S33">
        <v>104640</v>
      </c>
      <c r="T33">
        <v>2.3600000000000003E-2</v>
      </c>
      <c r="U33" t="s">
        <v>339</v>
      </c>
      <c r="V33" t="s">
        <v>345</v>
      </c>
      <c r="W33" t="s">
        <v>346</v>
      </c>
      <c r="X33" t="s">
        <v>347</v>
      </c>
      <c r="Y33" t="s">
        <v>348</v>
      </c>
      <c r="Z33" s="70">
        <f>I33*'Dynamic Analysis Dashboard'!$B$8*'Dynamic Analysis Dashboard'!$B$9*'Dynamic Analysis Dashboard'!$B$21</f>
        <v>8.5050000000000007E-6</v>
      </c>
      <c r="AA33" s="75">
        <f>J33*'Dynamic Analysis Dashboard'!$B$8*'Dynamic Analysis Dashboard'!$B$9*'Dynamic Analysis Dashboard'!$B$21</f>
        <v>3.0375000000000001E-6</v>
      </c>
      <c r="AB33" s="80">
        <f>K33*'Dynamic Analysis Dashboard'!$B$10*'Dynamic Analysis Dashboard'!$B$9*'Dynamic Analysis Dashboard'!$B$21</f>
        <v>8.4E-7</v>
      </c>
      <c r="AC33" s="85">
        <f>L33*'Dynamic Analysis Dashboard'!$B$11*'Dynamic Analysis Dashboard'!$B$9*'Dynamic Analysis Dashboard'!$B$21</f>
        <v>0</v>
      </c>
      <c r="AD33" s="120">
        <f t="shared" si="0"/>
        <v>1.23825E-5</v>
      </c>
      <c r="AE33" s="121">
        <f t="shared" si="1"/>
        <v>9.2868750000000008E-6</v>
      </c>
    </row>
    <row r="34" spans="1:31" hidden="1" x14ac:dyDescent="0.2">
      <c r="A34" t="s">
        <v>103</v>
      </c>
      <c r="B34" t="s">
        <v>133</v>
      </c>
      <c r="C34" t="s">
        <v>349</v>
      </c>
      <c r="D34" t="s">
        <v>236</v>
      </c>
      <c r="E34" t="s">
        <v>237</v>
      </c>
      <c r="F34" t="s">
        <v>259</v>
      </c>
      <c r="G34" t="s">
        <v>24</v>
      </c>
      <c r="H34" t="s">
        <v>28</v>
      </c>
      <c r="I34">
        <v>2.7E-6</v>
      </c>
      <c r="J34">
        <v>5.7000000000000005E-6</v>
      </c>
      <c r="K34">
        <v>9.0000000000000007E-7</v>
      </c>
      <c r="L34">
        <v>4.7999999999999998E-6</v>
      </c>
      <c r="M34">
        <v>1.4099999999999999E-5</v>
      </c>
      <c r="N34">
        <v>0.75</v>
      </c>
      <c r="O34">
        <v>8</v>
      </c>
      <c r="P34">
        <v>3</v>
      </c>
      <c r="Q34">
        <v>3</v>
      </c>
      <c r="R34">
        <v>3</v>
      </c>
      <c r="S34">
        <v>5600</v>
      </c>
      <c r="T34">
        <v>1.1999999999999999E-3</v>
      </c>
      <c r="U34" t="s">
        <v>339</v>
      </c>
      <c r="V34" t="s">
        <v>350</v>
      </c>
      <c r="W34" t="s">
        <v>351</v>
      </c>
      <c r="X34" t="s">
        <v>352</v>
      </c>
      <c r="Y34" t="s">
        <v>353</v>
      </c>
      <c r="Z34" s="70">
        <f>I34*'Dynamic Analysis Dashboard'!$B$8*'Dynamic Analysis Dashboard'!$B$9*'Dynamic Analysis Dashboard'!$B$21</f>
        <v>1.8224999999999999E-6</v>
      </c>
      <c r="AA34" s="75">
        <f>J34*'Dynamic Analysis Dashboard'!$B$8*'Dynamic Analysis Dashboard'!$B$9*'Dynamic Analysis Dashboard'!$B$21</f>
        <v>3.8475000000000009E-6</v>
      </c>
      <c r="AB34" s="80">
        <f>K34*'Dynamic Analysis Dashboard'!$B$10*'Dynamic Analysis Dashboard'!$B$9*'Dynamic Analysis Dashboard'!$B$21</f>
        <v>5.4000000000000012E-7</v>
      </c>
      <c r="AC34" s="85">
        <f>L34*'Dynamic Analysis Dashboard'!$B$11*'Dynamic Analysis Dashboard'!$B$9*'Dynamic Analysis Dashboard'!$B$21</f>
        <v>3.0599999999999999E-6</v>
      </c>
      <c r="AD34" s="120">
        <f t="shared" si="0"/>
        <v>9.270000000000001E-6</v>
      </c>
      <c r="AE34" s="121">
        <f t="shared" si="1"/>
        <v>6.9525000000000008E-6</v>
      </c>
    </row>
    <row r="35" spans="1:31" hidden="1" x14ac:dyDescent="0.2">
      <c r="A35" t="s">
        <v>103</v>
      </c>
      <c r="B35" t="s">
        <v>172</v>
      </c>
      <c r="C35" t="s">
        <v>354</v>
      </c>
      <c r="D35" t="s">
        <v>355</v>
      </c>
      <c r="E35" t="s">
        <v>356</v>
      </c>
      <c r="F35" t="s">
        <v>357</v>
      </c>
      <c r="G35" t="s">
        <v>24</v>
      </c>
      <c r="H35" t="s">
        <v>28</v>
      </c>
      <c r="I35">
        <v>1.8000000000000001E-6</v>
      </c>
      <c r="J35">
        <v>7.2000000000000005E-6</v>
      </c>
      <c r="K35">
        <v>0</v>
      </c>
      <c r="L35">
        <v>4.5000000000000001E-6</v>
      </c>
      <c r="M35">
        <v>1.3499999999999999E-5</v>
      </c>
      <c r="N35">
        <v>0.7</v>
      </c>
      <c r="O35">
        <v>9</v>
      </c>
      <c r="P35">
        <v>3</v>
      </c>
      <c r="Q35">
        <v>3</v>
      </c>
      <c r="R35">
        <v>3</v>
      </c>
      <c r="S35">
        <v>10000</v>
      </c>
      <c r="T35">
        <v>2.2000000000000001E-3</v>
      </c>
      <c r="U35" t="s">
        <v>339</v>
      </c>
      <c r="V35" t="s">
        <v>358</v>
      </c>
      <c r="W35" t="s">
        <v>359</v>
      </c>
      <c r="X35" t="s">
        <v>360</v>
      </c>
      <c r="Y35" t="s">
        <v>361</v>
      </c>
      <c r="Z35" s="70">
        <f>I35*'Dynamic Analysis Dashboard'!$B$8*'Dynamic Analysis Dashboard'!$B$9*'Dynamic Analysis Dashboard'!$B$21</f>
        <v>1.2150000000000002E-6</v>
      </c>
      <c r="AA35" s="75">
        <f>J35*'Dynamic Analysis Dashboard'!$B$8*'Dynamic Analysis Dashboard'!$B$9*'Dynamic Analysis Dashboard'!$B$21</f>
        <v>4.8600000000000009E-6</v>
      </c>
      <c r="AB35" s="80">
        <f>K35*'Dynamic Analysis Dashboard'!$B$10*'Dynamic Analysis Dashboard'!$B$9*'Dynamic Analysis Dashboard'!$B$21</f>
        <v>0</v>
      </c>
      <c r="AC35" s="85">
        <f>L35*'Dynamic Analysis Dashboard'!$B$11*'Dynamic Analysis Dashboard'!$B$9*'Dynamic Analysis Dashboard'!$B$21</f>
        <v>2.8687499999999999E-6</v>
      </c>
      <c r="AD35" s="120">
        <f t="shared" si="0"/>
        <v>8.9437500000000006E-6</v>
      </c>
      <c r="AE35" s="121">
        <f t="shared" si="1"/>
        <v>6.2606249999999999E-6</v>
      </c>
    </row>
    <row r="36" spans="1:31" hidden="1" x14ac:dyDescent="0.2">
      <c r="A36" t="s">
        <v>103</v>
      </c>
      <c r="B36" t="s">
        <v>194</v>
      </c>
      <c r="C36" t="s">
        <v>362</v>
      </c>
      <c r="D36" t="s">
        <v>363</v>
      </c>
      <c r="E36" t="s">
        <v>364</v>
      </c>
      <c r="F36" t="s">
        <v>274</v>
      </c>
      <c r="G36" t="s">
        <v>24</v>
      </c>
      <c r="H36" t="s">
        <v>25</v>
      </c>
      <c r="I36">
        <v>9.0000000000000007E-7</v>
      </c>
      <c r="J36">
        <v>2.7999999999999999E-6</v>
      </c>
      <c r="K36">
        <v>4.9999999999999998E-7</v>
      </c>
      <c r="L36">
        <v>0</v>
      </c>
      <c r="M36">
        <v>4.2000000000000004E-6</v>
      </c>
      <c r="N36">
        <v>0.8</v>
      </c>
      <c r="O36">
        <v>6</v>
      </c>
      <c r="P36">
        <v>2</v>
      </c>
      <c r="Q36">
        <v>3</v>
      </c>
      <c r="R36">
        <v>2</v>
      </c>
      <c r="S36">
        <v>140.4</v>
      </c>
      <c r="T36">
        <v>32</v>
      </c>
      <c r="U36" t="s">
        <v>339</v>
      </c>
      <c r="V36" t="s">
        <v>365</v>
      </c>
      <c r="W36" t="s">
        <v>366</v>
      </c>
      <c r="X36" t="s">
        <v>347</v>
      </c>
      <c r="Y36" t="s">
        <v>367</v>
      </c>
      <c r="Z36" s="70">
        <f>I36*'Dynamic Analysis Dashboard'!$B$8*'Dynamic Analysis Dashboard'!$B$9*'Dynamic Analysis Dashboard'!$B$21</f>
        <v>6.0750000000000011E-7</v>
      </c>
      <c r="AA36" s="75">
        <f>J36*'Dynamic Analysis Dashboard'!$B$8*'Dynamic Analysis Dashboard'!$B$9*'Dynamic Analysis Dashboard'!$B$21</f>
        <v>1.8900000000000001E-6</v>
      </c>
      <c r="AB36" s="80">
        <f>K36*'Dynamic Analysis Dashboard'!$B$10*'Dynamic Analysis Dashboard'!$B$9*'Dynamic Analysis Dashboard'!$B$21</f>
        <v>2.9999999999999999E-7</v>
      </c>
      <c r="AC36" s="85">
        <f>L36*'Dynamic Analysis Dashboard'!$B$11*'Dynamic Analysis Dashboard'!$B$9*'Dynamic Analysis Dashboard'!$B$21</f>
        <v>0</v>
      </c>
      <c r="AD36" s="120">
        <f t="shared" si="0"/>
        <v>2.7975000000000003E-6</v>
      </c>
      <c r="AE36" s="121">
        <f t="shared" si="1"/>
        <v>2.2380000000000004E-6</v>
      </c>
    </row>
    <row r="37" spans="1:31" hidden="1" x14ac:dyDescent="0.2">
      <c r="A37" t="s">
        <v>103</v>
      </c>
      <c r="B37" t="s">
        <v>149</v>
      </c>
      <c r="C37" t="s">
        <v>368</v>
      </c>
      <c r="D37" t="s">
        <v>250</v>
      </c>
      <c r="E37" t="s">
        <v>369</v>
      </c>
      <c r="F37" t="s">
        <v>289</v>
      </c>
      <c r="G37" t="s">
        <v>38</v>
      </c>
      <c r="H37" t="s">
        <v>33</v>
      </c>
      <c r="I37">
        <v>3.7999999999999996E-6</v>
      </c>
      <c r="J37">
        <v>2.7999999999999999E-6</v>
      </c>
      <c r="K37">
        <v>1.9999999999999999E-6</v>
      </c>
      <c r="L37">
        <v>0</v>
      </c>
      <c r="M37">
        <v>8.599999999999999E-6</v>
      </c>
      <c r="N37">
        <v>0.7</v>
      </c>
      <c r="O37">
        <v>12</v>
      </c>
      <c r="P37">
        <v>3</v>
      </c>
      <c r="Q37">
        <v>2</v>
      </c>
      <c r="R37">
        <v>4</v>
      </c>
      <c r="S37">
        <v>75000</v>
      </c>
      <c r="T37">
        <v>1.6199999999999999E-2</v>
      </c>
      <c r="U37" t="s">
        <v>339</v>
      </c>
      <c r="V37" t="s">
        <v>370</v>
      </c>
      <c r="W37" t="s">
        <v>371</v>
      </c>
      <c r="X37" t="s">
        <v>347</v>
      </c>
      <c r="Y37" t="s">
        <v>372</v>
      </c>
      <c r="Z37" s="70">
        <f>I37*'Dynamic Analysis Dashboard'!$B$8*'Dynamic Analysis Dashboard'!$B$9*'Dynamic Analysis Dashboard'!$B$21</f>
        <v>2.565E-6</v>
      </c>
      <c r="AA37" s="75">
        <f>J37*'Dynamic Analysis Dashboard'!$B$8*'Dynamic Analysis Dashboard'!$B$9*'Dynamic Analysis Dashboard'!$B$21</f>
        <v>1.8900000000000001E-6</v>
      </c>
      <c r="AB37" s="80">
        <f>K37*'Dynamic Analysis Dashboard'!$B$10*'Dynamic Analysis Dashboard'!$B$9*'Dynamic Analysis Dashboard'!$B$21</f>
        <v>1.1999999999999999E-6</v>
      </c>
      <c r="AC37" s="85">
        <f>L37*'Dynamic Analysis Dashboard'!$B$11*'Dynamic Analysis Dashboard'!$B$9*'Dynamic Analysis Dashboard'!$B$21</f>
        <v>0</v>
      </c>
      <c r="AD37" s="120">
        <f t="shared" si="0"/>
        <v>5.6550000000000009E-6</v>
      </c>
      <c r="AE37" s="121">
        <f t="shared" si="1"/>
        <v>3.9585000000000003E-6</v>
      </c>
    </row>
    <row r="38" spans="1:31" hidden="1" x14ac:dyDescent="0.2">
      <c r="A38" t="s">
        <v>103</v>
      </c>
      <c r="B38" t="s">
        <v>156</v>
      </c>
      <c r="C38" t="s">
        <v>373</v>
      </c>
      <c r="D38" t="s">
        <v>236</v>
      </c>
      <c r="E38" t="s">
        <v>197</v>
      </c>
      <c r="F38" t="s">
        <v>374</v>
      </c>
      <c r="G38" t="s">
        <v>38</v>
      </c>
      <c r="H38" t="s">
        <v>33</v>
      </c>
      <c r="I38">
        <v>3.6000000000000003E-6</v>
      </c>
      <c r="J38">
        <v>1.8000000000000001E-6</v>
      </c>
      <c r="K38">
        <v>0</v>
      </c>
      <c r="L38">
        <v>6.4000000000000006E-6</v>
      </c>
      <c r="M38">
        <v>1.1800000000000001E-5</v>
      </c>
      <c r="N38">
        <v>0.8</v>
      </c>
      <c r="O38">
        <v>10</v>
      </c>
      <c r="P38">
        <v>3</v>
      </c>
      <c r="Q38">
        <v>2</v>
      </c>
      <c r="R38">
        <v>4</v>
      </c>
      <c r="S38">
        <v>22072</v>
      </c>
      <c r="T38">
        <v>5.0000000000000001E-3</v>
      </c>
      <c r="U38" t="s">
        <v>339</v>
      </c>
      <c r="V38" t="s">
        <v>375</v>
      </c>
      <c r="W38" t="s">
        <v>359</v>
      </c>
      <c r="X38" t="s">
        <v>376</v>
      </c>
      <c r="Y38" t="s">
        <v>377</v>
      </c>
      <c r="Z38" s="70">
        <f>I38*'Dynamic Analysis Dashboard'!$B$8*'Dynamic Analysis Dashboard'!$B$9*'Dynamic Analysis Dashboard'!$B$21</f>
        <v>2.4300000000000005E-6</v>
      </c>
      <c r="AA38" s="75">
        <f>J38*'Dynamic Analysis Dashboard'!$B$8*'Dynamic Analysis Dashboard'!$B$9*'Dynamic Analysis Dashboard'!$B$21</f>
        <v>1.2150000000000002E-6</v>
      </c>
      <c r="AB38" s="80">
        <f>K38*'Dynamic Analysis Dashboard'!$B$10*'Dynamic Analysis Dashboard'!$B$9*'Dynamic Analysis Dashboard'!$B$21</f>
        <v>0</v>
      </c>
      <c r="AC38" s="85">
        <f>L38*'Dynamic Analysis Dashboard'!$B$11*'Dynamic Analysis Dashboard'!$B$9*'Dynamic Analysis Dashboard'!$B$21</f>
        <v>4.0799999999999999E-6</v>
      </c>
      <c r="AD38" s="120">
        <f t="shared" si="0"/>
        <v>7.7250000000000014E-6</v>
      </c>
      <c r="AE38" s="121">
        <f t="shared" si="1"/>
        <v>6.1800000000000018E-6</v>
      </c>
    </row>
    <row r="39" spans="1:31" hidden="1" x14ac:dyDescent="0.2">
      <c r="A39" t="s">
        <v>103</v>
      </c>
      <c r="B39" t="s">
        <v>164</v>
      </c>
      <c r="C39" t="s">
        <v>378</v>
      </c>
      <c r="D39" t="s">
        <v>236</v>
      </c>
      <c r="E39" t="s">
        <v>379</v>
      </c>
      <c r="F39" t="s">
        <v>338</v>
      </c>
      <c r="G39" t="s">
        <v>31</v>
      </c>
      <c r="H39" t="s">
        <v>25</v>
      </c>
      <c r="I39">
        <v>3.2000000000000003E-6</v>
      </c>
      <c r="J39">
        <v>6.8000000000000001E-6</v>
      </c>
      <c r="K39">
        <v>0</v>
      </c>
      <c r="L39">
        <v>8.1999999999999994E-6</v>
      </c>
      <c r="M39">
        <v>1.8199999999999999E-5</v>
      </c>
      <c r="N39">
        <v>0.75</v>
      </c>
      <c r="O39">
        <v>8</v>
      </c>
      <c r="P39">
        <v>3</v>
      </c>
      <c r="Q39">
        <v>3</v>
      </c>
      <c r="R39">
        <v>3</v>
      </c>
      <c r="S39">
        <v>19600</v>
      </c>
      <c r="T39">
        <v>4.3E-3</v>
      </c>
      <c r="U39" t="s">
        <v>339</v>
      </c>
      <c r="V39" t="s">
        <v>380</v>
      </c>
      <c r="W39" t="s">
        <v>359</v>
      </c>
      <c r="X39" t="s">
        <v>381</v>
      </c>
      <c r="Y39" t="s">
        <v>382</v>
      </c>
      <c r="Z39" s="70">
        <f>I39*'Dynamic Analysis Dashboard'!$B$8*'Dynamic Analysis Dashboard'!$B$9*'Dynamic Analysis Dashboard'!$B$21</f>
        <v>2.1600000000000005E-6</v>
      </c>
      <c r="AA39" s="75">
        <f>J39*'Dynamic Analysis Dashboard'!$B$8*'Dynamic Analysis Dashboard'!$B$9*'Dynamic Analysis Dashboard'!$B$21</f>
        <v>4.5900000000000001E-6</v>
      </c>
      <c r="AB39" s="80">
        <f>K39*'Dynamic Analysis Dashboard'!$B$10*'Dynamic Analysis Dashboard'!$B$9*'Dynamic Analysis Dashboard'!$B$21</f>
        <v>0</v>
      </c>
      <c r="AC39" s="85">
        <f>L39*'Dynamic Analysis Dashboard'!$B$11*'Dynamic Analysis Dashboard'!$B$9*'Dynamic Analysis Dashboard'!$B$21</f>
        <v>5.2274999999999995E-6</v>
      </c>
      <c r="AD39" s="120">
        <f t="shared" si="0"/>
        <v>1.19775E-5</v>
      </c>
      <c r="AE39" s="121">
        <f t="shared" si="1"/>
        <v>8.9831250000000005E-6</v>
      </c>
    </row>
    <row r="40" spans="1:31" hidden="1" x14ac:dyDescent="0.2">
      <c r="A40" t="s">
        <v>103</v>
      </c>
      <c r="B40" t="s">
        <v>179</v>
      </c>
      <c r="C40" t="s">
        <v>383</v>
      </c>
      <c r="D40" t="s">
        <v>384</v>
      </c>
      <c r="E40" t="s">
        <v>385</v>
      </c>
      <c r="F40" t="s">
        <v>223</v>
      </c>
      <c r="G40" t="s">
        <v>38</v>
      </c>
      <c r="H40" t="s">
        <v>311</v>
      </c>
      <c r="I40">
        <v>1.3999999999999999E-6</v>
      </c>
      <c r="J40">
        <v>2.5000000000000002E-6</v>
      </c>
      <c r="K40">
        <v>0</v>
      </c>
      <c r="L40">
        <v>0</v>
      </c>
      <c r="M40">
        <v>3.8999999999999999E-6</v>
      </c>
      <c r="N40">
        <v>0.65</v>
      </c>
      <c r="O40">
        <v>12</v>
      </c>
      <c r="P40">
        <v>3</v>
      </c>
      <c r="Q40">
        <v>2</v>
      </c>
      <c r="R40">
        <v>4</v>
      </c>
      <c r="S40">
        <v>159000</v>
      </c>
      <c r="T40">
        <v>3.4200000000000001E-2</v>
      </c>
      <c r="U40" t="s">
        <v>339</v>
      </c>
      <c r="V40" t="s">
        <v>386</v>
      </c>
      <c r="W40" t="s">
        <v>359</v>
      </c>
      <c r="X40" t="s">
        <v>347</v>
      </c>
      <c r="Y40" t="s">
        <v>387</v>
      </c>
      <c r="Z40" s="70">
        <f>I40*'Dynamic Analysis Dashboard'!$B$8*'Dynamic Analysis Dashboard'!$B$9*'Dynamic Analysis Dashboard'!$B$21</f>
        <v>9.4500000000000006E-7</v>
      </c>
      <c r="AA40" s="75">
        <f>J40*'Dynamic Analysis Dashboard'!$B$8*'Dynamic Analysis Dashboard'!$B$9*'Dynamic Analysis Dashboard'!$B$21</f>
        <v>1.6874999999999999E-6</v>
      </c>
      <c r="AB40" s="80">
        <f>K40*'Dynamic Analysis Dashboard'!$B$10*'Dynamic Analysis Dashboard'!$B$9*'Dynamic Analysis Dashboard'!$B$21</f>
        <v>0</v>
      </c>
      <c r="AC40" s="85">
        <f>L40*'Dynamic Analysis Dashboard'!$B$11*'Dynamic Analysis Dashboard'!$B$9*'Dynamic Analysis Dashboard'!$B$21</f>
        <v>0</v>
      </c>
      <c r="AD40" s="120">
        <f t="shared" si="0"/>
        <v>2.6324999999999998E-6</v>
      </c>
      <c r="AE40" s="121">
        <f t="shared" si="1"/>
        <v>1.7111249999999999E-6</v>
      </c>
    </row>
    <row r="41" spans="1:31" hidden="1" x14ac:dyDescent="0.2">
      <c r="A41" t="s">
        <v>103</v>
      </c>
      <c r="B41" t="s">
        <v>186</v>
      </c>
      <c r="C41" t="s">
        <v>388</v>
      </c>
      <c r="D41" t="s">
        <v>221</v>
      </c>
      <c r="E41" t="s">
        <v>389</v>
      </c>
      <c r="F41" t="s">
        <v>267</v>
      </c>
      <c r="G41" t="s">
        <v>38</v>
      </c>
      <c r="H41" t="s">
        <v>33</v>
      </c>
      <c r="I41">
        <v>1.8999999999999998E-6</v>
      </c>
      <c r="J41">
        <v>1.8000000000000001E-6</v>
      </c>
      <c r="K41">
        <v>8.0000000000000007E-7</v>
      </c>
      <c r="L41">
        <v>0</v>
      </c>
      <c r="M41">
        <v>4.5000000000000001E-6</v>
      </c>
      <c r="N41">
        <v>0.75</v>
      </c>
      <c r="O41">
        <v>8</v>
      </c>
      <c r="P41">
        <v>3</v>
      </c>
      <c r="Q41">
        <v>3</v>
      </c>
      <c r="R41">
        <v>3</v>
      </c>
      <c r="S41">
        <v>3024</v>
      </c>
      <c r="T41">
        <v>700</v>
      </c>
      <c r="U41" t="s">
        <v>339</v>
      </c>
      <c r="V41" t="s">
        <v>390</v>
      </c>
      <c r="W41" t="s">
        <v>391</v>
      </c>
      <c r="X41" t="s">
        <v>347</v>
      </c>
      <c r="Y41" t="s">
        <v>392</v>
      </c>
      <c r="Z41" s="70">
        <f>I41*'Dynamic Analysis Dashboard'!$B$8*'Dynamic Analysis Dashboard'!$B$9*'Dynamic Analysis Dashboard'!$B$21</f>
        <v>1.2825E-6</v>
      </c>
      <c r="AA41" s="75">
        <f>J41*'Dynamic Analysis Dashboard'!$B$8*'Dynamic Analysis Dashboard'!$B$9*'Dynamic Analysis Dashboard'!$B$21</f>
        <v>1.2150000000000002E-6</v>
      </c>
      <c r="AB41" s="80">
        <f>K41*'Dynamic Analysis Dashboard'!$B$10*'Dynamic Analysis Dashboard'!$B$9*'Dynamic Analysis Dashboard'!$B$21</f>
        <v>4.8000000000000006E-7</v>
      </c>
      <c r="AC41" s="85">
        <f>L41*'Dynamic Analysis Dashboard'!$B$11*'Dynamic Analysis Dashboard'!$B$9*'Dynamic Analysis Dashboard'!$B$21</f>
        <v>0</v>
      </c>
      <c r="AD41" s="120">
        <f t="shared" si="0"/>
        <v>2.9775000000000003E-6</v>
      </c>
      <c r="AE41" s="121">
        <f t="shared" si="1"/>
        <v>2.2331250000000003E-6</v>
      </c>
    </row>
    <row r="42" spans="1:31" x14ac:dyDescent="0.2">
      <c r="A42" t="s">
        <v>53</v>
      </c>
      <c r="B42" t="s">
        <v>141</v>
      </c>
      <c r="C42" t="s">
        <v>393</v>
      </c>
      <c r="D42" t="s">
        <v>250</v>
      </c>
      <c r="E42" t="s">
        <v>394</v>
      </c>
      <c r="F42" t="s">
        <v>395</v>
      </c>
      <c r="G42" t="s">
        <v>24</v>
      </c>
      <c r="H42" t="s">
        <v>28</v>
      </c>
      <c r="I42">
        <v>3.0599999999999998E-5</v>
      </c>
      <c r="J42">
        <v>0</v>
      </c>
      <c r="K42">
        <v>1.3999999999999999E-6</v>
      </c>
      <c r="L42">
        <v>0</v>
      </c>
      <c r="M42">
        <v>3.1699999999999998E-5</v>
      </c>
      <c r="N42">
        <v>0.8</v>
      </c>
      <c r="O42">
        <v>12</v>
      </c>
      <c r="P42">
        <v>4</v>
      </c>
      <c r="Q42">
        <v>2</v>
      </c>
      <c r="R42">
        <v>5</v>
      </c>
      <c r="S42">
        <v>1455000</v>
      </c>
      <c r="T42">
        <v>30.555</v>
      </c>
      <c r="U42" t="s">
        <v>396</v>
      </c>
      <c r="V42" t="s">
        <v>129</v>
      </c>
      <c r="W42" t="s">
        <v>397</v>
      </c>
      <c r="X42" t="s">
        <v>284</v>
      </c>
      <c r="Y42" t="s">
        <v>398</v>
      </c>
      <c r="Z42" s="70">
        <f>I42*'Dynamic Analysis Dashboard'!$B$8*'Dynamic Analysis Dashboard'!$B$9*'Dynamic Analysis Dashboard'!$B$21</f>
        <v>2.0655000000000001E-5</v>
      </c>
      <c r="AA42" s="75">
        <f>J42*'Dynamic Analysis Dashboard'!$B$8*'Dynamic Analysis Dashboard'!$B$9*'Dynamic Analysis Dashboard'!$B$21</f>
        <v>0</v>
      </c>
      <c r="AB42" s="80">
        <f>K42*'Dynamic Analysis Dashboard'!$B$10*'Dynamic Analysis Dashboard'!$B$9*'Dynamic Analysis Dashboard'!$B$21</f>
        <v>8.4E-7</v>
      </c>
      <c r="AC42" s="85">
        <f>L42*'Dynamic Analysis Dashboard'!$B$11*'Dynamic Analysis Dashboard'!$B$9*'Dynamic Analysis Dashboard'!$B$21</f>
        <v>0</v>
      </c>
      <c r="AD42" s="120">
        <f t="shared" si="0"/>
        <v>2.1495E-5</v>
      </c>
      <c r="AE42" s="121">
        <f t="shared" si="1"/>
        <v>1.7195999999999999E-5</v>
      </c>
    </row>
    <row r="43" spans="1:31" x14ac:dyDescent="0.2">
      <c r="A43" t="s">
        <v>53</v>
      </c>
      <c r="B43" t="s">
        <v>156</v>
      </c>
      <c r="C43" t="s">
        <v>399</v>
      </c>
      <c r="D43" t="s">
        <v>250</v>
      </c>
      <c r="E43" t="s">
        <v>400</v>
      </c>
      <c r="F43" t="s">
        <v>401</v>
      </c>
      <c r="G43" t="s">
        <v>24</v>
      </c>
      <c r="H43" t="s">
        <v>28</v>
      </c>
      <c r="I43">
        <v>2.7E-6</v>
      </c>
      <c r="J43">
        <v>8.1000000000000004E-6</v>
      </c>
      <c r="K43">
        <v>9.0000000000000007E-7</v>
      </c>
      <c r="L43">
        <v>0</v>
      </c>
      <c r="M43">
        <v>1.17E-5</v>
      </c>
      <c r="N43">
        <v>0.75</v>
      </c>
      <c r="O43">
        <v>6</v>
      </c>
      <c r="P43">
        <v>2</v>
      </c>
      <c r="Q43">
        <v>3</v>
      </c>
      <c r="R43">
        <v>2</v>
      </c>
      <c r="S43">
        <v>645000</v>
      </c>
      <c r="T43">
        <v>15.75</v>
      </c>
      <c r="U43" t="s">
        <v>402</v>
      </c>
      <c r="V43" t="s">
        <v>403</v>
      </c>
      <c r="W43" t="s">
        <v>404</v>
      </c>
      <c r="X43" t="s">
        <v>284</v>
      </c>
      <c r="Y43" t="s">
        <v>405</v>
      </c>
      <c r="Z43" s="70">
        <f>I43*'Dynamic Analysis Dashboard'!$B$8*'Dynamic Analysis Dashboard'!$B$9*'Dynamic Analysis Dashboard'!$B$21</f>
        <v>1.8224999999999999E-6</v>
      </c>
      <c r="AA43" s="75">
        <f>J43*'Dynamic Analysis Dashboard'!$B$8*'Dynamic Analysis Dashboard'!$B$9*'Dynamic Analysis Dashboard'!$B$21</f>
        <v>5.4675000000000006E-6</v>
      </c>
      <c r="AB43" s="80">
        <f>K43*'Dynamic Analysis Dashboard'!$B$10*'Dynamic Analysis Dashboard'!$B$9*'Dynamic Analysis Dashboard'!$B$21</f>
        <v>5.4000000000000012E-7</v>
      </c>
      <c r="AC43" s="85">
        <f>L43*'Dynamic Analysis Dashboard'!$B$11*'Dynamic Analysis Dashboard'!$B$9*'Dynamic Analysis Dashboard'!$B$21</f>
        <v>0</v>
      </c>
      <c r="AD43" s="120">
        <f t="shared" si="0"/>
        <v>7.8300000000000013E-6</v>
      </c>
      <c r="AE43" s="121">
        <f t="shared" si="1"/>
        <v>5.8725000000000009E-6</v>
      </c>
    </row>
    <row r="44" spans="1:31" hidden="1" x14ac:dyDescent="0.2">
      <c r="A44" t="s">
        <v>53</v>
      </c>
      <c r="B44" t="s">
        <v>123</v>
      </c>
      <c r="C44" t="s">
        <v>406</v>
      </c>
      <c r="D44" t="s">
        <v>250</v>
      </c>
      <c r="E44" t="s">
        <v>407</v>
      </c>
      <c r="F44" t="s">
        <v>324</v>
      </c>
      <c r="G44" t="s">
        <v>38</v>
      </c>
      <c r="H44" t="s">
        <v>33</v>
      </c>
      <c r="I44">
        <v>9.5000000000000005E-6</v>
      </c>
      <c r="J44">
        <v>1.5199999999999998E-5</v>
      </c>
      <c r="K44">
        <v>2.7E-6</v>
      </c>
      <c r="L44">
        <v>0</v>
      </c>
      <c r="M44">
        <v>1.7499999999999998E-5</v>
      </c>
      <c r="N44">
        <v>0.7</v>
      </c>
      <c r="O44">
        <v>15</v>
      </c>
      <c r="P44">
        <v>4</v>
      </c>
      <c r="Q44">
        <v>3</v>
      </c>
      <c r="R44">
        <v>4</v>
      </c>
      <c r="S44">
        <v>569500</v>
      </c>
      <c r="T44">
        <v>17.504999999999999</v>
      </c>
      <c r="U44" t="s">
        <v>408</v>
      </c>
      <c r="V44" t="s">
        <v>409</v>
      </c>
      <c r="W44" t="s">
        <v>410</v>
      </c>
      <c r="X44" t="s">
        <v>284</v>
      </c>
      <c r="Y44" t="s">
        <v>411</v>
      </c>
      <c r="Z44" s="70">
        <f>I44*'Dynamic Analysis Dashboard'!$B$8*'Dynamic Analysis Dashboard'!$B$9*'Dynamic Analysis Dashboard'!$B$21</f>
        <v>6.4125000000000009E-6</v>
      </c>
      <c r="AA44" s="75">
        <f>J44*'Dynamic Analysis Dashboard'!$B$8*'Dynamic Analysis Dashboard'!$B$9*'Dynamic Analysis Dashboard'!$B$21</f>
        <v>1.026E-5</v>
      </c>
      <c r="AB44" s="80">
        <f>K44*'Dynamic Analysis Dashboard'!$B$10*'Dynamic Analysis Dashboard'!$B$9*'Dynamic Analysis Dashboard'!$B$21</f>
        <v>1.6200000000000002E-6</v>
      </c>
      <c r="AC44" s="85">
        <f>L44*'Dynamic Analysis Dashboard'!$B$11*'Dynamic Analysis Dashboard'!$B$9*'Dynamic Analysis Dashboard'!$B$21</f>
        <v>0</v>
      </c>
      <c r="AD44" s="120">
        <f t="shared" si="0"/>
        <v>1.8292500000000001E-5</v>
      </c>
      <c r="AE44" s="121">
        <f t="shared" si="1"/>
        <v>1.280475E-5</v>
      </c>
    </row>
    <row r="45" spans="1:31" hidden="1" x14ac:dyDescent="0.2">
      <c r="A45" t="s">
        <v>53</v>
      </c>
      <c r="B45" t="s">
        <v>149</v>
      </c>
      <c r="C45" t="s">
        <v>412</v>
      </c>
      <c r="D45" t="s">
        <v>413</v>
      </c>
      <c r="E45" t="s">
        <v>205</v>
      </c>
      <c r="F45" t="s">
        <v>414</v>
      </c>
      <c r="G45" t="s">
        <v>31</v>
      </c>
      <c r="H45" t="s">
        <v>25</v>
      </c>
      <c r="I45">
        <v>1.3699999999999999E-5</v>
      </c>
      <c r="J45">
        <v>2.2800000000000002E-5</v>
      </c>
      <c r="K45">
        <v>0</v>
      </c>
      <c r="L45">
        <v>0</v>
      </c>
      <c r="M45">
        <v>3.0800000000000003E-5</v>
      </c>
      <c r="N45">
        <v>0.85</v>
      </c>
      <c r="O45">
        <v>9</v>
      </c>
      <c r="P45">
        <v>3</v>
      </c>
      <c r="Q45">
        <v>3</v>
      </c>
      <c r="R45">
        <v>3</v>
      </c>
      <c r="S45">
        <v>260000</v>
      </c>
      <c r="T45">
        <v>5.88</v>
      </c>
      <c r="U45" t="s">
        <v>415</v>
      </c>
      <c r="V45" t="s">
        <v>416</v>
      </c>
      <c r="W45" t="s">
        <v>417</v>
      </c>
      <c r="X45" t="s">
        <v>284</v>
      </c>
      <c r="Y45" t="s">
        <v>418</v>
      </c>
      <c r="Z45" s="70">
        <f>I45*'Dynamic Analysis Dashboard'!$B$8*'Dynamic Analysis Dashboard'!$B$9*'Dynamic Analysis Dashboard'!$B$21</f>
        <v>9.2474999999999991E-6</v>
      </c>
      <c r="AA45" s="75">
        <f>J45*'Dynamic Analysis Dashboard'!$B$8*'Dynamic Analysis Dashboard'!$B$9*'Dynamic Analysis Dashboard'!$B$21</f>
        <v>1.5390000000000003E-5</v>
      </c>
      <c r="AB45" s="80">
        <f>K45*'Dynamic Analysis Dashboard'!$B$10*'Dynamic Analysis Dashboard'!$B$9*'Dynamic Analysis Dashboard'!$B$21</f>
        <v>0</v>
      </c>
      <c r="AC45" s="85">
        <f>L45*'Dynamic Analysis Dashboard'!$B$11*'Dynamic Analysis Dashboard'!$B$9*'Dynamic Analysis Dashboard'!$B$21</f>
        <v>0</v>
      </c>
      <c r="AD45" s="120">
        <f t="shared" si="0"/>
        <v>2.4637500000000003E-5</v>
      </c>
      <c r="AE45" s="121">
        <f t="shared" si="1"/>
        <v>2.0941875000000002E-5</v>
      </c>
    </row>
    <row r="46" spans="1:31" hidden="1" x14ac:dyDescent="0.2">
      <c r="A46" t="s">
        <v>53</v>
      </c>
      <c r="B46" t="s">
        <v>133</v>
      </c>
      <c r="C46" t="s">
        <v>419</v>
      </c>
      <c r="D46" t="s">
        <v>413</v>
      </c>
      <c r="E46" t="s">
        <v>420</v>
      </c>
      <c r="F46" t="s">
        <v>206</v>
      </c>
      <c r="G46" t="s">
        <v>31</v>
      </c>
      <c r="H46" t="s">
        <v>25</v>
      </c>
      <c r="I46">
        <v>0</v>
      </c>
      <c r="J46">
        <v>2.05E-5</v>
      </c>
      <c r="K46">
        <v>0</v>
      </c>
      <c r="L46">
        <v>4.0999999999999997E-6</v>
      </c>
      <c r="M46">
        <v>2.4600000000000002E-5</v>
      </c>
      <c r="N46">
        <v>0.8</v>
      </c>
      <c r="O46">
        <v>6</v>
      </c>
      <c r="P46">
        <v>2</v>
      </c>
      <c r="Q46">
        <v>4</v>
      </c>
      <c r="R46">
        <v>2</v>
      </c>
      <c r="S46">
        <v>271250</v>
      </c>
      <c r="T46">
        <v>6.7949999999999999</v>
      </c>
      <c r="U46" t="s">
        <v>421</v>
      </c>
      <c r="V46" t="s">
        <v>422</v>
      </c>
      <c r="W46" t="s">
        <v>417</v>
      </c>
      <c r="X46" t="s">
        <v>423</v>
      </c>
      <c r="Y46" t="s">
        <v>424</v>
      </c>
      <c r="Z46" s="70">
        <f>I46*'Dynamic Analysis Dashboard'!$B$8*'Dynamic Analysis Dashboard'!$B$9*'Dynamic Analysis Dashboard'!$B$21</f>
        <v>0</v>
      </c>
      <c r="AA46" s="75">
        <f>J46*'Dynamic Analysis Dashboard'!$B$8*'Dynamic Analysis Dashboard'!$B$9*'Dynamic Analysis Dashboard'!$B$21</f>
        <v>1.3837500000000001E-5</v>
      </c>
      <c r="AB46" s="80">
        <f>K46*'Dynamic Analysis Dashboard'!$B$10*'Dynamic Analysis Dashboard'!$B$9*'Dynamic Analysis Dashboard'!$B$21</f>
        <v>0</v>
      </c>
      <c r="AC46" s="85">
        <f>L46*'Dynamic Analysis Dashboard'!$B$11*'Dynamic Analysis Dashboard'!$B$9*'Dynamic Analysis Dashboard'!$B$21</f>
        <v>2.6137499999999998E-6</v>
      </c>
      <c r="AD46" s="120">
        <f t="shared" si="0"/>
        <v>1.6451249999999999E-5</v>
      </c>
      <c r="AE46" s="121">
        <f t="shared" si="1"/>
        <v>1.3161E-5</v>
      </c>
    </row>
    <row r="47" spans="1:31" hidden="1" x14ac:dyDescent="0.2">
      <c r="A47" t="s">
        <v>53</v>
      </c>
      <c r="B47" t="s">
        <v>164</v>
      </c>
      <c r="C47" t="s">
        <v>425</v>
      </c>
      <c r="D47" t="s">
        <v>426</v>
      </c>
      <c r="E47" t="s">
        <v>288</v>
      </c>
      <c r="F47" t="s">
        <v>338</v>
      </c>
      <c r="G47" t="s">
        <v>38</v>
      </c>
      <c r="H47" t="s">
        <v>33</v>
      </c>
      <c r="I47">
        <v>7.2999999999999996E-6</v>
      </c>
      <c r="J47">
        <v>0</v>
      </c>
      <c r="K47">
        <v>5.7999999999999995E-6</v>
      </c>
      <c r="L47">
        <v>0</v>
      </c>
      <c r="M47">
        <v>1.31E-5</v>
      </c>
      <c r="N47">
        <v>0.7</v>
      </c>
      <c r="O47">
        <v>9</v>
      </c>
      <c r="P47">
        <v>3</v>
      </c>
      <c r="Q47">
        <v>2</v>
      </c>
      <c r="R47">
        <v>3</v>
      </c>
      <c r="S47">
        <v>132000</v>
      </c>
      <c r="T47">
        <v>5.04</v>
      </c>
      <c r="U47" t="s">
        <v>427</v>
      </c>
      <c r="V47" t="s">
        <v>282</v>
      </c>
      <c r="W47" t="s">
        <v>428</v>
      </c>
      <c r="X47" t="s">
        <v>284</v>
      </c>
      <c r="Y47" t="s">
        <v>429</v>
      </c>
      <c r="Z47" s="70">
        <f>I47*'Dynamic Analysis Dashboard'!$B$8*'Dynamic Analysis Dashboard'!$B$9*'Dynamic Analysis Dashboard'!$B$21</f>
        <v>4.9274999999999998E-6</v>
      </c>
      <c r="AA47" s="75">
        <f>J47*'Dynamic Analysis Dashboard'!$B$8*'Dynamic Analysis Dashboard'!$B$9*'Dynamic Analysis Dashboard'!$B$21</f>
        <v>0</v>
      </c>
      <c r="AB47" s="80">
        <f>K47*'Dynamic Analysis Dashboard'!$B$10*'Dynamic Analysis Dashboard'!$B$9*'Dynamic Analysis Dashboard'!$B$21</f>
        <v>3.4799999999999997E-6</v>
      </c>
      <c r="AC47" s="85">
        <f>L47*'Dynamic Analysis Dashboard'!$B$11*'Dynamic Analysis Dashboard'!$B$9*'Dynamic Analysis Dashboard'!$B$21</f>
        <v>0</v>
      </c>
      <c r="AD47" s="120">
        <f t="shared" si="0"/>
        <v>8.4075000000000004E-6</v>
      </c>
      <c r="AE47" s="121">
        <f t="shared" si="1"/>
        <v>5.8852500000000001E-6</v>
      </c>
    </row>
    <row r="48" spans="1:31" hidden="1" x14ac:dyDescent="0.2">
      <c r="A48" t="s">
        <v>53</v>
      </c>
      <c r="B48" t="s">
        <v>172</v>
      </c>
      <c r="C48" t="s">
        <v>430</v>
      </c>
      <c r="D48" t="s">
        <v>315</v>
      </c>
      <c r="E48" t="s">
        <v>431</v>
      </c>
      <c r="F48" t="s">
        <v>145</v>
      </c>
      <c r="G48" t="s">
        <v>38</v>
      </c>
      <c r="H48" t="s">
        <v>33</v>
      </c>
      <c r="I48">
        <v>3.4000000000000001E-6</v>
      </c>
      <c r="J48">
        <v>3.2000000000000003E-6</v>
      </c>
      <c r="K48">
        <v>0</v>
      </c>
      <c r="L48">
        <v>2.8999999999999998E-6</v>
      </c>
      <c r="M48">
        <v>9.3000000000000007E-6</v>
      </c>
      <c r="N48">
        <v>0.8</v>
      </c>
      <c r="O48">
        <v>9</v>
      </c>
      <c r="P48">
        <v>3</v>
      </c>
      <c r="Q48">
        <v>3</v>
      </c>
      <c r="R48">
        <v>3</v>
      </c>
      <c r="S48">
        <v>21900</v>
      </c>
      <c r="T48">
        <v>0.70199999999999996</v>
      </c>
      <c r="U48" t="s">
        <v>432</v>
      </c>
      <c r="V48" t="s">
        <v>433</v>
      </c>
      <c r="W48" t="s">
        <v>417</v>
      </c>
      <c r="X48" t="s">
        <v>434</v>
      </c>
      <c r="Y48" t="s">
        <v>435</v>
      </c>
      <c r="Z48" s="70">
        <f>I48*'Dynamic Analysis Dashboard'!$B$8*'Dynamic Analysis Dashboard'!$B$9*'Dynamic Analysis Dashboard'!$B$21</f>
        <v>2.295E-6</v>
      </c>
      <c r="AA48" s="75">
        <f>J48*'Dynamic Analysis Dashboard'!$B$8*'Dynamic Analysis Dashboard'!$B$9*'Dynamic Analysis Dashboard'!$B$21</f>
        <v>2.1600000000000005E-6</v>
      </c>
      <c r="AB48" s="80">
        <f>K48*'Dynamic Analysis Dashboard'!$B$10*'Dynamic Analysis Dashboard'!$B$9*'Dynamic Analysis Dashboard'!$B$21</f>
        <v>0</v>
      </c>
      <c r="AC48" s="85">
        <f>L48*'Dynamic Analysis Dashboard'!$B$11*'Dynamic Analysis Dashboard'!$B$9*'Dynamic Analysis Dashboard'!$B$21</f>
        <v>1.8487499999999999E-6</v>
      </c>
      <c r="AD48" s="120">
        <f t="shared" si="0"/>
        <v>6.3037500000000004E-6</v>
      </c>
      <c r="AE48" s="121">
        <f t="shared" si="1"/>
        <v>5.0430000000000007E-6</v>
      </c>
    </row>
    <row r="49" spans="1:31" hidden="1" x14ac:dyDescent="0.2">
      <c r="A49" t="s">
        <v>53</v>
      </c>
      <c r="B49" t="s">
        <v>179</v>
      </c>
      <c r="C49" t="s">
        <v>436</v>
      </c>
      <c r="D49" t="s">
        <v>437</v>
      </c>
      <c r="E49" t="s">
        <v>438</v>
      </c>
      <c r="F49" t="s">
        <v>439</v>
      </c>
      <c r="G49" t="s">
        <v>31</v>
      </c>
      <c r="H49" t="s">
        <v>25</v>
      </c>
      <c r="I49">
        <v>1.6000000000000001E-6</v>
      </c>
      <c r="J49">
        <v>2.7399999999999999E-5</v>
      </c>
      <c r="K49">
        <v>0</v>
      </c>
      <c r="L49">
        <v>0</v>
      </c>
      <c r="M49">
        <v>2.6100000000000001E-5</v>
      </c>
      <c r="N49">
        <v>0.75</v>
      </c>
      <c r="O49">
        <v>6</v>
      </c>
      <c r="P49">
        <v>2</v>
      </c>
      <c r="Q49">
        <v>4</v>
      </c>
      <c r="R49">
        <v>2</v>
      </c>
      <c r="S49">
        <v>17680</v>
      </c>
      <c r="T49">
        <v>0.495</v>
      </c>
      <c r="U49" t="s">
        <v>440</v>
      </c>
      <c r="V49" t="s">
        <v>441</v>
      </c>
      <c r="W49" t="s">
        <v>417</v>
      </c>
      <c r="X49" t="s">
        <v>284</v>
      </c>
      <c r="Y49" t="s">
        <v>442</v>
      </c>
      <c r="Z49" s="70">
        <f>I49*'Dynamic Analysis Dashboard'!$B$8*'Dynamic Analysis Dashboard'!$B$9*'Dynamic Analysis Dashboard'!$B$21</f>
        <v>1.0800000000000002E-6</v>
      </c>
      <c r="AA49" s="75">
        <f>J49*'Dynamic Analysis Dashboard'!$B$8*'Dynamic Analysis Dashboard'!$B$9*'Dynamic Analysis Dashboard'!$B$21</f>
        <v>1.8494999999999998E-5</v>
      </c>
      <c r="AB49" s="80">
        <f>K49*'Dynamic Analysis Dashboard'!$B$10*'Dynamic Analysis Dashboard'!$B$9*'Dynamic Analysis Dashboard'!$B$21</f>
        <v>0</v>
      </c>
      <c r="AC49" s="85">
        <f>L49*'Dynamic Analysis Dashboard'!$B$11*'Dynamic Analysis Dashboard'!$B$9*'Dynamic Analysis Dashboard'!$B$21</f>
        <v>0</v>
      </c>
      <c r="AD49" s="120">
        <f t="shared" si="0"/>
        <v>1.9574999999999998E-5</v>
      </c>
      <c r="AE49" s="121">
        <f t="shared" si="1"/>
        <v>1.4681249999999998E-5</v>
      </c>
    </row>
    <row r="50" spans="1:31" hidden="1" x14ac:dyDescent="0.2">
      <c r="A50" t="s">
        <v>53</v>
      </c>
      <c r="B50" t="s">
        <v>186</v>
      </c>
      <c r="C50" t="s">
        <v>443</v>
      </c>
      <c r="D50" t="s">
        <v>250</v>
      </c>
      <c r="E50" t="s">
        <v>444</v>
      </c>
      <c r="F50" t="s">
        <v>445</v>
      </c>
      <c r="G50" t="s">
        <v>38</v>
      </c>
      <c r="H50" t="s">
        <v>28</v>
      </c>
      <c r="I50">
        <v>6.1E-6</v>
      </c>
      <c r="J50">
        <v>5.7999999999999995E-6</v>
      </c>
      <c r="K50">
        <v>1.8000000000000001E-6</v>
      </c>
      <c r="L50">
        <v>0</v>
      </c>
      <c r="M50">
        <v>1.3699999999999999E-5</v>
      </c>
      <c r="N50">
        <v>0.75</v>
      </c>
      <c r="O50">
        <v>9</v>
      </c>
      <c r="P50">
        <v>3</v>
      </c>
      <c r="Q50">
        <v>3</v>
      </c>
      <c r="R50">
        <v>3</v>
      </c>
      <c r="S50">
        <v>47250</v>
      </c>
      <c r="T50">
        <v>1.35</v>
      </c>
      <c r="U50" t="s">
        <v>446</v>
      </c>
      <c r="V50" t="s">
        <v>447</v>
      </c>
      <c r="W50" t="s">
        <v>448</v>
      </c>
      <c r="X50" t="s">
        <v>284</v>
      </c>
      <c r="Y50" t="s">
        <v>449</v>
      </c>
      <c r="Z50" s="70">
        <f>I50*'Dynamic Analysis Dashboard'!$B$8*'Dynamic Analysis Dashboard'!$B$9*'Dynamic Analysis Dashboard'!$B$21</f>
        <v>4.1175E-6</v>
      </c>
      <c r="AA50" s="75">
        <f>J50*'Dynamic Analysis Dashboard'!$B$8*'Dynamic Analysis Dashboard'!$B$9*'Dynamic Analysis Dashboard'!$B$21</f>
        <v>3.9149999999999998E-6</v>
      </c>
      <c r="AB50" s="80">
        <f>K50*'Dynamic Analysis Dashboard'!$B$10*'Dynamic Analysis Dashboard'!$B$9*'Dynamic Analysis Dashboard'!$B$21</f>
        <v>1.0800000000000002E-6</v>
      </c>
      <c r="AC50" s="85">
        <f>L50*'Dynamic Analysis Dashboard'!$B$11*'Dynamic Analysis Dashboard'!$B$9*'Dynamic Analysis Dashboard'!$B$21</f>
        <v>0</v>
      </c>
      <c r="AD50" s="120">
        <f t="shared" si="0"/>
        <v>9.1124999999999996E-6</v>
      </c>
      <c r="AE50" s="121">
        <f t="shared" si="1"/>
        <v>6.8343750000000001E-6</v>
      </c>
    </row>
    <row r="51" spans="1:31" hidden="1" x14ac:dyDescent="0.2">
      <c r="A51" t="s">
        <v>53</v>
      </c>
      <c r="B51" t="s">
        <v>194</v>
      </c>
      <c r="C51" t="s">
        <v>450</v>
      </c>
      <c r="D51" t="s">
        <v>188</v>
      </c>
      <c r="E51" t="s">
        <v>451</v>
      </c>
      <c r="F51" t="s">
        <v>452</v>
      </c>
      <c r="G51" t="s">
        <v>38</v>
      </c>
      <c r="H51" t="s">
        <v>311</v>
      </c>
      <c r="I51">
        <v>2.2899999999999998E-5</v>
      </c>
      <c r="J51">
        <v>0</v>
      </c>
      <c r="K51">
        <v>0</v>
      </c>
      <c r="L51">
        <v>0</v>
      </c>
      <c r="M51">
        <v>2.2899999999999998E-5</v>
      </c>
      <c r="N51">
        <v>0.65</v>
      </c>
      <c r="O51">
        <v>12</v>
      </c>
      <c r="P51">
        <v>4</v>
      </c>
      <c r="Q51">
        <v>3</v>
      </c>
      <c r="R51">
        <v>4</v>
      </c>
      <c r="S51">
        <v>360400</v>
      </c>
      <c r="T51">
        <v>9.7319999999999993</v>
      </c>
      <c r="U51" t="s">
        <v>453</v>
      </c>
      <c r="V51" t="s">
        <v>129</v>
      </c>
      <c r="W51" t="s">
        <v>417</v>
      </c>
      <c r="X51" t="s">
        <v>284</v>
      </c>
      <c r="Y51" t="s">
        <v>454</v>
      </c>
      <c r="Z51" s="70">
        <f>I51*'Dynamic Analysis Dashboard'!$B$8*'Dynamic Analysis Dashboard'!$B$9*'Dynamic Analysis Dashboard'!$B$21</f>
        <v>1.5457499999999999E-5</v>
      </c>
      <c r="AA51" s="75">
        <f>J51*'Dynamic Analysis Dashboard'!$B$8*'Dynamic Analysis Dashboard'!$B$9*'Dynamic Analysis Dashboard'!$B$21</f>
        <v>0</v>
      </c>
      <c r="AB51" s="80">
        <f>K51*'Dynamic Analysis Dashboard'!$B$10*'Dynamic Analysis Dashboard'!$B$9*'Dynamic Analysis Dashboard'!$B$21</f>
        <v>0</v>
      </c>
      <c r="AC51" s="85">
        <f>L51*'Dynamic Analysis Dashboard'!$B$11*'Dynamic Analysis Dashboard'!$B$9*'Dynamic Analysis Dashboard'!$B$21</f>
        <v>0</v>
      </c>
      <c r="AD51" s="120">
        <f t="shared" si="0"/>
        <v>1.5457499999999999E-5</v>
      </c>
      <c r="AE51" s="121">
        <f t="shared" si="1"/>
        <v>1.0047375E-5</v>
      </c>
    </row>
    <row r="52" spans="1:31" x14ac:dyDescent="0.2">
      <c r="A52" t="s">
        <v>92</v>
      </c>
      <c r="B52" t="s">
        <v>141</v>
      </c>
      <c r="C52" t="s">
        <v>455</v>
      </c>
      <c r="D52" t="s">
        <v>456</v>
      </c>
      <c r="E52" t="s">
        <v>457</v>
      </c>
      <c r="F52" t="s">
        <v>458</v>
      </c>
      <c r="G52" t="s">
        <v>24</v>
      </c>
      <c r="H52" t="s">
        <v>207</v>
      </c>
      <c r="I52">
        <v>2.7E-6</v>
      </c>
      <c r="J52">
        <v>1.9999999999999999E-6</v>
      </c>
      <c r="K52">
        <v>0</v>
      </c>
      <c r="L52">
        <v>0</v>
      </c>
      <c r="M52">
        <v>4.6999999999999999E-6</v>
      </c>
      <c r="N52">
        <v>0.75</v>
      </c>
      <c r="O52">
        <v>12</v>
      </c>
      <c r="P52">
        <v>4</v>
      </c>
      <c r="Q52">
        <v>3</v>
      </c>
      <c r="R52">
        <v>4</v>
      </c>
      <c r="S52">
        <v>4400</v>
      </c>
      <c r="T52">
        <v>950</v>
      </c>
      <c r="U52" t="s">
        <v>459</v>
      </c>
      <c r="V52" t="s">
        <v>460</v>
      </c>
      <c r="W52" t="s">
        <v>461</v>
      </c>
      <c r="X52" t="s">
        <v>284</v>
      </c>
      <c r="Y52" t="s">
        <v>462</v>
      </c>
      <c r="Z52" s="70">
        <f>I52*'Dynamic Analysis Dashboard'!$B$8*'Dynamic Analysis Dashboard'!$B$9*'Dynamic Analysis Dashboard'!$B$21</f>
        <v>1.8224999999999999E-6</v>
      </c>
      <c r="AA52" s="75">
        <f>J52*'Dynamic Analysis Dashboard'!$B$8*'Dynamic Analysis Dashboard'!$B$9*'Dynamic Analysis Dashboard'!$B$21</f>
        <v>1.35E-6</v>
      </c>
      <c r="AB52" s="80">
        <f>K52*'Dynamic Analysis Dashboard'!$B$10*'Dynamic Analysis Dashboard'!$B$9*'Dynamic Analysis Dashboard'!$B$21</f>
        <v>0</v>
      </c>
      <c r="AC52" s="85">
        <f>L52*'Dynamic Analysis Dashboard'!$B$11*'Dynamic Analysis Dashboard'!$B$9*'Dynamic Analysis Dashboard'!$B$21</f>
        <v>0</v>
      </c>
      <c r="AD52" s="120">
        <f t="shared" si="0"/>
        <v>3.1724999999999997E-6</v>
      </c>
      <c r="AE52" s="121">
        <f t="shared" si="1"/>
        <v>2.3793749999999996E-6</v>
      </c>
    </row>
    <row r="53" spans="1:31" x14ac:dyDescent="0.2">
      <c r="A53" t="s">
        <v>92</v>
      </c>
      <c r="B53" t="s">
        <v>156</v>
      </c>
      <c r="C53" t="s">
        <v>463</v>
      </c>
      <c r="D53" t="s">
        <v>464</v>
      </c>
      <c r="E53" t="s">
        <v>251</v>
      </c>
      <c r="F53" t="s">
        <v>465</v>
      </c>
      <c r="G53" t="s">
        <v>24</v>
      </c>
      <c r="H53" t="s">
        <v>207</v>
      </c>
      <c r="I53">
        <v>0.7</v>
      </c>
      <c r="J53">
        <v>0</v>
      </c>
      <c r="K53">
        <v>1.3999999999999999E-6</v>
      </c>
      <c r="L53">
        <v>0</v>
      </c>
      <c r="M53">
        <v>2.1000000000000002E-6</v>
      </c>
      <c r="N53">
        <v>0.75</v>
      </c>
      <c r="O53">
        <v>8</v>
      </c>
      <c r="P53">
        <v>3</v>
      </c>
      <c r="Q53">
        <v>3</v>
      </c>
      <c r="R53">
        <v>3</v>
      </c>
      <c r="S53">
        <v>7650</v>
      </c>
      <c r="T53">
        <v>1.5E-3</v>
      </c>
      <c r="U53" t="s">
        <v>466</v>
      </c>
      <c r="V53" t="s">
        <v>282</v>
      </c>
      <c r="W53" t="s">
        <v>467</v>
      </c>
      <c r="X53" t="s">
        <v>284</v>
      </c>
      <c r="Y53" t="s">
        <v>468</v>
      </c>
      <c r="Z53" s="70">
        <f>I53*'Dynamic Analysis Dashboard'!$B$8*'Dynamic Analysis Dashboard'!$B$9*'Dynamic Analysis Dashboard'!$B$21</f>
        <v>0.47250000000000003</v>
      </c>
      <c r="AA53" s="75">
        <f>J53*'Dynamic Analysis Dashboard'!$B$8*'Dynamic Analysis Dashboard'!$B$9*'Dynamic Analysis Dashboard'!$B$21</f>
        <v>0</v>
      </c>
      <c r="AB53" s="80">
        <f>K53*'Dynamic Analysis Dashboard'!$B$10*'Dynamic Analysis Dashboard'!$B$9*'Dynamic Analysis Dashboard'!$B$21</f>
        <v>8.4E-7</v>
      </c>
      <c r="AC53" s="85">
        <f>L53*'Dynamic Analysis Dashboard'!$B$11*'Dynamic Analysis Dashboard'!$B$9*'Dynamic Analysis Dashboard'!$B$21</f>
        <v>0</v>
      </c>
      <c r="AD53" s="120">
        <f t="shared" si="0"/>
        <v>0.47250084000000003</v>
      </c>
      <c r="AE53" s="121">
        <f t="shared" si="1"/>
        <v>0.35437563000000005</v>
      </c>
    </row>
    <row r="54" spans="1:31" x14ac:dyDescent="0.2">
      <c r="A54" t="s">
        <v>92</v>
      </c>
      <c r="B54" t="s">
        <v>179</v>
      </c>
      <c r="C54" t="s">
        <v>469</v>
      </c>
      <c r="D54" t="s">
        <v>166</v>
      </c>
      <c r="E54" t="s">
        <v>470</v>
      </c>
      <c r="F54" t="s">
        <v>145</v>
      </c>
      <c r="G54" t="s">
        <v>24</v>
      </c>
      <c r="H54" t="s">
        <v>207</v>
      </c>
      <c r="I54">
        <v>0.3</v>
      </c>
      <c r="J54">
        <v>0</v>
      </c>
      <c r="K54">
        <v>0.3</v>
      </c>
      <c r="L54">
        <v>1.1999999999999999E-6</v>
      </c>
      <c r="M54">
        <v>1.8000000000000001E-6</v>
      </c>
      <c r="N54">
        <v>0.8</v>
      </c>
      <c r="O54">
        <v>9</v>
      </c>
      <c r="P54">
        <v>3</v>
      </c>
      <c r="Q54">
        <v>3</v>
      </c>
      <c r="R54">
        <v>3</v>
      </c>
      <c r="S54">
        <v>14800</v>
      </c>
      <c r="T54">
        <v>800</v>
      </c>
      <c r="U54" t="s">
        <v>471</v>
      </c>
      <c r="V54" t="s">
        <v>282</v>
      </c>
      <c r="W54" t="s">
        <v>472</v>
      </c>
      <c r="X54" t="s">
        <v>473</v>
      </c>
      <c r="Y54" t="s">
        <v>474</v>
      </c>
      <c r="Z54" s="70">
        <f>I54*'Dynamic Analysis Dashboard'!$B$8*'Dynamic Analysis Dashboard'!$B$9*'Dynamic Analysis Dashboard'!$B$21</f>
        <v>0.20250000000000001</v>
      </c>
      <c r="AA54" s="75">
        <f>J54*'Dynamic Analysis Dashboard'!$B$8*'Dynamic Analysis Dashboard'!$B$9*'Dynamic Analysis Dashboard'!$B$21</f>
        <v>0</v>
      </c>
      <c r="AB54" s="80">
        <f>K54*'Dynamic Analysis Dashboard'!$B$10*'Dynamic Analysis Dashboard'!$B$9*'Dynamic Analysis Dashboard'!$B$21</f>
        <v>0.18</v>
      </c>
      <c r="AC54" s="85">
        <f>L54*'Dynamic Analysis Dashboard'!$B$11*'Dynamic Analysis Dashboard'!$B$9*'Dynamic Analysis Dashboard'!$B$21</f>
        <v>7.6499999999999998E-7</v>
      </c>
      <c r="AD54" s="120">
        <f t="shared" si="0"/>
        <v>0.38250076500000002</v>
      </c>
      <c r="AE54" s="121">
        <f t="shared" si="1"/>
        <v>0.30600061200000006</v>
      </c>
    </row>
    <row r="55" spans="1:31" x14ac:dyDescent="0.2">
      <c r="A55" t="s">
        <v>92</v>
      </c>
      <c r="B55" t="s">
        <v>186</v>
      </c>
      <c r="C55" t="s">
        <v>475</v>
      </c>
      <c r="D55" t="s">
        <v>188</v>
      </c>
      <c r="E55" t="s">
        <v>476</v>
      </c>
      <c r="F55" t="s">
        <v>330</v>
      </c>
      <c r="G55" t="s">
        <v>24</v>
      </c>
      <c r="H55" t="s">
        <v>207</v>
      </c>
      <c r="I55">
        <v>0.2</v>
      </c>
      <c r="J55">
        <v>0.8</v>
      </c>
      <c r="K55">
        <v>0</v>
      </c>
      <c r="L55">
        <v>0</v>
      </c>
      <c r="M55">
        <v>9.9999999999999995E-7</v>
      </c>
      <c r="N55">
        <v>0.7</v>
      </c>
      <c r="O55">
        <v>5</v>
      </c>
      <c r="P55">
        <v>2</v>
      </c>
      <c r="Q55">
        <v>2</v>
      </c>
      <c r="R55">
        <v>1</v>
      </c>
      <c r="S55">
        <v>202.5</v>
      </c>
      <c r="T55">
        <v>40</v>
      </c>
      <c r="U55" t="s">
        <v>477</v>
      </c>
      <c r="V55" t="s">
        <v>478</v>
      </c>
      <c r="W55" t="s">
        <v>461</v>
      </c>
      <c r="X55" t="s">
        <v>284</v>
      </c>
      <c r="Y55" t="s">
        <v>479</v>
      </c>
      <c r="Z55" s="70">
        <f>I55*'Dynamic Analysis Dashboard'!$B$8*'Dynamic Analysis Dashboard'!$B$9*'Dynamic Analysis Dashboard'!$B$21</f>
        <v>0.13500000000000001</v>
      </c>
      <c r="AA55" s="75">
        <f>J55*'Dynamic Analysis Dashboard'!$B$8*'Dynamic Analysis Dashboard'!$B$9*'Dynamic Analysis Dashboard'!$B$21</f>
        <v>0.54</v>
      </c>
      <c r="AB55" s="80">
        <f>K55*'Dynamic Analysis Dashboard'!$B$10*'Dynamic Analysis Dashboard'!$B$9*'Dynamic Analysis Dashboard'!$B$21</f>
        <v>0</v>
      </c>
      <c r="AC55" s="85">
        <f>L55*'Dynamic Analysis Dashboard'!$B$11*'Dynamic Analysis Dashboard'!$B$9*'Dynamic Analysis Dashboard'!$B$21</f>
        <v>0</v>
      </c>
      <c r="AD55" s="120">
        <f t="shared" si="0"/>
        <v>0.67500000000000004</v>
      </c>
      <c r="AE55" s="121">
        <f t="shared" si="1"/>
        <v>0.47249999999999998</v>
      </c>
    </row>
    <row r="56" spans="1:31" hidden="1" x14ac:dyDescent="0.2">
      <c r="A56" t="s">
        <v>92</v>
      </c>
      <c r="B56" t="s">
        <v>194</v>
      </c>
      <c r="C56" t="s">
        <v>480</v>
      </c>
      <c r="D56" t="s">
        <v>481</v>
      </c>
      <c r="E56" t="s">
        <v>329</v>
      </c>
      <c r="F56" t="s">
        <v>324</v>
      </c>
      <c r="G56" t="s">
        <v>24</v>
      </c>
      <c r="H56" t="s">
        <v>207</v>
      </c>
      <c r="I56">
        <v>0</v>
      </c>
      <c r="J56">
        <v>2.1000000000000002E-6</v>
      </c>
      <c r="K56">
        <v>1.3E-6</v>
      </c>
      <c r="L56">
        <v>0</v>
      </c>
      <c r="M56">
        <v>3.4000000000000001E-6</v>
      </c>
      <c r="N56">
        <v>0.75</v>
      </c>
      <c r="O56">
        <v>9</v>
      </c>
      <c r="P56">
        <v>3</v>
      </c>
      <c r="Q56">
        <v>3</v>
      </c>
      <c r="R56">
        <v>3</v>
      </c>
      <c r="S56">
        <v>12025</v>
      </c>
      <c r="T56">
        <v>630</v>
      </c>
      <c r="U56" t="s">
        <v>482</v>
      </c>
      <c r="V56" t="s">
        <v>483</v>
      </c>
      <c r="W56" t="s">
        <v>484</v>
      </c>
      <c r="X56" t="s">
        <v>284</v>
      </c>
      <c r="Y56" t="s">
        <v>485</v>
      </c>
      <c r="Z56" s="70">
        <f>I56*'Dynamic Analysis Dashboard'!$B$8*'Dynamic Analysis Dashboard'!$B$9*'Dynamic Analysis Dashboard'!$B$21</f>
        <v>0</v>
      </c>
      <c r="AA56" s="75">
        <f>J56*'Dynamic Analysis Dashboard'!$B$8*'Dynamic Analysis Dashboard'!$B$9*'Dynamic Analysis Dashboard'!$B$21</f>
        <v>1.4175000000000002E-6</v>
      </c>
      <c r="AB56" s="80">
        <f>K56*'Dynamic Analysis Dashboard'!$B$10*'Dynamic Analysis Dashboard'!$B$9*'Dynamic Analysis Dashboard'!$B$21</f>
        <v>7.7999999999999994E-7</v>
      </c>
      <c r="AC56" s="85">
        <f>L56*'Dynamic Analysis Dashboard'!$B$11*'Dynamic Analysis Dashboard'!$B$9*'Dynamic Analysis Dashboard'!$B$21</f>
        <v>0</v>
      </c>
      <c r="AD56" s="120">
        <f t="shared" si="0"/>
        <v>2.1975000000000001E-6</v>
      </c>
      <c r="AE56" s="121">
        <f t="shared" si="1"/>
        <v>1.648125E-6</v>
      </c>
    </row>
    <row r="57" spans="1:31" hidden="1" x14ac:dyDescent="0.2">
      <c r="A57" t="s">
        <v>92</v>
      </c>
      <c r="B57" t="s">
        <v>123</v>
      </c>
      <c r="C57" t="s">
        <v>486</v>
      </c>
      <c r="D57" t="s">
        <v>487</v>
      </c>
      <c r="E57" t="s">
        <v>488</v>
      </c>
      <c r="F57" t="s">
        <v>489</v>
      </c>
      <c r="G57" t="s">
        <v>31</v>
      </c>
      <c r="H57" t="s">
        <v>216</v>
      </c>
      <c r="I57">
        <v>5.4E-6</v>
      </c>
      <c r="J57">
        <v>0</v>
      </c>
      <c r="K57">
        <v>1.1000000000000001E-6</v>
      </c>
      <c r="L57">
        <v>0</v>
      </c>
      <c r="M57">
        <v>6.4999999999999996E-6</v>
      </c>
      <c r="N57">
        <v>0.8</v>
      </c>
      <c r="O57">
        <v>6</v>
      </c>
      <c r="P57">
        <v>2</v>
      </c>
      <c r="Q57">
        <v>2</v>
      </c>
      <c r="R57">
        <v>2</v>
      </c>
      <c r="S57">
        <v>92500</v>
      </c>
      <c r="T57">
        <v>1.6000000000000001E-3</v>
      </c>
      <c r="U57" t="s">
        <v>490</v>
      </c>
      <c r="V57" t="s">
        <v>282</v>
      </c>
      <c r="W57" t="s">
        <v>491</v>
      </c>
      <c r="X57" t="s">
        <v>284</v>
      </c>
      <c r="Y57" t="s">
        <v>492</v>
      </c>
      <c r="Z57" s="70">
        <f>I57*'Dynamic Analysis Dashboard'!$B$8*'Dynamic Analysis Dashboard'!$B$9*'Dynamic Analysis Dashboard'!$B$21</f>
        <v>3.6449999999999998E-6</v>
      </c>
      <c r="AA57" s="75">
        <f>J57*'Dynamic Analysis Dashboard'!$B$8*'Dynamic Analysis Dashboard'!$B$9*'Dynamic Analysis Dashboard'!$B$21</f>
        <v>0</v>
      </c>
      <c r="AB57" s="80">
        <f>K57*'Dynamic Analysis Dashboard'!$B$10*'Dynamic Analysis Dashboard'!$B$9*'Dynamic Analysis Dashboard'!$B$21</f>
        <v>6.6000000000000003E-7</v>
      </c>
      <c r="AC57" s="85">
        <f>L57*'Dynamic Analysis Dashboard'!$B$11*'Dynamic Analysis Dashboard'!$B$9*'Dynamic Analysis Dashboard'!$B$21</f>
        <v>0</v>
      </c>
      <c r="AD57" s="120">
        <f t="shared" si="0"/>
        <v>4.3050000000000003E-6</v>
      </c>
      <c r="AE57" s="121">
        <f t="shared" si="1"/>
        <v>3.4440000000000004E-6</v>
      </c>
    </row>
    <row r="58" spans="1:31" hidden="1" x14ac:dyDescent="0.2">
      <c r="A58" t="s">
        <v>92</v>
      </c>
      <c r="B58" t="s">
        <v>149</v>
      </c>
      <c r="C58" t="s">
        <v>493</v>
      </c>
      <c r="D58" t="s">
        <v>328</v>
      </c>
      <c r="E58" t="s">
        <v>494</v>
      </c>
      <c r="F58" t="s">
        <v>495</v>
      </c>
      <c r="G58" t="s">
        <v>31</v>
      </c>
      <c r="H58" t="s">
        <v>216</v>
      </c>
      <c r="I58">
        <v>0.6</v>
      </c>
      <c r="J58">
        <v>3.7999999999999996E-6</v>
      </c>
      <c r="K58">
        <v>0</v>
      </c>
      <c r="L58">
        <v>0</v>
      </c>
      <c r="M58">
        <v>4.4000000000000002E-6</v>
      </c>
      <c r="N58">
        <v>0.7</v>
      </c>
      <c r="O58">
        <v>6</v>
      </c>
      <c r="P58">
        <v>2</v>
      </c>
      <c r="Q58">
        <v>3</v>
      </c>
      <c r="R58">
        <v>2</v>
      </c>
      <c r="S58">
        <v>7280</v>
      </c>
      <c r="T58">
        <v>1.2999999999999999E-3</v>
      </c>
      <c r="U58" t="s">
        <v>496</v>
      </c>
      <c r="V58" t="s">
        <v>497</v>
      </c>
      <c r="W58" t="s">
        <v>461</v>
      </c>
      <c r="X58" t="s">
        <v>284</v>
      </c>
      <c r="Y58" t="s">
        <v>498</v>
      </c>
      <c r="Z58" s="70">
        <f>I58*'Dynamic Analysis Dashboard'!$B$8*'Dynamic Analysis Dashboard'!$B$9*'Dynamic Analysis Dashboard'!$B$21</f>
        <v>0.40500000000000003</v>
      </c>
      <c r="AA58" s="75">
        <f>J58*'Dynamic Analysis Dashboard'!$B$8*'Dynamic Analysis Dashboard'!$B$9*'Dynamic Analysis Dashboard'!$B$21</f>
        <v>2.565E-6</v>
      </c>
      <c r="AB58" s="80">
        <f>K58*'Dynamic Analysis Dashboard'!$B$10*'Dynamic Analysis Dashboard'!$B$9*'Dynamic Analysis Dashboard'!$B$21</f>
        <v>0</v>
      </c>
      <c r="AC58" s="85">
        <f>L58*'Dynamic Analysis Dashboard'!$B$11*'Dynamic Analysis Dashboard'!$B$9*'Dynamic Analysis Dashboard'!$B$21</f>
        <v>0</v>
      </c>
      <c r="AD58" s="120">
        <f t="shared" si="0"/>
        <v>0.40500256500000004</v>
      </c>
      <c r="AE58" s="121">
        <f t="shared" si="1"/>
        <v>0.28350179549999999</v>
      </c>
    </row>
    <row r="59" spans="1:31" hidden="1" x14ac:dyDescent="0.2">
      <c r="A59" t="s">
        <v>92</v>
      </c>
      <c r="B59" t="s">
        <v>133</v>
      </c>
      <c r="C59" t="s">
        <v>499</v>
      </c>
      <c r="D59" t="s">
        <v>328</v>
      </c>
      <c r="E59" t="s">
        <v>500</v>
      </c>
      <c r="F59" t="s">
        <v>183</v>
      </c>
      <c r="G59" t="s">
        <v>31</v>
      </c>
      <c r="H59" t="s">
        <v>216</v>
      </c>
      <c r="I59">
        <v>0</v>
      </c>
      <c r="J59">
        <v>6.8000000000000001E-6</v>
      </c>
      <c r="K59">
        <v>0</v>
      </c>
      <c r="L59">
        <v>0</v>
      </c>
      <c r="M59">
        <v>6.8000000000000001E-6</v>
      </c>
      <c r="N59">
        <v>0.65</v>
      </c>
      <c r="O59">
        <v>4</v>
      </c>
      <c r="P59">
        <v>2</v>
      </c>
      <c r="Q59">
        <v>2</v>
      </c>
      <c r="R59">
        <v>1</v>
      </c>
      <c r="S59">
        <v>98000</v>
      </c>
      <c r="T59">
        <v>1.9E-3</v>
      </c>
      <c r="U59" t="s">
        <v>482</v>
      </c>
      <c r="V59" t="s">
        <v>501</v>
      </c>
      <c r="W59" t="s">
        <v>461</v>
      </c>
      <c r="X59" t="s">
        <v>284</v>
      </c>
      <c r="Y59" t="s">
        <v>502</v>
      </c>
      <c r="Z59" s="70">
        <f>I59*'Dynamic Analysis Dashboard'!$B$8*'Dynamic Analysis Dashboard'!$B$9*'Dynamic Analysis Dashboard'!$B$21</f>
        <v>0</v>
      </c>
      <c r="AA59" s="75">
        <f>J59*'Dynamic Analysis Dashboard'!$B$8*'Dynamic Analysis Dashboard'!$B$9*'Dynamic Analysis Dashboard'!$B$21</f>
        <v>4.5900000000000001E-6</v>
      </c>
      <c r="AB59" s="80">
        <f>K59*'Dynamic Analysis Dashboard'!$B$10*'Dynamic Analysis Dashboard'!$B$9*'Dynamic Analysis Dashboard'!$B$21</f>
        <v>0</v>
      </c>
      <c r="AC59" s="85">
        <f>L59*'Dynamic Analysis Dashboard'!$B$11*'Dynamic Analysis Dashboard'!$B$9*'Dynamic Analysis Dashboard'!$B$21</f>
        <v>0</v>
      </c>
      <c r="AD59" s="120">
        <f t="shared" si="0"/>
        <v>4.5900000000000001E-6</v>
      </c>
      <c r="AE59" s="121">
        <f t="shared" si="1"/>
        <v>2.9835000000000003E-6</v>
      </c>
    </row>
    <row r="60" spans="1:31" hidden="1" x14ac:dyDescent="0.2">
      <c r="A60" t="s">
        <v>92</v>
      </c>
      <c r="B60" t="s">
        <v>164</v>
      </c>
      <c r="C60" t="s">
        <v>503</v>
      </c>
      <c r="D60" t="s">
        <v>504</v>
      </c>
      <c r="E60" t="s">
        <v>505</v>
      </c>
      <c r="F60" t="s">
        <v>506</v>
      </c>
      <c r="G60" t="s">
        <v>38</v>
      </c>
      <c r="H60" t="s">
        <v>224</v>
      </c>
      <c r="I60">
        <v>1.8000000000000001E-6</v>
      </c>
      <c r="J60">
        <v>0</v>
      </c>
      <c r="K60">
        <v>0.6</v>
      </c>
      <c r="L60">
        <v>0</v>
      </c>
      <c r="M60">
        <v>2.3999999999999999E-6</v>
      </c>
      <c r="N60">
        <v>0.7</v>
      </c>
      <c r="O60">
        <v>15</v>
      </c>
      <c r="P60">
        <v>4</v>
      </c>
      <c r="Q60">
        <v>4</v>
      </c>
      <c r="R60">
        <v>4</v>
      </c>
      <c r="S60">
        <v>4500</v>
      </c>
      <c r="T60">
        <v>840</v>
      </c>
      <c r="U60" t="s">
        <v>507</v>
      </c>
      <c r="V60" t="s">
        <v>282</v>
      </c>
      <c r="W60" t="s">
        <v>508</v>
      </c>
      <c r="X60" t="s">
        <v>284</v>
      </c>
      <c r="Y60" t="s">
        <v>509</v>
      </c>
      <c r="Z60" s="70">
        <f>I60*'Dynamic Analysis Dashboard'!$B$8*'Dynamic Analysis Dashboard'!$B$9*'Dynamic Analysis Dashboard'!$B$21</f>
        <v>1.2150000000000002E-6</v>
      </c>
      <c r="AA60" s="75">
        <f>J60*'Dynamic Analysis Dashboard'!$B$8*'Dynamic Analysis Dashboard'!$B$9*'Dynamic Analysis Dashboard'!$B$21</f>
        <v>0</v>
      </c>
      <c r="AB60" s="80">
        <f>K60*'Dynamic Analysis Dashboard'!$B$10*'Dynamic Analysis Dashboard'!$B$9*'Dynamic Analysis Dashboard'!$B$21</f>
        <v>0.36</v>
      </c>
      <c r="AC60" s="85">
        <f>L60*'Dynamic Analysis Dashboard'!$B$11*'Dynamic Analysis Dashboard'!$B$9*'Dynamic Analysis Dashboard'!$B$21</f>
        <v>0</v>
      </c>
      <c r="AD60" s="120">
        <f t="shared" si="0"/>
        <v>0.36000121499999999</v>
      </c>
      <c r="AE60" s="121">
        <f t="shared" si="1"/>
        <v>0.25200085049999998</v>
      </c>
    </row>
    <row r="61" spans="1:31" hidden="1" x14ac:dyDescent="0.2">
      <c r="A61" t="s">
        <v>92</v>
      </c>
      <c r="B61" t="s">
        <v>172</v>
      </c>
      <c r="C61" t="s">
        <v>510</v>
      </c>
      <c r="D61" t="s">
        <v>181</v>
      </c>
      <c r="E61" t="s">
        <v>511</v>
      </c>
      <c r="F61" t="s">
        <v>183</v>
      </c>
      <c r="G61" t="s">
        <v>31</v>
      </c>
      <c r="H61" t="s">
        <v>216</v>
      </c>
      <c r="I61">
        <v>0.5</v>
      </c>
      <c r="J61">
        <v>1.3999999999999999E-6</v>
      </c>
      <c r="K61">
        <v>0</v>
      </c>
      <c r="L61">
        <v>0</v>
      </c>
      <c r="M61">
        <v>1.8999999999999998E-6</v>
      </c>
      <c r="N61">
        <v>0.65</v>
      </c>
      <c r="O61">
        <v>4</v>
      </c>
      <c r="P61">
        <v>2</v>
      </c>
      <c r="Q61">
        <v>2</v>
      </c>
      <c r="R61">
        <v>1</v>
      </c>
      <c r="S61">
        <v>5950</v>
      </c>
      <c r="T61">
        <v>1.2999999999999999E-3</v>
      </c>
      <c r="U61" t="s">
        <v>512</v>
      </c>
      <c r="V61" t="s">
        <v>513</v>
      </c>
      <c r="W61" t="s">
        <v>461</v>
      </c>
      <c r="X61" t="s">
        <v>284</v>
      </c>
      <c r="Y61" t="s">
        <v>514</v>
      </c>
      <c r="Z61" s="70">
        <f>I61*'Dynamic Analysis Dashboard'!$B$8*'Dynamic Analysis Dashboard'!$B$9*'Dynamic Analysis Dashboard'!$B$21</f>
        <v>0.33750000000000002</v>
      </c>
      <c r="AA61" s="75">
        <f>J61*'Dynamic Analysis Dashboard'!$B$8*'Dynamic Analysis Dashboard'!$B$9*'Dynamic Analysis Dashboard'!$B$21</f>
        <v>9.4500000000000006E-7</v>
      </c>
      <c r="AB61" s="80">
        <f>K61*'Dynamic Analysis Dashboard'!$B$10*'Dynamic Analysis Dashboard'!$B$9*'Dynamic Analysis Dashboard'!$B$21</f>
        <v>0</v>
      </c>
      <c r="AC61" s="85">
        <f>L61*'Dynamic Analysis Dashboard'!$B$11*'Dynamic Analysis Dashboard'!$B$9*'Dynamic Analysis Dashboard'!$B$21</f>
        <v>0</v>
      </c>
      <c r="AD61" s="120">
        <f t="shared" si="0"/>
        <v>0.337500945</v>
      </c>
      <c r="AE61" s="121">
        <f t="shared" si="1"/>
        <v>0.21937561425000002</v>
      </c>
    </row>
    <row r="62" spans="1:31" x14ac:dyDescent="0.2">
      <c r="A62" t="s">
        <v>66</v>
      </c>
      <c r="B62" t="s">
        <v>123</v>
      </c>
      <c r="C62" t="s">
        <v>515</v>
      </c>
      <c r="D62" t="s">
        <v>516</v>
      </c>
      <c r="E62" t="s">
        <v>517</v>
      </c>
      <c r="F62" t="s">
        <v>518</v>
      </c>
      <c r="G62" t="s">
        <v>24</v>
      </c>
      <c r="H62" t="s">
        <v>25</v>
      </c>
      <c r="I62">
        <v>1.29E-5</v>
      </c>
      <c r="J62">
        <v>0</v>
      </c>
      <c r="K62">
        <v>0</v>
      </c>
      <c r="L62">
        <v>0</v>
      </c>
      <c r="M62">
        <v>1.29E-5</v>
      </c>
      <c r="N62">
        <v>0.7</v>
      </c>
      <c r="O62">
        <v>9</v>
      </c>
      <c r="P62">
        <v>2</v>
      </c>
      <c r="Q62">
        <v>3</v>
      </c>
      <c r="R62">
        <v>2</v>
      </c>
      <c r="S62">
        <v>42000</v>
      </c>
      <c r="T62">
        <v>654</v>
      </c>
      <c r="U62" t="s">
        <v>519</v>
      </c>
      <c r="V62" t="s">
        <v>520</v>
      </c>
      <c r="W62" t="s">
        <v>521</v>
      </c>
      <c r="X62" t="s">
        <v>522</v>
      </c>
      <c r="Y62" t="s">
        <v>523</v>
      </c>
      <c r="Z62" s="70">
        <f>I62*'Dynamic Analysis Dashboard'!$B$8*'Dynamic Analysis Dashboard'!$B$9*'Dynamic Analysis Dashboard'!$B$21</f>
        <v>8.7075000000000009E-6</v>
      </c>
      <c r="AA62" s="75">
        <f>J62*'Dynamic Analysis Dashboard'!$B$8*'Dynamic Analysis Dashboard'!$B$9*'Dynamic Analysis Dashboard'!$B$21</f>
        <v>0</v>
      </c>
      <c r="AB62" s="80">
        <f>K62*'Dynamic Analysis Dashboard'!$B$10*'Dynamic Analysis Dashboard'!$B$9*'Dynamic Analysis Dashboard'!$B$21</f>
        <v>0</v>
      </c>
      <c r="AC62" s="85">
        <f>L62*'Dynamic Analysis Dashboard'!$B$11*'Dynamic Analysis Dashboard'!$B$9*'Dynamic Analysis Dashboard'!$B$21</f>
        <v>0</v>
      </c>
      <c r="AD62" s="120">
        <f t="shared" si="0"/>
        <v>8.7075000000000009E-6</v>
      </c>
      <c r="AE62" s="121">
        <f t="shared" si="1"/>
        <v>6.0952500000000006E-6</v>
      </c>
    </row>
    <row r="63" spans="1:31" hidden="1" x14ac:dyDescent="0.2">
      <c r="A63" t="s">
        <v>66</v>
      </c>
      <c r="B63" t="s">
        <v>133</v>
      </c>
      <c r="C63" t="s">
        <v>524</v>
      </c>
      <c r="D63" t="s">
        <v>525</v>
      </c>
      <c r="E63" t="s">
        <v>526</v>
      </c>
      <c r="F63" t="s">
        <v>317</v>
      </c>
      <c r="G63" t="s">
        <v>24</v>
      </c>
      <c r="H63" t="s">
        <v>28</v>
      </c>
      <c r="I63">
        <v>0</v>
      </c>
      <c r="J63">
        <v>0</v>
      </c>
      <c r="K63">
        <v>1.1800000000000001E-5</v>
      </c>
      <c r="L63">
        <v>0</v>
      </c>
      <c r="M63">
        <v>1.1800000000000001E-5</v>
      </c>
      <c r="N63">
        <v>0.7</v>
      </c>
      <c r="O63">
        <v>12</v>
      </c>
      <c r="P63">
        <v>3</v>
      </c>
      <c r="Q63">
        <v>2</v>
      </c>
      <c r="R63">
        <v>3</v>
      </c>
      <c r="S63">
        <v>5580</v>
      </c>
      <c r="T63">
        <v>114</v>
      </c>
      <c r="U63" t="s">
        <v>527</v>
      </c>
      <c r="V63" t="s">
        <v>528</v>
      </c>
      <c r="W63" t="s">
        <v>529</v>
      </c>
      <c r="X63" t="s">
        <v>522</v>
      </c>
      <c r="Y63" t="s">
        <v>530</v>
      </c>
      <c r="Z63" s="70">
        <f>I63*'Dynamic Analysis Dashboard'!$B$8*'Dynamic Analysis Dashboard'!$B$9*'Dynamic Analysis Dashboard'!$B$21</f>
        <v>0</v>
      </c>
      <c r="AA63" s="75">
        <f>J63*'Dynamic Analysis Dashboard'!$B$8*'Dynamic Analysis Dashboard'!$B$9*'Dynamic Analysis Dashboard'!$B$21</f>
        <v>0</v>
      </c>
      <c r="AB63" s="80">
        <f>K63*'Dynamic Analysis Dashboard'!$B$10*'Dynamic Analysis Dashboard'!$B$9*'Dynamic Analysis Dashboard'!$B$21</f>
        <v>7.0800000000000008E-6</v>
      </c>
      <c r="AC63" s="85">
        <f>L63*'Dynamic Analysis Dashboard'!$B$11*'Dynamic Analysis Dashboard'!$B$9*'Dynamic Analysis Dashboard'!$B$21</f>
        <v>0</v>
      </c>
      <c r="AD63" s="120">
        <f t="shared" si="0"/>
        <v>7.0800000000000008E-6</v>
      </c>
      <c r="AE63" s="121">
        <f t="shared" si="1"/>
        <v>4.9560000000000005E-6</v>
      </c>
    </row>
    <row r="64" spans="1:31" hidden="1" x14ac:dyDescent="0.2">
      <c r="A64" t="s">
        <v>66</v>
      </c>
      <c r="B64" t="s">
        <v>156</v>
      </c>
      <c r="C64" t="s">
        <v>531</v>
      </c>
      <c r="D64" t="s">
        <v>328</v>
      </c>
      <c r="E64" t="s">
        <v>532</v>
      </c>
      <c r="F64" t="s">
        <v>533</v>
      </c>
      <c r="G64" t="s">
        <v>24</v>
      </c>
      <c r="H64" t="s">
        <v>25</v>
      </c>
      <c r="I64">
        <v>0</v>
      </c>
      <c r="J64">
        <v>4.2000000000000004E-6</v>
      </c>
      <c r="K64">
        <v>0</v>
      </c>
      <c r="L64">
        <v>2.8999999999999998E-6</v>
      </c>
      <c r="M64">
        <v>7.0999999999999998E-6</v>
      </c>
      <c r="N64">
        <v>0.65</v>
      </c>
      <c r="O64">
        <v>6</v>
      </c>
      <c r="P64">
        <v>2</v>
      </c>
      <c r="Q64">
        <v>3</v>
      </c>
      <c r="R64">
        <v>2</v>
      </c>
      <c r="S64">
        <v>3995</v>
      </c>
      <c r="T64">
        <v>162</v>
      </c>
      <c r="U64" t="s">
        <v>534</v>
      </c>
      <c r="V64" t="s">
        <v>535</v>
      </c>
      <c r="W64" t="s">
        <v>536</v>
      </c>
      <c r="X64" t="s">
        <v>537</v>
      </c>
      <c r="Y64" t="s">
        <v>538</v>
      </c>
      <c r="Z64" s="70">
        <f>I64*'Dynamic Analysis Dashboard'!$B$8*'Dynamic Analysis Dashboard'!$B$9*'Dynamic Analysis Dashboard'!$B$21</f>
        <v>0</v>
      </c>
      <c r="AA64" s="75">
        <f>J64*'Dynamic Analysis Dashboard'!$B$8*'Dynamic Analysis Dashboard'!$B$9*'Dynamic Analysis Dashboard'!$B$21</f>
        <v>2.8350000000000004E-6</v>
      </c>
      <c r="AB64" s="80">
        <f>K64*'Dynamic Analysis Dashboard'!$B$10*'Dynamic Analysis Dashboard'!$B$9*'Dynamic Analysis Dashboard'!$B$21</f>
        <v>0</v>
      </c>
      <c r="AC64" s="85">
        <f>L64*'Dynamic Analysis Dashboard'!$B$11*'Dynamic Analysis Dashboard'!$B$9*'Dynamic Analysis Dashboard'!$B$21</f>
        <v>1.8487499999999999E-6</v>
      </c>
      <c r="AD64" s="120">
        <f t="shared" si="0"/>
        <v>4.6837500000000007E-6</v>
      </c>
      <c r="AE64" s="121">
        <f t="shared" si="1"/>
        <v>3.0444375000000005E-6</v>
      </c>
    </row>
    <row r="65" spans="1:31" hidden="1" x14ac:dyDescent="0.2">
      <c r="A65" t="s">
        <v>66</v>
      </c>
      <c r="B65" t="s">
        <v>172</v>
      </c>
      <c r="C65" t="s">
        <v>539</v>
      </c>
      <c r="D65" t="s">
        <v>540</v>
      </c>
      <c r="E65" t="s">
        <v>197</v>
      </c>
      <c r="F65" t="s">
        <v>395</v>
      </c>
      <c r="G65" t="s">
        <v>24</v>
      </c>
      <c r="H65" t="s">
        <v>28</v>
      </c>
      <c r="I65">
        <v>0</v>
      </c>
      <c r="J65">
        <v>0</v>
      </c>
      <c r="K65">
        <v>2.7E-6</v>
      </c>
      <c r="L65">
        <v>4.7999999999999998E-6</v>
      </c>
      <c r="M65">
        <v>7.5000000000000002E-6</v>
      </c>
      <c r="N65">
        <v>0.7</v>
      </c>
      <c r="O65">
        <v>9</v>
      </c>
      <c r="P65">
        <v>3</v>
      </c>
      <c r="Q65">
        <v>3</v>
      </c>
      <c r="R65">
        <v>2</v>
      </c>
      <c r="S65">
        <v>11900</v>
      </c>
      <c r="T65">
        <v>159</v>
      </c>
      <c r="U65" t="s">
        <v>541</v>
      </c>
      <c r="V65" t="s">
        <v>542</v>
      </c>
      <c r="W65" t="s">
        <v>543</v>
      </c>
      <c r="X65" t="s">
        <v>544</v>
      </c>
      <c r="Y65" t="s">
        <v>545</v>
      </c>
      <c r="Z65" s="70">
        <f>I65*'Dynamic Analysis Dashboard'!$B$8*'Dynamic Analysis Dashboard'!$B$9*'Dynamic Analysis Dashboard'!$B$21</f>
        <v>0</v>
      </c>
      <c r="AA65" s="75">
        <f>J65*'Dynamic Analysis Dashboard'!$B$8*'Dynamic Analysis Dashboard'!$B$9*'Dynamic Analysis Dashboard'!$B$21</f>
        <v>0</v>
      </c>
      <c r="AB65" s="80">
        <f>K65*'Dynamic Analysis Dashboard'!$B$10*'Dynamic Analysis Dashboard'!$B$9*'Dynamic Analysis Dashboard'!$B$21</f>
        <v>1.6200000000000002E-6</v>
      </c>
      <c r="AC65" s="85">
        <f>L65*'Dynamic Analysis Dashboard'!$B$11*'Dynamic Analysis Dashboard'!$B$9*'Dynamic Analysis Dashboard'!$B$21</f>
        <v>3.0599999999999999E-6</v>
      </c>
      <c r="AD65" s="120">
        <f t="shared" si="0"/>
        <v>4.6800000000000001E-6</v>
      </c>
      <c r="AE65" s="121">
        <f t="shared" si="1"/>
        <v>3.2760000000000001E-6</v>
      </c>
    </row>
    <row r="66" spans="1:31" x14ac:dyDescent="0.2">
      <c r="A66" t="s">
        <v>66</v>
      </c>
      <c r="B66" t="s">
        <v>179</v>
      </c>
      <c r="C66" t="s">
        <v>546</v>
      </c>
      <c r="D66" t="s">
        <v>547</v>
      </c>
      <c r="E66" t="s">
        <v>548</v>
      </c>
      <c r="F66" t="s">
        <v>190</v>
      </c>
      <c r="G66" t="s">
        <v>24</v>
      </c>
      <c r="H66" t="s">
        <v>25</v>
      </c>
      <c r="I66">
        <v>1.8999999999999998E-6</v>
      </c>
      <c r="J66">
        <v>0</v>
      </c>
      <c r="K66">
        <v>0</v>
      </c>
      <c r="L66">
        <v>0</v>
      </c>
      <c r="M66">
        <v>1.8999999999999998E-6</v>
      </c>
      <c r="N66">
        <v>0.8</v>
      </c>
      <c r="O66">
        <v>6</v>
      </c>
      <c r="P66">
        <v>2</v>
      </c>
      <c r="Q66">
        <v>4</v>
      </c>
      <c r="R66">
        <v>2</v>
      </c>
      <c r="S66">
        <v>9660</v>
      </c>
      <c r="T66">
        <v>114</v>
      </c>
      <c r="U66" t="s">
        <v>549</v>
      </c>
      <c r="V66" t="s">
        <v>550</v>
      </c>
      <c r="W66" t="s">
        <v>551</v>
      </c>
      <c r="X66" t="s">
        <v>522</v>
      </c>
      <c r="Y66" t="s">
        <v>552</v>
      </c>
      <c r="Z66" s="70">
        <f>I66*'Dynamic Analysis Dashboard'!$B$8*'Dynamic Analysis Dashboard'!$B$9*'Dynamic Analysis Dashboard'!$B$21</f>
        <v>1.2825E-6</v>
      </c>
      <c r="AA66" s="75">
        <f>J66*'Dynamic Analysis Dashboard'!$B$8*'Dynamic Analysis Dashboard'!$B$9*'Dynamic Analysis Dashboard'!$B$21</f>
        <v>0</v>
      </c>
      <c r="AB66" s="80">
        <f>K66*'Dynamic Analysis Dashboard'!$B$10*'Dynamic Analysis Dashboard'!$B$9*'Dynamic Analysis Dashboard'!$B$21</f>
        <v>0</v>
      </c>
      <c r="AC66" s="85">
        <f>L66*'Dynamic Analysis Dashboard'!$B$11*'Dynamic Analysis Dashboard'!$B$9*'Dynamic Analysis Dashboard'!$B$21</f>
        <v>0</v>
      </c>
      <c r="AD66" s="120">
        <f t="shared" si="0"/>
        <v>1.2825E-6</v>
      </c>
      <c r="AE66" s="121">
        <f t="shared" si="1"/>
        <v>1.026E-6</v>
      </c>
    </row>
    <row r="67" spans="1:31" hidden="1" x14ac:dyDescent="0.2">
      <c r="A67" t="s">
        <v>66</v>
      </c>
      <c r="B67" t="s">
        <v>141</v>
      </c>
      <c r="C67" t="s">
        <v>553</v>
      </c>
      <c r="D67" t="s">
        <v>554</v>
      </c>
      <c r="E67" t="s">
        <v>555</v>
      </c>
      <c r="F67" t="s">
        <v>145</v>
      </c>
      <c r="G67" t="s">
        <v>38</v>
      </c>
      <c r="H67" t="s">
        <v>33</v>
      </c>
      <c r="I67">
        <v>2.0600000000000003E-5</v>
      </c>
      <c r="J67">
        <v>0</v>
      </c>
      <c r="K67">
        <v>0</v>
      </c>
      <c r="L67">
        <v>0</v>
      </c>
      <c r="M67">
        <v>2.0600000000000003E-5</v>
      </c>
      <c r="N67">
        <v>0.75</v>
      </c>
      <c r="O67">
        <v>15</v>
      </c>
      <c r="P67">
        <v>4</v>
      </c>
      <c r="Q67">
        <v>2</v>
      </c>
      <c r="R67">
        <v>4</v>
      </c>
      <c r="S67">
        <v>365700</v>
      </c>
      <c r="T67">
        <v>769</v>
      </c>
      <c r="U67" t="s">
        <v>556</v>
      </c>
      <c r="V67" t="s">
        <v>550</v>
      </c>
      <c r="W67" t="s">
        <v>557</v>
      </c>
      <c r="X67" t="s">
        <v>522</v>
      </c>
      <c r="Y67" t="s">
        <v>558</v>
      </c>
      <c r="Z67" s="70">
        <f>I67*'Dynamic Analysis Dashboard'!$B$8*'Dynamic Analysis Dashboard'!$B$9*'Dynamic Analysis Dashboard'!$B$21</f>
        <v>1.3905000000000002E-5</v>
      </c>
      <c r="AA67" s="75">
        <f>J67*'Dynamic Analysis Dashboard'!$B$8*'Dynamic Analysis Dashboard'!$B$9*'Dynamic Analysis Dashboard'!$B$21</f>
        <v>0</v>
      </c>
      <c r="AB67" s="80">
        <f>K67*'Dynamic Analysis Dashboard'!$B$10*'Dynamic Analysis Dashboard'!$B$9*'Dynamic Analysis Dashboard'!$B$21</f>
        <v>0</v>
      </c>
      <c r="AC67" s="85">
        <f>L67*'Dynamic Analysis Dashboard'!$B$11*'Dynamic Analysis Dashboard'!$B$9*'Dynamic Analysis Dashboard'!$B$21</f>
        <v>0</v>
      </c>
      <c r="AD67" s="120">
        <f t="shared" ref="AD67:AD130" si="2">SUM(Z67:AC67)</f>
        <v>1.3905000000000002E-5</v>
      </c>
      <c r="AE67" s="121">
        <f t="shared" ref="AE67:AE130" si="3">AD67*N67</f>
        <v>1.0428750000000001E-5</v>
      </c>
    </row>
    <row r="68" spans="1:31" hidden="1" x14ac:dyDescent="0.2">
      <c r="A68" t="s">
        <v>66</v>
      </c>
      <c r="B68" t="s">
        <v>149</v>
      </c>
      <c r="C68" t="s">
        <v>559</v>
      </c>
      <c r="D68" t="s">
        <v>181</v>
      </c>
      <c r="E68" t="s">
        <v>560</v>
      </c>
      <c r="F68" t="s">
        <v>160</v>
      </c>
      <c r="G68" t="s">
        <v>38</v>
      </c>
      <c r="H68" t="s">
        <v>28</v>
      </c>
      <c r="I68">
        <v>5.9000000000000003E-6</v>
      </c>
      <c r="J68">
        <v>5.5999999999999997E-6</v>
      </c>
      <c r="K68">
        <v>0</v>
      </c>
      <c r="L68">
        <v>0</v>
      </c>
      <c r="M68">
        <v>1.15E-5</v>
      </c>
      <c r="N68">
        <v>0.65</v>
      </c>
      <c r="O68">
        <v>12</v>
      </c>
      <c r="P68">
        <v>3</v>
      </c>
      <c r="Q68">
        <v>3</v>
      </c>
      <c r="R68">
        <v>3</v>
      </c>
      <c r="S68">
        <v>9360</v>
      </c>
      <c r="T68">
        <v>168</v>
      </c>
      <c r="U68" t="s">
        <v>561</v>
      </c>
      <c r="V68" t="s">
        <v>562</v>
      </c>
      <c r="W68" t="s">
        <v>536</v>
      </c>
      <c r="X68" t="s">
        <v>522</v>
      </c>
      <c r="Y68" t="s">
        <v>563</v>
      </c>
      <c r="Z68" s="70">
        <f>I68*'Dynamic Analysis Dashboard'!$B$8*'Dynamic Analysis Dashboard'!$B$9*'Dynamic Analysis Dashboard'!$B$21</f>
        <v>3.9824999999999996E-6</v>
      </c>
      <c r="AA68" s="75">
        <f>J68*'Dynamic Analysis Dashboard'!$B$8*'Dynamic Analysis Dashboard'!$B$9*'Dynamic Analysis Dashboard'!$B$21</f>
        <v>3.7800000000000002E-6</v>
      </c>
      <c r="AB68" s="80">
        <f>K68*'Dynamic Analysis Dashboard'!$B$10*'Dynamic Analysis Dashboard'!$B$9*'Dynamic Analysis Dashboard'!$B$21</f>
        <v>0</v>
      </c>
      <c r="AC68" s="85">
        <f>L68*'Dynamic Analysis Dashboard'!$B$11*'Dynamic Analysis Dashboard'!$B$9*'Dynamic Analysis Dashboard'!$B$21</f>
        <v>0</v>
      </c>
      <c r="AD68" s="120">
        <f t="shared" si="2"/>
        <v>7.7624999999999989E-6</v>
      </c>
      <c r="AE68" s="121">
        <f t="shared" si="3"/>
        <v>5.0456249999999997E-6</v>
      </c>
    </row>
    <row r="69" spans="1:31" hidden="1" x14ac:dyDescent="0.2">
      <c r="A69" t="s">
        <v>66</v>
      </c>
      <c r="B69" t="s">
        <v>164</v>
      </c>
      <c r="C69" t="s">
        <v>303</v>
      </c>
      <c r="D69" t="s">
        <v>166</v>
      </c>
      <c r="E69" t="s">
        <v>564</v>
      </c>
      <c r="F69" t="s">
        <v>145</v>
      </c>
      <c r="G69" t="s">
        <v>38</v>
      </c>
      <c r="H69" t="s">
        <v>33</v>
      </c>
      <c r="I69">
        <v>0</v>
      </c>
      <c r="J69">
        <v>0</v>
      </c>
      <c r="K69">
        <v>0</v>
      </c>
      <c r="L69">
        <v>7.5999999999999992E-6</v>
      </c>
      <c r="M69">
        <v>7.5999999999999992E-6</v>
      </c>
      <c r="N69">
        <v>0.75</v>
      </c>
      <c r="O69">
        <v>12</v>
      </c>
      <c r="P69">
        <v>3</v>
      </c>
      <c r="Q69">
        <v>2</v>
      </c>
      <c r="R69">
        <v>4</v>
      </c>
      <c r="S69">
        <v>34500</v>
      </c>
      <c r="T69">
        <v>189</v>
      </c>
      <c r="U69" t="s">
        <v>565</v>
      </c>
      <c r="V69" t="s">
        <v>566</v>
      </c>
      <c r="W69" t="s">
        <v>536</v>
      </c>
      <c r="X69" t="s">
        <v>567</v>
      </c>
      <c r="Y69" t="s">
        <v>568</v>
      </c>
      <c r="Z69" s="70">
        <f>I69*'Dynamic Analysis Dashboard'!$B$8*'Dynamic Analysis Dashboard'!$B$9*'Dynamic Analysis Dashboard'!$B$21</f>
        <v>0</v>
      </c>
      <c r="AA69" s="75">
        <f>J69*'Dynamic Analysis Dashboard'!$B$8*'Dynamic Analysis Dashboard'!$B$9*'Dynamic Analysis Dashboard'!$B$21</f>
        <v>0</v>
      </c>
      <c r="AB69" s="80">
        <f>K69*'Dynamic Analysis Dashboard'!$B$10*'Dynamic Analysis Dashboard'!$B$9*'Dynamic Analysis Dashboard'!$B$21</f>
        <v>0</v>
      </c>
      <c r="AC69" s="85">
        <f>L69*'Dynamic Analysis Dashboard'!$B$11*'Dynamic Analysis Dashboard'!$B$9*'Dynamic Analysis Dashboard'!$B$21</f>
        <v>4.8449999999999994E-6</v>
      </c>
      <c r="AD69" s="120">
        <f t="shared" si="2"/>
        <v>4.8449999999999994E-6</v>
      </c>
      <c r="AE69" s="121">
        <f t="shared" si="3"/>
        <v>3.6337499999999997E-6</v>
      </c>
    </row>
    <row r="70" spans="1:31" hidden="1" x14ac:dyDescent="0.2">
      <c r="A70" t="s">
        <v>66</v>
      </c>
      <c r="B70" t="s">
        <v>186</v>
      </c>
      <c r="C70" t="s">
        <v>569</v>
      </c>
      <c r="D70" t="s">
        <v>554</v>
      </c>
      <c r="E70" t="s">
        <v>570</v>
      </c>
      <c r="F70" t="s">
        <v>330</v>
      </c>
      <c r="G70" t="s">
        <v>38</v>
      </c>
      <c r="H70" t="s">
        <v>33</v>
      </c>
      <c r="I70">
        <v>0</v>
      </c>
      <c r="J70">
        <v>1.8199999999999999E-5</v>
      </c>
      <c r="K70">
        <v>0</v>
      </c>
      <c r="L70">
        <v>0</v>
      </c>
      <c r="M70">
        <v>1.8199999999999999E-5</v>
      </c>
      <c r="N70">
        <v>0.7</v>
      </c>
      <c r="O70">
        <v>15</v>
      </c>
      <c r="P70">
        <v>4</v>
      </c>
      <c r="Q70">
        <v>2</v>
      </c>
      <c r="R70">
        <v>4</v>
      </c>
      <c r="S70">
        <v>281400</v>
      </c>
      <c r="T70">
        <v>1.5E-3</v>
      </c>
      <c r="U70" t="s">
        <v>571</v>
      </c>
      <c r="V70" t="s">
        <v>572</v>
      </c>
      <c r="W70" t="s">
        <v>536</v>
      </c>
      <c r="X70" t="s">
        <v>522</v>
      </c>
      <c r="Y70" t="s">
        <v>573</v>
      </c>
      <c r="Z70" s="70">
        <f>I70*'Dynamic Analysis Dashboard'!$B$8*'Dynamic Analysis Dashboard'!$B$9*'Dynamic Analysis Dashboard'!$B$21</f>
        <v>0</v>
      </c>
      <c r="AA70" s="75">
        <f>J70*'Dynamic Analysis Dashboard'!$B$8*'Dynamic Analysis Dashboard'!$B$9*'Dynamic Analysis Dashboard'!$B$21</f>
        <v>1.2284999999999998E-5</v>
      </c>
      <c r="AB70" s="80">
        <f>K70*'Dynamic Analysis Dashboard'!$B$10*'Dynamic Analysis Dashboard'!$B$9*'Dynamic Analysis Dashboard'!$B$21</f>
        <v>0</v>
      </c>
      <c r="AC70" s="85">
        <f>L70*'Dynamic Analysis Dashboard'!$B$11*'Dynamic Analysis Dashboard'!$B$9*'Dynamic Analysis Dashboard'!$B$21</f>
        <v>0</v>
      </c>
      <c r="AD70" s="120">
        <f t="shared" si="2"/>
        <v>1.2284999999999998E-5</v>
      </c>
      <c r="AE70" s="121">
        <f t="shared" si="3"/>
        <v>8.5994999999999979E-6</v>
      </c>
    </row>
    <row r="71" spans="1:31" hidden="1" x14ac:dyDescent="0.2">
      <c r="A71" t="s">
        <v>66</v>
      </c>
      <c r="B71" t="s">
        <v>194</v>
      </c>
      <c r="C71" t="s">
        <v>574</v>
      </c>
      <c r="D71" t="s">
        <v>525</v>
      </c>
      <c r="E71" t="s">
        <v>575</v>
      </c>
      <c r="F71" t="s">
        <v>317</v>
      </c>
      <c r="G71" t="s">
        <v>38</v>
      </c>
      <c r="H71" t="s">
        <v>33</v>
      </c>
      <c r="I71">
        <v>0</v>
      </c>
      <c r="J71">
        <v>0</v>
      </c>
      <c r="K71">
        <v>7.7999999999999999E-6</v>
      </c>
      <c r="L71">
        <v>0</v>
      </c>
      <c r="M71">
        <v>7.7999999999999999E-6</v>
      </c>
      <c r="N71">
        <v>0.65</v>
      </c>
      <c r="O71">
        <v>12</v>
      </c>
      <c r="P71">
        <v>3</v>
      </c>
      <c r="Q71">
        <v>3</v>
      </c>
      <c r="R71">
        <v>3</v>
      </c>
      <c r="S71">
        <v>19440</v>
      </c>
      <c r="T71">
        <v>106</v>
      </c>
      <c r="U71" t="s">
        <v>576</v>
      </c>
      <c r="V71" t="s">
        <v>528</v>
      </c>
      <c r="W71" t="s">
        <v>577</v>
      </c>
      <c r="X71" t="s">
        <v>522</v>
      </c>
      <c r="Y71" t="s">
        <v>578</v>
      </c>
      <c r="Z71" s="70">
        <f>I71*'Dynamic Analysis Dashboard'!$B$8*'Dynamic Analysis Dashboard'!$B$9*'Dynamic Analysis Dashboard'!$B$21</f>
        <v>0</v>
      </c>
      <c r="AA71" s="75">
        <f>J71*'Dynamic Analysis Dashboard'!$B$8*'Dynamic Analysis Dashboard'!$B$9*'Dynamic Analysis Dashboard'!$B$21</f>
        <v>0</v>
      </c>
      <c r="AB71" s="80">
        <f>K71*'Dynamic Analysis Dashboard'!$B$10*'Dynamic Analysis Dashboard'!$B$9*'Dynamic Analysis Dashboard'!$B$21</f>
        <v>4.6800000000000001E-6</v>
      </c>
      <c r="AC71" s="85">
        <f>L71*'Dynamic Analysis Dashboard'!$B$11*'Dynamic Analysis Dashboard'!$B$9*'Dynamic Analysis Dashboard'!$B$21</f>
        <v>0</v>
      </c>
      <c r="AD71" s="120">
        <f t="shared" si="2"/>
        <v>4.6800000000000001E-6</v>
      </c>
      <c r="AE71" s="121">
        <f t="shared" si="3"/>
        <v>3.0420000000000003E-6</v>
      </c>
    </row>
    <row r="72" spans="1:31" x14ac:dyDescent="0.2">
      <c r="A72" t="s">
        <v>81</v>
      </c>
      <c r="B72" t="s">
        <v>141</v>
      </c>
      <c r="C72" t="s">
        <v>579</v>
      </c>
      <c r="D72" t="s">
        <v>580</v>
      </c>
      <c r="E72" t="s">
        <v>581</v>
      </c>
      <c r="F72" t="s">
        <v>582</v>
      </c>
      <c r="G72" t="s">
        <v>24</v>
      </c>
      <c r="H72" t="s">
        <v>28</v>
      </c>
      <c r="I72">
        <v>5.2000000000000002E-6</v>
      </c>
      <c r="J72">
        <v>0</v>
      </c>
      <c r="K72">
        <v>4.9000000000000005E-6</v>
      </c>
      <c r="L72">
        <v>0</v>
      </c>
      <c r="M72">
        <v>1.01E-5</v>
      </c>
      <c r="N72">
        <v>0.8</v>
      </c>
      <c r="O72">
        <v>9</v>
      </c>
      <c r="P72">
        <v>3</v>
      </c>
      <c r="Q72">
        <v>2</v>
      </c>
      <c r="R72">
        <v>4</v>
      </c>
      <c r="S72">
        <v>54250</v>
      </c>
      <c r="T72">
        <v>816</v>
      </c>
      <c r="U72" t="s">
        <v>583</v>
      </c>
      <c r="V72" t="s">
        <v>129</v>
      </c>
      <c r="W72" t="s">
        <v>584</v>
      </c>
      <c r="X72" t="s">
        <v>131</v>
      </c>
      <c r="Y72" t="s">
        <v>585</v>
      </c>
      <c r="Z72" s="70">
        <f>I72*'Dynamic Analysis Dashboard'!$B$8*'Dynamic Analysis Dashboard'!$B$9*'Dynamic Analysis Dashboard'!$B$21</f>
        <v>3.5100000000000003E-6</v>
      </c>
      <c r="AA72" s="75">
        <f>J72*'Dynamic Analysis Dashboard'!$B$8*'Dynamic Analysis Dashboard'!$B$9*'Dynamic Analysis Dashboard'!$B$21</f>
        <v>0</v>
      </c>
      <c r="AB72" s="80">
        <f>K72*'Dynamic Analysis Dashboard'!$B$10*'Dynamic Analysis Dashboard'!$B$9*'Dynamic Analysis Dashboard'!$B$21</f>
        <v>2.9400000000000007E-6</v>
      </c>
      <c r="AC72" s="85">
        <f>L72*'Dynamic Analysis Dashboard'!$B$11*'Dynamic Analysis Dashboard'!$B$9*'Dynamic Analysis Dashboard'!$B$21</f>
        <v>0</v>
      </c>
      <c r="AD72" s="120">
        <f t="shared" si="2"/>
        <v>6.4500000000000009E-6</v>
      </c>
      <c r="AE72" s="121">
        <f t="shared" si="3"/>
        <v>5.1600000000000014E-6</v>
      </c>
    </row>
    <row r="73" spans="1:31" x14ac:dyDescent="0.2">
      <c r="A73" t="s">
        <v>81</v>
      </c>
      <c r="B73" t="s">
        <v>149</v>
      </c>
      <c r="C73" t="s">
        <v>586</v>
      </c>
      <c r="D73" t="s">
        <v>587</v>
      </c>
      <c r="E73" t="s">
        <v>588</v>
      </c>
      <c r="F73" t="s">
        <v>589</v>
      </c>
      <c r="G73" t="s">
        <v>24</v>
      </c>
      <c r="H73" t="s">
        <v>28</v>
      </c>
      <c r="I73">
        <v>6.0000000000000002E-6</v>
      </c>
      <c r="J73">
        <v>0</v>
      </c>
      <c r="K73">
        <v>0</v>
      </c>
      <c r="L73">
        <v>3.7999999999999996E-6</v>
      </c>
      <c r="M73">
        <v>9.800000000000001E-6</v>
      </c>
      <c r="N73">
        <v>0.7</v>
      </c>
      <c r="O73">
        <v>12</v>
      </c>
      <c r="P73">
        <v>4</v>
      </c>
      <c r="Q73">
        <v>3</v>
      </c>
      <c r="R73">
        <v>5</v>
      </c>
      <c r="S73">
        <v>28200</v>
      </c>
      <c r="T73">
        <v>424</v>
      </c>
      <c r="U73" t="s">
        <v>590</v>
      </c>
      <c r="V73" t="s">
        <v>129</v>
      </c>
      <c r="W73" t="s">
        <v>591</v>
      </c>
      <c r="X73" t="s">
        <v>592</v>
      </c>
      <c r="Y73" t="s">
        <v>593</v>
      </c>
      <c r="Z73" s="70">
        <f>I73*'Dynamic Analysis Dashboard'!$B$8*'Dynamic Analysis Dashboard'!$B$9*'Dynamic Analysis Dashboard'!$B$21</f>
        <v>4.0500000000000002E-6</v>
      </c>
      <c r="AA73" s="75">
        <f>J73*'Dynamic Analysis Dashboard'!$B$8*'Dynamic Analysis Dashboard'!$B$9*'Dynamic Analysis Dashboard'!$B$21</f>
        <v>0</v>
      </c>
      <c r="AB73" s="80">
        <f>K73*'Dynamic Analysis Dashboard'!$B$10*'Dynamic Analysis Dashboard'!$B$9*'Dynamic Analysis Dashboard'!$B$21</f>
        <v>0</v>
      </c>
      <c r="AC73" s="85">
        <f>L73*'Dynamic Analysis Dashboard'!$B$11*'Dynamic Analysis Dashboard'!$B$9*'Dynamic Analysis Dashboard'!$B$21</f>
        <v>2.4224999999999997E-6</v>
      </c>
      <c r="AD73" s="120">
        <f t="shared" si="2"/>
        <v>6.4724999999999994E-6</v>
      </c>
      <c r="AE73" s="121">
        <f t="shared" si="3"/>
        <v>4.5307499999999989E-6</v>
      </c>
    </row>
    <row r="74" spans="1:31" hidden="1" x14ac:dyDescent="0.2">
      <c r="A74" t="s">
        <v>81</v>
      </c>
      <c r="B74" t="s">
        <v>156</v>
      </c>
      <c r="C74" t="s">
        <v>594</v>
      </c>
      <c r="D74" t="s">
        <v>595</v>
      </c>
      <c r="E74" t="s">
        <v>431</v>
      </c>
      <c r="F74" t="s">
        <v>589</v>
      </c>
      <c r="G74" t="s">
        <v>24</v>
      </c>
      <c r="H74" t="s">
        <v>28</v>
      </c>
      <c r="I74">
        <v>0</v>
      </c>
      <c r="J74">
        <v>0</v>
      </c>
      <c r="K74">
        <v>0</v>
      </c>
      <c r="L74">
        <v>5.9000000000000003E-6</v>
      </c>
      <c r="M74">
        <v>5.9000000000000003E-6</v>
      </c>
      <c r="N74">
        <v>0.7</v>
      </c>
      <c r="O74">
        <v>9</v>
      </c>
      <c r="P74">
        <v>3</v>
      </c>
      <c r="Q74">
        <v>3</v>
      </c>
      <c r="R74">
        <v>4</v>
      </c>
      <c r="S74">
        <v>15840</v>
      </c>
      <c r="T74">
        <v>238</v>
      </c>
      <c r="U74" t="s">
        <v>318</v>
      </c>
      <c r="V74" t="s">
        <v>129</v>
      </c>
      <c r="W74" t="s">
        <v>591</v>
      </c>
      <c r="X74" t="s">
        <v>596</v>
      </c>
      <c r="Y74" t="s">
        <v>597</v>
      </c>
      <c r="Z74" s="70">
        <f>I74*'Dynamic Analysis Dashboard'!$B$8*'Dynamic Analysis Dashboard'!$B$9*'Dynamic Analysis Dashboard'!$B$21</f>
        <v>0</v>
      </c>
      <c r="AA74" s="75">
        <f>J74*'Dynamic Analysis Dashboard'!$B$8*'Dynamic Analysis Dashboard'!$B$9*'Dynamic Analysis Dashboard'!$B$21</f>
        <v>0</v>
      </c>
      <c r="AB74" s="80">
        <f>K74*'Dynamic Analysis Dashboard'!$B$10*'Dynamic Analysis Dashboard'!$B$9*'Dynamic Analysis Dashboard'!$B$21</f>
        <v>0</v>
      </c>
      <c r="AC74" s="85">
        <f>L74*'Dynamic Analysis Dashboard'!$B$11*'Dynamic Analysis Dashboard'!$B$9*'Dynamic Analysis Dashboard'!$B$21</f>
        <v>3.7612500000000002E-6</v>
      </c>
      <c r="AD74" s="120">
        <f t="shared" si="2"/>
        <v>3.7612500000000002E-6</v>
      </c>
      <c r="AE74" s="121">
        <f t="shared" si="3"/>
        <v>2.6328750000000002E-6</v>
      </c>
    </row>
    <row r="75" spans="1:31" x14ac:dyDescent="0.2">
      <c r="A75" t="s">
        <v>81</v>
      </c>
      <c r="B75" t="s">
        <v>164</v>
      </c>
      <c r="C75" t="s">
        <v>598</v>
      </c>
      <c r="D75" t="s">
        <v>504</v>
      </c>
      <c r="E75" t="s">
        <v>599</v>
      </c>
      <c r="F75" t="s">
        <v>489</v>
      </c>
      <c r="G75" t="s">
        <v>24</v>
      </c>
      <c r="H75" t="s">
        <v>25</v>
      </c>
      <c r="I75">
        <v>1.8000000000000001E-6</v>
      </c>
      <c r="J75">
        <v>0</v>
      </c>
      <c r="K75">
        <v>0</v>
      </c>
      <c r="L75">
        <v>0</v>
      </c>
      <c r="M75">
        <v>1.8000000000000001E-6</v>
      </c>
      <c r="N75">
        <v>0.75</v>
      </c>
      <c r="O75">
        <v>6</v>
      </c>
      <c r="P75">
        <v>2</v>
      </c>
      <c r="Q75">
        <v>2</v>
      </c>
      <c r="R75">
        <v>2</v>
      </c>
      <c r="S75">
        <v>15300</v>
      </c>
      <c r="T75">
        <v>230</v>
      </c>
      <c r="U75" t="s">
        <v>600</v>
      </c>
      <c r="V75" t="s">
        <v>129</v>
      </c>
      <c r="W75" t="s">
        <v>591</v>
      </c>
      <c r="X75" t="s">
        <v>131</v>
      </c>
      <c r="Y75" t="s">
        <v>601</v>
      </c>
      <c r="Z75" s="70">
        <f>I75*'Dynamic Analysis Dashboard'!$B$8*'Dynamic Analysis Dashboard'!$B$9*'Dynamic Analysis Dashboard'!$B$21</f>
        <v>1.2150000000000002E-6</v>
      </c>
      <c r="AA75" s="75">
        <f>J75*'Dynamic Analysis Dashboard'!$B$8*'Dynamic Analysis Dashboard'!$B$9*'Dynamic Analysis Dashboard'!$B$21</f>
        <v>0</v>
      </c>
      <c r="AB75" s="80">
        <f>K75*'Dynamic Analysis Dashboard'!$B$10*'Dynamic Analysis Dashboard'!$B$9*'Dynamic Analysis Dashboard'!$B$21</f>
        <v>0</v>
      </c>
      <c r="AC75" s="85">
        <f>L75*'Dynamic Analysis Dashboard'!$B$11*'Dynamic Analysis Dashboard'!$B$9*'Dynamic Analysis Dashboard'!$B$21</f>
        <v>0</v>
      </c>
      <c r="AD75" s="120">
        <f t="shared" si="2"/>
        <v>1.2150000000000002E-6</v>
      </c>
      <c r="AE75" s="121">
        <f t="shared" si="3"/>
        <v>9.1125000000000017E-7</v>
      </c>
    </row>
    <row r="76" spans="1:31" x14ac:dyDescent="0.2">
      <c r="A76" t="s">
        <v>81</v>
      </c>
      <c r="B76" t="s">
        <v>172</v>
      </c>
      <c r="C76" t="s">
        <v>602</v>
      </c>
      <c r="D76" t="s">
        <v>504</v>
      </c>
      <c r="E76" t="s">
        <v>603</v>
      </c>
      <c r="F76" t="s">
        <v>259</v>
      </c>
      <c r="G76" t="s">
        <v>24</v>
      </c>
      <c r="H76" t="s">
        <v>28</v>
      </c>
      <c r="I76">
        <v>2.8999999999999998E-6</v>
      </c>
      <c r="J76">
        <v>3.7000000000000002E-6</v>
      </c>
      <c r="K76">
        <v>0</v>
      </c>
      <c r="L76">
        <v>0</v>
      </c>
      <c r="M76">
        <v>6.5999999999999995E-6</v>
      </c>
      <c r="N76">
        <v>0.7</v>
      </c>
      <c r="O76">
        <v>9</v>
      </c>
      <c r="P76">
        <v>3</v>
      </c>
      <c r="Q76">
        <v>3</v>
      </c>
      <c r="R76">
        <v>3</v>
      </c>
      <c r="S76">
        <v>6400</v>
      </c>
      <c r="T76">
        <v>96</v>
      </c>
      <c r="U76" t="s">
        <v>604</v>
      </c>
      <c r="V76" t="s">
        <v>605</v>
      </c>
      <c r="W76" t="s">
        <v>591</v>
      </c>
      <c r="X76" t="s">
        <v>131</v>
      </c>
      <c r="Y76" t="s">
        <v>606</v>
      </c>
      <c r="Z76" s="70">
        <f>I76*'Dynamic Analysis Dashboard'!$B$8*'Dynamic Analysis Dashboard'!$B$9*'Dynamic Analysis Dashboard'!$B$21</f>
        <v>1.9574999999999999E-6</v>
      </c>
      <c r="AA76" s="75">
        <f>J76*'Dynamic Analysis Dashboard'!$B$8*'Dynamic Analysis Dashboard'!$B$9*'Dynamic Analysis Dashboard'!$B$21</f>
        <v>2.4975000000000002E-6</v>
      </c>
      <c r="AB76" s="80">
        <f>K76*'Dynamic Analysis Dashboard'!$B$10*'Dynamic Analysis Dashboard'!$B$9*'Dynamic Analysis Dashboard'!$B$21</f>
        <v>0</v>
      </c>
      <c r="AC76" s="85">
        <f>L76*'Dynamic Analysis Dashboard'!$B$11*'Dynamic Analysis Dashboard'!$B$9*'Dynamic Analysis Dashboard'!$B$21</f>
        <v>0</v>
      </c>
      <c r="AD76" s="120">
        <f t="shared" si="2"/>
        <v>4.4550000000000005E-6</v>
      </c>
      <c r="AE76" s="121">
        <f t="shared" si="3"/>
        <v>3.1185000000000003E-6</v>
      </c>
    </row>
    <row r="77" spans="1:31" x14ac:dyDescent="0.2">
      <c r="A77" t="s">
        <v>81</v>
      </c>
      <c r="B77" t="s">
        <v>186</v>
      </c>
      <c r="C77" t="s">
        <v>607</v>
      </c>
      <c r="D77" t="s">
        <v>580</v>
      </c>
      <c r="E77" t="s">
        <v>608</v>
      </c>
      <c r="F77" t="s">
        <v>609</v>
      </c>
      <c r="G77" t="s">
        <v>24</v>
      </c>
      <c r="H77" t="s">
        <v>28</v>
      </c>
      <c r="I77">
        <v>2.3999999999999999E-6</v>
      </c>
      <c r="J77">
        <v>0</v>
      </c>
      <c r="K77">
        <v>3.8999999999999999E-6</v>
      </c>
      <c r="L77">
        <v>0</v>
      </c>
      <c r="M77">
        <v>6.2999999999999998E-6</v>
      </c>
      <c r="N77">
        <v>0.75</v>
      </c>
      <c r="O77">
        <v>9</v>
      </c>
      <c r="P77">
        <v>3</v>
      </c>
      <c r="Q77">
        <v>2</v>
      </c>
      <c r="R77">
        <v>4</v>
      </c>
      <c r="S77">
        <v>3640</v>
      </c>
      <c r="T77">
        <v>55</v>
      </c>
      <c r="U77" t="s">
        <v>610</v>
      </c>
      <c r="V77" t="s">
        <v>129</v>
      </c>
      <c r="W77" t="s">
        <v>611</v>
      </c>
      <c r="X77" t="s">
        <v>131</v>
      </c>
      <c r="Y77" t="s">
        <v>612</v>
      </c>
      <c r="Z77" s="70">
        <f>I77*'Dynamic Analysis Dashboard'!$B$8*'Dynamic Analysis Dashboard'!$B$9*'Dynamic Analysis Dashboard'!$B$21</f>
        <v>1.6200000000000002E-6</v>
      </c>
      <c r="AA77" s="75">
        <f>J77*'Dynamic Analysis Dashboard'!$B$8*'Dynamic Analysis Dashboard'!$B$9*'Dynamic Analysis Dashboard'!$B$21</f>
        <v>0</v>
      </c>
      <c r="AB77" s="80">
        <f>K77*'Dynamic Analysis Dashboard'!$B$10*'Dynamic Analysis Dashboard'!$B$9*'Dynamic Analysis Dashboard'!$B$21</f>
        <v>2.34E-6</v>
      </c>
      <c r="AC77" s="85">
        <f>L77*'Dynamic Analysis Dashboard'!$B$11*'Dynamic Analysis Dashboard'!$B$9*'Dynamic Analysis Dashboard'!$B$21</f>
        <v>0</v>
      </c>
      <c r="AD77" s="120">
        <f t="shared" si="2"/>
        <v>3.9600000000000002E-6</v>
      </c>
      <c r="AE77" s="121">
        <f t="shared" si="3"/>
        <v>2.9700000000000004E-6</v>
      </c>
    </row>
    <row r="78" spans="1:31" hidden="1" x14ac:dyDescent="0.2">
      <c r="A78" t="s">
        <v>81</v>
      </c>
      <c r="B78" t="s">
        <v>123</v>
      </c>
      <c r="C78" t="s">
        <v>613</v>
      </c>
      <c r="D78" t="s">
        <v>587</v>
      </c>
      <c r="E78" t="s">
        <v>614</v>
      </c>
      <c r="F78" t="s">
        <v>289</v>
      </c>
      <c r="G78" t="s">
        <v>38</v>
      </c>
      <c r="H78" t="s">
        <v>33</v>
      </c>
      <c r="I78">
        <v>8.9000000000000012E-6</v>
      </c>
      <c r="J78">
        <v>0</v>
      </c>
      <c r="K78">
        <v>0</v>
      </c>
      <c r="L78">
        <v>0</v>
      </c>
      <c r="M78">
        <v>8.9000000000000012E-6</v>
      </c>
      <c r="N78">
        <v>0.75</v>
      </c>
      <c r="O78">
        <v>15</v>
      </c>
      <c r="P78">
        <v>4</v>
      </c>
      <c r="Q78">
        <v>2</v>
      </c>
      <c r="R78">
        <v>5</v>
      </c>
      <c r="S78">
        <v>8500</v>
      </c>
      <c r="T78">
        <v>128</v>
      </c>
      <c r="U78" t="s">
        <v>615</v>
      </c>
      <c r="V78" t="s">
        <v>129</v>
      </c>
      <c r="W78" t="s">
        <v>591</v>
      </c>
      <c r="X78" t="s">
        <v>131</v>
      </c>
      <c r="Y78" t="s">
        <v>616</v>
      </c>
      <c r="Z78" s="70">
        <f>I78*'Dynamic Analysis Dashboard'!$B$8*'Dynamic Analysis Dashboard'!$B$9*'Dynamic Analysis Dashboard'!$B$21</f>
        <v>6.0075000000000014E-6</v>
      </c>
      <c r="AA78" s="75">
        <f>J78*'Dynamic Analysis Dashboard'!$B$8*'Dynamic Analysis Dashboard'!$B$9*'Dynamic Analysis Dashboard'!$B$21</f>
        <v>0</v>
      </c>
      <c r="AB78" s="80">
        <f>K78*'Dynamic Analysis Dashboard'!$B$10*'Dynamic Analysis Dashboard'!$B$9*'Dynamic Analysis Dashboard'!$B$21</f>
        <v>0</v>
      </c>
      <c r="AC78" s="85">
        <f>L78*'Dynamic Analysis Dashboard'!$B$11*'Dynamic Analysis Dashboard'!$B$9*'Dynamic Analysis Dashboard'!$B$21</f>
        <v>0</v>
      </c>
      <c r="AD78" s="120">
        <f t="shared" si="2"/>
        <v>6.0075000000000014E-6</v>
      </c>
      <c r="AE78" s="121">
        <f t="shared" si="3"/>
        <v>4.5056250000000014E-6</v>
      </c>
    </row>
    <row r="79" spans="1:31" hidden="1" x14ac:dyDescent="0.2">
      <c r="A79" t="s">
        <v>81</v>
      </c>
      <c r="B79" t="s">
        <v>133</v>
      </c>
      <c r="C79" t="s">
        <v>617</v>
      </c>
      <c r="D79" t="s">
        <v>595</v>
      </c>
      <c r="E79" t="s">
        <v>618</v>
      </c>
      <c r="F79" t="s">
        <v>619</v>
      </c>
      <c r="G79" t="s">
        <v>38</v>
      </c>
      <c r="H79" t="s">
        <v>33</v>
      </c>
      <c r="I79">
        <v>1.3E-6</v>
      </c>
      <c r="J79">
        <v>0</v>
      </c>
      <c r="K79">
        <v>0</v>
      </c>
      <c r="L79">
        <v>0</v>
      </c>
      <c r="M79">
        <v>1.3E-6</v>
      </c>
      <c r="N79">
        <v>0.75</v>
      </c>
      <c r="O79">
        <v>6</v>
      </c>
      <c r="P79">
        <v>3</v>
      </c>
      <c r="Q79">
        <v>3</v>
      </c>
      <c r="R79">
        <v>3</v>
      </c>
      <c r="S79">
        <v>15960</v>
      </c>
      <c r="T79">
        <v>240</v>
      </c>
      <c r="U79" t="s">
        <v>620</v>
      </c>
      <c r="V79" t="s">
        <v>129</v>
      </c>
      <c r="W79" t="s">
        <v>591</v>
      </c>
      <c r="X79" t="s">
        <v>131</v>
      </c>
      <c r="Y79" t="s">
        <v>621</v>
      </c>
      <c r="Z79" s="70">
        <f>I79*'Dynamic Analysis Dashboard'!$B$8*'Dynamic Analysis Dashboard'!$B$9*'Dynamic Analysis Dashboard'!$B$21</f>
        <v>8.7750000000000007E-7</v>
      </c>
      <c r="AA79" s="75">
        <f>J79*'Dynamic Analysis Dashboard'!$B$8*'Dynamic Analysis Dashboard'!$B$9*'Dynamic Analysis Dashboard'!$B$21</f>
        <v>0</v>
      </c>
      <c r="AB79" s="80">
        <f>K79*'Dynamic Analysis Dashboard'!$B$10*'Dynamic Analysis Dashboard'!$B$9*'Dynamic Analysis Dashboard'!$B$21</f>
        <v>0</v>
      </c>
      <c r="AC79" s="85">
        <f>L79*'Dynamic Analysis Dashboard'!$B$11*'Dynamic Analysis Dashboard'!$B$9*'Dynamic Analysis Dashboard'!$B$21</f>
        <v>0</v>
      </c>
      <c r="AD79" s="120">
        <f t="shared" si="2"/>
        <v>8.7750000000000007E-7</v>
      </c>
      <c r="AE79" s="121">
        <f t="shared" si="3"/>
        <v>6.5812500000000005E-7</v>
      </c>
    </row>
    <row r="80" spans="1:31" hidden="1" x14ac:dyDescent="0.2">
      <c r="A80" t="s">
        <v>81</v>
      </c>
      <c r="B80" t="s">
        <v>179</v>
      </c>
      <c r="C80" t="s">
        <v>539</v>
      </c>
      <c r="D80" t="s">
        <v>135</v>
      </c>
      <c r="E80" t="s">
        <v>197</v>
      </c>
      <c r="F80" t="s">
        <v>622</v>
      </c>
      <c r="G80" t="s">
        <v>31</v>
      </c>
      <c r="H80" t="s">
        <v>25</v>
      </c>
      <c r="I80">
        <v>0</v>
      </c>
      <c r="J80">
        <v>4.7999999999999998E-6</v>
      </c>
      <c r="K80">
        <v>0</v>
      </c>
      <c r="L80">
        <v>0</v>
      </c>
      <c r="M80">
        <v>4.7999999999999998E-6</v>
      </c>
      <c r="N80">
        <v>0.8</v>
      </c>
      <c r="O80">
        <v>6</v>
      </c>
      <c r="P80">
        <v>2</v>
      </c>
      <c r="Q80">
        <v>2</v>
      </c>
      <c r="R80">
        <v>3</v>
      </c>
      <c r="S80">
        <v>4500</v>
      </c>
      <c r="T80">
        <v>68</v>
      </c>
      <c r="U80" t="s">
        <v>318</v>
      </c>
      <c r="V80" t="s">
        <v>623</v>
      </c>
      <c r="W80" t="s">
        <v>591</v>
      </c>
      <c r="X80" t="s">
        <v>131</v>
      </c>
      <c r="Y80" t="s">
        <v>624</v>
      </c>
      <c r="Z80" s="70">
        <f>I80*'Dynamic Analysis Dashboard'!$B$8*'Dynamic Analysis Dashboard'!$B$9*'Dynamic Analysis Dashboard'!$B$21</f>
        <v>0</v>
      </c>
      <c r="AA80" s="75">
        <f>J80*'Dynamic Analysis Dashboard'!$B$8*'Dynamic Analysis Dashboard'!$B$9*'Dynamic Analysis Dashboard'!$B$21</f>
        <v>3.2400000000000003E-6</v>
      </c>
      <c r="AB80" s="80">
        <f>K80*'Dynamic Analysis Dashboard'!$B$10*'Dynamic Analysis Dashboard'!$B$9*'Dynamic Analysis Dashboard'!$B$21</f>
        <v>0</v>
      </c>
      <c r="AC80" s="85">
        <f>L80*'Dynamic Analysis Dashboard'!$B$11*'Dynamic Analysis Dashboard'!$B$9*'Dynamic Analysis Dashboard'!$B$21</f>
        <v>0</v>
      </c>
      <c r="AD80" s="120">
        <f t="shared" si="2"/>
        <v>3.2400000000000003E-6</v>
      </c>
      <c r="AE80" s="121">
        <f t="shared" si="3"/>
        <v>2.5920000000000003E-6</v>
      </c>
    </row>
    <row r="81" spans="1:31" hidden="1" x14ac:dyDescent="0.2">
      <c r="A81" t="s">
        <v>81</v>
      </c>
      <c r="B81" t="s">
        <v>194</v>
      </c>
      <c r="C81" t="s">
        <v>625</v>
      </c>
      <c r="D81" t="s">
        <v>166</v>
      </c>
      <c r="E81" t="s">
        <v>626</v>
      </c>
      <c r="F81" t="s">
        <v>259</v>
      </c>
      <c r="G81" t="s">
        <v>38</v>
      </c>
      <c r="H81" t="s">
        <v>311</v>
      </c>
      <c r="I81">
        <v>9.9999999999999995E-7</v>
      </c>
      <c r="J81">
        <v>0</v>
      </c>
      <c r="K81">
        <v>0</v>
      </c>
      <c r="L81">
        <v>0</v>
      </c>
      <c r="M81">
        <v>9.9999999999999995E-7</v>
      </c>
      <c r="N81">
        <v>0.8</v>
      </c>
      <c r="O81">
        <v>6</v>
      </c>
      <c r="P81">
        <v>3</v>
      </c>
      <c r="Q81">
        <v>3</v>
      </c>
      <c r="R81">
        <v>4</v>
      </c>
      <c r="S81">
        <v>1248</v>
      </c>
      <c r="T81">
        <v>19</v>
      </c>
      <c r="U81" t="s">
        <v>627</v>
      </c>
      <c r="V81" t="s">
        <v>129</v>
      </c>
      <c r="W81" t="s">
        <v>591</v>
      </c>
      <c r="X81" t="s">
        <v>131</v>
      </c>
      <c r="Y81" t="s">
        <v>628</v>
      </c>
      <c r="Z81" s="70">
        <f>I81*'Dynamic Analysis Dashboard'!$B$8*'Dynamic Analysis Dashboard'!$B$9*'Dynamic Analysis Dashboard'!$B$21</f>
        <v>6.75E-7</v>
      </c>
      <c r="AA81" s="75">
        <f>J81*'Dynamic Analysis Dashboard'!$B$8*'Dynamic Analysis Dashboard'!$B$9*'Dynamic Analysis Dashboard'!$B$21</f>
        <v>0</v>
      </c>
      <c r="AB81" s="80">
        <f>K81*'Dynamic Analysis Dashboard'!$B$10*'Dynamic Analysis Dashboard'!$B$9*'Dynamic Analysis Dashboard'!$B$21</f>
        <v>0</v>
      </c>
      <c r="AC81" s="85">
        <f>L81*'Dynamic Analysis Dashboard'!$B$11*'Dynamic Analysis Dashboard'!$B$9*'Dynamic Analysis Dashboard'!$B$21</f>
        <v>0</v>
      </c>
      <c r="AD81" s="120">
        <f t="shared" si="2"/>
        <v>6.75E-7</v>
      </c>
      <c r="AE81" s="121">
        <f t="shared" si="3"/>
        <v>5.4000000000000002E-7</v>
      </c>
    </row>
    <row r="82" spans="1:31" x14ac:dyDescent="0.2">
      <c r="A82" t="s">
        <v>29</v>
      </c>
      <c r="B82" t="s">
        <v>149</v>
      </c>
      <c r="C82" t="s">
        <v>32</v>
      </c>
      <c r="D82" t="s">
        <v>629</v>
      </c>
      <c r="E82" t="s">
        <v>630</v>
      </c>
      <c r="F82" t="s">
        <v>223</v>
      </c>
      <c r="G82" t="s">
        <v>24</v>
      </c>
      <c r="H82" t="s">
        <v>33</v>
      </c>
      <c r="I82">
        <v>2.9</v>
      </c>
      <c r="J82">
        <v>11.8</v>
      </c>
      <c r="K82">
        <v>0</v>
      </c>
      <c r="L82">
        <v>0</v>
      </c>
      <c r="M82">
        <v>14.7</v>
      </c>
      <c r="N82">
        <v>0.7</v>
      </c>
      <c r="O82">
        <v>12</v>
      </c>
      <c r="P82">
        <v>4</v>
      </c>
      <c r="Q82">
        <v>2</v>
      </c>
      <c r="R82">
        <v>4</v>
      </c>
      <c r="S82">
        <v>29960</v>
      </c>
      <c r="T82">
        <v>116.5</v>
      </c>
      <c r="U82" t="s">
        <v>631</v>
      </c>
      <c r="V82" t="s">
        <v>632</v>
      </c>
      <c r="W82" t="s">
        <v>591</v>
      </c>
      <c r="X82" t="s">
        <v>347</v>
      </c>
      <c r="Y82" t="s">
        <v>633</v>
      </c>
      <c r="Z82" s="70">
        <f>I82*'Dynamic Analysis Dashboard'!$B$8*'Dynamic Analysis Dashboard'!$B$9*'Dynamic Analysis Dashboard'!$B$21</f>
        <v>1.9575</v>
      </c>
      <c r="AA82" s="75">
        <f>J82*'Dynamic Analysis Dashboard'!$B$8*'Dynamic Analysis Dashboard'!$B$9*'Dynamic Analysis Dashboard'!$B$21</f>
        <v>7.9650000000000007</v>
      </c>
      <c r="AB82" s="80">
        <f>K82*'Dynamic Analysis Dashboard'!$B$10*'Dynamic Analysis Dashboard'!$B$9*'Dynamic Analysis Dashboard'!$B$21</f>
        <v>0</v>
      </c>
      <c r="AC82" s="85">
        <f>L82*'Dynamic Analysis Dashboard'!$B$11*'Dynamic Analysis Dashboard'!$B$9*'Dynamic Analysis Dashboard'!$B$21</f>
        <v>0</v>
      </c>
      <c r="AD82" s="120">
        <f t="shared" si="2"/>
        <v>9.9225000000000012</v>
      </c>
      <c r="AE82" s="121">
        <f t="shared" si="3"/>
        <v>6.9457500000000003</v>
      </c>
    </row>
    <row r="83" spans="1:31" x14ac:dyDescent="0.2">
      <c r="A83" t="s">
        <v>29</v>
      </c>
      <c r="B83" t="s">
        <v>133</v>
      </c>
      <c r="C83" t="s">
        <v>634</v>
      </c>
      <c r="D83" t="s">
        <v>635</v>
      </c>
      <c r="E83" t="s">
        <v>636</v>
      </c>
      <c r="F83" t="s">
        <v>609</v>
      </c>
      <c r="G83" t="s">
        <v>24</v>
      </c>
      <c r="H83" t="s">
        <v>25</v>
      </c>
      <c r="I83">
        <v>4.2</v>
      </c>
      <c r="J83">
        <v>0</v>
      </c>
      <c r="K83">
        <v>0</v>
      </c>
      <c r="L83">
        <v>0</v>
      </c>
      <c r="M83">
        <v>4.2</v>
      </c>
      <c r="N83">
        <v>0.85</v>
      </c>
      <c r="O83">
        <v>4</v>
      </c>
      <c r="P83">
        <v>2</v>
      </c>
      <c r="Q83">
        <v>3</v>
      </c>
      <c r="R83">
        <v>2</v>
      </c>
      <c r="S83">
        <v>3955</v>
      </c>
      <c r="T83">
        <v>15.4</v>
      </c>
      <c r="U83" t="s">
        <v>637</v>
      </c>
      <c r="V83" t="s">
        <v>282</v>
      </c>
      <c r="W83" t="s">
        <v>591</v>
      </c>
      <c r="X83" t="s">
        <v>347</v>
      </c>
      <c r="Y83" t="s">
        <v>638</v>
      </c>
      <c r="Z83" s="70">
        <f>I83*'Dynamic Analysis Dashboard'!$B$8*'Dynamic Analysis Dashboard'!$B$9*'Dynamic Analysis Dashboard'!$B$21</f>
        <v>2.835</v>
      </c>
      <c r="AA83" s="75">
        <f>J83*'Dynamic Analysis Dashboard'!$B$8*'Dynamic Analysis Dashboard'!$B$9*'Dynamic Analysis Dashboard'!$B$21</f>
        <v>0</v>
      </c>
      <c r="AB83" s="80">
        <f>K83*'Dynamic Analysis Dashboard'!$B$10*'Dynamic Analysis Dashboard'!$B$9*'Dynamic Analysis Dashboard'!$B$21</f>
        <v>0</v>
      </c>
      <c r="AC83" s="85">
        <f>L83*'Dynamic Analysis Dashboard'!$B$11*'Dynamic Analysis Dashboard'!$B$9*'Dynamic Analysis Dashboard'!$B$21</f>
        <v>0</v>
      </c>
      <c r="AD83" s="120">
        <f t="shared" si="2"/>
        <v>2.835</v>
      </c>
      <c r="AE83" s="121">
        <f t="shared" si="3"/>
        <v>2.4097499999999998</v>
      </c>
    </row>
    <row r="84" spans="1:31" x14ac:dyDescent="0.2">
      <c r="A84" t="s">
        <v>29</v>
      </c>
      <c r="B84" t="s">
        <v>156</v>
      </c>
      <c r="C84" t="s">
        <v>639</v>
      </c>
      <c r="D84" t="s">
        <v>640</v>
      </c>
      <c r="E84" t="s">
        <v>641</v>
      </c>
      <c r="F84" t="s">
        <v>642</v>
      </c>
      <c r="G84" t="s">
        <v>24</v>
      </c>
      <c r="H84" t="s">
        <v>28</v>
      </c>
      <c r="I84">
        <v>6.1</v>
      </c>
      <c r="J84">
        <v>0</v>
      </c>
      <c r="K84">
        <v>0.8</v>
      </c>
      <c r="L84">
        <v>0</v>
      </c>
      <c r="M84">
        <v>6.9</v>
      </c>
      <c r="N84">
        <v>0.8</v>
      </c>
      <c r="O84">
        <v>7</v>
      </c>
      <c r="P84">
        <v>3</v>
      </c>
      <c r="Q84">
        <v>3</v>
      </c>
      <c r="R84">
        <v>3</v>
      </c>
      <c r="S84">
        <v>2135</v>
      </c>
      <c r="T84">
        <v>8.3000000000000007</v>
      </c>
      <c r="U84" t="s">
        <v>643</v>
      </c>
      <c r="V84" t="s">
        <v>282</v>
      </c>
      <c r="W84" t="s">
        <v>644</v>
      </c>
      <c r="X84" t="s">
        <v>347</v>
      </c>
      <c r="Y84" t="s">
        <v>645</v>
      </c>
      <c r="Z84" s="70">
        <f>I84*'Dynamic Analysis Dashboard'!$B$8*'Dynamic Analysis Dashboard'!$B$9*'Dynamic Analysis Dashboard'!$B$21</f>
        <v>4.1174999999999997</v>
      </c>
      <c r="AA84" s="75">
        <f>J84*'Dynamic Analysis Dashboard'!$B$8*'Dynamic Analysis Dashboard'!$B$9*'Dynamic Analysis Dashboard'!$B$21</f>
        <v>0</v>
      </c>
      <c r="AB84" s="80">
        <f>K84*'Dynamic Analysis Dashboard'!$B$10*'Dynamic Analysis Dashboard'!$B$9*'Dynamic Analysis Dashboard'!$B$21</f>
        <v>0.48000000000000009</v>
      </c>
      <c r="AC84" s="85">
        <f>L84*'Dynamic Analysis Dashboard'!$B$11*'Dynamic Analysis Dashboard'!$B$9*'Dynamic Analysis Dashboard'!$B$21</f>
        <v>0</v>
      </c>
      <c r="AD84" s="120">
        <f t="shared" si="2"/>
        <v>4.5975000000000001</v>
      </c>
      <c r="AE84" s="121">
        <f t="shared" si="3"/>
        <v>3.6780000000000004</v>
      </c>
    </row>
    <row r="85" spans="1:31" x14ac:dyDescent="0.2">
      <c r="A85" t="s">
        <v>29</v>
      </c>
      <c r="B85" t="s">
        <v>164</v>
      </c>
      <c r="C85" t="s">
        <v>39</v>
      </c>
      <c r="D85" t="s">
        <v>287</v>
      </c>
      <c r="E85" t="s">
        <v>646</v>
      </c>
      <c r="F85" t="s">
        <v>622</v>
      </c>
      <c r="G85" t="s">
        <v>24</v>
      </c>
      <c r="H85" t="s">
        <v>33</v>
      </c>
      <c r="I85">
        <v>6.2</v>
      </c>
      <c r="J85">
        <v>0</v>
      </c>
      <c r="K85">
        <v>4.5</v>
      </c>
      <c r="L85">
        <v>0</v>
      </c>
      <c r="M85">
        <v>10.7</v>
      </c>
      <c r="N85">
        <v>0.65</v>
      </c>
      <c r="O85">
        <v>10</v>
      </c>
      <c r="P85">
        <v>4</v>
      </c>
      <c r="Q85">
        <v>2</v>
      </c>
      <c r="R85">
        <v>4</v>
      </c>
      <c r="S85">
        <v>19200</v>
      </c>
      <c r="T85">
        <v>74.7</v>
      </c>
      <c r="U85" t="s">
        <v>647</v>
      </c>
      <c r="V85" t="s">
        <v>282</v>
      </c>
      <c r="W85" t="s">
        <v>648</v>
      </c>
      <c r="X85" t="s">
        <v>347</v>
      </c>
      <c r="Y85" t="s">
        <v>649</v>
      </c>
      <c r="Z85" s="70">
        <f>I85*'Dynamic Analysis Dashboard'!$B$8*'Dynamic Analysis Dashboard'!$B$9*'Dynamic Analysis Dashboard'!$B$21</f>
        <v>4.1850000000000005</v>
      </c>
      <c r="AA85" s="75">
        <f>J85*'Dynamic Analysis Dashboard'!$B$8*'Dynamic Analysis Dashboard'!$B$9*'Dynamic Analysis Dashboard'!$B$21</f>
        <v>0</v>
      </c>
      <c r="AB85" s="80">
        <f>K85*'Dynamic Analysis Dashboard'!$B$10*'Dynamic Analysis Dashboard'!$B$9*'Dynamic Analysis Dashboard'!$B$21</f>
        <v>2.7</v>
      </c>
      <c r="AC85" s="85">
        <f>L85*'Dynamic Analysis Dashboard'!$B$11*'Dynamic Analysis Dashboard'!$B$9*'Dynamic Analysis Dashboard'!$B$21</f>
        <v>0</v>
      </c>
      <c r="AD85" s="120">
        <f t="shared" si="2"/>
        <v>6.8850000000000007</v>
      </c>
      <c r="AE85" s="121">
        <f t="shared" si="3"/>
        <v>4.4752500000000008</v>
      </c>
    </row>
    <row r="86" spans="1:31" x14ac:dyDescent="0.2">
      <c r="A86" t="s">
        <v>29</v>
      </c>
      <c r="B86" t="s">
        <v>172</v>
      </c>
      <c r="C86" t="s">
        <v>650</v>
      </c>
      <c r="D86" t="s">
        <v>517</v>
      </c>
      <c r="E86" t="s">
        <v>651</v>
      </c>
      <c r="F86" t="s">
        <v>395</v>
      </c>
      <c r="G86" t="s">
        <v>24</v>
      </c>
      <c r="H86" t="s">
        <v>28</v>
      </c>
      <c r="I86">
        <v>3.6</v>
      </c>
      <c r="J86">
        <v>0</v>
      </c>
      <c r="K86">
        <v>0</v>
      </c>
      <c r="L86">
        <v>0</v>
      </c>
      <c r="M86">
        <v>3.6</v>
      </c>
      <c r="N86">
        <v>0.85</v>
      </c>
      <c r="O86">
        <v>6</v>
      </c>
      <c r="P86">
        <v>3</v>
      </c>
      <c r="Q86">
        <v>2</v>
      </c>
      <c r="R86">
        <v>3</v>
      </c>
      <c r="S86">
        <v>6975</v>
      </c>
      <c r="T86">
        <v>27.1</v>
      </c>
      <c r="U86" t="s">
        <v>652</v>
      </c>
      <c r="V86" t="s">
        <v>282</v>
      </c>
      <c r="W86" t="s">
        <v>591</v>
      </c>
      <c r="X86" t="s">
        <v>347</v>
      </c>
      <c r="Y86" t="s">
        <v>653</v>
      </c>
      <c r="Z86" s="70">
        <f>I86*'Dynamic Analysis Dashboard'!$B$8*'Dynamic Analysis Dashboard'!$B$9*'Dynamic Analysis Dashboard'!$B$21</f>
        <v>2.4300000000000002</v>
      </c>
      <c r="AA86" s="75">
        <f>J86*'Dynamic Analysis Dashboard'!$B$8*'Dynamic Analysis Dashboard'!$B$9*'Dynamic Analysis Dashboard'!$B$21</f>
        <v>0</v>
      </c>
      <c r="AB86" s="80">
        <f>K86*'Dynamic Analysis Dashboard'!$B$10*'Dynamic Analysis Dashboard'!$B$9*'Dynamic Analysis Dashboard'!$B$21</f>
        <v>0</v>
      </c>
      <c r="AC86" s="85">
        <f>L86*'Dynamic Analysis Dashboard'!$B$11*'Dynamic Analysis Dashboard'!$B$9*'Dynamic Analysis Dashboard'!$B$21</f>
        <v>0</v>
      </c>
      <c r="AD86" s="120">
        <f t="shared" si="2"/>
        <v>2.4300000000000002</v>
      </c>
      <c r="AE86" s="121">
        <f t="shared" si="3"/>
        <v>2.0655000000000001</v>
      </c>
    </row>
    <row r="87" spans="1:31" x14ac:dyDescent="0.2">
      <c r="A87" t="s">
        <v>29</v>
      </c>
      <c r="B87" t="s">
        <v>179</v>
      </c>
      <c r="C87" t="s">
        <v>654</v>
      </c>
      <c r="D87" t="s">
        <v>655</v>
      </c>
      <c r="E87" t="s">
        <v>656</v>
      </c>
      <c r="F87" t="s">
        <v>183</v>
      </c>
      <c r="G87" t="s">
        <v>24</v>
      </c>
      <c r="H87" t="s">
        <v>25</v>
      </c>
      <c r="I87">
        <v>2.1</v>
      </c>
      <c r="J87">
        <v>0</v>
      </c>
      <c r="K87">
        <v>0</v>
      </c>
      <c r="L87">
        <v>0</v>
      </c>
      <c r="M87">
        <v>2.1</v>
      </c>
      <c r="N87">
        <v>0.9</v>
      </c>
      <c r="O87">
        <v>5</v>
      </c>
      <c r="P87">
        <v>2</v>
      </c>
      <c r="Q87">
        <v>3</v>
      </c>
      <c r="R87">
        <v>2</v>
      </c>
      <c r="S87">
        <v>3556</v>
      </c>
      <c r="T87">
        <v>13.8</v>
      </c>
      <c r="U87" t="s">
        <v>657</v>
      </c>
      <c r="V87" t="s">
        <v>282</v>
      </c>
      <c r="W87" t="s">
        <v>591</v>
      </c>
      <c r="X87" t="s">
        <v>347</v>
      </c>
      <c r="Y87" t="s">
        <v>658</v>
      </c>
      <c r="Z87" s="70">
        <f>I87*'Dynamic Analysis Dashboard'!$B$8*'Dynamic Analysis Dashboard'!$B$9*'Dynamic Analysis Dashboard'!$B$21</f>
        <v>1.4175</v>
      </c>
      <c r="AA87" s="75">
        <f>J87*'Dynamic Analysis Dashboard'!$B$8*'Dynamic Analysis Dashboard'!$B$9*'Dynamic Analysis Dashboard'!$B$21</f>
        <v>0</v>
      </c>
      <c r="AB87" s="80">
        <f>K87*'Dynamic Analysis Dashboard'!$B$10*'Dynamic Analysis Dashboard'!$B$9*'Dynamic Analysis Dashboard'!$B$21</f>
        <v>0</v>
      </c>
      <c r="AC87" s="85">
        <f>L87*'Dynamic Analysis Dashboard'!$B$11*'Dynamic Analysis Dashboard'!$B$9*'Dynamic Analysis Dashboard'!$B$21</f>
        <v>0</v>
      </c>
      <c r="AD87" s="120">
        <f t="shared" si="2"/>
        <v>1.4175</v>
      </c>
      <c r="AE87" s="121">
        <f t="shared" si="3"/>
        <v>1.2757499999999999</v>
      </c>
    </row>
    <row r="88" spans="1:31" x14ac:dyDescent="0.2">
      <c r="A88" t="s">
        <v>29</v>
      </c>
      <c r="B88" t="s">
        <v>186</v>
      </c>
      <c r="C88" t="s">
        <v>659</v>
      </c>
      <c r="D88" t="s">
        <v>640</v>
      </c>
      <c r="E88" t="s">
        <v>660</v>
      </c>
      <c r="F88" t="s">
        <v>267</v>
      </c>
      <c r="G88" t="s">
        <v>24</v>
      </c>
      <c r="H88" t="s">
        <v>25</v>
      </c>
      <c r="I88">
        <v>3.2</v>
      </c>
      <c r="J88">
        <v>0</v>
      </c>
      <c r="K88">
        <v>0</v>
      </c>
      <c r="L88">
        <v>0</v>
      </c>
      <c r="M88">
        <v>3.2</v>
      </c>
      <c r="N88">
        <v>0.85</v>
      </c>
      <c r="O88">
        <v>4</v>
      </c>
      <c r="P88">
        <v>2</v>
      </c>
      <c r="Q88">
        <v>4</v>
      </c>
      <c r="R88">
        <v>2</v>
      </c>
      <c r="S88">
        <v>3187.5</v>
      </c>
      <c r="T88">
        <v>12.4</v>
      </c>
      <c r="U88" t="s">
        <v>661</v>
      </c>
      <c r="V88" t="s">
        <v>282</v>
      </c>
      <c r="W88" t="s">
        <v>591</v>
      </c>
      <c r="X88" t="s">
        <v>347</v>
      </c>
      <c r="Y88" t="s">
        <v>662</v>
      </c>
      <c r="Z88" s="70">
        <f>I88*'Dynamic Analysis Dashboard'!$B$8*'Dynamic Analysis Dashboard'!$B$9*'Dynamic Analysis Dashboard'!$B$21</f>
        <v>2.16</v>
      </c>
      <c r="AA88" s="75">
        <f>J88*'Dynamic Analysis Dashboard'!$B$8*'Dynamic Analysis Dashboard'!$B$9*'Dynamic Analysis Dashboard'!$B$21</f>
        <v>0</v>
      </c>
      <c r="AB88" s="80">
        <f>K88*'Dynamic Analysis Dashboard'!$B$10*'Dynamic Analysis Dashboard'!$B$9*'Dynamic Analysis Dashboard'!$B$21</f>
        <v>0</v>
      </c>
      <c r="AC88" s="85">
        <f>L88*'Dynamic Analysis Dashboard'!$B$11*'Dynamic Analysis Dashboard'!$B$9*'Dynamic Analysis Dashboard'!$B$21</f>
        <v>0</v>
      </c>
      <c r="AD88" s="120">
        <f t="shared" si="2"/>
        <v>2.16</v>
      </c>
      <c r="AE88" s="121">
        <f t="shared" si="3"/>
        <v>1.8360000000000001</v>
      </c>
    </row>
    <row r="89" spans="1:31" x14ac:dyDescent="0.2">
      <c r="A89" t="s">
        <v>29</v>
      </c>
      <c r="B89" t="s">
        <v>194</v>
      </c>
      <c r="C89" t="s">
        <v>663</v>
      </c>
      <c r="D89" t="s">
        <v>664</v>
      </c>
      <c r="E89" t="s">
        <v>174</v>
      </c>
      <c r="F89" t="s">
        <v>145</v>
      </c>
      <c r="G89" t="s">
        <v>24</v>
      </c>
      <c r="H89" t="s">
        <v>33</v>
      </c>
      <c r="I89">
        <v>7.8</v>
      </c>
      <c r="J89">
        <v>0</v>
      </c>
      <c r="K89">
        <v>1.4</v>
      </c>
      <c r="L89">
        <v>0</v>
      </c>
      <c r="M89">
        <v>9.1999999999999993</v>
      </c>
      <c r="N89">
        <v>0.7</v>
      </c>
      <c r="O89">
        <v>8</v>
      </c>
      <c r="P89">
        <v>4</v>
      </c>
      <c r="Q89">
        <v>3</v>
      </c>
      <c r="R89">
        <v>3</v>
      </c>
      <c r="S89">
        <v>12060</v>
      </c>
      <c r="T89">
        <v>46.9</v>
      </c>
      <c r="U89" t="s">
        <v>665</v>
      </c>
      <c r="V89" t="s">
        <v>282</v>
      </c>
      <c r="W89" t="s">
        <v>666</v>
      </c>
      <c r="X89" t="s">
        <v>347</v>
      </c>
      <c r="Y89" t="s">
        <v>667</v>
      </c>
      <c r="Z89" s="70">
        <f>I89*'Dynamic Analysis Dashboard'!$B$8*'Dynamic Analysis Dashboard'!$B$9*'Dynamic Analysis Dashboard'!$B$21</f>
        <v>5.2649999999999997</v>
      </c>
      <c r="AA89" s="75">
        <f>J89*'Dynamic Analysis Dashboard'!$B$8*'Dynamic Analysis Dashboard'!$B$9*'Dynamic Analysis Dashboard'!$B$21</f>
        <v>0</v>
      </c>
      <c r="AB89" s="80">
        <f>K89*'Dynamic Analysis Dashboard'!$B$10*'Dynamic Analysis Dashboard'!$B$9*'Dynamic Analysis Dashboard'!$B$21</f>
        <v>0.83999999999999986</v>
      </c>
      <c r="AC89" s="85">
        <f>L89*'Dynamic Analysis Dashboard'!$B$11*'Dynamic Analysis Dashboard'!$B$9*'Dynamic Analysis Dashboard'!$B$21</f>
        <v>0</v>
      </c>
      <c r="AD89" s="120">
        <f t="shared" si="2"/>
        <v>6.1049999999999995</v>
      </c>
      <c r="AE89" s="121">
        <f t="shared" si="3"/>
        <v>4.2734999999999994</v>
      </c>
    </row>
    <row r="90" spans="1:31" hidden="1" x14ac:dyDescent="0.2">
      <c r="A90" t="s">
        <v>29</v>
      </c>
      <c r="B90" t="s">
        <v>141</v>
      </c>
      <c r="C90" t="s">
        <v>668</v>
      </c>
      <c r="D90" t="s">
        <v>437</v>
      </c>
      <c r="E90" t="s">
        <v>669</v>
      </c>
      <c r="F90" t="s">
        <v>670</v>
      </c>
      <c r="G90" t="s">
        <v>31</v>
      </c>
      <c r="H90" t="s">
        <v>25</v>
      </c>
      <c r="I90">
        <v>6</v>
      </c>
      <c r="J90">
        <v>3.8</v>
      </c>
      <c r="K90">
        <v>0</v>
      </c>
      <c r="L90">
        <v>0</v>
      </c>
      <c r="M90">
        <v>9.8000000000000007</v>
      </c>
      <c r="N90">
        <v>0.8</v>
      </c>
      <c r="O90">
        <v>6</v>
      </c>
      <c r="P90">
        <v>3</v>
      </c>
      <c r="Q90">
        <v>3</v>
      </c>
      <c r="R90">
        <v>3</v>
      </c>
      <c r="S90">
        <v>1425</v>
      </c>
      <c r="T90">
        <v>5.5</v>
      </c>
      <c r="U90" t="s">
        <v>671</v>
      </c>
      <c r="V90" t="s">
        <v>672</v>
      </c>
      <c r="W90" t="s">
        <v>591</v>
      </c>
      <c r="X90" t="s">
        <v>347</v>
      </c>
      <c r="Y90" t="s">
        <v>673</v>
      </c>
      <c r="Z90" s="70">
        <f>I90*'Dynamic Analysis Dashboard'!$B$8*'Dynamic Analysis Dashboard'!$B$9*'Dynamic Analysis Dashboard'!$B$21</f>
        <v>4.0500000000000007</v>
      </c>
      <c r="AA90" s="75">
        <f>J90*'Dynamic Analysis Dashboard'!$B$8*'Dynamic Analysis Dashboard'!$B$9*'Dynamic Analysis Dashboard'!$B$21</f>
        <v>2.5649999999999999</v>
      </c>
      <c r="AB90" s="80">
        <f>K90*'Dynamic Analysis Dashboard'!$B$10*'Dynamic Analysis Dashboard'!$B$9*'Dynamic Analysis Dashboard'!$B$21</f>
        <v>0</v>
      </c>
      <c r="AC90" s="85">
        <f>L90*'Dynamic Analysis Dashboard'!$B$11*'Dynamic Analysis Dashboard'!$B$9*'Dynamic Analysis Dashboard'!$B$21</f>
        <v>0</v>
      </c>
      <c r="AD90" s="120">
        <f t="shared" si="2"/>
        <v>6.6150000000000002</v>
      </c>
      <c r="AE90" s="121">
        <f t="shared" si="3"/>
        <v>5.2920000000000007</v>
      </c>
    </row>
    <row r="91" spans="1:31" hidden="1" x14ac:dyDescent="0.2">
      <c r="A91" t="s">
        <v>29</v>
      </c>
      <c r="B91" t="s">
        <v>123</v>
      </c>
      <c r="C91" t="s">
        <v>30</v>
      </c>
      <c r="D91" t="s">
        <v>664</v>
      </c>
      <c r="E91" t="s">
        <v>674</v>
      </c>
      <c r="F91" t="s">
        <v>267</v>
      </c>
      <c r="G91" t="s">
        <v>31</v>
      </c>
      <c r="H91" t="s">
        <v>28</v>
      </c>
      <c r="I91">
        <v>13.2</v>
      </c>
      <c r="J91">
        <v>0</v>
      </c>
      <c r="K91">
        <v>1.9</v>
      </c>
      <c r="L91">
        <v>2.1</v>
      </c>
      <c r="M91">
        <v>17.2</v>
      </c>
      <c r="N91">
        <v>0.75</v>
      </c>
      <c r="O91">
        <v>9</v>
      </c>
      <c r="P91">
        <v>4</v>
      </c>
      <c r="Q91">
        <v>2</v>
      </c>
      <c r="R91">
        <v>4</v>
      </c>
      <c r="S91">
        <v>15050</v>
      </c>
      <c r="T91">
        <v>58.7</v>
      </c>
      <c r="U91" t="s">
        <v>675</v>
      </c>
      <c r="V91" t="s">
        <v>282</v>
      </c>
      <c r="W91" t="s">
        <v>676</v>
      </c>
      <c r="X91" t="s">
        <v>677</v>
      </c>
      <c r="Y91" t="s">
        <v>678</v>
      </c>
      <c r="Z91" s="70">
        <f>I91*'Dynamic Analysis Dashboard'!$B$8*'Dynamic Analysis Dashboard'!$B$9*'Dynamic Analysis Dashboard'!$B$21</f>
        <v>8.91</v>
      </c>
      <c r="AA91" s="75">
        <f>J91*'Dynamic Analysis Dashboard'!$B$8*'Dynamic Analysis Dashboard'!$B$9*'Dynamic Analysis Dashboard'!$B$21</f>
        <v>0</v>
      </c>
      <c r="AB91" s="80">
        <f>K91*'Dynamic Analysis Dashboard'!$B$10*'Dynamic Analysis Dashboard'!$B$9*'Dynamic Analysis Dashboard'!$B$21</f>
        <v>1.1400000000000001</v>
      </c>
      <c r="AC91" s="85">
        <f>L91*'Dynamic Analysis Dashboard'!$B$11*'Dynamic Analysis Dashboard'!$B$9*'Dynamic Analysis Dashboard'!$B$21</f>
        <v>1.3387499999999999</v>
      </c>
      <c r="AD91" s="120">
        <f t="shared" si="2"/>
        <v>11.38875</v>
      </c>
      <c r="AE91" s="121">
        <f t="shared" si="3"/>
        <v>8.5415624999999995</v>
      </c>
    </row>
    <row r="92" spans="1:31" x14ac:dyDescent="0.2">
      <c r="A92" t="s">
        <v>75</v>
      </c>
      <c r="B92" t="s">
        <v>141</v>
      </c>
      <c r="C92" t="s">
        <v>679</v>
      </c>
      <c r="D92" t="s">
        <v>595</v>
      </c>
      <c r="E92" t="s">
        <v>680</v>
      </c>
      <c r="F92" t="s">
        <v>324</v>
      </c>
      <c r="G92" t="s">
        <v>24</v>
      </c>
      <c r="H92" t="s">
        <v>28</v>
      </c>
      <c r="I92">
        <v>1.1599999999999999E-5</v>
      </c>
      <c r="J92">
        <v>0</v>
      </c>
      <c r="K92">
        <v>0</v>
      </c>
      <c r="L92">
        <v>5.4E-6</v>
      </c>
      <c r="M92">
        <v>1.7E-5</v>
      </c>
      <c r="N92">
        <v>0.75</v>
      </c>
      <c r="O92">
        <v>12</v>
      </c>
      <c r="P92">
        <v>4</v>
      </c>
      <c r="Q92">
        <v>2</v>
      </c>
      <c r="R92">
        <v>4</v>
      </c>
      <c r="S92">
        <v>151200</v>
      </c>
      <c r="T92">
        <v>324</v>
      </c>
      <c r="U92" t="s">
        <v>681</v>
      </c>
      <c r="V92" t="s">
        <v>129</v>
      </c>
      <c r="W92" t="s">
        <v>682</v>
      </c>
      <c r="X92" t="s">
        <v>683</v>
      </c>
      <c r="Y92" t="s">
        <v>684</v>
      </c>
      <c r="Z92" s="70">
        <f>I92*'Dynamic Analysis Dashboard'!$B$8*'Dynamic Analysis Dashboard'!$B$9*'Dynamic Analysis Dashboard'!$B$21</f>
        <v>7.8299999999999996E-6</v>
      </c>
      <c r="AA92" s="75">
        <f>J92*'Dynamic Analysis Dashboard'!$B$8*'Dynamic Analysis Dashboard'!$B$9*'Dynamic Analysis Dashboard'!$B$21</f>
        <v>0</v>
      </c>
      <c r="AB92" s="80">
        <f>K92*'Dynamic Analysis Dashboard'!$B$10*'Dynamic Analysis Dashboard'!$B$9*'Dynamic Analysis Dashboard'!$B$21</f>
        <v>0</v>
      </c>
      <c r="AC92" s="85">
        <f>L92*'Dynamic Analysis Dashboard'!$B$11*'Dynamic Analysis Dashboard'!$B$9*'Dynamic Analysis Dashboard'!$B$21</f>
        <v>3.4425000000000001E-6</v>
      </c>
      <c r="AD92" s="120">
        <f t="shared" si="2"/>
        <v>1.1272499999999999E-5</v>
      </c>
      <c r="AE92" s="121">
        <f t="shared" si="3"/>
        <v>8.4543749999999998E-6</v>
      </c>
    </row>
    <row r="93" spans="1:31" x14ac:dyDescent="0.2">
      <c r="A93" t="s">
        <v>75</v>
      </c>
      <c r="B93" t="s">
        <v>123</v>
      </c>
      <c r="C93" t="s">
        <v>685</v>
      </c>
      <c r="D93" t="s">
        <v>328</v>
      </c>
      <c r="E93" t="s">
        <v>686</v>
      </c>
      <c r="F93" t="s">
        <v>687</v>
      </c>
      <c r="G93" t="s">
        <v>24</v>
      </c>
      <c r="H93" t="s">
        <v>28</v>
      </c>
      <c r="I93">
        <v>1.8999999999999998E-6</v>
      </c>
      <c r="J93">
        <v>6.8000000000000001E-6</v>
      </c>
      <c r="K93">
        <v>0</v>
      </c>
      <c r="L93">
        <v>0</v>
      </c>
      <c r="M93">
        <v>8.6999999999999997E-6</v>
      </c>
      <c r="N93">
        <v>0.7</v>
      </c>
      <c r="O93">
        <v>9</v>
      </c>
      <c r="P93">
        <v>3</v>
      </c>
      <c r="Q93">
        <v>3</v>
      </c>
      <c r="R93">
        <v>3</v>
      </c>
      <c r="S93">
        <v>1540</v>
      </c>
      <c r="T93">
        <v>3.3</v>
      </c>
      <c r="U93" t="s">
        <v>688</v>
      </c>
      <c r="V93" t="s">
        <v>689</v>
      </c>
      <c r="W93" t="s">
        <v>682</v>
      </c>
      <c r="X93" t="s">
        <v>131</v>
      </c>
      <c r="Y93" t="s">
        <v>690</v>
      </c>
      <c r="Z93" s="70">
        <f>I93*'Dynamic Analysis Dashboard'!$B$8*'Dynamic Analysis Dashboard'!$B$9*'Dynamic Analysis Dashboard'!$B$21</f>
        <v>1.2825E-6</v>
      </c>
      <c r="AA93" s="75">
        <f>J93*'Dynamic Analysis Dashboard'!$B$8*'Dynamic Analysis Dashboard'!$B$9*'Dynamic Analysis Dashboard'!$B$21</f>
        <v>4.5900000000000001E-6</v>
      </c>
      <c r="AB93" s="80">
        <f>K93*'Dynamic Analysis Dashboard'!$B$10*'Dynamic Analysis Dashboard'!$B$9*'Dynamic Analysis Dashboard'!$B$21</f>
        <v>0</v>
      </c>
      <c r="AC93" s="85">
        <f>L93*'Dynamic Analysis Dashboard'!$B$11*'Dynamic Analysis Dashboard'!$B$9*'Dynamic Analysis Dashboard'!$B$21</f>
        <v>0</v>
      </c>
      <c r="AD93" s="120">
        <f t="shared" si="2"/>
        <v>5.8725000000000001E-6</v>
      </c>
      <c r="AE93" s="121">
        <f t="shared" si="3"/>
        <v>4.1107499999999996E-6</v>
      </c>
    </row>
    <row r="94" spans="1:31" x14ac:dyDescent="0.2">
      <c r="A94" t="s">
        <v>75</v>
      </c>
      <c r="B94" t="s">
        <v>133</v>
      </c>
      <c r="C94" t="s">
        <v>691</v>
      </c>
      <c r="D94" t="s">
        <v>692</v>
      </c>
      <c r="E94" t="s">
        <v>693</v>
      </c>
      <c r="F94" t="s">
        <v>533</v>
      </c>
      <c r="G94" t="s">
        <v>24</v>
      </c>
      <c r="H94" t="s">
        <v>28</v>
      </c>
      <c r="I94">
        <v>4.9000000000000005E-6</v>
      </c>
      <c r="J94">
        <v>0</v>
      </c>
      <c r="K94">
        <v>2.7999999999999999E-6</v>
      </c>
      <c r="L94">
        <v>0</v>
      </c>
      <c r="M94">
        <v>7.7000000000000008E-6</v>
      </c>
      <c r="N94">
        <v>0.75</v>
      </c>
      <c r="O94">
        <v>9</v>
      </c>
      <c r="P94">
        <v>3</v>
      </c>
      <c r="Q94">
        <v>2</v>
      </c>
      <c r="R94">
        <v>3</v>
      </c>
      <c r="S94">
        <v>5250</v>
      </c>
      <c r="T94">
        <v>11.3</v>
      </c>
      <c r="U94" t="s">
        <v>694</v>
      </c>
      <c r="V94" t="s">
        <v>129</v>
      </c>
      <c r="W94" t="s">
        <v>695</v>
      </c>
      <c r="X94" t="s">
        <v>131</v>
      </c>
      <c r="Y94" t="s">
        <v>696</v>
      </c>
      <c r="Z94" s="70">
        <f>I94*'Dynamic Analysis Dashboard'!$B$8*'Dynamic Analysis Dashboard'!$B$9*'Dynamic Analysis Dashboard'!$B$21</f>
        <v>3.3075000000000009E-6</v>
      </c>
      <c r="AA94" s="75">
        <f>J94*'Dynamic Analysis Dashboard'!$B$8*'Dynamic Analysis Dashboard'!$B$9*'Dynamic Analysis Dashboard'!$B$21</f>
        <v>0</v>
      </c>
      <c r="AB94" s="80">
        <f>K94*'Dynamic Analysis Dashboard'!$B$10*'Dynamic Analysis Dashboard'!$B$9*'Dynamic Analysis Dashboard'!$B$21</f>
        <v>1.68E-6</v>
      </c>
      <c r="AC94" s="85">
        <f>L94*'Dynamic Analysis Dashboard'!$B$11*'Dynamic Analysis Dashboard'!$B$9*'Dynamic Analysis Dashboard'!$B$21</f>
        <v>0</v>
      </c>
      <c r="AD94" s="120">
        <f t="shared" si="2"/>
        <v>4.987500000000001E-6</v>
      </c>
      <c r="AE94" s="121">
        <f t="shared" si="3"/>
        <v>3.7406250000000007E-6</v>
      </c>
    </row>
    <row r="95" spans="1:31" x14ac:dyDescent="0.2">
      <c r="A95" t="s">
        <v>75</v>
      </c>
      <c r="B95" t="s">
        <v>156</v>
      </c>
      <c r="C95" t="s">
        <v>697</v>
      </c>
      <c r="D95" t="s">
        <v>158</v>
      </c>
      <c r="E95" t="s">
        <v>698</v>
      </c>
      <c r="F95" t="s">
        <v>267</v>
      </c>
      <c r="G95" t="s">
        <v>24</v>
      </c>
      <c r="H95" t="s">
        <v>33</v>
      </c>
      <c r="I95">
        <v>7.7999999999999999E-6</v>
      </c>
      <c r="J95">
        <v>0</v>
      </c>
      <c r="K95">
        <v>0</v>
      </c>
      <c r="L95">
        <v>0</v>
      </c>
      <c r="M95">
        <v>7.7999999999999999E-6</v>
      </c>
      <c r="N95">
        <v>0.7</v>
      </c>
      <c r="O95">
        <v>9</v>
      </c>
      <c r="P95">
        <v>3</v>
      </c>
      <c r="Q95">
        <v>2</v>
      </c>
      <c r="R95">
        <v>4</v>
      </c>
      <c r="S95">
        <v>4760</v>
      </c>
      <c r="T95">
        <v>10.199999999999999</v>
      </c>
      <c r="U95" t="s">
        <v>699</v>
      </c>
      <c r="V95" t="s">
        <v>129</v>
      </c>
      <c r="W95" t="s">
        <v>682</v>
      </c>
      <c r="X95" t="s">
        <v>131</v>
      </c>
      <c r="Y95" t="s">
        <v>700</v>
      </c>
      <c r="Z95" s="70">
        <f>I95*'Dynamic Analysis Dashboard'!$B$8*'Dynamic Analysis Dashboard'!$B$9*'Dynamic Analysis Dashboard'!$B$21</f>
        <v>5.2649999999999996E-6</v>
      </c>
      <c r="AA95" s="75">
        <f>J95*'Dynamic Analysis Dashboard'!$B$8*'Dynamic Analysis Dashboard'!$B$9*'Dynamic Analysis Dashboard'!$B$21</f>
        <v>0</v>
      </c>
      <c r="AB95" s="80">
        <f>K95*'Dynamic Analysis Dashboard'!$B$10*'Dynamic Analysis Dashboard'!$B$9*'Dynamic Analysis Dashboard'!$B$21</f>
        <v>0</v>
      </c>
      <c r="AC95" s="85">
        <f>L95*'Dynamic Analysis Dashboard'!$B$11*'Dynamic Analysis Dashboard'!$B$9*'Dynamic Analysis Dashboard'!$B$21</f>
        <v>0</v>
      </c>
      <c r="AD95" s="120">
        <f t="shared" si="2"/>
        <v>5.2649999999999996E-6</v>
      </c>
      <c r="AE95" s="121">
        <f t="shared" si="3"/>
        <v>3.6854999999999993E-6</v>
      </c>
    </row>
    <row r="96" spans="1:31" x14ac:dyDescent="0.2">
      <c r="A96" t="s">
        <v>75</v>
      </c>
      <c r="B96" t="s">
        <v>164</v>
      </c>
      <c r="C96" t="s">
        <v>701</v>
      </c>
      <c r="D96" t="s">
        <v>166</v>
      </c>
      <c r="E96" t="s">
        <v>626</v>
      </c>
      <c r="F96" t="s">
        <v>330</v>
      </c>
      <c r="G96" t="s">
        <v>24</v>
      </c>
      <c r="H96" t="s">
        <v>25</v>
      </c>
      <c r="I96">
        <v>3.8999999999999999E-6</v>
      </c>
      <c r="J96">
        <v>0</v>
      </c>
      <c r="K96">
        <v>0</v>
      </c>
      <c r="L96">
        <v>0</v>
      </c>
      <c r="M96">
        <v>3.8999999999999999E-6</v>
      </c>
      <c r="N96">
        <v>0.85</v>
      </c>
      <c r="O96">
        <v>6</v>
      </c>
      <c r="P96">
        <v>3</v>
      </c>
      <c r="Q96">
        <v>3</v>
      </c>
      <c r="R96">
        <v>3</v>
      </c>
      <c r="S96">
        <v>816</v>
      </c>
      <c r="T96">
        <v>1.8</v>
      </c>
      <c r="U96" t="s">
        <v>702</v>
      </c>
      <c r="V96" t="s">
        <v>129</v>
      </c>
      <c r="W96" t="s">
        <v>682</v>
      </c>
      <c r="X96" t="s">
        <v>131</v>
      </c>
      <c r="Y96" t="s">
        <v>703</v>
      </c>
      <c r="Z96" s="70">
        <f>I96*'Dynamic Analysis Dashboard'!$B$8*'Dynamic Analysis Dashboard'!$B$9*'Dynamic Analysis Dashboard'!$B$21</f>
        <v>2.6324999999999998E-6</v>
      </c>
      <c r="AA96" s="75">
        <f>J96*'Dynamic Analysis Dashboard'!$B$8*'Dynamic Analysis Dashboard'!$B$9*'Dynamic Analysis Dashboard'!$B$21</f>
        <v>0</v>
      </c>
      <c r="AB96" s="80">
        <f>K96*'Dynamic Analysis Dashboard'!$B$10*'Dynamic Analysis Dashboard'!$B$9*'Dynamic Analysis Dashboard'!$B$21</f>
        <v>0</v>
      </c>
      <c r="AC96" s="85">
        <f>L96*'Dynamic Analysis Dashboard'!$B$11*'Dynamic Analysis Dashboard'!$B$9*'Dynamic Analysis Dashboard'!$B$21</f>
        <v>0</v>
      </c>
      <c r="AD96" s="120">
        <f t="shared" si="2"/>
        <v>2.6324999999999998E-6</v>
      </c>
      <c r="AE96" s="121">
        <f t="shared" si="3"/>
        <v>2.2376249999999996E-6</v>
      </c>
    </row>
    <row r="97" spans="1:31" x14ac:dyDescent="0.2">
      <c r="A97" t="s">
        <v>75</v>
      </c>
      <c r="B97" t="s">
        <v>186</v>
      </c>
      <c r="C97" t="s">
        <v>704</v>
      </c>
      <c r="D97" t="s">
        <v>464</v>
      </c>
      <c r="E97" t="s">
        <v>705</v>
      </c>
      <c r="F97" t="s">
        <v>183</v>
      </c>
      <c r="G97" t="s">
        <v>24</v>
      </c>
      <c r="H97" t="s">
        <v>33</v>
      </c>
      <c r="I97">
        <v>2.2000000000000001E-6</v>
      </c>
      <c r="J97">
        <v>0</v>
      </c>
      <c r="K97">
        <v>0</v>
      </c>
      <c r="L97">
        <v>0</v>
      </c>
      <c r="M97">
        <v>2.2000000000000001E-6</v>
      </c>
      <c r="N97">
        <v>0.8</v>
      </c>
      <c r="O97">
        <v>6</v>
      </c>
      <c r="P97">
        <v>2</v>
      </c>
      <c r="Q97">
        <v>3</v>
      </c>
      <c r="R97">
        <v>2</v>
      </c>
      <c r="S97">
        <v>522</v>
      </c>
      <c r="T97">
        <v>1.1000000000000001</v>
      </c>
      <c r="U97" t="s">
        <v>706</v>
      </c>
      <c r="V97" t="s">
        <v>129</v>
      </c>
      <c r="W97" t="s">
        <v>682</v>
      </c>
      <c r="X97" t="s">
        <v>131</v>
      </c>
      <c r="Y97" t="s">
        <v>707</v>
      </c>
      <c r="Z97" s="70">
        <f>I97*'Dynamic Analysis Dashboard'!$B$8*'Dynamic Analysis Dashboard'!$B$9*'Dynamic Analysis Dashboard'!$B$21</f>
        <v>1.4850000000000002E-6</v>
      </c>
      <c r="AA97" s="75">
        <f>J97*'Dynamic Analysis Dashboard'!$B$8*'Dynamic Analysis Dashboard'!$B$9*'Dynamic Analysis Dashboard'!$B$21</f>
        <v>0</v>
      </c>
      <c r="AB97" s="80">
        <f>K97*'Dynamic Analysis Dashboard'!$B$10*'Dynamic Analysis Dashboard'!$B$9*'Dynamic Analysis Dashboard'!$B$21</f>
        <v>0</v>
      </c>
      <c r="AC97" s="85">
        <f>L97*'Dynamic Analysis Dashboard'!$B$11*'Dynamic Analysis Dashboard'!$B$9*'Dynamic Analysis Dashboard'!$B$21</f>
        <v>0</v>
      </c>
      <c r="AD97" s="120">
        <f t="shared" si="2"/>
        <v>1.4850000000000002E-6</v>
      </c>
      <c r="AE97" s="121">
        <f t="shared" si="3"/>
        <v>1.1880000000000003E-6</v>
      </c>
    </row>
    <row r="98" spans="1:31" hidden="1" x14ac:dyDescent="0.2">
      <c r="A98" t="s">
        <v>75</v>
      </c>
      <c r="B98" t="s">
        <v>149</v>
      </c>
      <c r="C98" t="s">
        <v>708</v>
      </c>
      <c r="D98" t="s">
        <v>125</v>
      </c>
      <c r="E98" t="s">
        <v>709</v>
      </c>
      <c r="F98" t="s">
        <v>518</v>
      </c>
      <c r="G98" t="s">
        <v>31</v>
      </c>
      <c r="H98" t="s">
        <v>25</v>
      </c>
      <c r="I98">
        <v>6.1999999999999999E-6</v>
      </c>
      <c r="J98">
        <v>0</v>
      </c>
      <c r="K98">
        <v>0</v>
      </c>
      <c r="L98">
        <v>0</v>
      </c>
      <c r="M98">
        <v>6.1999999999999999E-6</v>
      </c>
      <c r="N98">
        <v>0.8</v>
      </c>
      <c r="O98">
        <v>6</v>
      </c>
      <c r="P98">
        <v>2</v>
      </c>
      <c r="Q98">
        <v>2</v>
      </c>
      <c r="R98">
        <v>2</v>
      </c>
      <c r="S98">
        <v>5362.5</v>
      </c>
      <c r="T98">
        <v>11.5</v>
      </c>
      <c r="U98" t="s">
        <v>710</v>
      </c>
      <c r="V98" t="s">
        <v>129</v>
      </c>
      <c r="W98" t="s">
        <v>682</v>
      </c>
      <c r="X98" t="s">
        <v>131</v>
      </c>
      <c r="Y98" t="s">
        <v>711</v>
      </c>
      <c r="Z98" s="70">
        <f>I98*'Dynamic Analysis Dashboard'!$B$8*'Dynamic Analysis Dashboard'!$B$9*'Dynamic Analysis Dashboard'!$B$21</f>
        <v>4.1849999999999997E-6</v>
      </c>
      <c r="AA98" s="75">
        <f>J98*'Dynamic Analysis Dashboard'!$B$8*'Dynamic Analysis Dashboard'!$B$9*'Dynamic Analysis Dashboard'!$B$21</f>
        <v>0</v>
      </c>
      <c r="AB98" s="80">
        <f>K98*'Dynamic Analysis Dashboard'!$B$10*'Dynamic Analysis Dashboard'!$B$9*'Dynamic Analysis Dashboard'!$B$21</f>
        <v>0</v>
      </c>
      <c r="AC98" s="85">
        <f>L98*'Dynamic Analysis Dashboard'!$B$11*'Dynamic Analysis Dashboard'!$B$9*'Dynamic Analysis Dashboard'!$B$21</f>
        <v>0</v>
      </c>
      <c r="AD98" s="120">
        <f t="shared" si="2"/>
        <v>4.1849999999999997E-6</v>
      </c>
      <c r="AE98" s="121">
        <f t="shared" si="3"/>
        <v>3.348E-6</v>
      </c>
    </row>
    <row r="99" spans="1:31" hidden="1" x14ac:dyDescent="0.2">
      <c r="A99" t="s">
        <v>75</v>
      </c>
      <c r="B99" t="s">
        <v>172</v>
      </c>
      <c r="C99" t="s">
        <v>712</v>
      </c>
      <c r="D99" t="s">
        <v>328</v>
      </c>
      <c r="E99" t="s">
        <v>532</v>
      </c>
      <c r="F99" t="s">
        <v>183</v>
      </c>
      <c r="G99" t="s">
        <v>31</v>
      </c>
      <c r="H99" t="s">
        <v>25</v>
      </c>
      <c r="I99">
        <v>3.2999999999999997E-6</v>
      </c>
      <c r="J99">
        <v>4.5000000000000001E-6</v>
      </c>
      <c r="K99">
        <v>0</v>
      </c>
      <c r="L99">
        <v>0</v>
      </c>
      <c r="M99">
        <v>7.7999999999999999E-6</v>
      </c>
      <c r="N99">
        <v>0.75</v>
      </c>
      <c r="O99">
        <v>6</v>
      </c>
      <c r="P99">
        <v>3</v>
      </c>
      <c r="Q99">
        <v>3</v>
      </c>
      <c r="R99">
        <v>2</v>
      </c>
      <c r="S99">
        <v>477</v>
      </c>
      <c r="T99">
        <v>1</v>
      </c>
      <c r="U99" t="s">
        <v>713</v>
      </c>
      <c r="V99" t="s">
        <v>714</v>
      </c>
      <c r="W99" t="s">
        <v>682</v>
      </c>
      <c r="X99" t="s">
        <v>131</v>
      </c>
      <c r="Y99" t="s">
        <v>715</v>
      </c>
      <c r="Z99" s="70">
        <f>I99*'Dynamic Analysis Dashboard'!$B$8*'Dynamic Analysis Dashboard'!$B$9*'Dynamic Analysis Dashboard'!$B$21</f>
        <v>2.2274999999999998E-6</v>
      </c>
      <c r="AA99" s="75">
        <f>J99*'Dynamic Analysis Dashboard'!$B$8*'Dynamic Analysis Dashboard'!$B$9*'Dynamic Analysis Dashboard'!$B$21</f>
        <v>3.0375000000000001E-6</v>
      </c>
      <c r="AB99" s="80">
        <f>K99*'Dynamic Analysis Dashboard'!$B$10*'Dynamic Analysis Dashboard'!$B$9*'Dynamic Analysis Dashboard'!$B$21</f>
        <v>0</v>
      </c>
      <c r="AC99" s="85">
        <f>L99*'Dynamic Analysis Dashboard'!$B$11*'Dynamic Analysis Dashboard'!$B$9*'Dynamic Analysis Dashboard'!$B$21</f>
        <v>0</v>
      </c>
      <c r="AD99" s="120">
        <f t="shared" si="2"/>
        <v>5.2649999999999996E-6</v>
      </c>
      <c r="AE99" s="121">
        <f t="shared" si="3"/>
        <v>3.9487500000000001E-6</v>
      </c>
    </row>
    <row r="100" spans="1:31" hidden="1" x14ac:dyDescent="0.2">
      <c r="A100" t="s">
        <v>75</v>
      </c>
      <c r="B100" t="s">
        <v>179</v>
      </c>
      <c r="C100" t="s">
        <v>716</v>
      </c>
      <c r="D100" t="s">
        <v>692</v>
      </c>
      <c r="E100" t="s">
        <v>717</v>
      </c>
      <c r="F100" t="s">
        <v>324</v>
      </c>
      <c r="G100" t="s">
        <v>31</v>
      </c>
      <c r="H100" t="s">
        <v>25</v>
      </c>
      <c r="I100">
        <v>3.1E-6</v>
      </c>
      <c r="J100">
        <v>0</v>
      </c>
      <c r="K100">
        <v>2.1000000000000002E-6</v>
      </c>
      <c r="L100">
        <v>0</v>
      </c>
      <c r="M100">
        <v>5.2000000000000002E-6</v>
      </c>
      <c r="N100">
        <v>0.8</v>
      </c>
      <c r="O100">
        <v>6</v>
      </c>
      <c r="P100">
        <v>2</v>
      </c>
      <c r="Q100">
        <v>2</v>
      </c>
      <c r="R100">
        <v>2</v>
      </c>
      <c r="S100">
        <v>446.5</v>
      </c>
      <c r="T100">
        <v>1</v>
      </c>
      <c r="U100" t="s">
        <v>718</v>
      </c>
      <c r="V100" t="s">
        <v>129</v>
      </c>
      <c r="W100" t="s">
        <v>719</v>
      </c>
      <c r="X100" t="s">
        <v>131</v>
      </c>
      <c r="Y100" t="s">
        <v>720</v>
      </c>
      <c r="Z100" s="70">
        <f>I100*'Dynamic Analysis Dashboard'!$B$8*'Dynamic Analysis Dashboard'!$B$9*'Dynamic Analysis Dashboard'!$B$21</f>
        <v>2.0924999999999999E-6</v>
      </c>
      <c r="AA100" s="75">
        <f>J100*'Dynamic Analysis Dashboard'!$B$8*'Dynamic Analysis Dashboard'!$B$9*'Dynamic Analysis Dashboard'!$B$21</f>
        <v>0</v>
      </c>
      <c r="AB100" s="80">
        <f>K100*'Dynamic Analysis Dashboard'!$B$10*'Dynamic Analysis Dashboard'!$B$9*'Dynamic Analysis Dashboard'!$B$21</f>
        <v>1.2600000000000002E-6</v>
      </c>
      <c r="AC100" s="85">
        <f>L100*'Dynamic Analysis Dashboard'!$B$11*'Dynamic Analysis Dashboard'!$B$9*'Dynamic Analysis Dashboard'!$B$21</f>
        <v>0</v>
      </c>
      <c r="AD100" s="120">
        <f t="shared" si="2"/>
        <v>3.3525000000000001E-6</v>
      </c>
      <c r="AE100" s="121">
        <f t="shared" si="3"/>
        <v>2.6820000000000003E-6</v>
      </c>
    </row>
    <row r="101" spans="1:31" hidden="1" x14ac:dyDescent="0.2">
      <c r="A101" t="s">
        <v>75</v>
      </c>
      <c r="B101" t="s">
        <v>194</v>
      </c>
      <c r="C101" t="s">
        <v>721</v>
      </c>
      <c r="D101" t="s">
        <v>722</v>
      </c>
      <c r="E101" t="s">
        <v>723</v>
      </c>
      <c r="F101" t="s">
        <v>330</v>
      </c>
      <c r="G101" t="s">
        <v>38</v>
      </c>
      <c r="H101" t="s">
        <v>311</v>
      </c>
      <c r="I101">
        <v>1.1999999999999999E-6</v>
      </c>
      <c r="J101">
        <v>0</v>
      </c>
      <c r="K101">
        <v>0</v>
      </c>
      <c r="L101">
        <v>0</v>
      </c>
      <c r="M101">
        <v>1.1999999999999999E-6</v>
      </c>
      <c r="N101">
        <v>0.85</v>
      </c>
      <c r="O101">
        <v>6</v>
      </c>
      <c r="P101">
        <v>3</v>
      </c>
      <c r="Q101">
        <v>3</v>
      </c>
      <c r="R101">
        <v>3</v>
      </c>
      <c r="S101">
        <v>1020</v>
      </c>
      <c r="T101">
        <v>2.2000000000000002</v>
      </c>
      <c r="U101" t="s">
        <v>724</v>
      </c>
      <c r="V101" t="s">
        <v>129</v>
      </c>
      <c r="W101" t="s">
        <v>682</v>
      </c>
      <c r="X101" t="s">
        <v>131</v>
      </c>
      <c r="Y101" t="s">
        <v>725</v>
      </c>
      <c r="Z101" s="70">
        <f>I101*'Dynamic Analysis Dashboard'!$B$8*'Dynamic Analysis Dashboard'!$B$9*'Dynamic Analysis Dashboard'!$B$21</f>
        <v>8.1000000000000008E-7</v>
      </c>
      <c r="AA101" s="75">
        <f>J101*'Dynamic Analysis Dashboard'!$B$8*'Dynamic Analysis Dashboard'!$B$9*'Dynamic Analysis Dashboard'!$B$21</f>
        <v>0</v>
      </c>
      <c r="AB101" s="80">
        <f>K101*'Dynamic Analysis Dashboard'!$B$10*'Dynamic Analysis Dashboard'!$B$9*'Dynamic Analysis Dashboard'!$B$21</f>
        <v>0</v>
      </c>
      <c r="AC101" s="85">
        <f>L101*'Dynamic Analysis Dashboard'!$B$11*'Dynamic Analysis Dashboard'!$B$9*'Dynamic Analysis Dashboard'!$B$21</f>
        <v>0</v>
      </c>
      <c r="AD101" s="120">
        <f t="shared" si="2"/>
        <v>8.1000000000000008E-7</v>
      </c>
      <c r="AE101" s="121">
        <f t="shared" si="3"/>
        <v>6.8850000000000006E-7</v>
      </c>
    </row>
    <row r="102" spans="1:31" hidden="1" x14ac:dyDescent="0.2">
      <c r="A102" t="s">
        <v>97</v>
      </c>
      <c r="B102" t="s">
        <v>141</v>
      </c>
      <c r="C102" t="s">
        <v>726</v>
      </c>
      <c r="D102" t="s">
        <v>250</v>
      </c>
      <c r="E102" t="s">
        <v>727</v>
      </c>
      <c r="F102" t="s">
        <v>609</v>
      </c>
      <c r="G102" t="s">
        <v>24</v>
      </c>
      <c r="H102" t="s">
        <v>28</v>
      </c>
      <c r="I102">
        <v>1.8999999999999998E-6</v>
      </c>
      <c r="J102">
        <v>1.8999999999999998E-6</v>
      </c>
      <c r="K102">
        <v>0.2</v>
      </c>
      <c r="L102">
        <v>0</v>
      </c>
      <c r="M102">
        <v>4.5000000000000001E-6</v>
      </c>
      <c r="N102">
        <v>0.75</v>
      </c>
      <c r="O102">
        <v>12</v>
      </c>
      <c r="P102">
        <v>4</v>
      </c>
      <c r="Q102">
        <v>3</v>
      </c>
      <c r="R102">
        <v>4</v>
      </c>
      <c r="S102">
        <v>15520</v>
      </c>
      <c r="T102">
        <v>3.3600000000000005E-2</v>
      </c>
      <c r="U102" t="s">
        <v>339</v>
      </c>
      <c r="V102" t="s">
        <v>728</v>
      </c>
      <c r="W102" t="s">
        <v>729</v>
      </c>
      <c r="X102" t="s">
        <v>131</v>
      </c>
      <c r="Y102" t="s">
        <v>730</v>
      </c>
      <c r="Z102" s="70">
        <f>I102*'Dynamic Analysis Dashboard'!$B$8*'Dynamic Analysis Dashboard'!$B$9*'Dynamic Analysis Dashboard'!$B$21</f>
        <v>1.2825E-6</v>
      </c>
      <c r="AA102" s="75">
        <f>J102*'Dynamic Analysis Dashboard'!$B$8*'Dynamic Analysis Dashboard'!$B$9*'Dynamic Analysis Dashboard'!$B$21</f>
        <v>1.2825E-6</v>
      </c>
      <c r="AB102" s="80">
        <f>K102*'Dynamic Analysis Dashboard'!$B$10*'Dynamic Analysis Dashboard'!$B$9*'Dynamic Analysis Dashboard'!$B$21</f>
        <v>0.12000000000000002</v>
      </c>
      <c r="AC102" s="85">
        <f>L102*'Dynamic Analysis Dashboard'!$B$11*'Dynamic Analysis Dashboard'!$B$9*'Dynamic Analysis Dashboard'!$B$21</f>
        <v>0</v>
      </c>
      <c r="AD102" s="120">
        <f t="shared" si="2"/>
        <v>0.12000256500000002</v>
      </c>
      <c r="AE102" s="121">
        <f t="shared" si="3"/>
        <v>9.0001923750000018E-2</v>
      </c>
    </row>
    <row r="103" spans="1:31" x14ac:dyDescent="0.2">
      <c r="A103" t="s">
        <v>97</v>
      </c>
      <c r="B103" t="s">
        <v>149</v>
      </c>
      <c r="C103" t="s">
        <v>731</v>
      </c>
      <c r="D103" t="s">
        <v>204</v>
      </c>
      <c r="E103" t="s">
        <v>355</v>
      </c>
      <c r="F103" t="s">
        <v>732</v>
      </c>
      <c r="G103" t="s">
        <v>24</v>
      </c>
      <c r="H103" t="s">
        <v>25</v>
      </c>
      <c r="I103">
        <v>0.8</v>
      </c>
      <c r="J103">
        <v>5.0999999999999995E-6</v>
      </c>
      <c r="K103">
        <v>0</v>
      </c>
      <c r="L103">
        <v>0.6</v>
      </c>
      <c r="M103">
        <v>6.4999999999999996E-6</v>
      </c>
      <c r="N103">
        <v>0.7</v>
      </c>
      <c r="O103">
        <v>15</v>
      </c>
      <c r="P103">
        <v>4</v>
      </c>
      <c r="Q103">
        <v>2</v>
      </c>
      <c r="R103">
        <v>4</v>
      </c>
      <c r="S103">
        <v>288000</v>
      </c>
      <c r="T103">
        <v>0.56159999999999999</v>
      </c>
      <c r="U103" t="s">
        <v>733</v>
      </c>
      <c r="V103" t="s">
        <v>734</v>
      </c>
      <c r="W103" t="s">
        <v>130</v>
      </c>
      <c r="X103" t="s">
        <v>735</v>
      </c>
      <c r="Y103" t="s">
        <v>736</v>
      </c>
      <c r="Z103" s="70">
        <f>I103*'Dynamic Analysis Dashboard'!$B$8*'Dynamic Analysis Dashboard'!$B$9*'Dynamic Analysis Dashboard'!$B$21</f>
        <v>0.54</v>
      </c>
      <c r="AA103" s="75">
        <f>J103*'Dynamic Analysis Dashboard'!$B$8*'Dynamic Analysis Dashboard'!$B$9*'Dynamic Analysis Dashboard'!$B$21</f>
        <v>3.4424999999999997E-6</v>
      </c>
      <c r="AB103" s="80">
        <f>K103*'Dynamic Analysis Dashboard'!$B$10*'Dynamic Analysis Dashboard'!$B$9*'Dynamic Analysis Dashboard'!$B$21</f>
        <v>0</v>
      </c>
      <c r="AC103" s="85">
        <f>L103*'Dynamic Analysis Dashboard'!$B$11*'Dynamic Analysis Dashboard'!$B$9*'Dynamic Analysis Dashboard'!$B$21</f>
        <v>0.38250000000000001</v>
      </c>
      <c r="AD103" s="120">
        <f t="shared" si="2"/>
        <v>0.92250344250000005</v>
      </c>
      <c r="AE103" s="121">
        <f t="shared" si="3"/>
        <v>0.64575240975000003</v>
      </c>
    </row>
    <row r="104" spans="1:31" x14ac:dyDescent="0.2">
      <c r="A104" t="s">
        <v>97</v>
      </c>
      <c r="B104" t="s">
        <v>133</v>
      </c>
      <c r="C104" t="s">
        <v>737</v>
      </c>
      <c r="D104" t="s">
        <v>250</v>
      </c>
      <c r="E104" t="s">
        <v>738</v>
      </c>
      <c r="F104" t="s">
        <v>198</v>
      </c>
      <c r="G104" t="s">
        <v>24</v>
      </c>
      <c r="H104" t="s">
        <v>25</v>
      </c>
      <c r="I104">
        <v>0.4</v>
      </c>
      <c r="J104">
        <v>0</v>
      </c>
      <c r="K104">
        <v>0.3</v>
      </c>
      <c r="L104">
        <v>0</v>
      </c>
      <c r="M104">
        <v>0.7</v>
      </c>
      <c r="N104">
        <v>0.85</v>
      </c>
      <c r="O104">
        <v>6</v>
      </c>
      <c r="P104">
        <v>2</v>
      </c>
      <c r="Q104">
        <v>4</v>
      </c>
      <c r="R104">
        <v>2</v>
      </c>
      <c r="S104">
        <v>4050</v>
      </c>
      <c r="T104">
        <v>1.01E-2</v>
      </c>
      <c r="U104" t="s">
        <v>739</v>
      </c>
      <c r="V104" t="s">
        <v>129</v>
      </c>
      <c r="W104" t="s">
        <v>740</v>
      </c>
      <c r="X104" t="s">
        <v>131</v>
      </c>
      <c r="Y104" t="s">
        <v>741</v>
      </c>
      <c r="Z104" s="70">
        <f>I104*'Dynamic Analysis Dashboard'!$B$8*'Dynamic Analysis Dashboard'!$B$9*'Dynamic Analysis Dashboard'!$B$21</f>
        <v>0.27</v>
      </c>
      <c r="AA104" s="75">
        <f>J104*'Dynamic Analysis Dashboard'!$B$8*'Dynamic Analysis Dashboard'!$B$9*'Dynamic Analysis Dashboard'!$B$21</f>
        <v>0</v>
      </c>
      <c r="AB104" s="80">
        <f>K104*'Dynamic Analysis Dashboard'!$B$10*'Dynamic Analysis Dashboard'!$B$9*'Dynamic Analysis Dashboard'!$B$21</f>
        <v>0.18</v>
      </c>
      <c r="AC104" s="85">
        <f>L104*'Dynamic Analysis Dashboard'!$B$11*'Dynamic Analysis Dashboard'!$B$9*'Dynamic Analysis Dashboard'!$B$21</f>
        <v>0</v>
      </c>
      <c r="AD104" s="120">
        <f t="shared" si="2"/>
        <v>0.45</v>
      </c>
      <c r="AE104" s="121">
        <f t="shared" si="3"/>
        <v>0.38250000000000001</v>
      </c>
    </row>
    <row r="105" spans="1:31" hidden="1" x14ac:dyDescent="0.2">
      <c r="A105" t="s">
        <v>97</v>
      </c>
      <c r="B105" t="s">
        <v>123</v>
      </c>
      <c r="C105" t="s">
        <v>742</v>
      </c>
      <c r="D105" t="s">
        <v>250</v>
      </c>
      <c r="E105" t="s">
        <v>743</v>
      </c>
      <c r="F105" t="s">
        <v>744</v>
      </c>
      <c r="G105" t="s">
        <v>38</v>
      </c>
      <c r="H105" t="s">
        <v>33</v>
      </c>
      <c r="I105">
        <v>0.7</v>
      </c>
      <c r="J105">
        <v>0</v>
      </c>
      <c r="K105">
        <v>0.8</v>
      </c>
      <c r="L105">
        <v>0</v>
      </c>
      <c r="M105">
        <v>1.5E-6</v>
      </c>
      <c r="N105">
        <v>0.8</v>
      </c>
      <c r="O105">
        <v>9</v>
      </c>
      <c r="P105">
        <v>3</v>
      </c>
      <c r="Q105">
        <v>4</v>
      </c>
      <c r="R105">
        <v>3</v>
      </c>
      <c r="S105">
        <v>84800</v>
      </c>
      <c r="T105">
        <v>0.18340000000000001</v>
      </c>
      <c r="U105" t="s">
        <v>745</v>
      </c>
      <c r="V105" t="s">
        <v>129</v>
      </c>
      <c r="W105" t="s">
        <v>746</v>
      </c>
      <c r="X105" t="s">
        <v>131</v>
      </c>
      <c r="Y105" t="s">
        <v>747</v>
      </c>
      <c r="Z105" s="70">
        <f>I105*'Dynamic Analysis Dashboard'!$B$8*'Dynamic Analysis Dashboard'!$B$9*'Dynamic Analysis Dashboard'!$B$21</f>
        <v>0.47250000000000003</v>
      </c>
      <c r="AA105" s="75">
        <f>J105*'Dynamic Analysis Dashboard'!$B$8*'Dynamic Analysis Dashboard'!$B$9*'Dynamic Analysis Dashboard'!$B$21</f>
        <v>0</v>
      </c>
      <c r="AB105" s="80">
        <f>K105*'Dynamic Analysis Dashboard'!$B$10*'Dynamic Analysis Dashboard'!$B$9*'Dynamic Analysis Dashboard'!$B$21</f>
        <v>0.48000000000000009</v>
      </c>
      <c r="AC105" s="85">
        <f>L105*'Dynamic Analysis Dashboard'!$B$11*'Dynamic Analysis Dashboard'!$B$9*'Dynamic Analysis Dashboard'!$B$21</f>
        <v>0</v>
      </c>
      <c r="AD105" s="120">
        <f t="shared" si="2"/>
        <v>0.95250000000000012</v>
      </c>
      <c r="AE105" s="121">
        <f t="shared" si="3"/>
        <v>0.76200000000000012</v>
      </c>
    </row>
    <row r="106" spans="1:31" hidden="1" x14ac:dyDescent="0.2">
      <c r="A106" t="s">
        <v>97</v>
      </c>
      <c r="B106" t="s">
        <v>156</v>
      </c>
      <c r="C106" t="s">
        <v>748</v>
      </c>
      <c r="D106" t="s">
        <v>437</v>
      </c>
      <c r="E106" t="s">
        <v>749</v>
      </c>
      <c r="F106" t="s">
        <v>259</v>
      </c>
      <c r="G106" t="s">
        <v>38</v>
      </c>
      <c r="H106" t="s">
        <v>311</v>
      </c>
      <c r="I106">
        <v>0.3</v>
      </c>
      <c r="J106">
        <v>1.7E-6</v>
      </c>
      <c r="K106">
        <v>0</v>
      </c>
      <c r="L106">
        <v>0</v>
      </c>
      <c r="M106">
        <v>1.9999999999999999E-6</v>
      </c>
      <c r="N106">
        <v>0.65</v>
      </c>
      <c r="O106">
        <v>18</v>
      </c>
      <c r="P106">
        <v>4</v>
      </c>
      <c r="Q106">
        <v>2</v>
      </c>
      <c r="R106">
        <v>4</v>
      </c>
      <c r="S106">
        <v>1356</v>
      </c>
      <c r="T106">
        <v>3.7000000000000002E-3</v>
      </c>
      <c r="U106" t="s">
        <v>750</v>
      </c>
      <c r="V106" t="s">
        <v>751</v>
      </c>
      <c r="W106" t="s">
        <v>130</v>
      </c>
      <c r="X106" t="s">
        <v>131</v>
      </c>
      <c r="Y106" t="s">
        <v>752</v>
      </c>
      <c r="Z106" s="70">
        <f>I106*'Dynamic Analysis Dashboard'!$B$8*'Dynamic Analysis Dashboard'!$B$9*'Dynamic Analysis Dashboard'!$B$21</f>
        <v>0.20250000000000001</v>
      </c>
      <c r="AA106" s="75">
        <f>J106*'Dynamic Analysis Dashboard'!$B$8*'Dynamic Analysis Dashboard'!$B$9*'Dynamic Analysis Dashboard'!$B$21</f>
        <v>1.1475E-6</v>
      </c>
      <c r="AB106" s="80">
        <f>K106*'Dynamic Analysis Dashboard'!$B$10*'Dynamic Analysis Dashboard'!$B$9*'Dynamic Analysis Dashboard'!$B$21</f>
        <v>0</v>
      </c>
      <c r="AC106" s="85">
        <f>L106*'Dynamic Analysis Dashboard'!$B$11*'Dynamic Analysis Dashboard'!$B$9*'Dynamic Analysis Dashboard'!$B$21</f>
        <v>0</v>
      </c>
      <c r="AD106" s="120">
        <f t="shared" si="2"/>
        <v>0.20250114750000001</v>
      </c>
      <c r="AE106" s="121">
        <f t="shared" si="3"/>
        <v>0.13162574587500001</v>
      </c>
    </row>
    <row r="107" spans="1:31" hidden="1" x14ac:dyDescent="0.2">
      <c r="A107" t="s">
        <v>97</v>
      </c>
      <c r="B107" t="s">
        <v>164</v>
      </c>
      <c r="C107" t="s">
        <v>753</v>
      </c>
      <c r="D107" t="s">
        <v>204</v>
      </c>
      <c r="E107" t="s">
        <v>754</v>
      </c>
      <c r="F107" t="s">
        <v>439</v>
      </c>
      <c r="G107" t="s">
        <v>38</v>
      </c>
      <c r="H107" t="s">
        <v>28</v>
      </c>
      <c r="I107">
        <v>0.6</v>
      </c>
      <c r="J107">
        <v>0.8</v>
      </c>
      <c r="K107">
        <v>0.1</v>
      </c>
      <c r="L107">
        <v>0.2</v>
      </c>
      <c r="M107">
        <v>1.7E-6</v>
      </c>
      <c r="N107">
        <v>0.75</v>
      </c>
      <c r="O107">
        <v>9</v>
      </c>
      <c r="P107">
        <v>3</v>
      </c>
      <c r="Q107">
        <v>3</v>
      </c>
      <c r="R107">
        <v>3</v>
      </c>
      <c r="S107">
        <v>48000</v>
      </c>
      <c r="T107">
        <v>0.1008</v>
      </c>
      <c r="U107" t="s">
        <v>755</v>
      </c>
      <c r="V107" t="s">
        <v>756</v>
      </c>
      <c r="W107" t="s">
        <v>757</v>
      </c>
      <c r="X107" t="s">
        <v>758</v>
      </c>
      <c r="Y107" t="s">
        <v>759</v>
      </c>
      <c r="Z107" s="70">
        <f>I107*'Dynamic Analysis Dashboard'!$B$8*'Dynamic Analysis Dashboard'!$B$9*'Dynamic Analysis Dashboard'!$B$21</f>
        <v>0.40500000000000003</v>
      </c>
      <c r="AA107" s="75">
        <f>J107*'Dynamic Analysis Dashboard'!$B$8*'Dynamic Analysis Dashboard'!$B$9*'Dynamic Analysis Dashboard'!$B$21</f>
        <v>0.54</v>
      </c>
      <c r="AB107" s="80">
        <f>K107*'Dynamic Analysis Dashboard'!$B$10*'Dynamic Analysis Dashboard'!$B$9*'Dynamic Analysis Dashboard'!$B$21</f>
        <v>6.0000000000000012E-2</v>
      </c>
      <c r="AC107" s="85">
        <f>L107*'Dynamic Analysis Dashboard'!$B$11*'Dynamic Analysis Dashboard'!$B$9*'Dynamic Analysis Dashboard'!$B$21</f>
        <v>0.1275</v>
      </c>
      <c r="AD107" s="120">
        <f t="shared" si="2"/>
        <v>1.1325000000000001</v>
      </c>
      <c r="AE107" s="121">
        <f t="shared" si="3"/>
        <v>0.84937499999999999</v>
      </c>
    </row>
    <row r="108" spans="1:31" hidden="1" x14ac:dyDescent="0.2">
      <c r="A108" t="s">
        <v>97</v>
      </c>
      <c r="B108" t="s">
        <v>172</v>
      </c>
      <c r="C108" t="s">
        <v>760</v>
      </c>
      <c r="D108" t="s">
        <v>761</v>
      </c>
      <c r="E108" t="s">
        <v>693</v>
      </c>
      <c r="F108" t="s">
        <v>762</v>
      </c>
      <c r="G108" t="s">
        <v>38</v>
      </c>
      <c r="H108" t="s">
        <v>33</v>
      </c>
      <c r="I108">
        <v>0.4</v>
      </c>
      <c r="J108">
        <v>0</v>
      </c>
      <c r="K108">
        <v>0.4</v>
      </c>
      <c r="L108">
        <v>0</v>
      </c>
      <c r="M108">
        <v>0.8</v>
      </c>
      <c r="N108">
        <v>0.8</v>
      </c>
      <c r="O108">
        <v>9</v>
      </c>
      <c r="P108">
        <v>3</v>
      </c>
      <c r="Q108">
        <v>3</v>
      </c>
      <c r="R108">
        <v>3</v>
      </c>
      <c r="S108">
        <v>6768</v>
      </c>
      <c r="T108">
        <v>1.5099999999999999E-2</v>
      </c>
      <c r="U108" t="s">
        <v>763</v>
      </c>
      <c r="V108" t="s">
        <v>129</v>
      </c>
      <c r="W108" t="s">
        <v>764</v>
      </c>
      <c r="X108" t="s">
        <v>131</v>
      </c>
      <c r="Y108" t="s">
        <v>765</v>
      </c>
      <c r="Z108" s="70">
        <f>I108*'Dynamic Analysis Dashboard'!$B$8*'Dynamic Analysis Dashboard'!$B$9*'Dynamic Analysis Dashboard'!$B$21</f>
        <v>0.27</v>
      </c>
      <c r="AA108" s="75">
        <f>J108*'Dynamic Analysis Dashboard'!$B$8*'Dynamic Analysis Dashboard'!$B$9*'Dynamic Analysis Dashboard'!$B$21</f>
        <v>0</v>
      </c>
      <c r="AB108" s="80">
        <f>K108*'Dynamic Analysis Dashboard'!$B$10*'Dynamic Analysis Dashboard'!$B$9*'Dynamic Analysis Dashboard'!$B$21</f>
        <v>0.24000000000000005</v>
      </c>
      <c r="AC108" s="85">
        <f>L108*'Dynamic Analysis Dashboard'!$B$11*'Dynamic Analysis Dashboard'!$B$9*'Dynamic Analysis Dashboard'!$B$21</f>
        <v>0</v>
      </c>
      <c r="AD108" s="120">
        <f t="shared" si="2"/>
        <v>0.51</v>
      </c>
      <c r="AE108" s="121">
        <f t="shared" si="3"/>
        <v>0.40800000000000003</v>
      </c>
    </row>
    <row r="109" spans="1:31" hidden="1" x14ac:dyDescent="0.2">
      <c r="A109" t="s">
        <v>97</v>
      </c>
      <c r="B109" t="s">
        <v>179</v>
      </c>
      <c r="C109" t="s">
        <v>766</v>
      </c>
      <c r="D109" t="s">
        <v>250</v>
      </c>
      <c r="E109" t="s">
        <v>767</v>
      </c>
      <c r="F109" t="s">
        <v>231</v>
      </c>
      <c r="G109" t="s">
        <v>38</v>
      </c>
      <c r="H109" t="s">
        <v>33</v>
      </c>
      <c r="I109">
        <v>0.5</v>
      </c>
      <c r="J109">
        <v>1.1999999999999999E-6</v>
      </c>
      <c r="K109">
        <v>0</v>
      </c>
      <c r="L109">
        <v>0.4</v>
      </c>
      <c r="M109">
        <v>2.1000000000000002E-6</v>
      </c>
      <c r="N109">
        <v>0.75</v>
      </c>
      <c r="O109">
        <v>12</v>
      </c>
      <c r="P109">
        <v>4</v>
      </c>
      <c r="Q109">
        <v>3</v>
      </c>
      <c r="R109">
        <v>4</v>
      </c>
      <c r="S109">
        <v>10240</v>
      </c>
      <c r="T109">
        <v>2.2699999999999998E-2</v>
      </c>
      <c r="U109" t="s">
        <v>768</v>
      </c>
      <c r="V109" t="s">
        <v>769</v>
      </c>
      <c r="W109" t="s">
        <v>130</v>
      </c>
      <c r="X109" t="s">
        <v>735</v>
      </c>
      <c r="Y109" t="s">
        <v>770</v>
      </c>
      <c r="Z109" s="70">
        <f>I109*'Dynamic Analysis Dashboard'!$B$8*'Dynamic Analysis Dashboard'!$B$9*'Dynamic Analysis Dashboard'!$B$21</f>
        <v>0.33750000000000002</v>
      </c>
      <c r="AA109" s="75">
        <f>J109*'Dynamic Analysis Dashboard'!$B$8*'Dynamic Analysis Dashboard'!$B$9*'Dynamic Analysis Dashboard'!$B$21</f>
        <v>8.1000000000000008E-7</v>
      </c>
      <c r="AB109" s="80">
        <f>K109*'Dynamic Analysis Dashboard'!$B$10*'Dynamic Analysis Dashboard'!$B$9*'Dynamic Analysis Dashboard'!$B$21</f>
        <v>0</v>
      </c>
      <c r="AC109" s="85">
        <f>L109*'Dynamic Analysis Dashboard'!$B$11*'Dynamic Analysis Dashboard'!$B$9*'Dynamic Analysis Dashboard'!$B$21</f>
        <v>0.255</v>
      </c>
      <c r="AD109" s="120">
        <f t="shared" si="2"/>
        <v>0.59250080999999999</v>
      </c>
      <c r="AE109" s="121">
        <f t="shared" si="3"/>
        <v>0.44437560749999999</v>
      </c>
    </row>
    <row r="110" spans="1:31" hidden="1" x14ac:dyDescent="0.2">
      <c r="A110" t="s">
        <v>97</v>
      </c>
      <c r="B110" t="s">
        <v>186</v>
      </c>
      <c r="C110" t="s">
        <v>771</v>
      </c>
      <c r="D110" t="s">
        <v>204</v>
      </c>
      <c r="E110" t="s">
        <v>772</v>
      </c>
      <c r="F110" t="s">
        <v>773</v>
      </c>
      <c r="G110" t="s">
        <v>38</v>
      </c>
      <c r="H110" t="s">
        <v>311</v>
      </c>
      <c r="I110">
        <v>0.3</v>
      </c>
      <c r="J110">
        <v>1.1000000000000001E-6</v>
      </c>
      <c r="K110">
        <v>0</v>
      </c>
      <c r="L110">
        <v>0</v>
      </c>
      <c r="M110">
        <v>1.3E-6</v>
      </c>
      <c r="N110">
        <v>0.7</v>
      </c>
      <c r="O110">
        <v>12</v>
      </c>
      <c r="P110">
        <v>3</v>
      </c>
      <c r="Q110">
        <v>2</v>
      </c>
      <c r="R110">
        <v>3</v>
      </c>
      <c r="S110">
        <v>121600</v>
      </c>
      <c r="T110">
        <v>0.24480000000000002</v>
      </c>
      <c r="U110" t="s">
        <v>774</v>
      </c>
      <c r="V110" t="s">
        <v>775</v>
      </c>
      <c r="W110" t="s">
        <v>130</v>
      </c>
      <c r="X110" t="s">
        <v>131</v>
      </c>
      <c r="Y110" t="s">
        <v>776</v>
      </c>
      <c r="Z110" s="70">
        <f>I110*'Dynamic Analysis Dashboard'!$B$8*'Dynamic Analysis Dashboard'!$B$9*'Dynamic Analysis Dashboard'!$B$21</f>
        <v>0.20250000000000001</v>
      </c>
      <c r="AA110" s="75">
        <f>J110*'Dynamic Analysis Dashboard'!$B$8*'Dynamic Analysis Dashboard'!$B$9*'Dynamic Analysis Dashboard'!$B$21</f>
        <v>7.4250000000000009E-7</v>
      </c>
      <c r="AB110" s="80">
        <f>K110*'Dynamic Analysis Dashboard'!$B$10*'Dynamic Analysis Dashboard'!$B$9*'Dynamic Analysis Dashboard'!$B$21</f>
        <v>0</v>
      </c>
      <c r="AC110" s="85">
        <f>L110*'Dynamic Analysis Dashboard'!$B$11*'Dynamic Analysis Dashboard'!$B$9*'Dynamic Analysis Dashboard'!$B$21</f>
        <v>0</v>
      </c>
      <c r="AD110" s="120">
        <f t="shared" si="2"/>
        <v>0.20250074250000002</v>
      </c>
      <c r="AE110" s="121">
        <f t="shared" si="3"/>
        <v>0.14175051975</v>
      </c>
    </row>
    <row r="111" spans="1:31" hidden="1" x14ac:dyDescent="0.2">
      <c r="A111" t="s">
        <v>97</v>
      </c>
      <c r="B111" t="s">
        <v>194</v>
      </c>
      <c r="C111" t="s">
        <v>777</v>
      </c>
      <c r="D111" t="s">
        <v>437</v>
      </c>
      <c r="E111" t="s">
        <v>778</v>
      </c>
      <c r="F111" t="s">
        <v>779</v>
      </c>
      <c r="G111" t="s">
        <v>38</v>
      </c>
      <c r="H111" t="s">
        <v>28</v>
      </c>
      <c r="I111">
        <v>0.2</v>
      </c>
      <c r="J111">
        <v>2.7999999999999999E-6</v>
      </c>
      <c r="K111">
        <v>0</v>
      </c>
      <c r="L111">
        <v>0</v>
      </c>
      <c r="M111">
        <v>3.0000000000000001E-6</v>
      </c>
      <c r="N111">
        <v>0.7</v>
      </c>
      <c r="O111">
        <v>12</v>
      </c>
      <c r="P111">
        <v>3</v>
      </c>
      <c r="Q111">
        <v>3</v>
      </c>
      <c r="R111">
        <v>3</v>
      </c>
      <c r="S111">
        <v>4800</v>
      </c>
      <c r="T111">
        <v>1.0999999999999999E-2</v>
      </c>
      <c r="U111" t="s">
        <v>780</v>
      </c>
      <c r="V111" t="s">
        <v>781</v>
      </c>
      <c r="W111" t="s">
        <v>130</v>
      </c>
      <c r="X111" t="s">
        <v>131</v>
      </c>
      <c r="Y111" t="s">
        <v>782</v>
      </c>
      <c r="Z111" s="70">
        <f>I111*'Dynamic Analysis Dashboard'!$B$8*'Dynamic Analysis Dashboard'!$B$9*'Dynamic Analysis Dashboard'!$B$21</f>
        <v>0.13500000000000001</v>
      </c>
      <c r="AA111" s="75">
        <f>J111*'Dynamic Analysis Dashboard'!$B$8*'Dynamic Analysis Dashboard'!$B$9*'Dynamic Analysis Dashboard'!$B$21</f>
        <v>1.8900000000000001E-6</v>
      </c>
      <c r="AB111" s="80">
        <f>K111*'Dynamic Analysis Dashboard'!$B$10*'Dynamic Analysis Dashboard'!$B$9*'Dynamic Analysis Dashboard'!$B$21</f>
        <v>0</v>
      </c>
      <c r="AC111" s="85">
        <f>L111*'Dynamic Analysis Dashboard'!$B$11*'Dynamic Analysis Dashboard'!$B$9*'Dynamic Analysis Dashboard'!$B$21</f>
        <v>0</v>
      </c>
      <c r="AD111" s="120">
        <f t="shared" si="2"/>
        <v>0.13500189000000001</v>
      </c>
      <c r="AE111" s="121">
        <f t="shared" si="3"/>
        <v>9.4501322999999998E-2</v>
      </c>
    </row>
    <row r="112" spans="1:31" x14ac:dyDescent="0.2">
      <c r="A112" t="s">
        <v>78</v>
      </c>
      <c r="B112" t="s">
        <v>123</v>
      </c>
      <c r="C112" t="s">
        <v>783</v>
      </c>
      <c r="D112" t="s">
        <v>125</v>
      </c>
      <c r="E112" t="s">
        <v>784</v>
      </c>
      <c r="F112" t="s">
        <v>785</v>
      </c>
      <c r="G112" t="s">
        <v>24</v>
      </c>
      <c r="H112" t="s">
        <v>28</v>
      </c>
      <c r="I112">
        <v>3.2</v>
      </c>
      <c r="J112">
        <v>2.1</v>
      </c>
      <c r="K112">
        <v>0</v>
      </c>
      <c r="L112">
        <v>0</v>
      </c>
      <c r="M112">
        <v>5.3</v>
      </c>
      <c r="N112">
        <v>0.8</v>
      </c>
      <c r="O112">
        <v>9</v>
      </c>
      <c r="P112">
        <v>3</v>
      </c>
      <c r="Q112">
        <v>3</v>
      </c>
      <c r="R112">
        <v>3</v>
      </c>
      <c r="S112">
        <v>55800</v>
      </c>
      <c r="T112">
        <v>1302</v>
      </c>
      <c r="U112" t="s">
        <v>786</v>
      </c>
      <c r="V112" t="s">
        <v>787</v>
      </c>
      <c r="W112" t="s">
        <v>788</v>
      </c>
      <c r="X112" t="s">
        <v>131</v>
      </c>
      <c r="Y112" t="s">
        <v>789</v>
      </c>
      <c r="Z112" s="70">
        <f>I112*'Dynamic Analysis Dashboard'!$B$8*'Dynamic Analysis Dashboard'!$B$9*'Dynamic Analysis Dashboard'!$B$21</f>
        <v>2.16</v>
      </c>
      <c r="AA112" s="75">
        <f>J112*'Dynamic Analysis Dashboard'!$B$8*'Dynamic Analysis Dashboard'!$B$9*'Dynamic Analysis Dashboard'!$B$21</f>
        <v>1.4175</v>
      </c>
      <c r="AB112" s="80">
        <f>K112*'Dynamic Analysis Dashboard'!$B$10*'Dynamic Analysis Dashboard'!$B$9*'Dynamic Analysis Dashboard'!$B$21</f>
        <v>0</v>
      </c>
      <c r="AC112" s="85">
        <f>L112*'Dynamic Analysis Dashboard'!$B$11*'Dynamic Analysis Dashboard'!$B$9*'Dynamic Analysis Dashboard'!$B$21</f>
        <v>0</v>
      </c>
      <c r="AD112" s="120">
        <f t="shared" si="2"/>
        <v>3.5775000000000001</v>
      </c>
      <c r="AE112" s="121">
        <f t="shared" si="3"/>
        <v>2.8620000000000001</v>
      </c>
    </row>
    <row r="113" spans="1:31" x14ac:dyDescent="0.2">
      <c r="A113" t="s">
        <v>78</v>
      </c>
      <c r="B113" t="s">
        <v>149</v>
      </c>
      <c r="C113" t="s">
        <v>790</v>
      </c>
      <c r="D113" t="s">
        <v>595</v>
      </c>
      <c r="E113" t="s">
        <v>431</v>
      </c>
      <c r="F113" t="s">
        <v>145</v>
      </c>
      <c r="G113" t="s">
        <v>24</v>
      </c>
      <c r="H113" t="s">
        <v>28</v>
      </c>
      <c r="I113">
        <v>0.9</v>
      </c>
      <c r="J113">
        <v>1.6</v>
      </c>
      <c r="K113">
        <v>0</v>
      </c>
      <c r="L113">
        <v>3.9</v>
      </c>
      <c r="M113">
        <v>6.4</v>
      </c>
      <c r="N113">
        <v>0.75</v>
      </c>
      <c r="O113">
        <v>15</v>
      </c>
      <c r="P113">
        <v>4</v>
      </c>
      <c r="Q113">
        <v>2</v>
      </c>
      <c r="R113">
        <v>4</v>
      </c>
      <c r="S113">
        <v>18000</v>
      </c>
      <c r="T113">
        <v>378</v>
      </c>
      <c r="U113" t="s">
        <v>791</v>
      </c>
      <c r="V113" t="s">
        <v>792</v>
      </c>
      <c r="W113" t="s">
        <v>788</v>
      </c>
      <c r="X113" t="s">
        <v>793</v>
      </c>
      <c r="Y113" t="s">
        <v>794</v>
      </c>
      <c r="Z113" s="70">
        <f>I113*'Dynamic Analysis Dashboard'!$B$8*'Dynamic Analysis Dashboard'!$B$9*'Dynamic Analysis Dashboard'!$B$21</f>
        <v>0.60750000000000004</v>
      </c>
      <c r="AA113" s="75">
        <f>J113*'Dynamic Analysis Dashboard'!$B$8*'Dynamic Analysis Dashboard'!$B$9*'Dynamic Analysis Dashboard'!$B$21</f>
        <v>1.08</v>
      </c>
      <c r="AB113" s="80">
        <f>K113*'Dynamic Analysis Dashboard'!$B$10*'Dynamic Analysis Dashboard'!$B$9*'Dynamic Analysis Dashboard'!$B$21</f>
        <v>0</v>
      </c>
      <c r="AC113" s="85">
        <f>L113*'Dynamic Analysis Dashboard'!$B$11*'Dynamic Analysis Dashboard'!$B$9*'Dynamic Analysis Dashboard'!$B$21</f>
        <v>2.4862500000000001</v>
      </c>
      <c r="AD113" s="120">
        <f t="shared" si="2"/>
        <v>4.1737500000000001</v>
      </c>
      <c r="AE113" s="121">
        <f t="shared" si="3"/>
        <v>3.1303125000000001</v>
      </c>
    </row>
    <row r="114" spans="1:31" x14ac:dyDescent="0.2">
      <c r="A114" t="s">
        <v>78</v>
      </c>
      <c r="B114" t="s">
        <v>133</v>
      </c>
      <c r="C114" t="s">
        <v>795</v>
      </c>
      <c r="D114" t="s">
        <v>287</v>
      </c>
      <c r="E114" t="s">
        <v>796</v>
      </c>
      <c r="F114" t="s">
        <v>797</v>
      </c>
      <c r="G114" t="s">
        <v>24</v>
      </c>
      <c r="H114" t="s">
        <v>33</v>
      </c>
      <c r="I114">
        <v>1.7</v>
      </c>
      <c r="J114">
        <v>0</v>
      </c>
      <c r="K114">
        <v>1.7</v>
      </c>
      <c r="L114">
        <v>0</v>
      </c>
      <c r="M114">
        <v>3.4</v>
      </c>
      <c r="N114">
        <v>0.8</v>
      </c>
      <c r="O114">
        <v>9</v>
      </c>
      <c r="P114">
        <v>3</v>
      </c>
      <c r="Q114">
        <v>2</v>
      </c>
      <c r="R114">
        <v>3</v>
      </c>
      <c r="S114">
        <v>1425</v>
      </c>
      <c r="T114">
        <v>252</v>
      </c>
      <c r="U114" t="s">
        <v>798</v>
      </c>
      <c r="V114" t="s">
        <v>129</v>
      </c>
      <c r="W114" t="s">
        <v>799</v>
      </c>
      <c r="X114" t="s">
        <v>131</v>
      </c>
      <c r="Y114" t="s">
        <v>800</v>
      </c>
      <c r="Z114" s="70">
        <f>I114*'Dynamic Analysis Dashboard'!$B$8*'Dynamic Analysis Dashboard'!$B$9*'Dynamic Analysis Dashboard'!$B$21</f>
        <v>1.1475</v>
      </c>
      <c r="AA114" s="75">
        <f>J114*'Dynamic Analysis Dashboard'!$B$8*'Dynamic Analysis Dashboard'!$B$9*'Dynamic Analysis Dashboard'!$B$21</f>
        <v>0</v>
      </c>
      <c r="AB114" s="80">
        <f>K114*'Dynamic Analysis Dashboard'!$B$10*'Dynamic Analysis Dashboard'!$B$9*'Dynamic Analysis Dashboard'!$B$21</f>
        <v>1.02</v>
      </c>
      <c r="AC114" s="85">
        <f>L114*'Dynamic Analysis Dashboard'!$B$11*'Dynamic Analysis Dashboard'!$B$9*'Dynamic Analysis Dashboard'!$B$21</f>
        <v>0</v>
      </c>
      <c r="AD114" s="120">
        <f t="shared" si="2"/>
        <v>2.1675</v>
      </c>
      <c r="AE114" s="121">
        <f t="shared" si="3"/>
        <v>1.734</v>
      </c>
    </row>
    <row r="115" spans="1:31" x14ac:dyDescent="0.2">
      <c r="A115" t="s">
        <v>78</v>
      </c>
      <c r="B115" t="s">
        <v>179</v>
      </c>
      <c r="C115" t="s">
        <v>801</v>
      </c>
      <c r="D115" t="s">
        <v>166</v>
      </c>
      <c r="E115" t="s">
        <v>802</v>
      </c>
      <c r="F115" t="s">
        <v>310</v>
      </c>
      <c r="G115" t="s">
        <v>24</v>
      </c>
      <c r="H115" t="s">
        <v>311</v>
      </c>
      <c r="I115">
        <v>0.6</v>
      </c>
      <c r="J115">
        <v>0</v>
      </c>
      <c r="K115">
        <v>0</v>
      </c>
      <c r="L115">
        <v>1.5</v>
      </c>
      <c r="M115">
        <v>2.1</v>
      </c>
      <c r="N115">
        <v>0.75</v>
      </c>
      <c r="O115">
        <v>6</v>
      </c>
      <c r="P115">
        <v>2</v>
      </c>
      <c r="Q115">
        <v>3</v>
      </c>
      <c r="R115">
        <v>2</v>
      </c>
      <c r="S115">
        <v>1260</v>
      </c>
      <c r="T115">
        <v>91</v>
      </c>
      <c r="U115" t="s">
        <v>803</v>
      </c>
      <c r="V115" t="s">
        <v>129</v>
      </c>
      <c r="W115" t="s">
        <v>788</v>
      </c>
      <c r="X115" t="s">
        <v>804</v>
      </c>
      <c r="Y115" t="s">
        <v>805</v>
      </c>
      <c r="Z115" s="70">
        <f>I115*'Dynamic Analysis Dashboard'!$B$8*'Dynamic Analysis Dashboard'!$B$9*'Dynamic Analysis Dashboard'!$B$21</f>
        <v>0.40500000000000003</v>
      </c>
      <c r="AA115" s="75">
        <f>J115*'Dynamic Analysis Dashboard'!$B$8*'Dynamic Analysis Dashboard'!$B$9*'Dynamic Analysis Dashboard'!$B$21</f>
        <v>0</v>
      </c>
      <c r="AB115" s="80">
        <f>K115*'Dynamic Analysis Dashboard'!$B$10*'Dynamic Analysis Dashboard'!$B$9*'Dynamic Analysis Dashboard'!$B$21</f>
        <v>0</v>
      </c>
      <c r="AC115" s="85">
        <f>L115*'Dynamic Analysis Dashboard'!$B$11*'Dynamic Analysis Dashboard'!$B$9*'Dynamic Analysis Dashboard'!$B$21</f>
        <v>0.95624999999999993</v>
      </c>
      <c r="AD115" s="120">
        <f t="shared" si="2"/>
        <v>1.3612500000000001</v>
      </c>
      <c r="AE115" s="121">
        <f t="shared" si="3"/>
        <v>1.0209375000000001</v>
      </c>
    </row>
    <row r="116" spans="1:31" x14ac:dyDescent="0.2">
      <c r="A116" t="s">
        <v>78</v>
      </c>
      <c r="B116" t="s">
        <v>194</v>
      </c>
      <c r="C116" t="s">
        <v>806</v>
      </c>
      <c r="D116" t="s">
        <v>547</v>
      </c>
      <c r="E116" t="s">
        <v>807</v>
      </c>
      <c r="F116" t="s">
        <v>808</v>
      </c>
      <c r="G116" t="s">
        <v>24</v>
      </c>
      <c r="H116" t="s">
        <v>33</v>
      </c>
      <c r="I116">
        <v>0.5</v>
      </c>
      <c r="J116">
        <v>2.8</v>
      </c>
      <c r="K116">
        <v>1</v>
      </c>
      <c r="L116">
        <v>0</v>
      </c>
      <c r="M116">
        <v>4.3</v>
      </c>
      <c r="N116">
        <v>0.75</v>
      </c>
      <c r="O116">
        <v>9</v>
      </c>
      <c r="P116">
        <v>3</v>
      </c>
      <c r="Q116">
        <v>2</v>
      </c>
      <c r="R116">
        <v>3</v>
      </c>
      <c r="S116">
        <v>546</v>
      </c>
      <c r="T116">
        <v>121</v>
      </c>
      <c r="U116" t="s">
        <v>809</v>
      </c>
      <c r="V116" t="s">
        <v>810</v>
      </c>
      <c r="W116" t="s">
        <v>811</v>
      </c>
      <c r="X116" t="s">
        <v>131</v>
      </c>
      <c r="Y116" t="s">
        <v>812</v>
      </c>
      <c r="Z116" s="70">
        <f>I116*'Dynamic Analysis Dashboard'!$B$8*'Dynamic Analysis Dashboard'!$B$9*'Dynamic Analysis Dashboard'!$B$21</f>
        <v>0.33750000000000002</v>
      </c>
      <c r="AA116" s="75">
        <f>J116*'Dynamic Analysis Dashboard'!$B$8*'Dynamic Analysis Dashboard'!$B$9*'Dynamic Analysis Dashboard'!$B$21</f>
        <v>1.8900000000000001</v>
      </c>
      <c r="AB116" s="80">
        <f>K116*'Dynamic Analysis Dashboard'!$B$10*'Dynamic Analysis Dashboard'!$B$9*'Dynamic Analysis Dashboard'!$B$21</f>
        <v>0.60000000000000009</v>
      </c>
      <c r="AC116" s="85">
        <f>L116*'Dynamic Analysis Dashboard'!$B$11*'Dynamic Analysis Dashboard'!$B$9*'Dynamic Analysis Dashboard'!$B$21</f>
        <v>0</v>
      </c>
      <c r="AD116" s="120">
        <f t="shared" si="2"/>
        <v>2.8275000000000001</v>
      </c>
      <c r="AE116" s="121">
        <f t="shared" si="3"/>
        <v>2.120625</v>
      </c>
    </row>
    <row r="117" spans="1:31" hidden="1" x14ac:dyDescent="0.2">
      <c r="A117" t="s">
        <v>78</v>
      </c>
      <c r="B117" t="s">
        <v>141</v>
      </c>
      <c r="C117" t="s">
        <v>813</v>
      </c>
      <c r="D117" t="s">
        <v>547</v>
      </c>
      <c r="E117" t="s">
        <v>182</v>
      </c>
      <c r="F117" t="s">
        <v>814</v>
      </c>
      <c r="G117" t="s">
        <v>31</v>
      </c>
      <c r="H117" t="s">
        <v>25</v>
      </c>
      <c r="I117">
        <v>6.1</v>
      </c>
      <c r="J117">
        <v>3.4</v>
      </c>
      <c r="K117">
        <v>0</v>
      </c>
      <c r="L117">
        <v>0</v>
      </c>
      <c r="M117">
        <v>9.5</v>
      </c>
      <c r="N117">
        <v>0.85</v>
      </c>
      <c r="O117">
        <v>6</v>
      </c>
      <c r="P117">
        <v>3</v>
      </c>
      <c r="Q117">
        <v>3</v>
      </c>
      <c r="R117">
        <v>2</v>
      </c>
      <c r="S117">
        <v>2500</v>
      </c>
      <c r="T117">
        <v>405</v>
      </c>
      <c r="U117" t="s">
        <v>815</v>
      </c>
      <c r="V117" t="s">
        <v>816</v>
      </c>
      <c r="W117" t="s">
        <v>788</v>
      </c>
      <c r="X117" t="s">
        <v>131</v>
      </c>
      <c r="Y117" t="s">
        <v>817</v>
      </c>
      <c r="Z117" s="70">
        <f>I117*'Dynamic Analysis Dashboard'!$B$8*'Dynamic Analysis Dashboard'!$B$9*'Dynamic Analysis Dashboard'!$B$21</f>
        <v>4.1174999999999997</v>
      </c>
      <c r="AA117" s="75">
        <f>J117*'Dynamic Analysis Dashboard'!$B$8*'Dynamic Analysis Dashboard'!$B$9*'Dynamic Analysis Dashboard'!$B$21</f>
        <v>2.2949999999999999</v>
      </c>
      <c r="AB117" s="80">
        <f>K117*'Dynamic Analysis Dashboard'!$B$10*'Dynamic Analysis Dashboard'!$B$9*'Dynamic Analysis Dashboard'!$B$21</f>
        <v>0</v>
      </c>
      <c r="AC117" s="85">
        <f>L117*'Dynamic Analysis Dashboard'!$B$11*'Dynamic Analysis Dashboard'!$B$9*'Dynamic Analysis Dashboard'!$B$21</f>
        <v>0</v>
      </c>
      <c r="AD117" s="120">
        <f t="shared" si="2"/>
        <v>6.4124999999999996</v>
      </c>
      <c r="AE117" s="121">
        <f t="shared" si="3"/>
        <v>5.4506249999999996</v>
      </c>
    </row>
    <row r="118" spans="1:31" hidden="1" x14ac:dyDescent="0.2">
      <c r="A118" t="s">
        <v>78</v>
      </c>
      <c r="B118" t="s">
        <v>156</v>
      </c>
      <c r="C118" t="s">
        <v>818</v>
      </c>
      <c r="D118" t="s">
        <v>181</v>
      </c>
      <c r="E118" t="s">
        <v>819</v>
      </c>
      <c r="F118" t="s">
        <v>395</v>
      </c>
      <c r="G118" t="s">
        <v>31</v>
      </c>
      <c r="H118" t="s">
        <v>33</v>
      </c>
      <c r="I118">
        <v>0.7</v>
      </c>
      <c r="J118">
        <v>4.2</v>
      </c>
      <c r="K118">
        <v>0</v>
      </c>
      <c r="L118">
        <v>0</v>
      </c>
      <c r="M118">
        <v>4.9000000000000004</v>
      </c>
      <c r="N118">
        <v>0.7</v>
      </c>
      <c r="O118">
        <v>6</v>
      </c>
      <c r="P118">
        <v>2</v>
      </c>
      <c r="Q118">
        <v>1</v>
      </c>
      <c r="R118">
        <v>2</v>
      </c>
      <c r="S118">
        <v>17640</v>
      </c>
      <c r="T118">
        <v>380</v>
      </c>
      <c r="U118" t="s">
        <v>820</v>
      </c>
      <c r="V118" t="s">
        <v>821</v>
      </c>
      <c r="W118" t="s">
        <v>788</v>
      </c>
      <c r="X118" t="s">
        <v>131</v>
      </c>
      <c r="Y118" t="s">
        <v>822</v>
      </c>
      <c r="Z118" s="70">
        <f>I118*'Dynamic Analysis Dashboard'!$B$8*'Dynamic Analysis Dashboard'!$B$9*'Dynamic Analysis Dashboard'!$B$21</f>
        <v>0.47250000000000003</v>
      </c>
      <c r="AA118" s="75">
        <f>J118*'Dynamic Analysis Dashboard'!$B$8*'Dynamic Analysis Dashboard'!$B$9*'Dynamic Analysis Dashboard'!$B$21</f>
        <v>2.835</v>
      </c>
      <c r="AB118" s="80">
        <f>K118*'Dynamic Analysis Dashboard'!$B$10*'Dynamic Analysis Dashboard'!$B$9*'Dynamic Analysis Dashboard'!$B$21</f>
        <v>0</v>
      </c>
      <c r="AC118" s="85">
        <f>L118*'Dynamic Analysis Dashboard'!$B$11*'Dynamic Analysis Dashboard'!$B$9*'Dynamic Analysis Dashboard'!$B$21</f>
        <v>0</v>
      </c>
      <c r="AD118" s="120">
        <f t="shared" si="2"/>
        <v>3.3075000000000001</v>
      </c>
      <c r="AE118" s="121">
        <f t="shared" si="3"/>
        <v>2.3152499999999998</v>
      </c>
    </row>
    <row r="119" spans="1:31" hidden="1" x14ac:dyDescent="0.2">
      <c r="A119" t="s">
        <v>78</v>
      </c>
      <c r="B119" t="s">
        <v>164</v>
      </c>
      <c r="C119" t="s">
        <v>823</v>
      </c>
      <c r="D119" t="s">
        <v>328</v>
      </c>
      <c r="E119" t="s">
        <v>824</v>
      </c>
      <c r="F119" t="s">
        <v>825</v>
      </c>
      <c r="G119" t="s">
        <v>31</v>
      </c>
      <c r="H119" t="s">
        <v>28</v>
      </c>
      <c r="I119">
        <v>1</v>
      </c>
      <c r="J119">
        <v>5.0999999999999996</v>
      </c>
      <c r="K119">
        <v>0</v>
      </c>
      <c r="L119">
        <v>0</v>
      </c>
      <c r="M119">
        <v>6.1</v>
      </c>
      <c r="N119">
        <v>0.75</v>
      </c>
      <c r="O119">
        <v>6</v>
      </c>
      <c r="P119">
        <v>3</v>
      </c>
      <c r="Q119">
        <v>3</v>
      </c>
      <c r="R119">
        <v>3</v>
      </c>
      <c r="S119">
        <v>3655</v>
      </c>
      <c r="T119">
        <v>122</v>
      </c>
      <c r="U119" t="s">
        <v>826</v>
      </c>
      <c r="V119" t="s">
        <v>827</v>
      </c>
      <c r="W119" t="s">
        <v>788</v>
      </c>
      <c r="X119" t="s">
        <v>131</v>
      </c>
      <c r="Y119" t="s">
        <v>828</v>
      </c>
      <c r="Z119" s="70">
        <f>I119*'Dynamic Analysis Dashboard'!$B$8*'Dynamic Analysis Dashboard'!$B$9*'Dynamic Analysis Dashboard'!$B$21</f>
        <v>0.67500000000000004</v>
      </c>
      <c r="AA119" s="75">
        <f>J119*'Dynamic Analysis Dashboard'!$B$8*'Dynamic Analysis Dashboard'!$B$9*'Dynamic Analysis Dashboard'!$B$21</f>
        <v>3.4424999999999999</v>
      </c>
      <c r="AB119" s="80">
        <f>K119*'Dynamic Analysis Dashboard'!$B$10*'Dynamic Analysis Dashboard'!$B$9*'Dynamic Analysis Dashboard'!$B$21</f>
        <v>0</v>
      </c>
      <c r="AC119" s="85">
        <f>L119*'Dynamic Analysis Dashboard'!$B$11*'Dynamic Analysis Dashboard'!$B$9*'Dynamic Analysis Dashboard'!$B$21</f>
        <v>0</v>
      </c>
      <c r="AD119" s="120">
        <f t="shared" si="2"/>
        <v>4.1174999999999997</v>
      </c>
      <c r="AE119" s="121">
        <f t="shared" si="3"/>
        <v>3.0881249999999998</v>
      </c>
    </row>
    <row r="120" spans="1:31" hidden="1" x14ac:dyDescent="0.2">
      <c r="A120" t="s">
        <v>78</v>
      </c>
      <c r="B120" t="s">
        <v>172</v>
      </c>
      <c r="C120" t="s">
        <v>829</v>
      </c>
      <c r="D120" t="s">
        <v>830</v>
      </c>
      <c r="E120" t="s">
        <v>831</v>
      </c>
      <c r="F120" t="s">
        <v>518</v>
      </c>
      <c r="G120" t="s">
        <v>31</v>
      </c>
      <c r="H120" t="s">
        <v>25</v>
      </c>
      <c r="I120">
        <v>0</v>
      </c>
      <c r="J120">
        <v>7.9</v>
      </c>
      <c r="K120">
        <v>0</v>
      </c>
      <c r="L120">
        <v>0</v>
      </c>
      <c r="M120">
        <v>7.9</v>
      </c>
      <c r="N120">
        <v>0.8</v>
      </c>
      <c r="O120">
        <v>9</v>
      </c>
      <c r="P120">
        <v>3</v>
      </c>
      <c r="Q120">
        <v>3</v>
      </c>
      <c r="R120">
        <v>4</v>
      </c>
      <c r="S120">
        <v>78540</v>
      </c>
      <c r="T120">
        <v>2102</v>
      </c>
      <c r="U120" t="s">
        <v>318</v>
      </c>
      <c r="V120" t="s">
        <v>832</v>
      </c>
      <c r="W120" t="s">
        <v>788</v>
      </c>
      <c r="X120" t="s">
        <v>131</v>
      </c>
      <c r="Y120" t="s">
        <v>833</v>
      </c>
      <c r="Z120" s="70">
        <f>I120*'Dynamic Analysis Dashboard'!$B$8*'Dynamic Analysis Dashboard'!$B$9*'Dynamic Analysis Dashboard'!$B$21</f>
        <v>0</v>
      </c>
      <c r="AA120" s="75">
        <f>J120*'Dynamic Analysis Dashboard'!$B$8*'Dynamic Analysis Dashboard'!$B$9*'Dynamic Analysis Dashboard'!$B$21</f>
        <v>5.3325000000000005</v>
      </c>
      <c r="AB120" s="80">
        <f>K120*'Dynamic Analysis Dashboard'!$B$10*'Dynamic Analysis Dashboard'!$B$9*'Dynamic Analysis Dashboard'!$B$21</f>
        <v>0</v>
      </c>
      <c r="AC120" s="85">
        <f>L120*'Dynamic Analysis Dashboard'!$B$11*'Dynamic Analysis Dashboard'!$B$9*'Dynamic Analysis Dashboard'!$B$21</f>
        <v>0</v>
      </c>
      <c r="AD120" s="120">
        <f t="shared" si="2"/>
        <v>5.3325000000000005</v>
      </c>
      <c r="AE120" s="121">
        <f t="shared" si="3"/>
        <v>4.2660000000000009</v>
      </c>
    </row>
    <row r="121" spans="1:31" hidden="1" x14ac:dyDescent="0.2">
      <c r="A121" t="s">
        <v>78</v>
      </c>
      <c r="B121" t="s">
        <v>186</v>
      </c>
      <c r="C121" t="s">
        <v>834</v>
      </c>
      <c r="D121" t="s">
        <v>188</v>
      </c>
      <c r="E121" t="s">
        <v>835</v>
      </c>
      <c r="F121" t="s">
        <v>836</v>
      </c>
      <c r="G121" t="s">
        <v>38</v>
      </c>
      <c r="H121" t="s">
        <v>311</v>
      </c>
      <c r="I121">
        <v>0.7</v>
      </c>
      <c r="J121">
        <v>0</v>
      </c>
      <c r="K121">
        <v>0.5</v>
      </c>
      <c r="L121">
        <v>0</v>
      </c>
      <c r="M121">
        <v>1.2</v>
      </c>
      <c r="N121">
        <v>0.7</v>
      </c>
      <c r="O121">
        <v>9</v>
      </c>
      <c r="P121">
        <v>3</v>
      </c>
      <c r="Q121">
        <v>2</v>
      </c>
      <c r="R121">
        <v>2</v>
      </c>
      <c r="S121">
        <v>783</v>
      </c>
      <c r="T121">
        <v>152</v>
      </c>
      <c r="U121" t="s">
        <v>837</v>
      </c>
      <c r="V121" t="s">
        <v>129</v>
      </c>
      <c r="W121" t="s">
        <v>838</v>
      </c>
      <c r="X121" t="s">
        <v>131</v>
      </c>
      <c r="Y121" t="s">
        <v>839</v>
      </c>
      <c r="Z121" s="70">
        <f>I121*'Dynamic Analysis Dashboard'!$B$8*'Dynamic Analysis Dashboard'!$B$9*'Dynamic Analysis Dashboard'!$B$21</f>
        <v>0.47250000000000003</v>
      </c>
      <c r="AA121" s="75">
        <f>J121*'Dynamic Analysis Dashboard'!$B$8*'Dynamic Analysis Dashboard'!$B$9*'Dynamic Analysis Dashboard'!$B$21</f>
        <v>0</v>
      </c>
      <c r="AB121" s="80">
        <f>K121*'Dynamic Analysis Dashboard'!$B$10*'Dynamic Analysis Dashboard'!$B$9*'Dynamic Analysis Dashboard'!$B$21</f>
        <v>0.30000000000000004</v>
      </c>
      <c r="AC121" s="85">
        <f>L121*'Dynamic Analysis Dashboard'!$B$11*'Dynamic Analysis Dashboard'!$B$9*'Dynamic Analysis Dashboard'!$B$21</f>
        <v>0</v>
      </c>
      <c r="AD121" s="120">
        <f t="shared" si="2"/>
        <v>0.77250000000000008</v>
      </c>
      <c r="AE121" s="121">
        <f t="shared" si="3"/>
        <v>0.54075000000000006</v>
      </c>
    </row>
    <row r="122" spans="1:31" x14ac:dyDescent="0.2">
      <c r="A122" t="s">
        <v>54</v>
      </c>
      <c r="B122" t="s">
        <v>141</v>
      </c>
      <c r="C122" t="s">
        <v>840</v>
      </c>
      <c r="D122" t="s">
        <v>587</v>
      </c>
      <c r="E122" t="s">
        <v>841</v>
      </c>
      <c r="F122" t="s">
        <v>744</v>
      </c>
      <c r="G122" t="s">
        <v>24</v>
      </c>
      <c r="H122" t="s">
        <v>28</v>
      </c>
      <c r="I122">
        <v>1.6399999999999999E-5</v>
      </c>
      <c r="J122">
        <v>0</v>
      </c>
      <c r="K122">
        <v>2.7E-6</v>
      </c>
      <c r="L122">
        <v>0</v>
      </c>
      <c r="M122">
        <v>1.91E-5</v>
      </c>
      <c r="N122">
        <v>0.85</v>
      </c>
      <c r="O122">
        <v>9</v>
      </c>
      <c r="P122">
        <v>4</v>
      </c>
      <c r="Q122">
        <v>3</v>
      </c>
      <c r="R122">
        <v>4</v>
      </c>
      <c r="S122">
        <v>50000</v>
      </c>
      <c r="T122">
        <v>1050</v>
      </c>
      <c r="U122" t="s">
        <v>842</v>
      </c>
      <c r="V122" t="s">
        <v>129</v>
      </c>
      <c r="W122" t="s">
        <v>843</v>
      </c>
      <c r="X122" t="s">
        <v>131</v>
      </c>
      <c r="Y122" t="s">
        <v>844</v>
      </c>
      <c r="Z122" s="70">
        <f>I122*'Dynamic Analysis Dashboard'!$B$8*'Dynamic Analysis Dashboard'!$B$9*'Dynamic Analysis Dashboard'!$B$21</f>
        <v>1.1069999999999999E-5</v>
      </c>
      <c r="AA122" s="75">
        <f>J122*'Dynamic Analysis Dashboard'!$B$8*'Dynamic Analysis Dashboard'!$B$9*'Dynamic Analysis Dashboard'!$B$21</f>
        <v>0</v>
      </c>
      <c r="AB122" s="80">
        <f>K122*'Dynamic Analysis Dashboard'!$B$10*'Dynamic Analysis Dashboard'!$B$9*'Dynamic Analysis Dashboard'!$B$21</f>
        <v>1.6200000000000002E-6</v>
      </c>
      <c r="AC122" s="85">
        <f>L122*'Dynamic Analysis Dashboard'!$B$11*'Dynamic Analysis Dashboard'!$B$9*'Dynamic Analysis Dashboard'!$B$21</f>
        <v>0</v>
      </c>
      <c r="AD122" s="120">
        <f t="shared" si="2"/>
        <v>1.2689999999999999E-5</v>
      </c>
      <c r="AE122" s="121">
        <f t="shared" si="3"/>
        <v>1.0786499999999999E-5</v>
      </c>
    </row>
    <row r="123" spans="1:31" x14ac:dyDescent="0.2">
      <c r="A123" t="s">
        <v>54</v>
      </c>
      <c r="B123" t="s">
        <v>123</v>
      </c>
      <c r="C123" t="s">
        <v>845</v>
      </c>
      <c r="D123" t="s">
        <v>614</v>
      </c>
      <c r="E123" t="s">
        <v>846</v>
      </c>
      <c r="F123" t="s">
        <v>289</v>
      </c>
      <c r="G123" t="s">
        <v>24</v>
      </c>
      <c r="H123" t="s">
        <v>33</v>
      </c>
      <c r="I123">
        <v>1.4800000000000001E-5</v>
      </c>
      <c r="J123">
        <v>0</v>
      </c>
      <c r="K123">
        <v>9.3999999999999998E-6</v>
      </c>
      <c r="L123">
        <v>0</v>
      </c>
      <c r="M123">
        <v>2.4199999999999999E-5</v>
      </c>
      <c r="N123">
        <v>0.75</v>
      </c>
      <c r="O123">
        <v>15</v>
      </c>
      <c r="P123">
        <v>5</v>
      </c>
      <c r="Q123">
        <v>2</v>
      </c>
      <c r="R123">
        <v>5</v>
      </c>
      <c r="S123">
        <v>140400</v>
      </c>
      <c r="T123">
        <v>3369.6</v>
      </c>
      <c r="U123" t="s">
        <v>847</v>
      </c>
      <c r="V123" t="s">
        <v>129</v>
      </c>
      <c r="W123" t="s">
        <v>848</v>
      </c>
      <c r="X123" t="s">
        <v>131</v>
      </c>
      <c r="Y123" t="s">
        <v>849</v>
      </c>
      <c r="Z123" s="70">
        <f>I123*'Dynamic Analysis Dashboard'!$B$8*'Dynamic Analysis Dashboard'!$B$9*'Dynamic Analysis Dashboard'!$B$21</f>
        <v>9.9900000000000009E-6</v>
      </c>
      <c r="AA123" s="75">
        <f>J123*'Dynamic Analysis Dashboard'!$B$8*'Dynamic Analysis Dashboard'!$B$9*'Dynamic Analysis Dashboard'!$B$21</f>
        <v>0</v>
      </c>
      <c r="AB123" s="80">
        <f>K123*'Dynamic Analysis Dashboard'!$B$10*'Dynamic Analysis Dashboard'!$B$9*'Dynamic Analysis Dashboard'!$B$21</f>
        <v>5.6400000000000002E-6</v>
      </c>
      <c r="AC123" s="85">
        <f>L123*'Dynamic Analysis Dashboard'!$B$11*'Dynamic Analysis Dashboard'!$B$9*'Dynamic Analysis Dashboard'!$B$21</f>
        <v>0</v>
      </c>
      <c r="AD123" s="120">
        <f t="shared" si="2"/>
        <v>1.5630000000000001E-5</v>
      </c>
      <c r="AE123" s="121">
        <f t="shared" si="3"/>
        <v>1.1722500000000002E-5</v>
      </c>
    </row>
    <row r="124" spans="1:31" hidden="1" x14ac:dyDescent="0.2">
      <c r="A124" t="s">
        <v>54</v>
      </c>
      <c r="B124" t="s">
        <v>133</v>
      </c>
      <c r="C124" t="s">
        <v>850</v>
      </c>
      <c r="D124" t="s">
        <v>595</v>
      </c>
      <c r="E124" t="s">
        <v>680</v>
      </c>
      <c r="F124" t="s">
        <v>223</v>
      </c>
      <c r="G124" t="s">
        <v>24</v>
      </c>
      <c r="H124" t="s">
        <v>28</v>
      </c>
      <c r="I124">
        <v>0</v>
      </c>
      <c r="J124">
        <v>0</v>
      </c>
      <c r="K124">
        <v>0</v>
      </c>
      <c r="L124">
        <v>1.9600000000000002E-5</v>
      </c>
      <c r="M124">
        <v>1.9600000000000002E-5</v>
      </c>
      <c r="N124">
        <v>0.7</v>
      </c>
      <c r="O124">
        <v>12</v>
      </c>
      <c r="P124">
        <v>4</v>
      </c>
      <c r="Q124">
        <v>2</v>
      </c>
      <c r="R124">
        <v>4</v>
      </c>
      <c r="S124">
        <v>11700</v>
      </c>
      <c r="T124">
        <v>252</v>
      </c>
      <c r="U124" t="s">
        <v>851</v>
      </c>
      <c r="V124" t="s">
        <v>129</v>
      </c>
      <c r="W124" t="s">
        <v>852</v>
      </c>
      <c r="X124" t="s">
        <v>853</v>
      </c>
      <c r="Y124" t="s">
        <v>854</v>
      </c>
      <c r="Z124" s="70">
        <f>I124*'Dynamic Analysis Dashboard'!$B$8*'Dynamic Analysis Dashboard'!$B$9*'Dynamic Analysis Dashboard'!$B$21</f>
        <v>0</v>
      </c>
      <c r="AA124" s="75">
        <f>J124*'Dynamic Analysis Dashboard'!$B$8*'Dynamic Analysis Dashboard'!$B$9*'Dynamic Analysis Dashboard'!$B$21</f>
        <v>0</v>
      </c>
      <c r="AB124" s="80">
        <f>K124*'Dynamic Analysis Dashboard'!$B$10*'Dynamic Analysis Dashboard'!$B$9*'Dynamic Analysis Dashboard'!$B$21</f>
        <v>0</v>
      </c>
      <c r="AC124" s="85">
        <f>L124*'Dynamic Analysis Dashboard'!$B$11*'Dynamic Analysis Dashboard'!$B$9*'Dynamic Analysis Dashboard'!$B$21</f>
        <v>1.2495E-5</v>
      </c>
      <c r="AD124" s="120">
        <f t="shared" si="2"/>
        <v>1.2495E-5</v>
      </c>
      <c r="AE124" s="121">
        <f t="shared" si="3"/>
        <v>8.7465E-6</v>
      </c>
    </row>
    <row r="125" spans="1:31" x14ac:dyDescent="0.2">
      <c r="A125" t="s">
        <v>54</v>
      </c>
      <c r="B125" t="s">
        <v>179</v>
      </c>
      <c r="C125" t="s">
        <v>855</v>
      </c>
      <c r="D125" t="s">
        <v>856</v>
      </c>
      <c r="E125" t="s">
        <v>857</v>
      </c>
      <c r="F125" t="s">
        <v>231</v>
      </c>
      <c r="G125" t="s">
        <v>24</v>
      </c>
      <c r="H125" t="s">
        <v>28</v>
      </c>
      <c r="I125">
        <v>3.7000000000000002E-6</v>
      </c>
      <c r="J125">
        <v>0</v>
      </c>
      <c r="K125">
        <v>7.2000000000000005E-6</v>
      </c>
      <c r="L125">
        <v>0</v>
      </c>
      <c r="M125">
        <v>1.0900000000000001E-5</v>
      </c>
      <c r="N125">
        <v>0.8</v>
      </c>
      <c r="O125">
        <v>6</v>
      </c>
      <c r="P125">
        <v>3</v>
      </c>
      <c r="Q125">
        <v>3</v>
      </c>
      <c r="R125">
        <v>3</v>
      </c>
      <c r="S125">
        <v>3840</v>
      </c>
      <c r="T125">
        <v>82.56</v>
      </c>
      <c r="U125" t="s">
        <v>858</v>
      </c>
      <c r="V125" t="s">
        <v>129</v>
      </c>
      <c r="W125" t="s">
        <v>859</v>
      </c>
      <c r="X125" t="s">
        <v>131</v>
      </c>
      <c r="Y125" t="s">
        <v>860</v>
      </c>
      <c r="Z125" s="70">
        <f>I125*'Dynamic Analysis Dashboard'!$B$8*'Dynamic Analysis Dashboard'!$B$9*'Dynamic Analysis Dashboard'!$B$21</f>
        <v>2.4975000000000002E-6</v>
      </c>
      <c r="AA125" s="75">
        <f>J125*'Dynamic Analysis Dashboard'!$B$8*'Dynamic Analysis Dashboard'!$B$9*'Dynamic Analysis Dashboard'!$B$21</f>
        <v>0</v>
      </c>
      <c r="AB125" s="80">
        <f>K125*'Dynamic Analysis Dashboard'!$B$10*'Dynamic Analysis Dashboard'!$B$9*'Dynamic Analysis Dashboard'!$B$21</f>
        <v>4.320000000000001E-6</v>
      </c>
      <c r="AC125" s="85">
        <f>L125*'Dynamic Analysis Dashboard'!$B$11*'Dynamic Analysis Dashboard'!$B$9*'Dynamic Analysis Dashboard'!$B$21</f>
        <v>0</v>
      </c>
      <c r="AD125" s="120">
        <f t="shared" si="2"/>
        <v>6.8175000000000012E-6</v>
      </c>
      <c r="AE125" s="121">
        <f t="shared" si="3"/>
        <v>5.4540000000000015E-6</v>
      </c>
    </row>
    <row r="126" spans="1:31" x14ac:dyDescent="0.2">
      <c r="A126" t="s">
        <v>54</v>
      </c>
      <c r="B126" t="s">
        <v>186</v>
      </c>
      <c r="C126" t="s">
        <v>861</v>
      </c>
      <c r="D126" t="s">
        <v>587</v>
      </c>
      <c r="E126" t="s">
        <v>588</v>
      </c>
      <c r="F126" t="s">
        <v>289</v>
      </c>
      <c r="G126" t="s">
        <v>24</v>
      </c>
      <c r="H126" t="s">
        <v>33</v>
      </c>
      <c r="I126">
        <v>1.8899999999999999E-5</v>
      </c>
      <c r="J126">
        <v>0</v>
      </c>
      <c r="K126">
        <v>0</v>
      </c>
      <c r="L126">
        <v>0</v>
      </c>
      <c r="M126">
        <v>1.8899999999999999E-5</v>
      </c>
      <c r="N126">
        <v>0.7</v>
      </c>
      <c r="O126">
        <v>15</v>
      </c>
      <c r="P126">
        <v>5</v>
      </c>
      <c r="Q126">
        <v>2</v>
      </c>
      <c r="R126">
        <v>5</v>
      </c>
      <c r="S126">
        <v>33600</v>
      </c>
      <c r="T126">
        <v>720</v>
      </c>
      <c r="U126" t="s">
        <v>862</v>
      </c>
      <c r="V126" t="s">
        <v>129</v>
      </c>
      <c r="W126" t="s">
        <v>852</v>
      </c>
      <c r="X126" t="s">
        <v>131</v>
      </c>
      <c r="Y126" t="s">
        <v>863</v>
      </c>
      <c r="Z126" s="70">
        <f>I126*'Dynamic Analysis Dashboard'!$B$8*'Dynamic Analysis Dashboard'!$B$9*'Dynamic Analysis Dashboard'!$B$21</f>
        <v>1.2757499999999998E-5</v>
      </c>
      <c r="AA126" s="75">
        <f>J126*'Dynamic Analysis Dashboard'!$B$8*'Dynamic Analysis Dashboard'!$B$9*'Dynamic Analysis Dashboard'!$B$21</f>
        <v>0</v>
      </c>
      <c r="AB126" s="80">
        <f>K126*'Dynamic Analysis Dashboard'!$B$10*'Dynamic Analysis Dashboard'!$B$9*'Dynamic Analysis Dashboard'!$B$21</f>
        <v>0</v>
      </c>
      <c r="AC126" s="85">
        <f>L126*'Dynamic Analysis Dashboard'!$B$11*'Dynamic Analysis Dashboard'!$B$9*'Dynamic Analysis Dashboard'!$B$21</f>
        <v>0</v>
      </c>
      <c r="AD126" s="120">
        <f t="shared" si="2"/>
        <v>1.2757499999999998E-5</v>
      </c>
      <c r="AE126" s="121">
        <f t="shared" si="3"/>
        <v>8.9302499999999981E-6</v>
      </c>
    </row>
    <row r="127" spans="1:31" hidden="1" x14ac:dyDescent="0.2">
      <c r="A127" t="s">
        <v>54</v>
      </c>
      <c r="B127" t="s">
        <v>149</v>
      </c>
      <c r="C127" t="s">
        <v>864</v>
      </c>
      <c r="D127" t="s">
        <v>856</v>
      </c>
      <c r="E127" t="s">
        <v>865</v>
      </c>
      <c r="F127" t="s">
        <v>609</v>
      </c>
      <c r="G127" t="s">
        <v>31</v>
      </c>
      <c r="H127" t="s">
        <v>25</v>
      </c>
      <c r="I127">
        <v>7.9000000000000006E-6</v>
      </c>
      <c r="J127">
        <v>0</v>
      </c>
      <c r="K127">
        <v>1.8E-5</v>
      </c>
      <c r="L127">
        <v>0</v>
      </c>
      <c r="M127">
        <v>2.5899999999999999E-5</v>
      </c>
      <c r="N127">
        <v>0.8</v>
      </c>
      <c r="O127">
        <v>6</v>
      </c>
      <c r="P127">
        <v>2</v>
      </c>
      <c r="Q127">
        <v>4</v>
      </c>
      <c r="R127">
        <v>2</v>
      </c>
      <c r="S127">
        <v>37400</v>
      </c>
      <c r="T127">
        <v>809.2</v>
      </c>
      <c r="U127" t="s">
        <v>866</v>
      </c>
      <c r="V127" t="s">
        <v>129</v>
      </c>
      <c r="W127" t="s">
        <v>867</v>
      </c>
      <c r="X127" t="s">
        <v>131</v>
      </c>
      <c r="Y127" t="s">
        <v>868</v>
      </c>
      <c r="Z127" s="70">
        <f>I127*'Dynamic Analysis Dashboard'!$B$8*'Dynamic Analysis Dashboard'!$B$9*'Dynamic Analysis Dashboard'!$B$21</f>
        <v>5.3325000000000002E-6</v>
      </c>
      <c r="AA127" s="75">
        <f>J127*'Dynamic Analysis Dashboard'!$B$8*'Dynamic Analysis Dashboard'!$B$9*'Dynamic Analysis Dashboard'!$B$21</f>
        <v>0</v>
      </c>
      <c r="AB127" s="80">
        <f>K127*'Dynamic Analysis Dashboard'!$B$10*'Dynamic Analysis Dashboard'!$B$9*'Dynamic Analysis Dashboard'!$B$21</f>
        <v>1.0800000000000002E-5</v>
      </c>
      <c r="AC127" s="85">
        <f>L127*'Dynamic Analysis Dashboard'!$B$11*'Dynamic Analysis Dashboard'!$B$9*'Dynamic Analysis Dashboard'!$B$21</f>
        <v>0</v>
      </c>
      <c r="AD127" s="120">
        <f t="shared" si="2"/>
        <v>1.6132500000000002E-5</v>
      </c>
      <c r="AE127" s="121">
        <f t="shared" si="3"/>
        <v>1.2906000000000001E-5</v>
      </c>
    </row>
    <row r="128" spans="1:31" hidden="1" x14ac:dyDescent="0.2">
      <c r="A128" t="s">
        <v>54</v>
      </c>
      <c r="B128" t="s">
        <v>156</v>
      </c>
      <c r="C128" t="s">
        <v>869</v>
      </c>
      <c r="D128" t="s">
        <v>595</v>
      </c>
      <c r="E128" t="s">
        <v>158</v>
      </c>
      <c r="F128" t="s">
        <v>870</v>
      </c>
      <c r="G128" t="s">
        <v>38</v>
      </c>
      <c r="H128" t="s">
        <v>33</v>
      </c>
      <c r="I128">
        <v>7.2000000000000005E-6</v>
      </c>
      <c r="J128">
        <v>0</v>
      </c>
      <c r="K128">
        <v>0</v>
      </c>
      <c r="L128">
        <v>0</v>
      </c>
      <c r="M128">
        <v>7.2000000000000005E-6</v>
      </c>
      <c r="N128">
        <v>0.75</v>
      </c>
      <c r="O128">
        <v>9</v>
      </c>
      <c r="P128">
        <v>3</v>
      </c>
      <c r="Q128">
        <v>3</v>
      </c>
      <c r="R128">
        <v>3</v>
      </c>
      <c r="S128">
        <v>210800</v>
      </c>
      <c r="T128">
        <v>4662</v>
      </c>
      <c r="U128" t="s">
        <v>871</v>
      </c>
      <c r="V128" t="s">
        <v>129</v>
      </c>
      <c r="W128" t="s">
        <v>852</v>
      </c>
      <c r="X128" t="s">
        <v>131</v>
      </c>
      <c r="Y128" t="s">
        <v>872</v>
      </c>
      <c r="Z128" s="70">
        <f>I128*'Dynamic Analysis Dashboard'!$B$8*'Dynamic Analysis Dashboard'!$B$9*'Dynamic Analysis Dashboard'!$B$21</f>
        <v>4.8600000000000009E-6</v>
      </c>
      <c r="AA128" s="75">
        <f>J128*'Dynamic Analysis Dashboard'!$B$8*'Dynamic Analysis Dashboard'!$B$9*'Dynamic Analysis Dashboard'!$B$21</f>
        <v>0</v>
      </c>
      <c r="AB128" s="80">
        <f>K128*'Dynamic Analysis Dashboard'!$B$10*'Dynamic Analysis Dashboard'!$B$9*'Dynamic Analysis Dashboard'!$B$21</f>
        <v>0</v>
      </c>
      <c r="AC128" s="85">
        <f>L128*'Dynamic Analysis Dashboard'!$B$11*'Dynamic Analysis Dashboard'!$B$9*'Dynamic Analysis Dashboard'!$B$21</f>
        <v>0</v>
      </c>
      <c r="AD128" s="120">
        <f t="shared" si="2"/>
        <v>4.8600000000000009E-6</v>
      </c>
      <c r="AE128" s="121">
        <f t="shared" si="3"/>
        <v>3.6450000000000007E-6</v>
      </c>
    </row>
    <row r="129" spans="1:31" hidden="1" x14ac:dyDescent="0.2">
      <c r="A129" t="s">
        <v>54</v>
      </c>
      <c r="B129" t="s">
        <v>164</v>
      </c>
      <c r="C129" t="s">
        <v>873</v>
      </c>
      <c r="D129" t="s">
        <v>874</v>
      </c>
      <c r="E129" t="s">
        <v>875</v>
      </c>
      <c r="F129" t="s">
        <v>609</v>
      </c>
      <c r="G129" t="s">
        <v>31</v>
      </c>
      <c r="H129" t="s">
        <v>25</v>
      </c>
      <c r="I129">
        <v>1.8999999999999998E-6</v>
      </c>
      <c r="J129">
        <v>3.2100000000000001E-5</v>
      </c>
      <c r="K129">
        <v>0</v>
      </c>
      <c r="L129">
        <v>0</v>
      </c>
      <c r="M129">
        <v>3.4E-5</v>
      </c>
      <c r="N129">
        <v>0.65</v>
      </c>
      <c r="O129">
        <v>9</v>
      </c>
      <c r="P129">
        <v>3</v>
      </c>
      <c r="Q129">
        <v>3</v>
      </c>
      <c r="R129">
        <v>3</v>
      </c>
      <c r="S129">
        <v>114400</v>
      </c>
      <c r="T129">
        <v>2466</v>
      </c>
      <c r="U129" t="s">
        <v>876</v>
      </c>
      <c r="V129" t="s">
        <v>877</v>
      </c>
      <c r="W129" t="s">
        <v>852</v>
      </c>
      <c r="X129" t="s">
        <v>131</v>
      </c>
      <c r="Y129" t="s">
        <v>878</v>
      </c>
      <c r="Z129" s="70">
        <f>I129*'Dynamic Analysis Dashboard'!$B$8*'Dynamic Analysis Dashboard'!$B$9*'Dynamic Analysis Dashboard'!$B$21</f>
        <v>1.2825E-6</v>
      </c>
      <c r="AA129" s="75">
        <f>J129*'Dynamic Analysis Dashboard'!$B$8*'Dynamic Analysis Dashboard'!$B$9*'Dynamic Analysis Dashboard'!$B$21</f>
        <v>2.1667500000000002E-5</v>
      </c>
      <c r="AB129" s="80">
        <f>K129*'Dynamic Analysis Dashboard'!$B$10*'Dynamic Analysis Dashboard'!$B$9*'Dynamic Analysis Dashboard'!$B$21</f>
        <v>0</v>
      </c>
      <c r="AC129" s="85">
        <f>L129*'Dynamic Analysis Dashboard'!$B$11*'Dynamic Analysis Dashboard'!$B$9*'Dynamic Analysis Dashboard'!$B$21</f>
        <v>0</v>
      </c>
      <c r="AD129" s="120">
        <f t="shared" si="2"/>
        <v>2.2950000000000002E-5</v>
      </c>
      <c r="AE129" s="121">
        <f t="shared" si="3"/>
        <v>1.4917500000000002E-5</v>
      </c>
    </row>
    <row r="130" spans="1:31" hidden="1" x14ac:dyDescent="0.2">
      <c r="A130" t="s">
        <v>54</v>
      </c>
      <c r="B130" t="s">
        <v>172</v>
      </c>
      <c r="C130" t="s">
        <v>879</v>
      </c>
      <c r="D130" t="s">
        <v>587</v>
      </c>
      <c r="E130" t="s">
        <v>880</v>
      </c>
      <c r="F130" t="s">
        <v>779</v>
      </c>
      <c r="G130" t="s">
        <v>38</v>
      </c>
      <c r="H130" t="s">
        <v>311</v>
      </c>
      <c r="I130">
        <v>8.3000000000000002E-6</v>
      </c>
      <c r="J130">
        <v>0</v>
      </c>
      <c r="K130">
        <v>0</v>
      </c>
      <c r="L130">
        <v>0</v>
      </c>
      <c r="M130">
        <v>8.3000000000000002E-6</v>
      </c>
      <c r="N130">
        <v>0.7</v>
      </c>
      <c r="O130">
        <v>12</v>
      </c>
      <c r="P130">
        <v>4</v>
      </c>
      <c r="Q130">
        <v>2</v>
      </c>
      <c r="R130">
        <v>5</v>
      </c>
      <c r="S130">
        <v>5720</v>
      </c>
      <c r="T130">
        <v>122.88</v>
      </c>
      <c r="U130" t="s">
        <v>881</v>
      </c>
      <c r="V130" t="s">
        <v>129</v>
      </c>
      <c r="W130" t="s">
        <v>852</v>
      </c>
      <c r="X130" t="s">
        <v>131</v>
      </c>
      <c r="Y130" t="s">
        <v>882</v>
      </c>
      <c r="Z130" s="70">
        <f>I130*'Dynamic Analysis Dashboard'!$B$8*'Dynamic Analysis Dashboard'!$B$9*'Dynamic Analysis Dashboard'!$B$21</f>
        <v>5.6025000000000001E-6</v>
      </c>
      <c r="AA130" s="75">
        <f>J130*'Dynamic Analysis Dashboard'!$B$8*'Dynamic Analysis Dashboard'!$B$9*'Dynamic Analysis Dashboard'!$B$21</f>
        <v>0</v>
      </c>
      <c r="AB130" s="80">
        <f>K130*'Dynamic Analysis Dashboard'!$B$10*'Dynamic Analysis Dashboard'!$B$9*'Dynamic Analysis Dashboard'!$B$21</f>
        <v>0</v>
      </c>
      <c r="AC130" s="85">
        <f>L130*'Dynamic Analysis Dashboard'!$B$11*'Dynamic Analysis Dashboard'!$B$9*'Dynamic Analysis Dashboard'!$B$21</f>
        <v>0</v>
      </c>
      <c r="AD130" s="120">
        <f t="shared" si="2"/>
        <v>5.6025000000000001E-6</v>
      </c>
      <c r="AE130" s="121">
        <f t="shared" si="3"/>
        <v>3.9217500000000002E-6</v>
      </c>
    </row>
    <row r="131" spans="1:31" hidden="1" x14ac:dyDescent="0.2">
      <c r="A131" t="s">
        <v>54</v>
      </c>
      <c r="B131" t="s">
        <v>194</v>
      </c>
      <c r="C131" t="s">
        <v>883</v>
      </c>
      <c r="D131" t="s">
        <v>166</v>
      </c>
      <c r="E131" t="s">
        <v>884</v>
      </c>
      <c r="F131" t="s">
        <v>259</v>
      </c>
      <c r="G131" t="s">
        <v>38</v>
      </c>
      <c r="H131" t="s">
        <v>311</v>
      </c>
      <c r="I131">
        <v>1.3999999999999999E-6</v>
      </c>
      <c r="J131">
        <v>0</v>
      </c>
      <c r="K131">
        <v>0</v>
      </c>
      <c r="L131">
        <v>1.6000000000000001E-6</v>
      </c>
      <c r="M131">
        <v>3.0000000000000001E-6</v>
      </c>
      <c r="N131">
        <v>0.85</v>
      </c>
      <c r="O131">
        <v>6</v>
      </c>
      <c r="P131">
        <v>3</v>
      </c>
      <c r="Q131">
        <v>3</v>
      </c>
      <c r="R131">
        <v>4</v>
      </c>
      <c r="S131">
        <v>2660</v>
      </c>
      <c r="T131">
        <v>57.12</v>
      </c>
      <c r="U131" t="s">
        <v>885</v>
      </c>
      <c r="V131" t="s">
        <v>129</v>
      </c>
      <c r="W131" t="s">
        <v>852</v>
      </c>
      <c r="X131" t="s">
        <v>886</v>
      </c>
      <c r="Y131" t="s">
        <v>887</v>
      </c>
      <c r="Z131" s="70">
        <f>I131*'Dynamic Analysis Dashboard'!$B$8*'Dynamic Analysis Dashboard'!$B$9*'Dynamic Analysis Dashboard'!$B$21</f>
        <v>9.4500000000000006E-7</v>
      </c>
      <c r="AA131" s="75">
        <f>J131*'Dynamic Analysis Dashboard'!$B$8*'Dynamic Analysis Dashboard'!$B$9*'Dynamic Analysis Dashboard'!$B$21</f>
        <v>0</v>
      </c>
      <c r="AB131" s="80">
        <f>K131*'Dynamic Analysis Dashboard'!$B$10*'Dynamic Analysis Dashboard'!$B$9*'Dynamic Analysis Dashboard'!$B$21</f>
        <v>0</v>
      </c>
      <c r="AC131" s="85">
        <f>L131*'Dynamic Analysis Dashboard'!$B$11*'Dynamic Analysis Dashboard'!$B$9*'Dynamic Analysis Dashboard'!$B$21</f>
        <v>1.02E-6</v>
      </c>
      <c r="AD131" s="120">
        <f t="shared" ref="AD131:AD194" si="4">SUM(Z131:AC131)</f>
        <v>1.9649999999999998E-6</v>
      </c>
      <c r="AE131" s="121">
        <f t="shared" ref="AE131:AE194" si="5">AD131*N131</f>
        <v>1.6702499999999998E-6</v>
      </c>
    </row>
    <row r="132" spans="1:31" x14ac:dyDescent="0.2">
      <c r="A132" t="s">
        <v>84</v>
      </c>
      <c r="B132" t="s">
        <v>141</v>
      </c>
      <c r="C132" t="s">
        <v>888</v>
      </c>
      <c r="D132" t="s">
        <v>464</v>
      </c>
      <c r="E132" t="s">
        <v>889</v>
      </c>
      <c r="F132" t="s">
        <v>330</v>
      </c>
      <c r="G132" t="s">
        <v>24</v>
      </c>
      <c r="H132" t="s">
        <v>28</v>
      </c>
      <c r="I132">
        <v>6.0000000000000002E-6</v>
      </c>
      <c r="J132">
        <v>0</v>
      </c>
      <c r="K132">
        <v>0</v>
      </c>
      <c r="L132">
        <v>0</v>
      </c>
      <c r="M132">
        <v>6.0000000000000002E-6</v>
      </c>
      <c r="N132">
        <v>0.8</v>
      </c>
      <c r="O132">
        <v>9</v>
      </c>
      <c r="P132">
        <v>4</v>
      </c>
      <c r="Q132">
        <v>2</v>
      </c>
      <c r="R132">
        <v>4</v>
      </c>
      <c r="S132">
        <v>1240000</v>
      </c>
      <c r="T132">
        <v>237</v>
      </c>
      <c r="U132" t="s">
        <v>890</v>
      </c>
      <c r="V132" t="s">
        <v>129</v>
      </c>
      <c r="W132" t="s">
        <v>682</v>
      </c>
      <c r="X132" t="s">
        <v>131</v>
      </c>
      <c r="Y132" t="s">
        <v>891</v>
      </c>
      <c r="Z132" s="70">
        <f>I132*'Dynamic Analysis Dashboard'!$B$8*'Dynamic Analysis Dashboard'!$B$9*'Dynamic Analysis Dashboard'!$B$21</f>
        <v>4.0500000000000002E-6</v>
      </c>
      <c r="AA132" s="75">
        <f>J132*'Dynamic Analysis Dashboard'!$B$8*'Dynamic Analysis Dashboard'!$B$9*'Dynamic Analysis Dashboard'!$B$21</f>
        <v>0</v>
      </c>
      <c r="AB132" s="80">
        <f>K132*'Dynamic Analysis Dashboard'!$B$10*'Dynamic Analysis Dashboard'!$B$9*'Dynamic Analysis Dashboard'!$B$21</f>
        <v>0</v>
      </c>
      <c r="AC132" s="85">
        <f>L132*'Dynamic Analysis Dashboard'!$B$11*'Dynamic Analysis Dashboard'!$B$9*'Dynamic Analysis Dashboard'!$B$21</f>
        <v>0</v>
      </c>
      <c r="AD132" s="120">
        <f t="shared" si="4"/>
        <v>4.0500000000000002E-6</v>
      </c>
      <c r="AE132" s="121">
        <f t="shared" si="5"/>
        <v>3.2400000000000003E-6</v>
      </c>
    </row>
    <row r="133" spans="1:31" x14ac:dyDescent="0.2">
      <c r="A133" t="s">
        <v>84</v>
      </c>
      <c r="B133" t="s">
        <v>123</v>
      </c>
      <c r="C133" t="s">
        <v>892</v>
      </c>
      <c r="D133" t="s">
        <v>481</v>
      </c>
      <c r="E133" t="s">
        <v>893</v>
      </c>
      <c r="F133" t="s">
        <v>894</v>
      </c>
      <c r="G133" t="s">
        <v>24</v>
      </c>
      <c r="H133" t="s">
        <v>28</v>
      </c>
      <c r="I133">
        <v>4.5000000000000001E-6</v>
      </c>
      <c r="J133">
        <v>3.7999999999999996E-6</v>
      </c>
      <c r="K133">
        <v>0</v>
      </c>
      <c r="L133">
        <v>4.6999999999999999E-6</v>
      </c>
      <c r="M133">
        <v>1.2999999999999999E-5</v>
      </c>
      <c r="N133">
        <v>0.7</v>
      </c>
      <c r="O133">
        <v>12</v>
      </c>
      <c r="P133">
        <v>5</v>
      </c>
      <c r="Q133">
        <v>3</v>
      </c>
      <c r="R133">
        <v>5</v>
      </c>
      <c r="S133">
        <v>400</v>
      </c>
      <c r="T133">
        <v>9</v>
      </c>
      <c r="U133" t="s">
        <v>895</v>
      </c>
      <c r="V133" t="s">
        <v>896</v>
      </c>
      <c r="W133" t="s">
        <v>682</v>
      </c>
      <c r="X133" t="s">
        <v>897</v>
      </c>
      <c r="Y133" t="s">
        <v>898</v>
      </c>
      <c r="Z133" s="70">
        <f>I133*'Dynamic Analysis Dashboard'!$B$8*'Dynamic Analysis Dashboard'!$B$9*'Dynamic Analysis Dashboard'!$B$21</f>
        <v>3.0375000000000001E-6</v>
      </c>
      <c r="AA133" s="75">
        <f>J133*'Dynamic Analysis Dashboard'!$B$8*'Dynamic Analysis Dashboard'!$B$9*'Dynamic Analysis Dashboard'!$B$21</f>
        <v>2.565E-6</v>
      </c>
      <c r="AB133" s="80">
        <f>K133*'Dynamic Analysis Dashboard'!$B$10*'Dynamic Analysis Dashboard'!$B$9*'Dynamic Analysis Dashboard'!$B$21</f>
        <v>0</v>
      </c>
      <c r="AC133" s="85">
        <f>L133*'Dynamic Analysis Dashboard'!$B$11*'Dynamic Analysis Dashboard'!$B$9*'Dynamic Analysis Dashboard'!$B$21</f>
        <v>2.9962499999999999E-6</v>
      </c>
      <c r="AD133" s="120">
        <f t="shared" si="4"/>
        <v>8.5987499999999996E-6</v>
      </c>
      <c r="AE133" s="121">
        <f t="shared" si="5"/>
        <v>6.0191249999999997E-6</v>
      </c>
    </row>
    <row r="134" spans="1:31" x14ac:dyDescent="0.2">
      <c r="A134" t="s">
        <v>84</v>
      </c>
      <c r="B134" t="s">
        <v>133</v>
      </c>
      <c r="C134" t="s">
        <v>899</v>
      </c>
      <c r="D134" t="s">
        <v>328</v>
      </c>
      <c r="E134" t="s">
        <v>900</v>
      </c>
      <c r="F134" t="s">
        <v>533</v>
      </c>
      <c r="G134" t="s">
        <v>24</v>
      </c>
      <c r="H134" t="s">
        <v>25</v>
      </c>
      <c r="I134">
        <v>1.8999999999999998E-6</v>
      </c>
      <c r="J134">
        <v>2.1000000000000002E-6</v>
      </c>
      <c r="K134">
        <v>0</v>
      </c>
      <c r="L134">
        <v>0</v>
      </c>
      <c r="M134">
        <v>3.9999999999999998E-6</v>
      </c>
      <c r="N134">
        <v>0.75</v>
      </c>
      <c r="O134">
        <v>6</v>
      </c>
      <c r="P134">
        <v>2</v>
      </c>
      <c r="Q134">
        <v>2</v>
      </c>
      <c r="R134">
        <v>2</v>
      </c>
      <c r="S134">
        <v>450</v>
      </c>
      <c r="T134">
        <v>11</v>
      </c>
      <c r="U134" t="s">
        <v>901</v>
      </c>
      <c r="V134" t="s">
        <v>902</v>
      </c>
      <c r="W134" t="s">
        <v>682</v>
      </c>
      <c r="X134" t="s">
        <v>131</v>
      </c>
      <c r="Y134" t="s">
        <v>903</v>
      </c>
      <c r="Z134" s="70">
        <f>I134*'Dynamic Analysis Dashboard'!$B$8*'Dynamic Analysis Dashboard'!$B$9*'Dynamic Analysis Dashboard'!$B$21</f>
        <v>1.2825E-6</v>
      </c>
      <c r="AA134" s="75">
        <f>J134*'Dynamic Analysis Dashboard'!$B$8*'Dynamic Analysis Dashboard'!$B$9*'Dynamic Analysis Dashboard'!$B$21</f>
        <v>1.4175000000000002E-6</v>
      </c>
      <c r="AB134" s="80">
        <f>K134*'Dynamic Analysis Dashboard'!$B$10*'Dynamic Analysis Dashboard'!$B$9*'Dynamic Analysis Dashboard'!$B$21</f>
        <v>0</v>
      </c>
      <c r="AC134" s="85">
        <f>L134*'Dynamic Analysis Dashboard'!$B$11*'Dynamic Analysis Dashboard'!$B$9*'Dynamic Analysis Dashboard'!$B$21</f>
        <v>0</v>
      </c>
      <c r="AD134" s="120">
        <f t="shared" si="4"/>
        <v>2.7000000000000004E-6</v>
      </c>
      <c r="AE134" s="121">
        <f t="shared" si="5"/>
        <v>2.0250000000000001E-6</v>
      </c>
    </row>
    <row r="135" spans="1:31" x14ac:dyDescent="0.2">
      <c r="A135" t="s">
        <v>84</v>
      </c>
      <c r="B135" t="s">
        <v>172</v>
      </c>
      <c r="C135" t="s">
        <v>539</v>
      </c>
      <c r="D135" t="s">
        <v>166</v>
      </c>
      <c r="E135" t="s">
        <v>470</v>
      </c>
      <c r="F135" t="s">
        <v>324</v>
      </c>
      <c r="G135" t="s">
        <v>24</v>
      </c>
      <c r="H135" t="s">
        <v>25</v>
      </c>
      <c r="I135">
        <v>1.1999999999999999E-6</v>
      </c>
      <c r="J135">
        <v>0</v>
      </c>
      <c r="K135">
        <v>0.9</v>
      </c>
      <c r="L135">
        <v>2.7999999999999999E-6</v>
      </c>
      <c r="M135">
        <v>4.9000000000000005E-6</v>
      </c>
      <c r="N135">
        <v>0.8</v>
      </c>
      <c r="O135">
        <v>6</v>
      </c>
      <c r="P135">
        <v>3</v>
      </c>
      <c r="Q135">
        <v>3</v>
      </c>
      <c r="R135">
        <v>3</v>
      </c>
      <c r="S135">
        <v>280</v>
      </c>
      <c r="T135">
        <v>7</v>
      </c>
      <c r="U135" t="s">
        <v>904</v>
      </c>
      <c r="V135" t="s">
        <v>129</v>
      </c>
      <c r="W135" t="s">
        <v>905</v>
      </c>
      <c r="X135" t="s">
        <v>906</v>
      </c>
      <c r="Y135" t="s">
        <v>907</v>
      </c>
      <c r="Z135" s="70">
        <f>I135*'Dynamic Analysis Dashboard'!$B$8*'Dynamic Analysis Dashboard'!$B$9*'Dynamic Analysis Dashboard'!$B$21</f>
        <v>8.1000000000000008E-7</v>
      </c>
      <c r="AA135" s="75">
        <f>J135*'Dynamic Analysis Dashboard'!$B$8*'Dynamic Analysis Dashboard'!$B$9*'Dynamic Analysis Dashboard'!$B$21</f>
        <v>0</v>
      </c>
      <c r="AB135" s="80">
        <f>K135*'Dynamic Analysis Dashboard'!$B$10*'Dynamic Analysis Dashboard'!$B$9*'Dynamic Analysis Dashboard'!$B$21</f>
        <v>0.54</v>
      </c>
      <c r="AC135" s="85">
        <f>L135*'Dynamic Analysis Dashboard'!$B$11*'Dynamic Analysis Dashboard'!$B$9*'Dynamic Analysis Dashboard'!$B$21</f>
        <v>1.7849999999999999E-6</v>
      </c>
      <c r="AD135" s="120">
        <f t="shared" si="4"/>
        <v>0.54000259500000003</v>
      </c>
      <c r="AE135" s="121">
        <f t="shared" si="5"/>
        <v>0.43200207600000007</v>
      </c>
    </row>
    <row r="136" spans="1:31" x14ac:dyDescent="0.2">
      <c r="A136" t="s">
        <v>84</v>
      </c>
      <c r="B136" t="s">
        <v>186</v>
      </c>
      <c r="C136" t="s">
        <v>908</v>
      </c>
      <c r="D136" t="s">
        <v>328</v>
      </c>
      <c r="E136" t="s">
        <v>909</v>
      </c>
      <c r="F136" t="s">
        <v>317</v>
      </c>
      <c r="G136" t="s">
        <v>24</v>
      </c>
      <c r="H136" t="s">
        <v>28</v>
      </c>
      <c r="I136">
        <v>0.7</v>
      </c>
      <c r="J136">
        <v>5.0999999999999995E-6</v>
      </c>
      <c r="K136">
        <v>0</v>
      </c>
      <c r="L136">
        <v>0</v>
      </c>
      <c r="M136">
        <v>5.7999999999999995E-6</v>
      </c>
      <c r="N136">
        <v>0.7</v>
      </c>
      <c r="O136">
        <v>9</v>
      </c>
      <c r="P136">
        <v>4</v>
      </c>
      <c r="Q136">
        <v>2</v>
      </c>
      <c r="R136">
        <v>4</v>
      </c>
      <c r="S136">
        <v>24000</v>
      </c>
      <c r="T136">
        <v>56</v>
      </c>
      <c r="U136" t="s">
        <v>910</v>
      </c>
      <c r="V136" t="s">
        <v>911</v>
      </c>
      <c r="W136" t="s">
        <v>682</v>
      </c>
      <c r="X136" t="s">
        <v>131</v>
      </c>
      <c r="Y136" t="s">
        <v>912</v>
      </c>
      <c r="Z136" s="70">
        <f>I136*'Dynamic Analysis Dashboard'!$B$8*'Dynamic Analysis Dashboard'!$B$9*'Dynamic Analysis Dashboard'!$B$21</f>
        <v>0.47250000000000003</v>
      </c>
      <c r="AA136" s="75">
        <f>J136*'Dynamic Analysis Dashboard'!$B$8*'Dynamic Analysis Dashboard'!$B$9*'Dynamic Analysis Dashboard'!$B$21</f>
        <v>3.4424999999999997E-6</v>
      </c>
      <c r="AB136" s="80">
        <f>K136*'Dynamic Analysis Dashboard'!$B$10*'Dynamic Analysis Dashboard'!$B$9*'Dynamic Analysis Dashboard'!$B$21</f>
        <v>0</v>
      </c>
      <c r="AC136" s="85">
        <f>L136*'Dynamic Analysis Dashboard'!$B$11*'Dynamic Analysis Dashboard'!$B$9*'Dynamic Analysis Dashboard'!$B$21</f>
        <v>0</v>
      </c>
      <c r="AD136" s="120">
        <f t="shared" si="4"/>
        <v>0.47250344250000004</v>
      </c>
      <c r="AE136" s="121">
        <f t="shared" si="5"/>
        <v>0.33075240975000003</v>
      </c>
    </row>
    <row r="137" spans="1:31" hidden="1" x14ac:dyDescent="0.2">
      <c r="A137" t="s">
        <v>84</v>
      </c>
      <c r="B137" t="s">
        <v>149</v>
      </c>
      <c r="C137" t="s">
        <v>913</v>
      </c>
      <c r="D137" t="s">
        <v>481</v>
      </c>
      <c r="E137" t="s">
        <v>784</v>
      </c>
      <c r="F137" t="s">
        <v>215</v>
      </c>
      <c r="G137" t="s">
        <v>38</v>
      </c>
      <c r="H137" t="s">
        <v>33</v>
      </c>
      <c r="I137">
        <v>3.2000000000000003E-6</v>
      </c>
      <c r="J137">
        <v>0</v>
      </c>
      <c r="K137">
        <v>0</v>
      </c>
      <c r="L137">
        <v>0</v>
      </c>
      <c r="M137">
        <v>3.2000000000000003E-6</v>
      </c>
      <c r="N137">
        <v>0.85</v>
      </c>
      <c r="O137">
        <v>6</v>
      </c>
      <c r="P137">
        <v>3</v>
      </c>
      <c r="Q137">
        <v>3</v>
      </c>
      <c r="R137">
        <v>3</v>
      </c>
      <c r="S137">
        <v>31450</v>
      </c>
      <c r="T137">
        <v>77</v>
      </c>
      <c r="U137" t="s">
        <v>914</v>
      </c>
      <c r="V137" t="s">
        <v>129</v>
      </c>
      <c r="W137" t="s">
        <v>682</v>
      </c>
      <c r="X137" t="s">
        <v>131</v>
      </c>
      <c r="Y137" t="s">
        <v>915</v>
      </c>
      <c r="Z137" s="70">
        <f>I137*'Dynamic Analysis Dashboard'!$B$8*'Dynamic Analysis Dashboard'!$B$9*'Dynamic Analysis Dashboard'!$B$21</f>
        <v>2.1600000000000005E-6</v>
      </c>
      <c r="AA137" s="75">
        <f>J137*'Dynamic Analysis Dashboard'!$B$8*'Dynamic Analysis Dashboard'!$B$9*'Dynamic Analysis Dashboard'!$B$21</f>
        <v>0</v>
      </c>
      <c r="AB137" s="80">
        <f>K137*'Dynamic Analysis Dashboard'!$B$10*'Dynamic Analysis Dashboard'!$B$9*'Dynamic Analysis Dashboard'!$B$21</f>
        <v>0</v>
      </c>
      <c r="AC137" s="85">
        <f>L137*'Dynamic Analysis Dashboard'!$B$11*'Dynamic Analysis Dashboard'!$B$9*'Dynamic Analysis Dashboard'!$B$21</f>
        <v>0</v>
      </c>
      <c r="AD137" s="120">
        <f t="shared" si="4"/>
        <v>2.1600000000000005E-6</v>
      </c>
      <c r="AE137" s="121">
        <f t="shared" si="5"/>
        <v>1.8360000000000003E-6</v>
      </c>
    </row>
    <row r="138" spans="1:31" hidden="1" x14ac:dyDescent="0.2">
      <c r="A138" t="s">
        <v>84</v>
      </c>
      <c r="B138" t="s">
        <v>156</v>
      </c>
      <c r="C138" t="s">
        <v>916</v>
      </c>
      <c r="D138" t="s">
        <v>464</v>
      </c>
      <c r="E138" t="s">
        <v>917</v>
      </c>
      <c r="F138" t="s">
        <v>267</v>
      </c>
      <c r="G138" t="s">
        <v>38</v>
      </c>
      <c r="H138" t="s">
        <v>33</v>
      </c>
      <c r="I138">
        <v>1.5E-6</v>
      </c>
      <c r="J138">
        <v>1.8000000000000001E-6</v>
      </c>
      <c r="K138">
        <v>0</v>
      </c>
      <c r="L138">
        <v>0</v>
      </c>
      <c r="M138">
        <v>3.2999999999999997E-6</v>
      </c>
      <c r="N138">
        <v>0.7</v>
      </c>
      <c r="O138">
        <v>9</v>
      </c>
      <c r="P138">
        <v>4</v>
      </c>
      <c r="Q138">
        <v>2</v>
      </c>
      <c r="R138">
        <v>4</v>
      </c>
      <c r="S138">
        <v>990</v>
      </c>
      <c r="T138">
        <v>24</v>
      </c>
      <c r="U138" t="s">
        <v>918</v>
      </c>
      <c r="V138" t="s">
        <v>919</v>
      </c>
      <c r="W138" t="s">
        <v>682</v>
      </c>
      <c r="X138" t="s">
        <v>131</v>
      </c>
      <c r="Y138" t="s">
        <v>920</v>
      </c>
      <c r="Z138" s="70">
        <f>I138*'Dynamic Analysis Dashboard'!$B$8*'Dynamic Analysis Dashboard'!$B$9*'Dynamic Analysis Dashboard'!$B$21</f>
        <v>1.0125E-6</v>
      </c>
      <c r="AA138" s="75">
        <f>J138*'Dynamic Analysis Dashboard'!$B$8*'Dynamic Analysis Dashboard'!$B$9*'Dynamic Analysis Dashboard'!$B$21</f>
        <v>1.2150000000000002E-6</v>
      </c>
      <c r="AB138" s="80">
        <f>K138*'Dynamic Analysis Dashboard'!$B$10*'Dynamic Analysis Dashboard'!$B$9*'Dynamic Analysis Dashboard'!$B$21</f>
        <v>0</v>
      </c>
      <c r="AC138" s="85">
        <f>L138*'Dynamic Analysis Dashboard'!$B$11*'Dynamic Analysis Dashboard'!$B$9*'Dynamic Analysis Dashboard'!$B$21</f>
        <v>0</v>
      </c>
      <c r="AD138" s="120">
        <f t="shared" si="4"/>
        <v>2.2275000000000003E-6</v>
      </c>
      <c r="AE138" s="121">
        <f t="shared" si="5"/>
        <v>1.5592500000000001E-6</v>
      </c>
    </row>
    <row r="139" spans="1:31" hidden="1" x14ac:dyDescent="0.2">
      <c r="A139" t="s">
        <v>84</v>
      </c>
      <c r="B139" t="s">
        <v>164</v>
      </c>
      <c r="C139" t="s">
        <v>921</v>
      </c>
      <c r="D139" t="s">
        <v>504</v>
      </c>
      <c r="E139" t="s">
        <v>922</v>
      </c>
      <c r="F139" t="s">
        <v>923</v>
      </c>
      <c r="G139" t="s">
        <v>38</v>
      </c>
      <c r="H139" t="s">
        <v>311</v>
      </c>
      <c r="I139">
        <v>1.3E-6</v>
      </c>
      <c r="J139">
        <v>0</v>
      </c>
      <c r="K139">
        <v>1.3999999999999999E-6</v>
      </c>
      <c r="L139">
        <v>0</v>
      </c>
      <c r="M139">
        <v>2.7E-6</v>
      </c>
      <c r="N139">
        <v>0.65</v>
      </c>
      <c r="O139">
        <v>6</v>
      </c>
      <c r="P139">
        <v>2</v>
      </c>
      <c r="Q139">
        <v>4</v>
      </c>
      <c r="R139">
        <v>2</v>
      </c>
      <c r="S139">
        <v>1400</v>
      </c>
      <c r="T139">
        <v>31</v>
      </c>
      <c r="U139" t="s">
        <v>924</v>
      </c>
      <c r="V139" t="s">
        <v>129</v>
      </c>
      <c r="W139" t="s">
        <v>925</v>
      </c>
      <c r="X139" t="s">
        <v>131</v>
      </c>
      <c r="Y139" t="s">
        <v>926</v>
      </c>
      <c r="Z139" s="70">
        <f>I139*'Dynamic Analysis Dashboard'!$B$8*'Dynamic Analysis Dashboard'!$B$9*'Dynamic Analysis Dashboard'!$B$21</f>
        <v>8.7750000000000007E-7</v>
      </c>
      <c r="AA139" s="75">
        <f>J139*'Dynamic Analysis Dashboard'!$B$8*'Dynamic Analysis Dashboard'!$B$9*'Dynamic Analysis Dashboard'!$B$21</f>
        <v>0</v>
      </c>
      <c r="AB139" s="80">
        <f>K139*'Dynamic Analysis Dashboard'!$B$10*'Dynamic Analysis Dashboard'!$B$9*'Dynamic Analysis Dashboard'!$B$21</f>
        <v>8.4E-7</v>
      </c>
      <c r="AC139" s="85">
        <f>L139*'Dynamic Analysis Dashboard'!$B$11*'Dynamic Analysis Dashboard'!$B$9*'Dynamic Analysis Dashboard'!$B$21</f>
        <v>0</v>
      </c>
      <c r="AD139" s="120">
        <f t="shared" si="4"/>
        <v>1.7175000000000001E-6</v>
      </c>
      <c r="AE139" s="121">
        <f t="shared" si="5"/>
        <v>1.1163750000000002E-6</v>
      </c>
    </row>
    <row r="140" spans="1:31" hidden="1" x14ac:dyDescent="0.2">
      <c r="A140" t="s">
        <v>84</v>
      </c>
      <c r="B140" t="s">
        <v>179</v>
      </c>
      <c r="C140" t="s">
        <v>927</v>
      </c>
      <c r="D140" t="s">
        <v>181</v>
      </c>
      <c r="E140" t="s">
        <v>511</v>
      </c>
      <c r="F140" t="s">
        <v>183</v>
      </c>
      <c r="G140" t="s">
        <v>38</v>
      </c>
      <c r="H140" t="s">
        <v>33</v>
      </c>
      <c r="I140">
        <v>1.1000000000000001E-6</v>
      </c>
      <c r="J140">
        <v>1.6000000000000001E-6</v>
      </c>
      <c r="K140">
        <v>0</v>
      </c>
      <c r="L140">
        <v>0</v>
      </c>
      <c r="M140">
        <v>2.7E-6</v>
      </c>
      <c r="N140">
        <v>0.75</v>
      </c>
      <c r="O140">
        <v>3</v>
      </c>
      <c r="P140">
        <v>2</v>
      </c>
      <c r="Q140">
        <v>3</v>
      </c>
      <c r="R140">
        <v>2</v>
      </c>
      <c r="S140">
        <v>336</v>
      </c>
      <c r="T140">
        <v>9</v>
      </c>
      <c r="U140" t="s">
        <v>928</v>
      </c>
      <c r="V140" t="s">
        <v>929</v>
      </c>
      <c r="W140" t="s">
        <v>682</v>
      </c>
      <c r="X140" t="s">
        <v>131</v>
      </c>
      <c r="Y140" t="s">
        <v>930</v>
      </c>
      <c r="Z140" s="70">
        <f>I140*'Dynamic Analysis Dashboard'!$B$8*'Dynamic Analysis Dashboard'!$B$9*'Dynamic Analysis Dashboard'!$B$21</f>
        <v>7.4250000000000009E-7</v>
      </c>
      <c r="AA140" s="75">
        <f>J140*'Dynamic Analysis Dashboard'!$B$8*'Dynamic Analysis Dashboard'!$B$9*'Dynamic Analysis Dashboard'!$B$21</f>
        <v>1.0800000000000002E-6</v>
      </c>
      <c r="AB140" s="80">
        <f>K140*'Dynamic Analysis Dashboard'!$B$10*'Dynamic Analysis Dashboard'!$B$9*'Dynamic Analysis Dashboard'!$B$21</f>
        <v>0</v>
      </c>
      <c r="AC140" s="85">
        <f>L140*'Dynamic Analysis Dashboard'!$B$11*'Dynamic Analysis Dashboard'!$B$9*'Dynamic Analysis Dashboard'!$B$21</f>
        <v>0</v>
      </c>
      <c r="AD140" s="120">
        <f t="shared" si="4"/>
        <v>1.8225000000000003E-6</v>
      </c>
      <c r="AE140" s="121">
        <f t="shared" si="5"/>
        <v>1.3668750000000004E-6</v>
      </c>
    </row>
    <row r="141" spans="1:31" hidden="1" x14ac:dyDescent="0.2">
      <c r="A141" t="s">
        <v>84</v>
      </c>
      <c r="B141" t="s">
        <v>194</v>
      </c>
      <c r="C141" t="s">
        <v>931</v>
      </c>
      <c r="D141" t="s">
        <v>188</v>
      </c>
      <c r="E141" t="s">
        <v>932</v>
      </c>
      <c r="F141" t="s">
        <v>330</v>
      </c>
      <c r="G141" t="s">
        <v>38</v>
      </c>
      <c r="H141" t="s">
        <v>311</v>
      </c>
      <c r="I141">
        <v>0.7</v>
      </c>
      <c r="J141">
        <v>0</v>
      </c>
      <c r="K141">
        <v>0</v>
      </c>
      <c r="L141">
        <v>0</v>
      </c>
      <c r="M141">
        <v>0.7</v>
      </c>
      <c r="N141">
        <v>0.75</v>
      </c>
      <c r="O141">
        <v>3</v>
      </c>
      <c r="P141">
        <v>2</v>
      </c>
      <c r="Q141">
        <v>4</v>
      </c>
      <c r="R141">
        <v>2</v>
      </c>
      <c r="S141">
        <v>228</v>
      </c>
      <c r="T141">
        <v>6</v>
      </c>
      <c r="U141" t="s">
        <v>933</v>
      </c>
      <c r="V141" t="s">
        <v>129</v>
      </c>
      <c r="W141" t="s">
        <v>682</v>
      </c>
      <c r="X141" t="s">
        <v>131</v>
      </c>
      <c r="Y141" t="s">
        <v>934</v>
      </c>
      <c r="Z141" s="70">
        <f>I141*'Dynamic Analysis Dashboard'!$B$8*'Dynamic Analysis Dashboard'!$B$9*'Dynamic Analysis Dashboard'!$B$21</f>
        <v>0.47250000000000003</v>
      </c>
      <c r="AA141" s="75">
        <f>J141*'Dynamic Analysis Dashboard'!$B$8*'Dynamic Analysis Dashboard'!$B$9*'Dynamic Analysis Dashboard'!$B$21</f>
        <v>0</v>
      </c>
      <c r="AB141" s="80">
        <f>K141*'Dynamic Analysis Dashboard'!$B$10*'Dynamic Analysis Dashboard'!$B$9*'Dynamic Analysis Dashboard'!$B$21</f>
        <v>0</v>
      </c>
      <c r="AC141" s="85">
        <f>L141*'Dynamic Analysis Dashboard'!$B$11*'Dynamic Analysis Dashboard'!$B$9*'Dynamic Analysis Dashboard'!$B$21</f>
        <v>0</v>
      </c>
      <c r="AD141" s="120">
        <f t="shared" si="4"/>
        <v>0.47250000000000003</v>
      </c>
      <c r="AE141" s="121">
        <f t="shared" si="5"/>
        <v>0.354375</v>
      </c>
    </row>
    <row r="142" spans="1:31" x14ac:dyDescent="0.2">
      <c r="A142" t="s">
        <v>100</v>
      </c>
      <c r="B142" t="s">
        <v>141</v>
      </c>
      <c r="C142" t="s">
        <v>935</v>
      </c>
      <c r="D142" t="s">
        <v>250</v>
      </c>
      <c r="E142" t="s">
        <v>251</v>
      </c>
      <c r="F142" t="s">
        <v>936</v>
      </c>
      <c r="G142" t="s">
        <v>24</v>
      </c>
      <c r="H142" t="s">
        <v>28</v>
      </c>
      <c r="I142">
        <v>2.4</v>
      </c>
      <c r="J142">
        <v>1.4</v>
      </c>
      <c r="K142">
        <v>0.2</v>
      </c>
      <c r="L142">
        <v>0.6</v>
      </c>
      <c r="M142">
        <v>4.5999999999999996</v>
      </c>
      <c r="N142">
        <v>0.85</v>
      </c>
      <c r="O142">
        <v>9</v>
      </c>
      <c r="P142">
        <v>4</v>
      </c>
      <c r="Q142">
        <v>4</v>
      </c>
      <c r="R142">
        <v>4</v>
      </c>
      <c r="S142">
        <v>134100</v>
      </c>
      <c r="T142">
        <v>3622.8</v>
      </c>
      <c r="U142" t="s">
        <v>937</v>
      </c>
      <c r="V142" t="s">
        <v>938</v>
      </c>
      <c r="W142" t="s">
        <v>939</v>
      </c>
      <c r="X142" t="s">
        <v>940</v>
      </c>
      <c r="Y142" t="s">
        <v>941</v>
      </c>
      <c r="Z142" s="70">
        <f>I142*'Dynamic Analysis Dashboard'!$B$8*'Dynamic Analysis Dashboard'!$B$9*'Dynamic Analysis Dashboard'!$B$21</f>
        <v>1.62</v>
      </c>
      <c r="AA142" s="75">
        <f>J142*'Dynamic Analysis Dashboard'!$B$8*'Dynamic Analysis Dashboard'!$B$9*'Dynamic Analysis Dashboard'!$B$21</f>
        <v>0.94500000000000006</v>
      </c>
      <c r="AB142" s="80">
        <f>K142*'Dynamic Analysis Dashboard'!$B$10*'Dynamic Analysis Dashboard'!$B$9*'Dynamic Analysis Dashboard'!$B$21</f>
        <v>0.12000000000000002</v>
      </c>
      <c r="AC142" s="85">
        <f>L142*'Dynamic Analysis Dashboard'!$B$11*'Dynamic Analysis Dashboard'!$B$9*'Dynamic Analysis Dashboard'!$B$21</f>
        <v>0.38250000000000001</v>
      </c>
      <c r="AD142" s="120">
        <f t="shared" si="4"/>
        <v>3.0675000000000003</v>
      </c>
      <c r="AE142" s="121">
        <f t="shared" si="5"/>
        <v>2.6073750000000002</v>
      </c>
    </row>
    <row r="143" spans="1:31" x14ac:dyDescent="0.2">
      <c r="A143" t="s">
        <v>100</v>
      </c>
      <c r="B143" t="s">
        <v>123</v>
      </c>
      <c r="C143" t="s">
        <v>942</v>
      </c>
      <c r="D143" t="s">
        <v>943</v>
      </c>
      <c r="E143" t="s">
        <v>944</v>
      </c>
      <c r="F143" t="s">
        <v>259</v>
      </c>
      <c r="G143" t="s">
        <v>24</v>
      </c>
      <c r="H143" t="s">
        <v>28</v>
      </c>
      <c r="I143">
        <v>1.3</v>
      </c>
      <c r="J143">
        <v>0.3</v>
      </c>
      <c r="K143">
        <v>0.1</v>
      </c>
      <c r="L143">
        <v>0.4</v>
      </c>
      <c r="M143">
        <v>2.1</v>
      </c>
      <c r="N143">
        <v>0.78</v>
      </c>
      <c r="O143">
        <v>7</v>
      </c>
      <c r="P143">
        <v>3</v>
      </c>
      <c r="Q143">
        <v>3</v>
      </c>
      <c r="R143">
        <v>4</v>
      </c>
      <c r="S143">
        <v>9360</v>
      </c>
      <c r="T143">
        <v>239.76</v>
      </c>
      <c r="U143" t="s">
        <v>945</v>
      </c>
      <c r="V143" t="s">
        <v>946</v>
      </c>
      <c r="W143" t="s">
        <v>947</v>
      </c>
      <c r="X143" t="s">
        <v>948</v>
      </c>
      <c r="Y143" t="s">
        <v>949</v>
      </c>
      <c r="Z143" s="70">
        <f>I143*'Dynamic Analysis Dashboard'!$B$8*'Dynamic Analysis Dashboard'!$B$9*'Dynamic Analysis Dashboard'!$B$21</f>
        <v>0.87750000000000017</v>
      </c>
      <c r="AA143" s="75">
        <f>J143*'Dynamic Analysis Dashboard'!$B$8*'Dynamic Analysis Dashboard'!$B$9*'Dynamic Analysis Dashboard'!$B$21</f>
        <v>0.20250000000000001</v>
      </c>
      <c r="AB143" s="80">
        <f>K143*'Dynamic Analysis Dashboard'!$B$10*'Dynamic Analysis Dashboard'!$B$9*'Dynamic Analysis Dashboard'!$B$21</f>
        <v>6.0000000000000012E-2</v>
      </c>
      <c r="AC143" s="85">
        <f>L143*'Dynamic Analysis Dashboard'!$B$11*'Dynamic Analysis Dashboard'!$B$9*'Dynamic Analysis Dashboard'!$B$21</f>
        <v>0.255</v>
      </c>
      <c r="AD143" s="120">
        <f t="shared" si="4"/>
        <v>1.395</v>
      </c>
      <c r="AE143" s="121">
        <f t="shared" si="5"/>
        <v>1.0881000000000001</v>
      </c>
    </row>
    <row r="144" spans="1:31" x14ac:dyDescent="0.2">
      <c r="A144" t="s">
        <v>100</v>
      </c>
      <c r="B144" t="s">
        <v>133</v>
      </c>
      <c r="C144" t="s">
        <v>950</v>
      </c>
      <c r="D144" t="s">
        <v>236</v>
      </c>
      <c r="E144" t="s">
        <v>237</v>
      </c>
      <c r="F144" t="s">
        <v>374</v>
      </c>
      <c r="G144" t="s">
        <v>24</v>
      </c>
      <c r="H144" t="s">
        <v>28</v>
      </c>
      <c r="I144">
        <v>0.3</v>
      </c>
      <c r="J144">
        <v>0.8</v>
      </c>
      <c r="K144">
        <v>0.1</v>
      </c>
      <c r="L144">
        <v>0.9</v>
      </c>
      <c r="M144">
        <v>2.1</v>
      </c>
      <c r="N144">
        <v>0.8</v>
      </c>
      <c r="O144">
        <v>8</v>
      </c>
      <c r="P144">
        <v>3</v>
      </c>
      <c r="Q144">
        <v>3</v>
      </c>
      <c r="R144">
        <v>4</v>
      </c>
      <c r="S144">
        <v>84300</v>
      </c>
      <c r="T144">
        <v>1803.6</v>
      </c>
      <c r="U144" t="s">
        <v>951</v>
      </c>
      <c r="V144" t="s">
        <v>952</v>
      </c>
      <c r="W144" t="s">
        <v>953</v>
      </c>
      <c r="X144" t="s">
        <v>954</v>
      </c>
      <c r="Y144" t="s">
        <v>955</v>
      </c>
      <c r="Z144" s="70">
        <f>I144*'Dynamic Analysis Dashboard'!$B$8*'Dynamic Analysis Dashboard'!$B$9*'Dynamic Analysis Dashboard'!$B$21</f>
        <v>0.20250000000000001</v>
      </c>
      <c r="AA144" s="75">
        <f>J144*'Dynamic Analysis Dashboard'!$B$8*'Dynamic Analysis Dashboard'!$B$9*'Dynamic Analysis Dashboard'!$B$21</f>
        <v>0.54</v>
      </c>
      <c r="AB144" s="80">
        <f>K144*'Dynamic Analysis Dashboard'!$B$10*'Dynamic Analysis Dashboard'!$B$9*'Dynamic Analysis Dashboard'!$B$21</f>
        <v>6.0000000000000012E-2</v>
      </c>
      <c r="AC144" s="85">
        <f>L144*'Dynamic Analysis Dashboard'!$B$11*'Dynamic Analysis Dashboard'!$B$9*'Dynamic Analysis Dashboard'!$B$21</f>
        <v>0.57374999999999998</v>
      </c>
      <c r="AD144" s="120">
        <f t="shared" si="4"/>
        <v>1.3762500000000002</v>
      </c>
      <c r="AE144" s="121">
        <f t="shared" si="5"/>
        <v>1.1010000000000002</v>
      </c>
    </row>
    <row r="145" spans="1:31" x14ac:dyDescent="0.2">
      <c r="A145" t="s">
        <v>100</v>
      </c>
      <c r="B145" t="s">
        <v>156</v>
      </c>
      <c r="C145" t="s">
        <v>956</v>
      </c>
      <c r="D145" t="s">
        <v>236</v>
      </c>
      <c r="E145" t="s">
        <v>379</v>
      </c>
      <c r="F145" t="s">
        <v>338</v>
      </c>
      <c r="G145" t="s">
        <v>24</v>
      </c>
      <c r="H145" t="s">
        <v>25</v>
      </c>
      <c r="I145">
        <v>0.3</v>
      </c>
      <c r="J145">
        <v>0.3</v>
      </c>
      <c r="K145">
        <v>0</v>
      </c>
      <c r="L145">
        <v>0.1</v>
      </c>
      <c r="M145">
        <v>0.7</v>
      </c>
      <c r="N145">
        <v>0.75</v>
      </c>
      <c r="O145">
        <v>6</v>
      </c>
      <c r="P145">
        <v>2</v>
      </c>
      <c r="Q145">
        <v>3</v>
      </c>
      <c r="R145">
        <v>3</v>
      </c>
      <c r="S145">
        <v>3150</v>
      </c>
      <c r="T145">
        <v>113.4</v>
      </c>
      <c r="U145" t="s">
        <v>957</v>
      </c>
      <c r="V145" t="s">
        <v>958</v>
      </c>
      <c r="W145" t="s">
        <v>682</v>
      </c>
      <c r="X145" t="s">
        <v>959</v>
      </c>
      <c r="Y145" t="s">
        <v>960</v>
      </c>
      <c r="Z145" s="70">
        <f>I145*'Dynamic Analysis Dashboard'!$B$8*'Dynamic Analysis Dashboard'!$B$9*'Dynamic Analysis Dashboard'!$B$21</f>
        <v>0.20250000000000001</v>
      </c>
      <c r="AA145" s="75">
        <f>J145*'Dynamic Analysis Dashboard'!$B$8*'Dynamic Analysis Dashboard'!$B$9*'Dynamic Analysis Dashboard'!$B$21</f>
        <v>0.20250000000000001</v>
      </c>
      <c r="AB145" s="80">
        <f>K145*'Dynamic Analysis Dashboard'!$B$10*'Dynamic Analysis Dashboard'!$B$9*'Dynamic Analysis Dashboard'!$B$21</f>
        <v>0</v>
      </c>
      <c r="AC145" s="85">
        <f>L145*'Dynamic Analysis Dashboard'!$B$11*'Dynamic Analysis Dashboard'!$B$9*'Dynamic Analysis Dashboard'!$B$21</f>
        <v>6.3750000000000001E-2</v>
      </c>
      <c r="AD145" s="120">
        <f t="shared" si="4"/>
        <v>0.46875</v>
      </c>
      <c r="AE145" s="121">
        <f t="shared" si="5"/>
        <v>0.3515625</v>
      </c>
    </row>
    <row r="146" spans="1:31" x14ac:dyDescent="0.2">
      <c r="A146" t="s">
        <v>100</v>
      </c>
      <c r="B146" t="s">
        <v>164</v>
      </c>
      <c r="C146" t="s">
        <v>961</v>
      </c>
      <c r="D146" t="s">
        <v>962</v>
      </c>
      <c r="E146" t="s">
        <v>243</v>
      </c>
      <c r="F146" t="s">
        <v>963</v>
      </c>
      <c r="G146" t="s">
        <v>24</v>
      </c>
      <c r="H146" t="s">
        <v>25</v>
      </c>
      <c r="I146">
        <v>0.2</v>
      </c>
      <c r="J146">
        <v>0.4</v>
      </c>
      <c r="K146">
        <v>0.3</v>
      </c>
      <c r="L146">
        <v>0</v>
      </c>
      <c r="M146">
        <v>0.9</v>
      </c>
      <c r="N146">
        <v>0.88</v>
      </c>
      <c r="O146">
        <v>6</v>
      </c>
      <c r="P146">
        <v>3</v>
      </c>
      <c r="Q146">
        <v>3</v>
      </c>
      <c r="R146">
        <v>4</v>
      </c>
      <c r="S146">
        <v>3744</v>
      </c>
      <c r="T146">
        <v>79.488</v>
      </c>
      <c r="U146" t="s">
        <v>964</v>
      </c>
      <c r="V146" t="s">
        <v>965</v>
      </c>
      <c r="W146" t="s">
        <v>966</v>
      </c>
      <c r="X146" t="s">
        <v>131</v>
      </c>
      <c r="Y146" t="s">
        <v>967</v>
      </c>
      <c r="Z146" s="70">
        <f>I146*'Dynamic Analysis Dashboard'!$B$8*'Dynamic Analysis Dashboard'!$B$9*'Dynamic Analysis Dashboard'!$B$21</f>
        <v>0.13500000000000001</v>
      </c>
      <c r="AA146" s="75">
        <f>J146*'Dynamic Analysis Dashboard'!$B$8*'Dynamic Analysis Dashboard'!$B$9*'Dynamic Analysis Dashboard'!$B$21</f>
        <v>0.27</v>
      </c>
      <c r="AB146" s="80">
        <f>K146*'Dynamic Analysis Dashboard'!$B$10*'Dynamic Analysis Dashboard'!$B$9*'Dynamic Analysis Dashboard'!$B$21</f>
        <v>0.18</v>
      </c>
      <c r="AC146" s="85">
        <f>L146*'Dynamic Analysis Dashboard'!$B$11*'Dynamic Analysis Dashboard'!$B$9*'Dynamic Analysis Dashboard'!$B$21</f>
        <v>0</v>
      </c>
      <c r="AD146" s="120">
        <f t="shared" si="4"/>
        <v>0.58499999999999996</v>
      </c>
      <c r="AE146" s="121">
        <f t="shared" si="5"/>
        <v>0.51479999999999992</v>
      </c>
    </row>
    <row r="147" spans="1:31" x14ac:dyDescent="0.2">
      <c r="A147" t="s">
        <v>100</v>
      </c>
      <c r="B147" t="s">
        <v>172</v>
      </c>
      <c r="C147" t="s">
        <v>968</v>
      </c>
      <c r="D147" t="s">
        <v>969</v>
      </c>
      <c r="E147" t="s">
        <v>258</v>
      </c>
      <c r="F147" t="s">
        <v>970</v>
      </c>
      <c r="G147" t="s">
        <v>24</v>
      </c>
      <c r="H147" t="s">
        <v>25</v>
      </c>
      <c r="I147">
        <v>0.4</v>
      </c>
      <c r="J147">
        <v>0.1</v>
      </c>
      <c r="K147">
        <v>0.2</v>
      </c>
      <c r="L147">
        <v>0</v>
      </c>
      <c r="M147">
        <v>0.7</v>
      </c>
      <c r="N147">
        <v>0.7</v>
      </c>
      <c r="O147">
        <v>5</v>
      </c>
      <c r="P147">
        <v>2</v>
      </c>
      <c r="Q147">
        <v>2</v>
      </c>
      <c r="R147">
        <v>2</v>
      </c>
      <c r="S147">
        <v>5544</v>
      </c>
      <c r="T147">
        <v>216.21600000000001</v>
      </c>
      <c r="U147" t="s">
        <v>971</v>
      </c>
      <c r="V147" t="s">
        <v>972</v>
      </c>
      <c r="W147" t="s">
        <v>973</v>
      </c>
      <c r="X147" t="s">
        <v>131</v>
      </c>
      <c r="Y147" t="s">
        <v>974</v>
      </c>
      <c r="Z147" s="70">
        <f>I147*'Dynamic Analysis Dashboard'!$B$8*'Dynamic Analysis Dashboard'!$B$9*'Dynamic Analysis Dashboard'!$B$21</f>
        <v>0.27</v>
      </c>
      <c r="AA147" s="75">
        <f>J147*'Dynamic Analysis Dashboard'!$B$8*'Dynamic Analysis Dashboard'!$B$9*'Dynamic Analysis Dashboard'!$B$21</f>
        <v>6.7500000000000004E-2</v>
      </c>
      <c r="AB147" s="80">
        <f>K147*'Dynamic Analysis Dashboard'!$B$10*'Dynamic Analysis Dashboard'!$B$9*'Dynamic Analysis Dashboard'!$B$21</f>
        <v>0.12000000000000002</v>
      </c>
      <c r="AC147" s="85">
        <f>L147*'Dynamic Analysis Dashboard'!$B$11*'Dynamic Analysis Dashboard'!$B$9*'Dynamic Analysis Dashboard'!$B$21</f>
        <v>0</v>
      </c>
      <c r="AD147" s="120">
        <f t="shared" si="4"/>
        <v>0.45750000000000002</v>
      </c>
      <c r="AE147" s="121">
        <f t="shared" si="5"/>
        <v>0.32024999999999998</v>
      </c>
    </row>
    <row r="148" spans="1:31" x14ac:dyDescent="0.2">
      <c r="A148" t="s">
        <v>100</v>
      </c>
      <c r="B148" t="s">
        <v>179</v>
      </c>
      <c r="C148" t="s">
        <v>975</v>
      </c>
      <c r="D148" t="s">
        <v>236</v>
      </c>
      <c r="E148" t="s">
        <v>976</v>
      </c>
      <c r="F148" t="s">
        <v>289</v>
      </c>
      <c r="G148" t="s">
        <v>24</v>
      </c>
      <c r="H148" t="s">
        <v>33</v>
      </c>
      <c r="I148">
        <v>0.1</v>
      </c>
      <c r="J148">
        <v>0</v>
      </c>
      <c r="K148">
        <v>0.1</v>
      </c>
      <c r="L148">
        <v>0.5</v>
      </c>
      <c r="M148">
        <v>0.7</v>
      </c>
      <c r="N148">
        <v>0.72</v>
      </c>
      <c r="O148">
        <v>7</v>
      </c>
      <c r="P148">
        <v>3</v>
      </c>
      <c r="Q148">
        <v>3</v>
      </c>
      <c r="R148">
        <v>3</v>
      </c>
      <c r="S148">
        <v>4914</v>
      </c>
      <c r="T148">
        <v>118.008</v>
      </c>
      <c r="U148" t="s">
        <v>977</v>
      </c>
      <c r="V148" t="s">
        <v>978</v>
      </c>
      <c r="W148" t="s">
        <v>979</v>
      </c>
      <c r="X148" t="s">
        <v>980</v>
      </c>
      <c r="Y148" t="s">
        <v>981</v>
      </c>
      <c r="Z148" s="70">
        <f>I148*'Dynamic Analysis Dashboard'!$B$8*'Dynamic Analysis Dashboard'!$B$9*'Dynamic Analysis Dashboard'!$B$21</f>
        <v>6.7500000000000004E-2</v>
      </c>
      <c r="AA148" s="75">
        <f>J148*'Dynamic Analysis Dashboard'!$B$8*'Dynamic Analysis Dashboard'!$B$9*'Dynamic Analysis Dashboard'!$B$21</f>
        <v>0</v>
      </c>
      <c r="AB148" s="80">
        <f>K148*'Dynamic Analysis Dashboard'!$B$10*'Dynamic Analysis Dashboard'!$B$9*'Dynamic Analysis Dashboard'!$B$21</f>
        <v>6.0000000000000012E-2</v>
      </c>
      <c r="AC148" s="85">
        <f>L148*'Dynamic Analysis Dashboard'!$B$11*'Dynamic Analysis Dashboard'!$B$9*'Dynamic Analysis Dashboard'!$B$21</f>
        <v>0.31874999999999998</v>
      </c>
      <c r="AD148" s="120">
        <f t="shared" si="4"/>
        <v>0.44624999999999998</v>
      </c>
      <c r="AE148" s="121">
        <f t="shared" si="5"/>
        <v>0.32129999999999997</v>
      </c>
    </row>
    <row r="149" spans="1:31" x14ac:dyDescent="0.2">
      <c r="A149" t="s">
        <v>100</v>
      </c>
      <c r="B149" t="s">
        <v>194</v>
      </c>
      <c r="C149" t="s">
        <v>982</v>
      </c>
      <c r="D149" t="s">
        <v>943</v>
      </c>
      <c r="E149" t="s">
        <v>983</v>
      </c>
      <c r="F149" t="s">
        <v>338</v>
      </c>
      <c r="G149" t="s">
        <v>24</v>
      </c>
      <c r="H149" t="s">
        <v>28</v>
      </c>
      <c r="I149">
        <v>0.3</v>
      </c>
      <c r="J149">
        <v>0.2</v>
      </c>
      <c r="K149">
        <v>0</v>
      </c>
      <c r="L149">
        <v>0.2</v>
      </c>
      <c r="M149">
        <v>0.7</v>
      </c>
      <c r="N149">
        <v>0.76</v>
      </c>
      <c r="O149">
        <v>6</v>
      </c>
      <c r="P149">
        <v>3</v>
      </c>
      <c r="Q149">
        <v>3</v>
      </c>
      <c r="R149">
        <v>3</v>
      </c>
      <c r="S149">
        <v>3544.8</v>
      </c>
      <c r="T149">
        <v>136.71299999999999</v>
      </c>
      <c r="U149" t="s">
        <v>984</v>
      </c>
      <c r="V149" t="s">
        <v>985</v>
      </c>
      <c r="W149" t="s">
        <v>682</v>
      </c>
      <c r="X149" t="s">
        <v>986</v>
      </c>
      <c r="Y149" t="s">
        <v>987</v>
      </c>
      <c r="Z149" s="70">
        <f>I149*'Dynamic Analysis Dashboard'!$B$8*'Dynamic Analysis Dashboard'!$B$9*'Dynamic Analysis Dashboard'!$B$21</f>
        <v>0.20250000000000001</v>
      </c>
      <c r="AA149" s="75">
        <f>J149*'Dynamic Analysis Dashboard'!$B$8*'Dynamic Analysis Dashboard'!$B$9*'Dynamic Analysis Dashboard'!$B$21</f>
        <v>0.13500000000000001</v>
      </c>
      <c r="AB149" s="80">
        <f>K149*'Dynamic Analysis Dashboard'!$B$10*'Dynamic Analysis Dashboard'!$B$9*'Dynamic Analysis Dashboard'!$B$21</f>
        <v>0</v>
      </c>
      <c r="AC149" s="85">
        <f>L149*'Dynamic Analysis Dashboard'!$B$11*'Dynamic Analysis Dashboard'!$B$9*'Dynamic Analysis Dashboard'!$B$21</f>
        <v>0.1275</v>
      </c>
      <c r="AD149" s="120">
        <f t="shared" si="4"/>
        <v>0.46500000000000002</v>
      </c>
      <c r="AE149" s="121">
        <f t="shared" si="5"/>
        <v>0.35340000000000005</v>
      </c>
    </row>
    <row r="150" spans="1:31" hidden="1" x14ac:dyDescent="0.2">
      <c r="A150" t="s">
        <v>100</v>
      </c>
      <c r="B150" t="s">
        <v>149</v>
      </c>
      <c r="C150" t="s">
        <v>988</v>
      </c>
      <c r="D150" t="s">
        <v>287</v>
      </c>
      <c r="E150" t="s">
        <v>989</v>
      </c>
      <c r="F150" t="s">
        <v>223</v>
      </c>
      <c r="G150" t="s">
        <v>31</v>
      </c>
      <c r="H150" t="s">
        <v>25</v>
      </c>
      <c r="I150">
        <v>0.2</v>
      </c>
      <c r="J150">
        <v>0.6</v>
      </c>
      <c r="K150">
        <v>0.2</v>
      </c>
      <c r="L150">
        <v>0</v>
      </c>
      <c r="M150">
        <v>1</v>
      </c>
      <c r="N150">
        <v>0.82</v>
      </c>
      <c r="O150">
        <v>5</v>
      </c>
      <c r="P150">
        <v>2</v>
      </c>
      <c r="Q150">
        <v>4</v>
      </c>
      <c r="R150">
        <v>3</v>
      </c>
      <c r="S150">
        <v>67440</v>
      </c>
      <c r="T150">
        <v>1296.72</v>
      </c>
      <c r="U150" t="s">
        <v>990</v>
      </c>
      <c r="V150" t="s">
        <v>991</v>
      </c>
      <c r="W150" t="s">
        <v>992</v>
      </c>
      <c r="X150" t="s">
        <v>131</v>
      </c>
      <c r="Y150" t="s">
        <v>993</v>
      </c>
      <c r="Z150" s="70">
        <f>I150*'Dynamic Analysis Dashboard'!$B$8*'Dynamic Analysis Dashboard'!$B$9*'Dynamic Analysis Dashboard'!$B$21</f>
        <v>0.13500000000000001</v>
      </c>
      <c r="AA150" s="75">
        <f>J150*'Dynamic Analysis Dashboard'!$B$8*'Dynamic Analysis Dashboard'!$B$9*'Dynamic Analysis Dashboard'!$B$21</f>
        <v>0.40500000000000003</v>
      </c>
      <c r="AB150" s="80">
        <f>K150*'Dynamic Analysis Dashboard'!$B$10*'Dynamic Analysis Dashboard'!$B$9*'Dynamic Analysis Dashboard'!$B$21</f>
        <v>0.12000000000000002</v>
      </c>
      <c r="AC150" s="85">
        <f>L150*'Dynamic Analysis Dashboard'!$B$11*'Dynamic Analysis Dashboard'!$B$9*'Dynamic Analysis Dashboard'!$B$21</f>
        <v>0</v>
      </c>
      <c r="AD150" s="120">
        <f t="shared" si="4"/>
        <v>0.66</v>
      </c>
      <c r="AE150" s="121">
        <f t="shared" si="5"/>
        <v>0.54120000000000001</v>
      </c>
    </row>
    <row r="151" spans="1:31" hidden="1" x14ac:dyDescent="0.2">
      <c r="A151" t="s">
        <v>100</v>
      </c>
      <c r="B151" t="s">
        <v>186</v>
      </c>
      <c r="C151" t="s">
        <v>994</v>
      </c>
      <c r="D151" t="s">
        <v>250</v>
      </c>
      <c r="E151" t="s">
        <v>995</v>
      </c>
      <c r="F151" t="s">
        <v>589</v>
      </c>
      <c r="G151" t="s">
        <v>31</v>
      </c>
      <c r="H151" t="s">
        <v>25</v>
      </c>
      <c r="I151">
        <v>0.4</v>
      </c>
      <c r="J151">
        <v>0</v>
      </c>
      <c r="K151">
        <v>0.1</v>
      </c>
      <c r="L151">
        <v>0.7</v>
      </c>
      <c r="M151">
        <v>1.2</v>
      </c>
      <c r="N151">
        <v>0.83</v>
      </c>
      <c r="O151">
        <v>5</v>
      </c>
      <c r="P151">
        <v>2</v>
      </c>
      <c r="Q151">
        <v>4</v>
      </c>
      <c r="R151">
        <v>3</v>
      </c>
      <c r="S151">
        <v>36096</v>
      </c>
      <c r="T151">
        <v>802.94399999999996</v>
      </c>
      <c r="U151" t="s">
        <v>996</v>
      </c>
      <c r="V151" t="s">
        <v>129</v>
      </c>
      <c r="W151" t="s">
        <v>997</v>
      </c>
      <c r="X151" t="s">
        <v>998</v>
      </c>
      <c r="Y151" t="s">
        <v>999</v>
      </c>
      <c r="Z151" s="70">
        <f>I151*'Dynamic Analysis Dashboard'!$B$8*'Dynamic Analysis Dashboard'!$B$9*'Dynamic Analysis Dashboard'!$B$21</f>
        <v>0.27</v>
      </c>
      <c r="AA151" s="75">
        <f>J151*'Dynamic Analysis Dashboard'!$B$8*'Dynamic Analysis Dashboard'!$B$9*'Dynamic Analysis Dashboard'!$B$21</f>
        <v>0</v>
      </c>
      <c r="AB151" s="80">
        <f>K151*'Dynamic Analysis Dashboard'!$B$10*'Dynamic Analysis Dashboard'!$B$9*'Dynamic Analysis Dashboard'!$B$21</f>
        <v>6.0000000000000012E-2</v>
      </c>
      <c r="AC151" s="85">
        <f>L151*'Dynamic Analysis Dashboard'!$B$11*'Dynamic Analysis Dashboard'!$B$9*'Dynamic Analysis Dashboard'!$B$21</f>
        <v>0.44624999999999998</v>
      </c>
      <c r="AD151" s="120">
        <f t="shared" si="4"/>
        <v>0.77625</v>
      </c>
      <c r="AE151" s="121">
        <f t="shared" si="5"/>
        <v>0.64428750000000001</v>
      </c>
    </row>
    <row r="152" spans="1:31" x14ac:dyDescent="0.2">
      <c r="A152" t="s">
        <v>98</v>
      </c>
      <c r="B152" t="s">
        <v>141</v>
      </c>
      <c r="C152" t="s">
        <v>1000</v>
      </c>
      <c r="D152" t="s">
        <v>1001</v>
      </c>
      <c r="E152" t="s">
        <v>1002</v>
      </c>
      <c r="F152" t="s">
        <v>1003</v>
      </c>
      <c r="G152" t="s">
        <v>24</v>
      </c>
      <c r="H152" t="s">
        <v>33</v>
      </c>
      <c r="I152">
        <v>1.8000000000000001E-6</v>
      </c>
      <c r="J152">
        <v>2.3E-6</v>
      </c>
      <c r="K152">
        <v>0</v>
      </c>
      <c r="L152">
        <v>0</v>
      </c>
      <c r="M152">
        <v>4.0999999999999997E-6</v>
      </c>
      <c r="N152">
        <v>0.8</v>
      </c>
      <c r="O152">
        <v>9</v>
      </c>
      <c r="P152">
        <v>4</v>
      </c>
      <c r="Q152">
        <v>3</v>
      </c>
      <c r="R152">
        <v>4</v>
      </c>
      <c r="S152">
        <v>2600</v>
      </c>
      <c r="T152">
        <v>1.9</v>
      </c>
      <c r="U152" t="s">
        <v>1004</v>
      </c>
      <c r="V152" t="s">
        <v>1005</v>
      </c>
      <c r="W152" t="s">
        <v>130</v>
      </c>
      <c r="X152" t="s">
        <v>131</v>
      </c>
      <c r="Y152" t="s">
        <v>1006</v>
      </c>
      <c r="Z152" s="70">
        <f>I152*'Dynamic Analysis Dashboard'!$B$8*'Dynamic Analysis Dashboard'!$B$9*'Dynamic Analysis Dashboard'!$B$21</f>
        <v>1.2150000000000002E-6</v>
      </c>
      <c r="AA152" s="75">
        <f>J152*'Dynamic Analysis Dashboard'!$B$8*'Dynamic Analysis Dashboard'!$B$9*'Dynamic Analysis Dashboard'!$B$21</f>
        <v>1.5525E-6</v>
      </c>
      <c r="AB152" s="80">
        <f>K152*'Dynamic Analysis Dashboard'!$B$10*'Dynamic Analysis Dashboard'!$B$9*'Dynamic Analysis Dashboard'!$B$21</f>
        <v>0</v>
      </c>
      <c r="AC152" s="85">
        <f>L152*'Dynamic Analysis Dashboard'!$B$11*'Dynamic Analysis Dashboard'!$B$9*'Dynamic Analysis Dashboard'!$B$21</f>
        <v>0</v>
      </c>
      <c r="AD152" s="120">
        <f t="shared" si="4"/>
        <v>2.7675000000000002E-6</v>
      </c>
      <c r="AE152" s="121">
        <f t="shared" si="5"/>
        <v>2.2140000000000003E-6</v>
      </c>
    </row>
    <row r="153" spans="1:31" hidden="1" x14ac:dyDescent="0.2">
      <c r="A153" t="s">
        <v>98</v>
      </c>
      <c r="B153" t="s">
        <v>123</v>
      </c>
      <c r="C153" t="s">
        <v>1007</v>
      </c>
      <c r="D153" t="s">
        <v>464</v>
      </c>
      <c r="E153" t="s">
        <v>1008</v>
      </c>
      <c r="F153" t="s">
        <v>357</v>
      </c>
      <c r="G153" t="s">
        <v>24</v>
      </c>
      <c r="H153" t="s">
        <v>28</v>
      </c>
      <c r="I153">
        <v>0</v>
      </c>
      <c r="J153">
        <v>0</v>
      </c>
      <c r="K153">
        <v>3.0000000000000001E-6</v>
      </c>
      <c r="L153">
        <v>0</v>
      </c>
      <c r="M153">
        <v>3.0000000000000001E-6</v>
      </c>
      <c r="N153">
        <v>0.75</v>
      </c>
      <c r="O153">
        <v>6</v>
      </c>
      <c r="P153">
        <v>3</v>
      </c>
      <c r="Q153">
        <v>2</v>
      </c>
      <c r="R153">
        <v>3</v>
      </c>
      <c r="S153">
        <v>1800</v>
      </c>
      <c r="T153">
        <v>1.4</v>
      </c>
      <c r="U153" t="s">
        <v>1009</v>
      </c>
      <c r="V153" t="s">
        <v>129</v>
      </c>
      <c r="W153" t="s">
        <v>1010</v>
      </c>
      <c r="X153" t="s">
        <v>131</v>
      </c>
      <c r="Y153" t="s">
        <v>1011</v>
      </c>
      <c r="Z153" s="70">
        <f>I153*'Dynamic Analysis Dashboard'!$B$8*'Dynamic Analysis Dashboard'!$B$9*'Dynamic Analysis Dashboard'!$B$21</f>
        <v>0</v>
      </c>
      <c r="AA153" s="75">
        <f>J153*'Dynamic Analysis Dashboard'!$B$8*'Dynamic Analysis Dashboard'!$B$9*'Dynamic Analysis Dashboard'!$B$21</f>
        <v>0</v>
      </c>
      <c r="AB153" s="80">
        <f>K153*'Dynamic Analysis Dashboard'!$B$10*'Dynamic Analysis Dashboard'!$B$9*'Dynamic Analysis Dashboard'!$B$21</f>
        <v>1.8000000000000001E-6</v>
      </c>
      <c r="AC153" s="85">
        <f>L153*'Dynamic Analysis Dashboard'!$B$11*'Dynamic Analysis Dashboard'!$B$9*'Dynamic Analysis Dashboard'!$B$21</f>
        <v>0</v>
      </c>
      <c r="AD153" s="120">
        <f t="shared" si="4"/>
        <v>1.8000000000000001E-6</v>
      </c>
      <c r="AE153" s="121">
        <f t="shared" si="5"/>
        <v>1.3500000000000002E-6</v>
      </c>
    </row>
    <row r="154" spans="1:31" x14ac:dyDescent="0.2">
      <c r="A154" t="s">
        <v>98</v>
      </c>
      <c r="B154" t="s">
        <v>156</v>
      </c>
      <c r="C154" t="s">
        <v>1012</v>
      </c>
      <c r="D154" t="s">
        <v>1013</v>
      </c>
      <c r="E154" t="s">
        <v>1014</v>
      </c>
      <c r="F154" t="s">
        <v>489</v>
      </c>
      <c r="G154" t="s">
        <v>24</v>
      </c>
      <c r="H154" t="s">
        <v>28</v>
      </c>
      <c r="I154">
        <v>2.1000000000000002E-6</v>
      </c>
      <c r="J154">
        <v>0</v>
      </c>
      <c r="K154">
        <v>0</v>
      </c>
      <c r="L154">
        <v>0</v>
      </c>
      <c r="M154">
        <v>2.1000000000000002E-6</v>
      </c>
      <c r="N154">
        <v>0.7</v>
      </c>
      <c r="O154">
        <v>5</v>
      </c>
      <c r="P154">
        <v>2</v>
      </c>
      <c r="Q154">
        <v>2</v>
      </c>
      <c r="R154">
        <v>2</v>
      </c>
      <c r="S154">
        <v>3600</v>
      </c>
      <c r="T154">
        <v>2.9</v>
      </c>
      <c r="U154" t="s">
        <v>1015</v>
      </c>
      <c r="V154" t="s">
        <v>129</v>
      </c>
      <c r="W154" t="s">
        <v>130</v>
      </c>
      <c r="X154" t="s">
        <v>131</v>
      </c>
      <c r="Y154" t="s">
        <v>1016</v>
      </c>
      <c r="Z154" s="70">
        <f>I154*'Dynamic Analysis Dashboard'!$B$8*'Dynamic Analysis Dashboard'!$B$9*'Dynamic Analysis Dashboard'!$B$21</f>
        <v>1.4175000000000002E-6</v>
      </c>
      <c r="AA154" s="75">
        <f>J154*'Dynamic Analysis Dashboard'!$B$8*'Dynamic Analysis Dashboard'!$B$9*'Dynamic Analysis Dashboard'!$B$21</f>
        <v>0</v>
      </c>
      <c r="AB154" s="80">
        <f>K154*'Dynamic Analysis Dashboard'!$B$10*'Dynamic Analysis Dashboard'!$B$9*'Dynamic Analysis Dashboard'!$B$21</f>
        <v>0</v>
      </c>
      <c r="AC154" s="85">
        <f>L154*'Dynamic Analysis Dashboard'!$B$11*'Dynamic Analysis Dashboard'!$B$9*'Dynamic Analysis Dashboard'!$B$21</f>
        <v>0</v>
      </c>
      <c r="AD154" s="120">
        <f t="shared" si="4"/>
        <v>1.4175000000000002E-6</v>
      </c>
      <c r="AE154" s="121">
        <f t="shared" si="5"/>
        <v>9.9225000000000011E-7</v>
      </c>
    </row>
    <row r="155" spans="1:31" hidden="1" x14ac:dyDescent="0.2">
      <c r="A155" t="s">
        <v>98</v>
      </c>
      <c r="B155" t="s">
        <v>149</v>
      </c>
      <c r="C155" t="s">
        <v>1017</v>
      </c>
      <c r="D155" t="s">
        <v>125</v>
      </c>
      <c r="E155" t="s">
        <v>709</v>
      </c>
      <c r="F155" t="s">
        <v>489</v>
      </c>
      <c r="G155" t="s">
        <v>38</v>
      </c>
      <c r="H155" t="s">
        <v>33</v>
      </c>
      <c r="I155">
        <v>1.7E-6</v>
      </c>
      <c r="J155">
        <v>0</v>
      </c>
      <c r="K155">
        <v>0</v>
      </c>
      <c r="L155">
        <v>0</v>
      </c>
      <c r="M155">
        <v>1.7E-6</v>
      </c>
      <c r="N155">
        <v>0.8</v>
      </c>
      <c r="O155">
        <v>6</v>
      </c>
      <c r="P155">
        <v>3</v>
      </c>
      <c r="Q155">
        <v>2</v>
      </c>
      <c r="R155">
        <v>3</v>
      </c>
      <c r="S155">
        <v>10800</v>
      </c>
      <c r="T155">
        <v>7.6</v>
      </c>
      <c r="U155" t="s">
        <v>1018</v>
      </c>
      <c r="V155" t="s">
        <v>129</v>
      </c>
      <c r="W155" t="s">
        <v>130</v>
      </c>
      <c r="X155" t="s">
        <v>131</v>
      </c>
      <c r="Y155" t="s">
        <v>1019</v>
      </c>
      <c r="Z155" s="70">
        <f>I155*'Dynamic Analysis Dashboard'!$B$8*'Dynamic Analysis Dashboard'!$B$9*'Dynamic Analysis Dashboard'!$B$21</f>
        <v>1.1475E-6</v>
      </c>
      <c r="AA155" s="75">
        <f>J155*'Dynamic Analysis Dashboard'!$B$8*'Dynamic Analysis Dashboard'!$B$9*'Dynamic Analysis Dashboard'!$B$21</f>
        <v>0</v>
      </c>
      <c r="AB155" s="80">
        <f>K155*'Dynamic Analysis Dashboard'!$B$10*'Dynamic Analysis Dashboard'!$B$9*'Dynamic Analysis Dashboard'!$B$21</f>
        <v>0</v>
      </c>
      <c r="AC155" s="85">
        <f>L155*'Dynamic Analysis Dashboard'!$B$11*'Dynamic Analysis Dashboard'!$B$9*'Dynamic Analysis Dashboard'!$B$21</f>
        <v>0</v>
      </c>
      <c r="AD155" s="120">
        <f t="shared" si="4"/>
        <v>1.1475E-6</v>
      </c>
      <c r="AE155" s="121">
        <f t="shared" si="5"/>
        <v>9.1800000000000004E-7</v>
      </c>
    </row>
    <row r="156" spans="1:31" hidden="1" x14ac:dyDescent="0.2">
      <c r="A156" t="s">
        <v>98</v>
      </c>
      <c r="B156" t="s">
        <v>133</v>
      </c>
      <c r="C156" t="s">
        <v>1020</v>
      </c>
      <c r="D156" t="s">
        <v>437</v>
      </c>
      <c r="E156" t="s">
        <v>1021</v>
      </c>
      <c r="F156" t="s">
        <v>338</v>
      </c>
      <c r="G156" t="s">
        <v>31</v>
      </c>
      <c r="H156" t="s">
        <v>25</v>
      </c>
      <c r="I156">
        <v>1.3E-6</v>
      </c>
      <c r="J156">
        <v>3.7999999999999996E-6</v>
      </c>
      <c r="K156">
        <v>0</v>
      </c>
      <c r="L156">
        <v>0</v>
      </c>
      <c r="M156">
        <v>5.0999999999999995E-6</v>
      </c>
      <c r="N156">
        <v>0.75</v>
      </c>
      <c r="O156">
        <v>6</v>
      </c>
      <c r="P156">
        <v>3</v>
      </c>
      <c r="Q156">
        <v>3</v>
      </c>
      <c r="R156">
        <v>2</v>
      </c>
      <c r="S156">
        <v>800</v>
      </c>
      <c r="T156">
        <v>3.9</v>
      </c>
      <c r="U156" t="s">
        <v>1022</v>
      </c>
      <c r="V156" t="s">
        <v>1023</v>
      </c>
      <c r="W156" t="s">
        <v>130</v>
      </c>
      <c r="X156" t="s">
        <v>131</v>
      </c>
      <c r="Y156" t="s">
        <v>1024</v>
      </c>
      <c r="Z156" s="70">
        <f>I156*'Dynamic Analysis Dashboard'!$B$8*'Dynamic Analysis Dashboard'!$B$9*'Dynamic Analysis Dashboard'!$B$21</f>
        <v>8.7750000000000007E-7</v>
      </c>
      <c r="AA156" s="75">
        <f>J156*'Dynamic Analysis Dashboard'!$B$8*'Dynamic Analysis Dashboard'!$B$9*'Dynamic Analysis Dashboard'!$B$21</f>
        <v>2.565E-6</v>
      </c>
      <c r="AB156" s="80">
        <f>K156*'Dynamic Analysis Dashboard'!$B$10*'Dynamic Analysis Dashboard'!$B$9*'Dynamic Analysis Dashboard'!$B$21</f>
        <v>0</v>
      </c>
      <c r="AC156" s="85">
        <f>L156*'Dynamic Analysis Dashboard'!$B$11*'Dynamic Analysis Dashboard'!$B$9*'Dynamic Analysis Dashboard'!$B$21</f>
        <v>0</v>
      </c>
      <c r="AD156" s="120">
        <f t="shared" si="4"/>
        <v>3.4425000000000001E-6</v>
      </c>
      <c r="AE156" s="121">
        <f t="shared" si="5"/>
        <v>2.5818750000000002E-6</v>
      </c>
    </row>
    <row r="157" spans="1:31" hidden="1" x14ac:dyDescent="0.2">
      <c r="A157" t="s">
        <v>98</v>
      </c>
      <c r="B157" t="s">
        <v>164</v>
      </c>
      <c r="C157" t="s">
        <v>1025</v>
      </c>
      <c r="D157" t="s">
        <v>1026</v>
      </c>
      <c r="E157" t="s">
        <v>1027</v>
      </c>
      <c r="F157" t="s">
        <v>495</v>
      </c>
      <c r="G157" t="s">
        <v>38</v>
      </c>
      <c r="H157" t="s">
        <v>311</v>
      </c>
      <c r="I157">
        <v>0.6</v>
      </c>
      <c r="J157">
        <v>0</v>
      </c>
      <c r="K157">
        <v>0.2</v>
      </c>
      <c r="L157">
        <v>0</v>
      </c>
      <c r="M157">
        <v>0.8</v>
      </c>
      <c r="N157">
        <v>0.8</v>
      </c>
      <c r="O157">
        <v>5</v>
      </c>
      <c r="P157">
        <v>2</v>
      </c>
      <c r="Q157">
        <v>2</v>
      </c>
      <c r="R157">
        <v>3</v>
      </c>
      <c r="S157">
        <v>770</v>
      </c>
      <c r="T157">
        <v>1.7</v>
      </c>
      <c r="U157" t="s">
        <v>1028</v>
      </c>
      <c r="V157" t="s">
        <v>129</v>
      </c>
      <c r="W157" t="s">
        <v>1029</v>
      </c>
      <c r="X157" t="s">
        <v>131</v>
      </c>
      <c r="Y157" t="s">
        <v>1030</v>
      </c>
      <c r="Z157" s="70">
        <f>I157*'Dynamic Analysis Dashboard'!$B$8*'Dynamic Analysis Dashboard'!$B$9*'Dynamic Analysis Dashboard'!$B$21</f>
        <v>0.40500000000000003</v>
      </c>
      <c r="AA157" s="75">
        <f>J157*'Dynamic Analysis Dashboard'!$B$8*'Dynamic Analysis Dashboard'!$B$9*'Dynamic Analysis Dashboard'!$B$21</f>
        <v>0</v>
      </c>
      <c r="AB157" s="80">
        <f>K157*'Dynamic Analysis Dashboard'!$B$10*'Dynamic Analysis Dashboard'!$B$9*'Dynamic Analysis Dashboard'!$B$21</f>
        <v>0.12000000000000002</v>
      </c>
      <c r="AC157" s="85">
        <f>L157*'Dynamic Analysis Dashboard'!$B$11*'Dynamic Analysis Dashboard'!$B$9*'Dynamic Analysis Dashboard'!$B$21</f>
        <v>0</v>
      </c>
      <c r="AD157" s="120">
        <f t="shared" si="4"/>
        <v>0.52500000000000002</v>
      </c>
      <c r="AE157" s="121">
        <f t="shared" si="5"/>
        <v>0.42000000000000004</v>
      </c>
    </row>
    <row r="158" spans="1:31" hidden="1" x14ac:dyDescent="0.2">
      <c r="A158" t="s">
        <v>98</v>
      </c>
      <c r="B158" t="s">
        <v>172</v>
      </c>
      <c r="C158" t="s">
        <v>1031</v>
      </c>
      <c r="D158" t="s">
        <v>174</v>
      </c>
      <c r="E158" t="s">
        <v>1032</v>
      </c>
      <c r="F158" t="s">
        <v>267</v>
      </c>
      <c r="G158" t="s">
        <v>38</v>
      </c>
      <c r="H158" t="s">
        <v>311</v>
      </c>
      <c r="I158">
        <v>0.9</v>
      </c>
      <c r="J158">
        <v>0</v>
      </c>
      <c r="K158">
        <v>0</v>
      </c>
      <c r="L158">
        <v>0.4</v>
      </c>
      <c r="M158">
        <v>1.3E-6</v>
      </c>
      <c r="N158">
        <v>0.8</v>
      </c>
      <c r="O158">
        <v>6</v>
      </c>
      <c r="P158">
        <v>3</v>
      </c>
      <c r="Q158">
        <v>3</v>
      </c>
      <c r="R158">
        <v>3</v>
      </c>
      <c r="S158">
        <v>1820</v>
      </c>
      <c r="T158">
        <v>1.9</v>
      </c>
      <c r="U158" t="s">
        <v>1033</v>
      </c>
      <c r="V158" t="s">
        <v>129</v>
      </c>
      <c r="W158" t="s">
        <v>130</v>
      </c>
      <c r="X158" t="s">
        <v>1034</v>
      </c>
      <c r="Y158" t="s">
        <v>1035</v>
      </c>
      <c r="Z158" s="70">
        <f>I158*'Dynamic Analysis Dashboard'!$B$8*'Dynamic Analysis Dashboard'!$B$9*'Dynamic Analysis Dashboard'!$B$21</f>
        <v>0.60750000000000004</v>
      </c>
      <c r="AA158" s="75">
        <f>J158*'Dynamic Analysis Dashboard'!$B$8*'Dynamic Analysis Dashboard'!$B$9*'Dynamic Analysis Dashboard'!$B$21</f>
        <v>0</v>
      </c>
      <c r="AB158" s="80">
        <f>K158*'Dynamic Analysis Dashboard'!$B$10*'Dynamic Analysis Dashboard'!$B$9*'Dynamic Analysis Dashboard'!$B$21</f>
        <v>0</v>
      </c>
      <c r="AC158" s="85">
        <f>L158*'Dynamic Analysis Dashboard'!$B$11*'Dynamic Analysis Dashboard'!$B$9*'Dynamic Analysis Dashboard'!$B$21</f>
        <v>0.255</v>
      </c>
      <c r="AD158" s="120">
        <f t="shared" si="4"/>
        <v>0.86250000000000004</v>
      </c>
      <c r="AE158" s="121">
        <f t="shared" si="5"/>
        <v>0.69000000000000006</v>
      </c>
    </row>
    <row r="159" spans="1:31" hidden="1" x14ac:dyDescent="0.2">
      <c r="A159" t="s">
        <v>98</v>
      </c>
      <c r="B159" t="s">
        <v>179</v>
      </c>
      <c r="C159" t="s">
        <v>1036</v>
      </c>
      <c r="D159" t="s">
        <v>158</v>
      </c>
      <c r="E159" t="s">
        <v>1037</v>
      </c>
      <c r="F159" t="s">
        <v>622</v>
      </c>
      <c r="G159" t="s">
        <v>38</v>
      </c>
      <c r="H159" t="s">
        <v>311</v>
      </c>
      <c r="I159">
        <v>0.9</v>
      </c>
      <c r="J159">
        <v>0</v>
      </c>
      <c r="K159">
        <v>0</v>
      </c>
      <c r="L159">
        <v>0</v>
      </c>
      <c r="M159">
        <v>0.9</v>
      </c>
      <c r="N159">
        <v>0.85</v>
      </c>
      <c r="O159">
        <v>9</v>
      </c>
      <c r="P159">
        <v>4</v>
      </c>
      <c r="Q159">
        <v>1</v>
      </c>
      <c r="R159">
        <v>4</v>
      </c>
      <c r="S159">
        <v>4800</v>
      </c>
      <c r="T159">
        <v>2.9</v>
      </c>
      <c r="U159" t="s">
        <v>1038</v>
      </c>
      <c r="V159" t="s">
        <v>129</v>
      </c>
      <c r="W159" t="s">
        <v>130</v>
      </c>
      <c r="X159" t="s">
        <v>131</v>
      </c>
      <c r="Y159" t="s">
        <v>1039</v>
      </c>
      <c r="Z159" s="70">
        <f>I159*'Dynamic Analysis Dashboard'!$B$8*'Dynamic Analysis Dashboard'!$B$9*'Dynamic Analysis Dashboard'!$B$21</f>
        <v>0.60750000000000004</v>
      </c>
      <c r="AA159" s="75">
        <f>J159*'Dynamic Analysis Dashboard'!$B$8*'Dynamic Analysis Dashboard'!$B$9*'Dynamic Analysis Dashboard'!$B$21</f>
        <v>0</v>
      </c>
      <c r="AB159" s="80">
        <f>K159*'Dynamic Analysis Dashboard'!$B$10*'Dynamic Analysis Dashboard'!$B$9*'Dynamic Analysis Dashboard'!$B$21</f>
        <v>0</v>
      </c>
      <c r="AC159" s="85">
        <f>L159*'Dynamic Analysis Dashboard'!$B$11*'Dynamic Analysis Dashboard'!$B$9*'Dynamic Analysis Dashboard'!$B$21</f>
        <v>0</v>
      </c>
      <c r="AD159" s="120">
        <f t="shared" si="4"/>
        <v>0.60750000000000004</v>
      </c>
      <c r="AE159" s="121">
        <f t="shared" si="5"/>
        <v>0.51637500000000003</v>
      </c>
    </row>
    <row r="160" spans="1:31" hidden="1" x14ac:dyDescent="0.2">
      <c r="A160" t="s">
        <v>98</v>
      </c>
      <c r="B160" t="s">
        <v>186</v>
      </c>
      <c r="C160" t="s">
        <v>1040</v>
      </c>
      <c r="D160" t="s">
        <v>315</v>
      </c>
      <c r="E160" t="s">
        <v>1041</v>
      </c>
      <c r="F160" t="s">
        <v>267</v>
      </c>
      <c r="G160" t="s">
        <v>38</v>
      </c>
      <c r="H160" t="s">
        <v>33</v>
      </c>
      <c r="I160">
        <v>0</v>
      </c>
      <c r="J160">
        <v>0</v>
      </c>
      <c r="K160">
        <v>0</v>
      </c>
      <c r="L160">
        <v>1.8000000000000001E-6</v>
      </c>
      <c r="M160">
        <v>1.8000000000000001E-6</v>
      </c>
      <c r="N160">
        <v>0.7</v>
      </c>
      <c r="O160">
        <v>7</v>
      </c>
      <c r="P160">
        <v>3</v>
      </c>
      <c r="Q160">
        <v>3</v>
      </c>
      <c r="R160">
        <v>3</v>
      </c>
      <c r="S160">
        <v>360</v>
      </c>
      <c r="T160">
        <v>1.2</v>
      </c>
      <c r="U160" t="s">
        <v>1009</v>
      </c>
      <c r="V160" t="s">
        <v>129</v>
      </c>
      <c r="W160" t="s">
        <v>130</v>
      </c>
      <c r="X160" t="s">
        <v>1042</v>
      </c>
      <c r="Y160" t="s">
        <v>1043</v>
      </c>
      <c r="Z160" s="70">
        <f>I160*'Dynamic Analysis Dashboard'!$B$8*'Dynamic Analysis Dashboard'!$B$9*'Dynamic Analysis Dashboard'!$B$21</f>
        <v>0</v>
      </c>
      <c r="AA160" s="75">
        <f>J160*'Dynamic Analysis Dashboard'!$B$8*'Dynamic Analysis Dashboard'!$B$9*'Dynamic Analysis Dashboard'!$B$21</f>
        <v>0</v>
      </c>
      <c r="AB160" s="80">
        <f>K160*'Dynamic Analysis Dashboard'!$B$10*'Dynamic Analysis Dashboard'!$B$9*'Dynamic Analysis Dashboard'!$B$21</f>
        <v>0</v>
      </c>
      <c r="AC160" s="85">
        <f>L160*'Dynamic Analysis Dashboard'!$B$11*'Dynamic Analysis Dashboard'!$B$9*'Dynamic Analysis Dashboard'!$B$21</f>
        <v>1.1475E-6</v>
      </c>
      <c r="AD160" s="120">
        <f t="shared" si="4"/>
        <v>1.1475E-6</v>
      </c>
      <c r="AE160" s="121">
        <f t="shared" si="5"/>
        <v>8.0325E-7</v>
      </c>
    </row>
    <row r="161" spans="1:31" hidden="1" x14ac:dyDescent="0.2">
      <c r="A161" t="s">
        <v>98</v>
      </c>
      <c r="B161" t="s">
        <v>194</v>
      </c>
      <c r="C161" t="s">
        <v>1044</v>
      </c>
      <c r="D161" t="s">
        <v>287</v>
      </c>
      <c r="E161" t="s">
        <v>796</v>
      </c>
      <c r="F161" t="s">
        <v>338</v>
      </c>
      <c r="G161" t="s">
        <v>38</v>
      </c>
      <c r="H161" t="s">
        <v>311</v>
      </c>
      <c r="I161">
        <v>0.4</v>
      </c>
      <c r="J161">
        <v>0</v>
      </c>
      <c r="K161">
        <v>0</v>
      </c>
      <c r="L161">
        <v>0</v>
      </c>
      <c r="M161">
        <v>0.4</v>
      </c>
      <c r="N161">
        <v>0.85</v>
      </c>
      <c r="O161">
        <v>4</v>
      </c>
      <c r="P161">
        <v>2</v>
      </c>
      <c r="Q161">
        <v>3</v>
      </c>
      <c r="R161">
        <v>2</v>
      </c>
      <c r="S161">
        <v>560</v>
      </c>
      <c r="T161">
        <v>1.2</v>
      </c>
      <c r="U161" t="s">
        <v>1045</v>
      </c>
      <c r="V161" t="s">
        <v>129</v>
      </c>
      <c r="W161" t="s">
        <v>130</v>
      </c>
      <c r="X161" t="s">
        <v>131</v>
      </c>
      <c r="Y161" t="s">
        <v>1046</v>
      </c>
      <c r="Z161" s="70">
        <f>I161*'Dynamic Analysis Dashboard'!$B$8*'Dynamic Analysis Dashboard'!$B$9*'Dynamic Analysis Dashboard'!$B$21</f>
        <v>0.27</v>
      </c>
      <c r="AA161" s="75">
        <f>J161*'Dynamic Analysis Dashboard'!$B$8*'Dynamic Analysis Dashboard'!$B$9*'Dynamic Analysis Dashboard'!$B$21</f>
        <v>0</v>
      </c>
      <c r="AB161" s="80">
        <f>K161*'Dynamic Analysis Dashboard'!$B$10*'Dynamic Analysis Dashboard'!$B$9*'Dynamic Analysis Dashboard'!$B$21</f>
        <v>0</v>
      </c>
      <c r="AC161" s="85">
        <f>L161*'Dynamic Analysis Dashboard'!$B$11*'Dynamic Analysis Dashboard'!$B$9*'Dynamic Analysis Dashboard'!$B$21</f>
        <v>0</v>
      </c>
      <c r="AD161" s="120">
        <f t="shared" si="4"/>
        <v>0.27</v>
      </c>
      <c r="AE161" s="121">
        <f t="shared" si="5"/>
        <v>0.22950000000000001</v>
      </c>
    </row>
    <row r="162" spans="1:31" x14ac:dyDescent="0.2">
      <c r="A162" t="s">
        <v>76</v>
      </c>
      <c r="B162" t="s">
        <v>149</v>
      </c>
      <c r="C162" t="s">
        <v>1047</v>
      </c>
      <c r="D162" t="s">
        <v>125</v>
      </c>
      <c r="E162" t="s">
        <v>1048</v>
      </c>
      <c r="F162" t="s">
        <v>215</v>
      </c>
      <c r="G162" t="s">
        <v>24</v>
      </c>
      <c r="H162" t="s">
        <v>224</v>
      </c>
      <c r="I162">
        <v>2.3999999999999999E-6</v>
      </c>
      <c r="J162">
        <v>0</v>
      </c>
      <c r="K162">
        <v>0</v>
      </c>
      <c r="L162">
        <v>0</v>
      </c>
      <c r="M162">
        <v>2.3999999999999999E-6</v>
      </c>
      <c r="N162">
        <v>0.75</v>
      </c>
      <c r="O162">
        <v>7</v>
      </c>
      <c r="P162">
        <v>3</v>
      </c>
      <c r="Q162">
        <v>2</v>
      </c>
      <c r="R162">
        <v>3</v>
      </c>
      <c r="S162">
        <v>136800</v>
      </c>
      <c r="T162">
        <v>1584</v>
      </c>
      <c r="U162" t="s">
        <v>1049</v>
      </c>
      <c r="V162" t="s">
        <v>129</v>
      </c>
      <c r="W162" t="s">
        <v>682</v>
      </c>
      <c r="X162" t="s">
        <v>131</v>
      </c>
      <c r="Y162" t="s">
        <v>1050</v>
      </c>
      <c r="Z162" s="70">
        <f>I162*'Dynamic Analysis Dashboard'!$B$8*'Dynamic Analysis Dashboard'!$B$9*'Dynamic Analysis Dashboard'!$B$21</f>
        <v>1.6200000000000002E-6</v>
      </c>
      <c r="AA162" s="75">
        <f>J162*'Dynamic Analysis Dashboard'!$B$8*'Dynamic Analysis Dashboard'!$B$9*'Dynamic Analysis Dashboard'!$B$21</f>
        <v>0</v>
      </c>
      <c r="AB162" s="80">
        <f>K162*'Dynamic Analysis Dashboard'!$B$10*'Dynamic Analysis Dashboard'!$B$9*'Dynamic Analysis Dashboard'!$B$21</f>
        <v>0</v>
      </c>
      <c r="AC162" s="85">
        <f>L162*'Dynamic Analysis Dashboard'!$B$11*'Dynamic Analysis Dashboard'!$B$9*'Dynamic Analysis Dashboard'!$B$21</f>
        <v>0</v>
      </c>
      <c r="AD162" s="120">
        <f t="shared" si="4"/>
        <v>1.6200000000000002E-6</v>
      </c>
      <c r="AE162" s="121">
        <f t="shared" si="5"/>
        <v>1.2150000000000002E-6</v>
      </c>
    </row>
    <row r="163" spans="1:31" x14ac:dyDescent="0.2">
      <c r="A163" t="s">
        <v>76</v>
      </c>
      <c r="B163" t="s">
        <v>133</v>
      </c>
      <c r="C163" t="s">
        <v>1051</v>
      </c>
      <c r="D163" t="s">
        <v>464</v>
      </c>
      <c r="E163" t="s">
        <v>693</v>
      </c>
      <c r="F163" t="s">
        <v>198</v>
      </c>
      <c r="G163" t="s">
        <v>24</v>
      </c>
      <c r="H163" t="s">
        <v>224</v>
      </c>
      <c r="I163">
        <v>0.62</v>
      </c>
      <c r="J163">
        <v>0</v>
      </c>
      <c r="K163">
        <v>1.5E-6</v>
      </c>
      <c r="L163">
        <v>0</v>
      </c>
      <c r="M163">
        <v>2.1000000000000002E-6</v>
      </c>
      <c r="N163">
        <v>0.7</v>
      </c>
      <c r="O163">
        <v>8</v>
      </c>
      <c r="P163">
        <v>3</v>
      </c>
      <c r="Q163">
        <v>2</v>
      </c>
      <c r="R163">
        <v>3</v>
      </c>
      <c r="S163">
        <v>6180</v>
      </c>
      <c r="T163">
        <v>1386</v>
      </c>
      <c r="U163" t="s">
        <v>1052</v>
      </c>
      <c r="V163" t="s">
        <v>129</v>
      </c>
      <c r="W163" t="s">
        <v>1053</v>
      </c>
      <c r="X163" t="s">
        <v>131</v>
      </c>
      <c r="Y163" t="s">
        <v>1054</v>
      </c>
      <c r="Z163" s="70">
        <f>I163*'Dynamic Analysis Dashboard'!$B$8*'Dynamic Analysis Dashboard'!$B$9*'Dynamic Analysis Dashboard'!$B$21</f>
        <v>0.41850000000000004</v>
      </c>
      <c r="AA163" s="75">
        <f>J163*'Dynamic Analysis Dashboard'!$B$8*'Dynamic Analysis Dashboard'!$B$9*'Dynamic Analysis Dashboard'!$B$21</f>
        <v>0</v>
      </c>
      <c r="AB163" s="80">
        <f>K163*'Dynamic Analysis Dashboard'!$B$10*'Dynamic Analysis Dashboard'!$B$9*'Dynamic Analysis Dashboard'!$B$21</f>
        <v>9.0000000000000007E-7</v>
      </c>
      <c r="AC163" s="85">
        <f>L163*'Dynamic Analysis Dashboard'!$B$11*'Dynamic Analysis Dashboard'!$B$9*'Dynamic Analysis Dashboard'!$B$21</f>
        <v>0</v>
      </c>
      <c r="AD163" s="120">
        <f t="shared" si="4"/>
        <v>0.41850090000000006</v>
      </c>
      <c r="AE163" s="121">
        <f t="shared" si="5"/>
        <v>0.29295063000000005</v>
      </c>
    </row>
    <row r="164" spans="1:31" hidden="1" x14ac:dyDescent="0.2">
      <c r="A164" t="s">
        <v>76</v>
      </c>
      <c r="B164" t="s">
        <v>172</v>
      </c>
      <c r="C164" t="s">
        <v>1055</v>
      </c>
      <c r="D164" t="s">
        <v>166</v>
      </c>
      <c r="E164" t="s">
        <v>802</v>
      </c>
      <c r="F164" t="s">
        <v>145</v>
      </c>
      <c r="G164" t="s">
        <v>24</v>
      </c>
      <c r="H164" t="s">
        <v>207</v>
      </c>
      <c r="I164">
        <v>0</v>
      </c>
      <c r="J164">
        <v>0</v>
      </c>
      <c r="K164">
        <v>0</v>
      </c>
      <c r="L164">
        <v>2.7999999999999999E-6</v>
      </c>
      <c r="M164">
        <v>2.7999999999999999E-6</v>
      </c>
      <c r="N164">
        <v>0.65</v>
      </c>
      <c r="O164">
        <v>5</v>
      </c>
      <c r="P164">
        <v>2</v>
      </c>
      <c r="Q164">
        <v>3</v>
      </c>
      <c r="R164">
        <v>2</v>
      </c>
      <c r="S164">
        <v>451</v>
      </c>
      <c r="T164">
        <v>891</v>
      </c>
      <c r="U164" t="s">
        <v>318</v>
      </c>
      <c r="V164" t="s">
        <v>129</v>
      </c>
      <c r="W164" t="s">
        <v>682</v>
      </c>
      <c r="X164" t="s">
        <v>1056</v>
      </c>
      <c r="Y164" t="s">
        <v>1057</v>
      </c>
      <c r="Z164" s="70">
        <f>I164*'Dynamic Analysis Dashboard'!$B$8*'Dynamic Analysis Dashboard'!$B$9*'Dynamic Analysis Dashboard'!$B$21</f>
        <v>0</v>
      </c>
      <c r="AA164" s="75">
        <f>J164*'Dynamic Analysis Dashboard'!$B$8*'Dynamic Analysis Dashboard'!$B$9*'Dynamic Analysis Dashboard'!$B$21</f>
        <v>0</v>
      </c>
      <c r="AB164" s="80">
        <f>K164*'Dynamic Analysis Dashboard'!$B$10*'Dynamic Analysis Dashboard'!$B$9*'Dynamic Analysis Dashboard'!$B$21</f>
        <v>0</v>
      </c>
      <c r="AC164" s="85">
        <f>L164*'Dynamic Analysis Dashboard'!$B$11*'Dynamic Analysis Dashboard'!$B$9*'Dynamic Analysis Dashboard'!$B$21</f>
        <v>1.7849999999999999E-6</v>
      </c>
      <c r="AD164" s="120">
        <f t="shared" si="4"/>
        <v>1.7849999999999999E-6</v>
      </c>
      <c r="AE164" s="121">
        <f t="shared" si="5"/>
        <v>1.16025E-6</v>
      </c>
    </row>
    <row r="165" spans="1:31" x14ac:dyDescent="0.2">
      <c r="A165" t="s">
        <v>76</v>
      </c>
      <c r="B165" t="s">
        <v>179</v>
      </c>
      <c r="C165" t="s">
        <v>1058</v>
      </c>
      <c r="D165" t="s">
        <v>158</v>
      </c>
      <c r="E165" t="s">
        <v>1059</v>
      </c>
      <c r="F165" t="s">
        <v>622</v>
      </c>
      <c r="G165" t="s">
        <v>24</v>
      </c>
      <c r="H165" t="s">
        <v>207</v>
      </c>
      <c r="I165">
        <v>0.91</v>
      </c>
      <c r="J165">
        <v>0</v>
      </c>
      <c r="K165">
        <v>0</v>
      </c>
      <c r="L165">
        <v>0</v>
      </c>
      <c r="M165">
        <v>0.9</v>
      </c>
      <c r="N165">
        <v>0.75</v>
      </c>
      <c r="O165">
        <v>6</v>
      </c>
      <c r="P165">
        <v>2</v>
      </c>
      <c r="Q165">
        <v>2</v>
      </c>
      <c r="R165">
        <v>3</v>
      </c>
      <c r="S165">
        <v>705.5</v>
      </c>
      <c r="T165">
        <v>382</v>
      </c>
      <c r="U165" t="s">
        <v>1060</v>
      </c>
      <c r="V165" t="s">
        <v>129</v>
      </c>
      <c r="W165" t="s">
        <v>682</v>
      </c>
      <c r="X165" t="s">
        <v>131</v>
      </c>
      <c r="Y165" t="s">
        <v>1061</v>
      </c>
      <c r="Z165" s="70">
        <f>I165*'Dynamic Analysis Dashboard'!$B$8*'Dynamic Analysis Dashboard'!$B$9*'Dynamic Analysis Dashboard'!$B$21</f>
        <v>0.61425000000000007</v>
      </c>
      <c r="AA165" s="75">
        <f>J165*'Dynamic Analysis Dashboard'!$B$8*'Dynamic Analysis Dashboard'!$B$9*'Dynamic Analysis Dashboard'!$B$21</f>
        <v>0</v>
      </c>
      <c r="AB165" s="80">
        <f>K165*'Dynamic Analysis Dashboard'!$B$10*'Dynamic Analysis Dashboard'!$B$9*'Dynamic Analysis Dashboard'!$B$21</f>
        <v>0</v>
      </c>
      <c r="AC165" s="85">
        <f>L165*'Dynamic Analysis Dashboard'!$B$11*'Dynamic Analysis Dashboard'!$B$9*'Dynamic Analysis Dashboard'!$B$21</f>
        <v>0</v>
      </c>
      <c r="AD165" s="120">
        <f t="shared" si="4"/>
        <v>0.61425000000000007</v>
      </c>
      <c r="AE165" s="121">
        <f t="shared" si="5"/>
        <v>0.46068750000000003</v>
      </c>
    </row>
    <row r="166" spans="1:31" x14ac:dyDescent="0.2">
      <c r="A166" t="s">
        <v>76</v>
      </c>
      <c r="B166" t="s">
        <v>186</v>
      </c>
      <c r="C166" t="s">
        <v>1062</v>
      </c>
      <c r="D166" t="s">
        <v>181</v>
      </c>
      <c r="E166" t="s">
        <v>511</v>
      </c>
      <c r="F166" t="s">
        <v>609</v>
      </c>
      <c r="G166" t="s">
        <v>24</v>
      </c>
      <c r="H166" t="s">
        <v>207</v>
      </c>
      <c r="I166">
        <v>0.72</v>
      </c>
      <c r="J166">
        <v>1.8999999999999998E-6</v>
      </c>
      <c r="K166">
        <v>0</v>
      </c>
      <c r="L166">
        <v>0</v>
      </c>
      <c r="M166">
        <v>2.6000000000000001E-6</v>
      </c>
      <c r="N166">
        <v>0.75</v>
      </c>
      <c r="O166">
        <v>5</v>
      </c>
      <c r="P166">
        <v>2</v>
      </c>
      <c r="Q166">
        <v>3</v>
      </c>
      <c r="R166">
        <v>2</v>
      </c>
      <c r="S166">
        <v>1022</v>
      </c>
      <c r="T166">
        <v>1728</v>
      </c>
      <c r="U166" t="s">
        <v>1063</v>
      </c>
      <c r="V166" t="s">
        <v>1064</v>
      </c>
      <c r="W166" t="s">
        <v>682</v>
      </c>
      <c r="X166" t="s">
        <v>131</v>
      </c>
      <c r="Y166" t="s">
        <v>1065</v>
      </c>
      <c r="Z166" s="70">
        <f>I166*'Dynamic Analysis Dashboard'!$B$8*'Dynamic Analysis Dashboard'!$B$9*'Dynamic Analysis Dashboard'!$B$21</f>
        <v>0.48599999999999999</v>
      </c>
      <c r="AA166" s="75">
        <f>J166*'Dynamic Analysis Dashboard'!$B$8*'Dynamic Analysis Dashboard'!$B$9*'Dynamic Analysis Dashboard'!$B$21</f>
        <v>1.2825E-6</v>
      </c>
      <c r="AB166" s="80">
        <f>K166*'Dynamic Analysis Dashboard'!$B$10*'Dynamic Analysis Dashboard'!$B$9*'Dynamic Analysis Dashboard'!$B$21</f>
        <v>0</v>
      </c>
      <c r="AC166" s="85">
        <f>L166*'Dynamic Analysis Dashboard'!$B$11*'Dynamic Analysis Dashboard'!$B$9*'Dynamic Analysis Dashboard'!$B$21</f>
        <v>0</v>
      </c>
      <c r="AD166" s="120">
        <f t="shared" si="4"/>
        <v>0.48600128249999996</v>
      </c>
      <c r="AE166" s="121">
        <f t="shared" si="5"/>
        <v>0.36450096187499997</v>
      </c>
    </row>
    <row r="167" spans="1:31" x14ac:dyDescent="0.2">
      <c r="A167" t="s">
        <v>76</v>
      </c>
      <c r="B167" t="s">
        <v>194</v>
      </c>
      <c r="C167" t="s">
        <v>1066</v>
      </c>
      <c r="D167" t="s">
        <v>328</v>
      </c>
      <c r="E167" t="s">
        <v>1067</v>
      </c>
      <c r="F167" t="s">
        <v>198</v>
      </c>
      <c r="G167" t="s">
        <v>24</v>
      </c>
      <c r="H167" t="s">
        <v>207</v>
      </c>
      <c r="I167">
        <v>1.1999999999999999E-6</v>
      </c>
      <c r="J167">
        <v>8.4000000000000009E-6</v>
      </c>
      <c r="K167">
        <v>0</v>
      </c>
      <c r="L167">
        <v>0</v>
      </c>
      <c r="M167">
        <v>9.5999999999999996E-6</v>
      </c>
      <c r="N167">
        <v>0.7</v>
      </c>
      <c r="O167">
        <v>9</v>
      </c>
      <c r="P167">
        <v>4</v>
      </c>
      <c r="Q167">
        <v>2</v>
      </c>
      <c r="R167">
        <v>4</v>
      </c>
      <c r="S167">
        <v>17460</v>
      </c>
      <c r="T167">
        <v>1755</v>
      </c>
      <c r="U167" t="s">
        <v>1068</v>
      </c>
      <c r="V167" t="s">
        <v>1069</v>
      </c>
      <c r="W167" t="s">
        <v>682</v>
      </c>
      <c r="X167" t="s">
        <v>131</v>
      </c>
      <c r="Y167" t="s">
        <v>1070</v>
      </c>
      <c r="Z167" s="70">
        <f>I167*'Dynamic Analysis Dashboard'!$B$8*'Dynamic Analysis Dashboard'!$B$9*'Dynamic Analysis Dashboard'!$B$21</f>
        <v>8.1000000000000008E-7</v>
      </c>
      <c r="AA167" s="75">
        <f>J167*'Dynamic Analysis Dashboard'!$B$8*'Dynamic Analysis Dashboard'!$B$9*'Dynamic Analysis Dashboard'!$B$21</f>
        <v>5.6700000000000008E-6</v>
      </c>
      <c r="AB167" s="80">
        <f>K167*'Dynamic Analysis Dashboard'!$B$10*'Dynamic Analysis Dashboard'!$B$9*'Dynamic Analysis Dashboard'!$B$21</f>
        <v>0</v>
      </c>
      <c r="AC167" s="85">
        <f>L167*'Dynamic Analysis Dashboard'!$B$11*'Dynamic Analysis Dashboard'!$B$9*'Dynamic Analysis Dashboard'!$B$21</f>
        <v>0</v>
      </c>
      <c r="AD167" s="120">
        <f t="shared" si="4"/>
        <v>6.4800000000000006E-6</v>
      </c>
      <c r="AE167" s="121">
        <f t="shared" si="5"/>
        <v>4.5360000000000003E-6</v>
      </c>
    </row>
    <row r="168" spans="1:31" hidden="1" x14ac:dyDescent="0.2">
      <c r="A168" t="s">
        <v>76</v>
      </c>
      <c r="B168" t="s">
        <v>141</v>
      </c>
      <c r="C168" t="s">
        <v>1071</v>
      </c>
      <c r="D168" t="s">
        <v>464</v>
      </c>
      <c r="E168" t="s">
        <v>1072</v>
      </c>
      <c r="F168" t="s">
        <v>744</v>
      </c>
      <c r="G168" t="s">
        <v>38</v>
      </c>
      <c r="H168" t="s">
        <v>224</v>
      </c>
      <c r="I168">
        <v>3.6000000000000003E-6</v>
      </c>
      <c r="J168">
        <v>2.7999999999999999E-6</v>
      </c>
      <c r="K168">
        <v>0</v>
      </c>
      <c r="L168">
        <v>0</v>
      </c>
      <c r="M168">
        <v>6.4000000000000006E-6</v>
      </c>
      <c r="N168">
        <v>0.7</v>
      </c>
      <c r="O168">
        <v>9</v>
      </c>
      <c r="P168">
        <v>4</v>
      </c>
      <c r="Q168">
        <v>2</v>
      </c>
      <c r="R168">
        <v>4</v>
      </c>
      <c r="S168">
        <v>43400</v>
      </c>
      <c r="T168">
        <v>915</v>
      </c>
      <c r="U168" t="s">
        <v>1073</v>
      </c>
      <c r="V168" t="s">
        <v>1074</v>
      </c>
      <c r="W168" t="s">
        <v>682</v>
      </c>
      <c r="X168" t="s">
        <v>131</v>
      </c>
      <c r="Y168" t="s">
        <v>1075</v>
      </c>
      <c r="Z168" s="70">
        <f>I168*'Dynamic Analysis Dashboard'!$B$8*'Dynamic Analysis Dashboard'!$B$9*'Dynamic Analysis Dashboard'!$B$21</f>
        <v>2.4300000000000005E-6</v>
      </c>
      <c r="AA168" s="75">
        <f>J168*'Dynamic Analysis Dashboard'!$B$8*'Dynamic Analysis Dashboard'!$B$9*'Dynamic Analysis Dashboard'!$B$21</f>
        <v>1.8900000000000001E-6</v>
      </c>
      <c r="AB168" s="80">
        <f>K168*'Dynamic Analysis Dashboard'!$B$10*'Dynamic Analysis Dashboard'!$B$9*'Dynamic Analysis Dashboard'!$B$21</f>
        <v>0</v>
      </c>
      <c r="AC168" s="85">
        <f>L168*'Dynamic Analysis Dashboard'!$B$11*'Dynamic Analysis Dashboard'!$B$9*'Dynamic Analysis Dashboard'!$B$21</f>
        <v>0</v>
      </c>
      <c r="AD168" s="120">
        <f t="shared" si="4"/>
        <v>4.320000000000001E-6</v>
      </c>
      <c r="AE168" s="121">
        <f t="shared" si="5"/>
        <v>3.0240000000000006E-6</v>
      </c>
    </row>
    <row r="169" spans="1:31" hidden="1" x14ac:dyDescent="0.2">
      <c r="A169" t="s">
        <v>76</v>
      </c>
      <c r="B169" t="s">
        <v>123</v>
      </c>
      <c r="C169" t="s">
        <v>790</v>
      </c>
      <c r="D169" t="s">
        <v>595</v>
      </c>
      <c r="E169" t="s">
        <v>1076</v>
      </c>
      <c r="F169" t="s">
        <v>145</v>
      </c>
      <c r="G169" t="s">
        <v>38</v>
      </c>
      <c r="H169" t="s">
        <v>268</v>
      </c>
      <c r="I169">
        <v>1.13E-5</v>
      </c>
      <c r="J169">
        <v>0</v>
      </c>
      <c r="K169">
        <v>0</v>
      </c>
      <c r="L169">
        <v>1.24E-5</v>
      </c>
      <c r="M169">
        <v>2.37E-5</v>
      </c>
      <c r="N169">
        <v>0.65</v>
      </c>
      <c r="O169">
        <v>15</v>
      </c>
      <c r="P169">
        <v>5</v>
      </c>
      <c r="Q169">
        <v>3</v>
      </c>
      <c r="R169">
        <v>5</v>
      </c>
      <c r="S169">
        <v>70125</v>
      </c>
      <c r="T169">
        <v>2565</v>
      </c>
      <c r="U169" t="s">
        <v>1077</v>
      </c>
      <c r="V169" t="s">
        <v>129</v>
      </c>
      <c r="W169" t="s">
        <v>682</v>
      </c>
      <c r="X169" t="s">
        <v>1078</v>
      </c>
      <c r="Y169" t="s">
        <v>1079</v>
      </c>
      <c r="Z169" s="70">
        <f>I169*'Dynamic Analysis Dashboard'!$B$8*'Dynamic Analysis Dashboard'!$B$9*'Dynamic Analysis Dashboard'!$B$21</f>
        <v>7.6275000000000011E-6</v>
      </c>
      <c r="AA169" s="75">
        <f>J169*'Dynamic Analysis Dashboard'!$B$8*'Dynamic Analysis Dashboard'!$B$9*'Dynamic Analysis Dashboard'!$B$21</f>
        <v>0</v>
      </c>
      <c r="AB169" s="80">
        <f>K169*'Dynamic Analysis Dashboard'!$B$10*'Dynamic Analysis Dashboard'!$B$9*'Dynamic Analysis Dashboard'!$B$21</f>
        <v>0</v>
      </c>
      <c r="AC169" s="85">
        <f>L169*'Dynamic Analysis Dashboard'!$B$11*'Dynamic Analysis Dashboard'!$B$9*'Dynamic Analysis Dashboard'!$B$21</f>
        <v>7.9049999999999997E-6</v>
      </c>
      <c r="AD169" s="120">
        <f t="shared" si="4"/>
        <v>1.5532500000000001E-5</v>
      </c>
      <c r="AE169" s="121">
        <f t="shared" si="5"/>
        <v>1.0096125000000002E-5</v>
      </c>
    </row>
    <row r="170" spans="1:31" hidden="1" x14ac:dyDescent="0.2">
      <c r="A170" t="s">
        <v>76</v>
      </c>
      <c r="B170" t="s">
        <v>156</v>
      </c>
      <c r="C170" t="s">
        <v>1080</v>
      </c>
      <c r="D170" t="s">
        <v>328</v>
      </c>
      <c r="E170" t="s">
        <v>151</v>
      </c>
      <c r="F170" t="s">
        <v>338</v>
      </c>
      <c r="G170" t="s">
        <v>31</v>
      </c>
      <c r="H170" t="s">
        <v>216</v>
      </c>
      <c r="I170">
        <v>1.3999999999999999E-6</v>
      </c>
      <c r="J170">
        <v>1.01E-5</v>
      </c>
      <c r="K170">
        <v>0</v>
      </c>
      <c r="L170">
        <v>0</v>
      </c>
      <c r="M170">
        <v>1.15E-5</v>
      </c>
      <c r="N170">
        <v>0.7</v>
      </c>
      <c r="O170">
        <v>6</v>
      </c>
      <c r="P170">
        <v>3</v>
      </c>
      <c r="Q170">
        <v>3</v>
      </c>
      <c r="R170">
        <v>3</v>
      </c>
      <c r="S170">
        <v>3048</v>
      </c>
      <c r="T170">
        <v>822</v>
      </c>
      <c r="U170" t="s">
        <v>1081</v>
      </c>
      <c r="V170" t="s">
        <v>1082</v>
      </c>
      <c r="W170" t="s">
        <v>682</v>
      </c>
      <c r="X170" t="s">
        <v>131</v>
      </c>
      <c r="Y170" t="s">
        <v>1083</v>
      </c>
      <c r="Z170" s="70">
        <f>I170*'Dynamic Analysis Dashboard'!$B$8*'Dynamic Analysis Dashboard'!$B$9*'Dynamic Analysis Dashboard'!$B$21</f>
        <v>9.4500000000000006E-7</v>
      </c>
      <c r="AA170" s="75">
        <f>J170*'Dynamic Analysis Dashboard'!$B$8*'Dynamic Analysis Dashboard'!$B$9*'Dynamic Analysis Dashboard'!$B$21</f>
        <v>6.8174999999999995E-6</v>
      </c>
      <c r="AB170" s="80">
        <f>K170*'Dynamic Analysis Dashboard'!$B$10*'Dynamic Analysis Dashboard'!$B$9*'Dynamic Analysis Dashboard'!$B$21</f>
        <v>0</v>
      </c>
      <c r="AC170" s="85">
        <f>L170*'Dynamic Analysis Dashboard'!$B$11*'Dynamic Analysis Dashboard'!$B$9*'Dynamic Analysis Dashboard'!$B$21</f>
        <v>0</v>
      </c>
      <c r="AD170" s="120">
        <f t="shared" si="4"/>
        <v>7.7624999999999989E-6</v>
      </c>
      <c r="AE170" s="121">
        <f t="shared" si="5"/>
        <v>5.4337499999999986E-6</v>
      </c>
    </row>
    <row r="171" spans="1:31" hidden="1" x14ac:dyDescent="0.2">
      <c r="A171" t="s">
        <v>76</v>
      </c>
      <c r="B171" t="s">
        <v>164</v>
      </c>
      <c r="C171" t="s">
        <v>1084</v>
      </c>
      <c r="D171" t="s">
        <v>595</v>
      </c>
      <c r="E171" t="s">
        <v>1085</v>
      </c>
      <c r="F171" t="s">
        <v>145</v>
      </c>
      <c r="G171" t="s">
        <v>38</v>
      </c>
      <c r="H171" t="s">
        <v>268</v>
      </c>
      <c r="I171">
        <v>3.9999999999999998E-6</v>
      </c>
      <c r="J171">
        <v>0</v>
      </c>
      <c r="K171">
        <v>0</v>
      </c>
      <c r="L171">
        <v>0</v>
      </c>
      <c r="M171">
        <v>3.9999999999999998E-6</v>
      </c>
      <c r="N171">
        <v>0.65</v>
      </c>
      <c r="O171">
        <v>12</v>
      </c>
      <c r="P171">
        <v>4</v>
      </c>
      <c r="Q171">
        <v>3</v>
      </c>
      <c r="R171">
        <v>4</v>
      </c>
      <c r="S171">
        <v>94530</v>
      </c>
      <c r="T171">
        <v>3492</v>
      </c>
      <c r="U171" t="s">
        <v>1086</v>
      </c>
      <c r="V171" t="s">
        <v>129</v>
      </c>
      <c r="W171" t="s">
        <v>682</v>
      </c>
      <c r="X171" t="s">
        <v>131</v>
      </c>
      <c r="Y171" t="s">
        <v>1087</v>
      </c>
      <c r="Z171" s="70">
        <f>I171*'Dynamic Analysis Dashboard'!$B$8*'Dynamic Analysis Dashboard'!$B$9*'Dynamic Analysis Dashboard'!$B$21</f>
        <v>2.7E-6</v>
      </c>
      <c r="AA171" s="75">
        <f>J171*'Dynamic Analysis Dashboard'!$B$8*'Dynamic Analysis Dashboard'!$B$9*'Dynamic Analysis Dashboard'!$B$21</f>
        <v>0</v>
      </c>
      <c r="AB171" s="80">
        <f>K171*'Dynamic Analysis Dashboard'!$B$10*'Dynamic Analysis Dashboard'!$B$9*'Dynamic Analysis Dashboard'!$B$21</f>
        <v>0</v>
      </c>
      <c r="AC171" s="85">
        <f>L171*'Dynamic Analysis Dashboard'!$B$11*'Dynamic Analysis Dashboard'!$B$9*'Dynamic Analysis Dashboard'!$B$21</f>
        <v>0</v>
      </c>
      <c r="AD171" s="120">
        <f t="shared" si="4"/>
        <v>2.7E-6</v>
      </c>
      <c r="AE171" s="121">
        <f t="shared" si="5"/>
        <v>1.7550000000000001E-6</v>
      </c>
    </row>
    <row r="172" spans="1:31" x14ac:dyDescent="0.2">
      <c r="A172" t="s">
        <v>88</v>
      </c>
      <c r="B172" t="s">
        <v>141</v>
      </c>
      <c r="C172" t="s">
        <v>598</v>
      </c>
      <c r="D172" t="s">
        <v>504</v>
      </c>
      <c r="E172" t="s">
        <v>705</v>
      </c>
      <c r="F172" t="s">
        <v>518</v>
      </c>
      <c r="G172" t="s">
        <v>24</v>
      </c>
      <c r="H172" t="s">
        <v>28</v>
      </c>
      <c r="I172">
        <v>3.6000000000000003E-6</v>
      </c>
      <c r="J172">
        <v>0</v>
      </c>
      <c r="K172">
        <v>0.8</v>
      </c>
      <c r="L172">
        <v>0</v>
      </c>
      <c r="M172">
        <v>4.4000000000000002E-6</v>
      </c>
      <c r="N172">
        <v>0.8</v>
      </c>
      <c r="O172">
        <v>8</v>
      </c>
      <c r="P172">
        <v>4</v>
      </c>
      <c r="Q172">
        <v>2</v>
      </c>
      <c r="R172">
        <v>4</v>
      </c>
      <c r="S172">
        <v>87000</v>
      </c>
      <c r="T172">
        <v>1827</v>
      </c>
      <c r="U172" t="s">
        <v>1088</v>
      </c>
      <c r="V172" t="s">
        <v>129</v>
      </c>
      <c r="W172" t="s">
        <v>1089</v>
      </c>
      <c r="X172" t="s">
        <v>347</v>
      </c>
      <c r="Y172" t="s">
        <v>1090</v>
      </c>
      <c r="Z172" s="70">
        <f>I172*'Dynamic Analysis Dashboard'!$B$8*'Dynamic Analysis Dashboard'!$B$9*'Dynamic Analysis Dashboard'!$B$21</f>
        <v>2.4300000000000005E-6</v>
      </c>
      <c r="AA172" s="75">
        <f>J172*'Dynamic Analysis Dashboard'!$B$8*'Dynamic Analysis Dashboard'!$B$9*'Dynamic Analysis Dashboard'!$B$21</f>
        <v>0</v>
      </c>
      <c r="AB172" s="80">
        <f>K172*'Dynamic Analysis Dashboard'!$B$10*'Dynamic Analysis Dashboard'!$B$9*'Dynamic Analysis Dashboard'!$B$21</f>
        <v>0.48000000000000009</v>
      </c>
      <c r="AC172" s="85">
        <f>L172*'Dynamic Analysis Dashboard'!$B$11*'Dynamic Analysis Dashboard'!$B$9*'Dynamic Analysis Dashboard'!$B$21</f>
        <v>0</v>
      </c>
      <c r="AD172" s="120">
        <f t="shared" si="4"/>
        <v>0.48000243000000009</v>
      </c>
      <c r="AE172" s="121">
        <f t="shared" si="5"/>
        <v>0.38400194400000009</v>
      </c>
    </row>
    <row r="173" spans="1:31" x14ac:dyDescent="0.2">
      <c r="A173" t="s">
        <v>88</v>
      </c>
      <c r="B173" t="s">
        <v>123</v>
      </c>
      <c r="C173" t="s">
        <v>1091</v>
      </c>
      <c r="D173" t="s">
        <v>174</v>
      </c>
      <c r="E173" t="s">
        <v>1092</v>
      </c>
      <c r="F173" t="s">
        <v>145</v>
      </c>
      <c r="G173" t="s">
        <v>24</v>
      </c>
      <c r="H173" t="s">
        <v>33</v>
      </c>
      <c r="I173">
        <v>1.3999999999999999E-6</v>
      </c>
      <c r="J173">
        <v>1.8000000000000001E-6</v>
      </c>
      <c r="K173">
        <v>1.1999999999999999E-6</v>
      </c>
      <c r="L173">
        <v>0</v>
      </c>
      <c r="M173">
        <v>4.4000000000000002E-6</v>
      </c>
      <c r="N173">
        <v>0.75</v>
      </c>
      <c r="O173">
        <v>11</v>
      </c>
      <c r="P173">
        <v>4</v>
      </c>
      <c r="Q173">
        <v>3</v>
      </c>
      <c r="R173">
        <v>4</v>
      </c>
      <c r="S173">
        <v>226050</v>
      </c>
      <c r="T173">
        <v>1017</v>
      </c>
      <c r="U173" t="s">
        <v>1093</v>
      </c>
      <c r="V173" t="s">
        <v>1094</v>
      </c>
      <c r="W173" t="s">
        <v>1095</v>
      </c>
      <c r="X173" t="s">
        <v>347</v>
      </c>
      <c r="Y173" t="s">
        <v>1096</v>
      </c>
      <c r="Z173" s="70">
        <f>I173*'Dynamic Analysis Dashboard'!$B$8*'Dynamic Analysis Dashboard'!$B$9*'Dynamic Analysis Dashboard'!$B$21</f>
        <v>9.4500000000000006E-7</v>
      </c>
      <c r="AA173" s="75">
        <f>J173*'Dynamic Analysis Dashboard'!$B$8*'Dynamic Analysis Dashboard'!$B$9*'Dynamic Analysis Dashboard'!$B$21</f>
        <v>1.2150000000000002E-6</v>
      </c>
      <c r="AB173" s="80">
        <f>K173*'Dynamic Analysis Dashboard'!$B$10*'Dynamic Analysis Dashboard'!$B$9*'Dynamic Analysis Dashboard'!$B$21</f>
        <v>7.1999999999999988E-7</v>
      </c>
      <c r="AC173" s="85">
        <f>L173*'Dynamic Analysis Dashboard'!$B$11*'Dynamic Analysis Dashboard'!$B$9*'Dynamic Analysis Dashboard'!$B$21</f>
        <v>0</v>
      </c>
      <c r="AD173" s="120">
        <f t="shared" si="4"/>
        <v>2.8800000000000004E-6</v>
      </c>
      <c r="AE173" s="121">
        <f t="shared" si="5"/>
        <v>2.1600000000000005E-6</v>
      </c>
    </row>
    <row r="174" spans="1:31" x14ac:dyDescent="0.2">
      <c r="A174" t="s">
        <v>88</v>
      </c>
      <c r="B174" t="s">
        <v>172</v>
      </c>
      <c r="C174" t="s">
        <v>1097</v>
      </c>
      <c r="D174" t="s">
        <v>595</v>
      </c>
      <c r="E174" t="s">
        <v>158</v>
      </c>
      <c r="F174" t="s">
        <v>145</v>
      </c>
      <c r="G174" t="s">
        <v>24</v>
      </c>
      <c r="H174" t="s">
        <v>33</v>
      </c>
      <c r="I174">
        <v>0.5</v>
      </c>
      <c r="J174">
        <v>0</v>
      </c>
      <c r="K174">
        <v>1.8000000000000001E-6</v>
      </c>
      <c r="L174">
        <v>1.8999999999999998E-6</v>
      </c>
      <c r="M174">
        <v>4.2000000000000004E-6</v>
      </c>
      <c r="N174">
        <v>0.7</v>
      </c>
      <c r="O174">
        <v>9</v>
      </c>
      <c r="P174">
        <v>4</v>
      </c>
      <c r="Q174">
        <v>2</v>
      </c>
      <c r="R174">
        <v>4</v>
      </c>
      <c r="S174">
        <v>21000</v>
      </c>
      <c r="T174">
        <v>702</v>
      </c>
      <c r="U174" t="s">
        <v>1098</v>
      </c>
      <c r="V174" t="s">
        <v>129</v>
      </c>
      <c r="W174" t="s">
        <v>1099</v>
      </c>
      <c r="X174" t="s">
        <v>1100</v>
      </c>
      <c r="Y174" t="s">
        <v>1101</v>
      </c>
      <c r="Z174" s="70">
        <f>I174*'Dynamic Analysis Dashboard'!$B$8*'Dynamic Analysis Dashboard'!$B$9*'Dynamic Analysis Dashboard'!$B$21</f>
        <v>0.33750000000000002</v>
      </c>
      <c r="AA174" s="75">
        <f>J174*'Dynamic Analysis Dashboard'!$B$8*'Dynamic Analysis Dashboard'!$B$9*'Dynamic Analysis Dashboard'!$B$21</f>
        <v>0</v>
      </c>
      <c r="AB174" s="80">
        <f>K174*'Dynamic Analysis Dashboard'!$B$10*'Dynamic Analysis Dashboard'!$B$9*'Dynamic Analysis Dashboard'!$B$21</f>
        <v>1.0800000000000002E-6</v>
      </c>
      <c r="AC174" s="85">
        <f>L174*'Dynamic Analysis Dashboard'!$B$11*'Dynamic Analysis Dashboard'!$B$9*'Dynamic Analysis Dashboard'!$B$21</f>
        <v>1.2112499999999998E-6</v>
      </c>
      <c r="AD174" s="120">
        <f t="shared" si="4"/>
        <v>0.33750229125000003</v>
      </c>
      <c r="AE174" s="121">
        <f t="shared" si="5"/>
        <v>0.23625160387499999</v>
      </c>
    </row>
    <row r="175" spans="1:31" x14ac:dyDescent="0.2">
      <c r="A175" t="s">
        <v>88</v>
      </c>
      <c r="B175" t="s">
        <v>179</v>
      </c>
      <c r="C175" t="s">
        <v>1102</v>
      </c>
      <c r="D175" t="s">
        <v>287</v>
      </c>
      <c r="E175" t="s">
        <v>1103</v>
      </c>
      <c r="F175" t="s">
        <v>183</v>
      </c>
      <c r="G175" t="s">
        <v>24</v>
      </c>
      <c r="H175" t="s">
        <v>28</v>
      </c>
      <c r="I175">
        <v>0.2</v>
      </c>
      <c r="J175">
        <v>0</v>
      </c>
      <c r="K175">
        <v>2.7999999999999999E-6</v>
      </c>
      <c r="L175">
        <v>0</v>
      </c>
      <c r="M175">
        <v>3.0000000000000001E-6</v>
      </c>
      <c r="N175">
        <v>0.75</v>
      </c>
      <c r="O175">
        <v>6</v>
      </c>
      <c r="P175">
        <v>3</v>
      </c>
      <c r="Q175">
        <v>3</v>
      </c>
      <c r="R175">
        <v>2</v>
      </c>
      <c r="S175">
        <v>2350</v>
      </c>
      <c r="T175">
        <v>732</v>
      </c>
      <c r="U175" t="s">
        <v>1104</v>
      </c>
      <c r="V175" t="s">
        <v>129</v>
      </c>
      <c r="W175" t="s">
        <v>1105</v>
      </c>
      <c r="X175" t="s">
        <v>347</v>
      </c>
      <c r="Y175" t="s">
        <v>1106</v>
      </c>
      <c r="Z175" s="70">
        <f>I175*'Dynamic Analysis Dashboard'!$B$8*'Dynamic Analysis Dashboard'!$B$9*'Dynamic Analysis Dashboard'!$B$21</f>
        <v>0.13500000000000001</v>
      </c>
      <c r="AA175" s="75">
        <f>J175*'Dynamic Analysis Dashboard'!$B$8*'Dynamic Analysis Dashboard'!$B$9*'Dynamic Analysis Dashboard'!$B$21</f>
        <v>0</v>
      </c>
      <c r="AB175" s="80">
        <f>K175*'Dynamic Analysis Dashboard'!$B$10*'Dynamic Analysis Dashboard'!$B$9*'Dynamic Analysis Dashboard'!$B$21</f>
        <v>1.68E-6</v>
      </c>
      <c r="AC175" s="85">
        <f>L175*'Dynamic Analysis Dashboard'!$B$11*'Dynamic Analysis Dashboard'!$B$9*'Dynamic Analysis Dashboard'!$B$21</f>
        <v>0</v>
      </c>
      <c r="AD175" s="120">
        <f t="shared" si="4"/>
        <v>0.13500168000000001</v>
      </c>
      <c r="AE175" s="121">
        <f t="shared" si="5"/>
        <v>0.10125126000000001</v>
      </c>
    </row>
    <row r="176" spans="1:31" x14ac:dyDescent="0.2">
      <c r="A176" t="s">
        <v>88</v>
      </c>
      <c r="B176" t="s">
        <v>186</v>
      </c>
      <c r="C176" t="s">
        <v>1107</v>
      </c>
      <c r="D176" t="s">
        <v>328</v>
      </c>
      <c r="E176" t="s">
        <v>329</v>
      </c>
      <c r="F176" t="s">
        <v>330</v>
      </c>
      <c r="G176" t="s">
        <v>24</v>
      </c>
      <c r="H176" t="s">
        <v>33</v>
      </c>
      <c r="I176">
        <v>0.4</v>
      </c>
      <c r="J176">
        <v>1.3999999999999999E-6</v>
      </c>
      <c r="K176">
        <v>0</v>
      </c>
      <c r="L176">
        <v>0</v>
      </c>
      <c r="M176">
        <v>1.8000000000000001E-6</v>
      </c>
      <c r="N176">
        <v>0.8</v>
      </c>
      <c r="O176">
        <v>6</v>
      </c>
      <c r="P176">
        <v>3</v>
      </c>
      <c r="Q176">
        <v>2</v>
      </c>
      <c r="R176">
        <v>3</v>
      </c>
      <c r="S176">
        <v>9800</v>
      </c>
      <c r="T176">
        <v>2352</v>
      </c>
      <c r="U176" t="s">
        <v>1108</v>
      </c>
      <c r="V176" t="s">
        <v>1109</v>
      </c>
      <c r="W176" t="s">
        <v>591</v>
      </c>
      <c r="X176" t="s">
        <v>347</v>
      </c>
      <c r="Y176" t="s">
        <v>1110</v>
      </c>
      <c r="Z176" s="70">
        <f>I176*'Dynamic Analysis Dashboard'!$B$8*'Dynamic Analysis Dashboard'!$B$9*'Dynamic Analysis Dashboard'!$B$21</f>
        <v>0.27</v>
      </c>
      <c r="AA176" s="75">
        <f>J176*'Dynamic Analysis Dashboard'!$B$8*'Dynamic Analysis Dashboard'!$B$9*'Dynamic Analysis Dashboard'!$B$21</f>
        <v>9.4500000000000006E-7</v>
      </c>
      <c r="AB176" s="80">
        <f>K176*'Dynamic Analysis Dashboard'!$B$10*'Dynamic Analysis Dashboard'!$B$9*'Dynamic Analysis Dashboard'!$B$21</f>
        <v>0</v>
      </c>
      <c r="AC176" s="85">
        <f>L176*'Dynamic Analysis Dashboard'!$B$11*'Dynamic Analysis Dashboard'!$B$9*'Dynamic Analysis Dashboard'!$B$21</f>
        <v>0</v>
      </c>
      <c r="AD176" s="120">
        <f t="shared" si="4"/>
        <v>0.27000094499999999</v>
      </c>
      <c r="AE176" s="121">
        <f t="shared" si="5"/>
        <v>0.21600075600000002</v>
      </c>
    </row>
    <row r="177" spans="1:31" hidden="1" x14ac:dyDescent="0.2">
      <c r="A177" t="s">
        <v>88</v>
      </c>
      <c r="B177" t="s">
        <v>149</v>
      </c>
      <c r="C177" t="s">
        <v>1111</v>
      </c>
      <c r="D177" t="s">
        <v>487</v>
      </c>
      <c r="E177" t="s">
        <v>709</v>
      </c>
      <c r="F177" t="s">
        <v>127</v>
      </c>
      <c r="G177" t="s">
        <v>31</v>
      </c>
      <c r="H177" t="s">
        <v>25</v>
      </c>
      <c r="I177">
        <v>3.4999999999999999E-6</v>
      </c>
      <c r="J177">
        <v>0</v>
      </c>
      <c r="K177">
        <v>0.4</v>
      </c>
      <c r="L177">
        <v>0</v>
      </c>
      <c r="M177">
        <v>3.7999999999999996E-6</v>
      </c>
      <c r="N177">
        <v>0.85</v>
      </c>
      <c r="O177">
        <v>6</v>
      </c>
      <c r="P177">
        <v>3</v>
      </c>
      <c r="Q177">
        <v>2</v>
      </c>
      <c r="R177">
        <v>3</v>
      </c>
      <c r="S177">
        <v>22050</v>
      </c>
      <c r="T177">
        <v>475</v>
      </c>
      <c r="U177" t="s">
        <v>1112</v>
      </c>
      <c r="V177" t="s">
        <v>129</v>
      </c>
      <c r="W177" t="s">
        <v>1113</v>
      </c>
      <c r="X177" t="s">
        <v>347</v>
      </c>
      <c r="Y177" t="s">
        <v>1114</v>
      </c>
      <c r="Z177" s="70">
        <f>I177*'Dynamic Analysis Dashboard'!$B$8*'Dynamic Analysis Dashboard'!$B$9*'Dynamic Analysis Dashboard'!$B$21</f>
        <v>2.3624999999999998E-6</v>
      </c>
      <c r="AA177" s="75">
        <f>J177*'Dynamic Analysis Dashboard'!$B$8*'Dynamic Analysis Dashboard'!$B$9*'Dynamic Analysis Dashboard'!$B$21</f>
        <v>0</v>
      </c>
      <c r="AB177" s="80">
        <f>K177*'Dynamic Analysis Dashboard'!$B$10*'Dynamic Analysis Dashboard'!$B$9*'Dynamic Analysis Dashboard'!$B$21</f>
        <v>0.24000000000000005</v>
      </c>
      <c r="AC177" s="85">
        <f>L177*'Dynamic Analysis Dashboard'!$B$11*'Dynamic Analysis Dashboard'!$B$9*'Dynamic Analysis Dashboard'!$B$21</f>
        <v>0</v>
      </c>
      <c r="AD177" s="120">
        <f t="shared" si="4"/>
        <v>0.24000236250000004</v>
      </c>
      <c r="AE177" s="121">
        <f t="shared" si="5"/>
        <v>0.20400200812500002</v>
      </c>
    </row>
    <row r="178" spans="1:31" hidden="1" x14ac:dyDescent="0.2">
      <c r="A178" t="s">
        <v>88</v>
      </c>
      <c r="B178" t="s">
        <v>133</v>
      </c>
      <c r="C178" t="s">
        <v>531</v>
      </c>
      <c r="D178" t="s">
        <v>328</v>
      </c>
      <c r="E178" t="s">
        <v>437</v>
      </c>
      <c r="F178" t="s">
        <v>183</v>
      </c>
      <c r="G178" t="s">
        <v>31</v>
      </c>
      <c r="H178" t="s">
        <v>25</v>
      </c>
      <c r="I178">
        <v>1.1000000000000001E-6</v>
      </c>
      <c r="J178">
        <v>6.8000000000000001E-6</v>
      </c>
      <c r="K178">
        <v>0</v>
      </c>
      <c r="L178">
        <v>0</v>
      </c>
      <c r="M178">
        <v>7.9000000000000006E-6</v>
      </c>
      <c r="N178">
        <v>0.7</v>
      </c>
      <c r="O178">
        <v>7</v>
      </c>
      <c r="P178">
        <v>3</v>
      </c>
      <c r="Q178">
        <v>2</v>
      </c>
      <c r="R178">
        <v>3</v>
      </c>
      <c r="S178">
        <v>6205</v>
      </c>
      <c r="T178">
        <v>15753</v>
      </c>
      <c r="U178" t="s">
        <v>1115</v>
      </c>
      <c r="V178" t="s">
        <v>1116</v>
      </c>
      <c r="W178" t="s">
        <v>591</v>
      </c>
      <c r="X178" t="s">
        <v>347</v>
      </c>
      <c r="Y178" t="s">
        <v>1117</v>
      </c>
      <c r="Z178" s="70">
        <f>I178*'Dynamic Analysis Dashboard'!$B$8*'Dynamic Analysis Dashboard'!$B$9*'Dynamic Analysis Dashboard'!$B$21</f>
        <v>7.4250000000000009E-7</v>
      </c>
      <c r="AA178" s="75">
        <f>J178*'Dynamic Analysis Dashboard'!$B$8*'Dynamic Analysis Dashboard'!$B$9*'Dynamic Analysis Dashboard'!$B$21</f>
        <v>4.5900000000000001E-6</v>
      </c>
      <c r="AB178" s="80">
        <f>K178*'Dynamic Analysis Dashboard'!$B$10*'Dynamic Analysis Dashboard'!$B$9*'Dynamic Analysis Dashboard'!$B$21</f>
        <v>0</v>
      </c>
      <c r="AC178" s="85">
        <f>L178*'Dynamic Analysis Dashboard'!$B$11*'Dynamic Analysis Dashboard'!$B$9*'Dynamic Analysis Dashboard'!$B$21</f>
        <v>0</v>
      </c>
      <c r="AD178" s="120">
        <f t="shared" si="4"/>
        <v>5.3325000000000002E-6</v>
      </c>
      <c r="AE178" s="121">
        <f t="shared" si="5"/>
        <v>3.73275E-6</v>
      </c>
    </row>
    <row r="179" spans="1:31" hidden="1" x14ac:dyDescent="0.2">
      <c r="A179" t="s">
        <v>88</v>
      </c>
      <c r="B179" t="s">
        <v>156</v>
      </c>
      <c r="C179" t="s">
        <v>1118</v>
      </c>
      <c r="D179" t="s">
        <v>174</v>
      </c>
      <c r="E179" t="s">
        <v>1119</v>
      </c>
      <c r="F179" t="s">
        <v>330</v>
      </c>
      <c r="G179" t="s">
        <v>31</v>
      </c>
      <c r="H179" t="s">
        <v>28</v>
      </c>
      <c r="I179">
        <v>1.8000000000000001E-6</v>
      </c>
      <c r="J179">
        <v>0</v>
      </c>
      <c r="K179">
        <v>2.3999999999999999E-6</v>
      </c>
      <c r="L179">
        <v>0</v>
      </c>
      <c r="M179">
        <v>4.2000000000000004E-6</v>
      </c>
      <c r="N179">
        <v>0.75</v>
      </c>
      <c r="O179">
        <v>7</v>
      </c>
      <c r="P179">
        <v>3</v>
      </c>
      <c r="Q179">
        <v>3</v>
      </c>
      <c r="R179">
        <v>3</v>
      </c>
      <c r="S179">
        <v>6792</v>
      </c>
      <c r="T179">
        <v>1038</v>
      </c>
      <c r="U179" t="s">
        <v>1120</v>
      </c>
      <c r="V179" t="s">
        <v>129</v>
      </c>
      <c r="W179" t="s">
        <v>1121</v>
      </c>
      <c r="X179" t="s">
        <v>347</v>
      </c>
      <c r="Y179" t="s">
        <v>1122</v>
      </c>
      <c r="Z179" s="70">
        <f>I179*'Dynamic Analysis Dashboard'!$B$8*'Dynamic Analysis Dashboard'!$B$9*'Dynamic Analysis Dashboard'!$B$21</f>
        <v>1.2150000000000002E-6</v>
      </c>
      <c r="AA179" s="75">
        <f>J179*'Dynamic Analysis Dashboard'!$B$8*'Dynamic Analysis Dashboard'!$B$9*'Dynamic Analysis Dashboard'!$B$21</f>
        <v>0</v>
      </c>
      <c r="AB179" s="80">
        <f>K179*'Dynamic Analysis Dashboard'!$B$10*'Dynamic Analysis Dashboard'!$B$9*'Dynamic Analysis Dashboard'!$B$21</f>
        <v>1.4399999999999998E-6</v>
      </c>
      <c r="AC179" s="85">
        <f>L179*'Dynamic Analysis Dashboard'!$B$11*'Dynamic Analysis Dashboard'!$B$9*'Dynamic Analysis Dashboard'!$B$21</f>
        <v>0</v>
      </c>
      <c r="AD179" s="120">
        <f t="shared" si="4"/>
        <v>2.655E-6</v>
      </c>
      <c r="AE179" s="121">
        <f t="shared" si="5"/>
        <v>1.9912499999999998E-6</v>
      </c>
    </row>
    <row r="180" spans="1:31" hidden="1" x14ac:dyDescent="0.2">
      <c r="A180" t="s">
        <v>88</v>
      </c>
      <c r="B180" t="s">
        <v>164</v>
      </c>
      <c r="C180" t="s">
        <v>1123</v>
      </c>
      <c r="D180" t="s">
        <v>504</v>
      </c>
      <c r="E180" t="s">
        <v>1124</v>
      </c>
      <c r="F180" t="s">
        <v>183</v>
      </c>
      <c r="G180" t="s">
        <v>31</v>
      </c>
      <c r="H180" t="s">
        <v>28</v>
      </c>
      <c r="I180">
        <v>0.9</v>
      </c>
      <c r="J180">
        <v>0</v>
      </c>
      <c r="K180">
        <v>1.1000000000000001E-6</v>
      </c>
      <c r="L180">
        <v>0</v>
      </c>
      <c r="M180">
        <v>1.9999999999999999E-6</v>
      </c>
      <c r="N180">
        <v>0.8</v>
      </c>
      <c r="O180">
        <v>5</v>
      </c>
      <c r="P180">
        <v>2</v>
      </c>
      <c r="Q180">
        <v>2</v>
      </c>
      <c r="R180">
        <v>2</v>
      </c>
      <c r="S180">
        <v>5365</v>
      </c>
      <c r="T180">
        <v>1453</v>
      </c>
      <c r="U180" t="s">
        <v>1125</v>
      </c>
      <c r="V180" t="s">
        <v>129</v>
      </c>
      <c r="W180" t="s">
        <v>1126</v>
      </c>
      <c r="X180" t="s">
        <v>347</v>
      </c>
      <c r="Y180" t="s">
        <v>1127</v>
      </c>
      <c r="Z180" s="70">
        <f>I180*'Dynamic Analysis Dashboard'!$B$8*'Dynamic Analysis Dashboard'!$B$9*'Dynamic Analysis Dashboard'!$B$21</f>
        <v>0.60750000000000004</v>
      </c>
      <c r="AA180" s="75">
        <f>J180*'Dynamic Analysis Dashboard'!$B$8*'Dynamic Analysis Dashboard'!$B$9*'Dynamic Analysis Dashboard'!$B$21</f>
        <v>0</v>
      </c>
      <c r="AB180" s="80">
        <f>K180*'Dynamic Analysis Dashboard'!$B$10*'Dynamic Analysis Dashboard'!$B$9*'Dynamic Analysis Dashboard'!$B$21</f>
        <v>6.6000000000000003E-7</v>
      </c>
      <c r="AC180" s="85">
        <f>L180*'Dynamic Analysis Dashboard'!$B$11*'Dynamic Analysis Dashboard'!$B$9*'Dynamic Analysis Dashboard'!$B$21</f>
        <v>0</v>
      </c>
      <c r="AD180" s="120">
        <f t="shared" si="4"/>
        <v>0.60750066000000003</v>
      </c>
      <c r="AE180" s="121">
        <f t="shared" si="5"/>
        <v>0.48600052800000004</v>
      </c>
    </row>
    <row r="181" spans="1:31" hidden="1" x14ac:dyDescent="0.2">
      <c r="A181" t="s">
        <v>88</v>
      </c>
      <c r="B181" t="s">
        <v>194</v>
      </c>
      <c r="C181" t="s">
        <v>1128</v>
      </c>
      <c r="D181" t="s">
        <v>595</v>
      </c>
      <c r="E181" t="s">
        <v>680</v>
      </c>
      <c r="F181" t="s">
        <v>145</v>
      </c>
      <c r="G181" t="s">
        <v>31</v>
      </c>
      <c r="H181" t="s">
        <v>25</v>
      </c>
      <c r="I181">
        <v>1.8999999999999998E-6</v>
      </c>
      <c r="J181">
        <v>0</v>
      </c>
      <c r="K181">
        <v>0</v>
      </c>
      <c r="L181">
        <v>2.7999999999999999E-6</v>
      </c>
      <c r="M181">
        <v>4.6999999999999999E-6</v>
      </c>
      <c r="N181">
        <v>0.75</v>
      </c>
      <c r="O181">
        <v>7</v>
      </c>
      <c r="P181">
        <v>3</v>
      </c>
      <c r="Q181">
        <v>3</v>
      </c>
      <c r="R181">
        <v>3</v>
      </c>
      <c r="S181">
        <v>5160</v>
      </c>
      <c r="T181">
        <v>1626</v>
      </c>
      <c r="U181" t="s">
        <v>1129</v>
      </c>
      <c r="V181" t="s">
        <v>129</v>
      </c>
      <c r="W181" t="s">
        <v>591</v>
      </c>
      <c r="X181" t="s">
        <v>1130</v>
      </c>
      <c r="Y181" t="s">
        <v>1131</v>
      </c>
      <c r="Z181" s="70">
        <f>I181*'Dynamic Analysis Dashboard'!$B$8*'Dynamic Analysis Dashboard'!$B$9*'Dynamic Analysis Dashboard'!$B$21</f>
        <v>1.2825E-6</v>
      </c>
      <c r="AA181" s="75">
        <f>J181*'Dynamic Analysis Dashboard'!$B$8*'Dynamic Analysis Dashboard'!$B$9*'Dynamic Analysis Dashboard'!$B$21</f>
        <v>0</v>
      </c>
      <c r="AB181" s="80">
        <f>K181*'Dynamic Analysis Dashboard'!$B$10*'Dynamic Analysis Dashboard'!$B$9*'Dynamic Analysis Dashboard'!$B$21</f>
        <v>0</v>
      </c>
      <c r="AC181" s="85">
        <f>L181*'Dynamic Analysis Dashboard'!$B$11*'Dynamic Analysis Dashboard'!$B$9*'Dynamic Analysis Dashboard'!$B$21</f>
        <v>1.7849999999999999E-6</v>
      </c>
      <c r="AD181" s="120">
        <f t="shared" si="4"/>
        <v>3.0674999999999999E-6</v>
      </c>
      <c r="AE181" s="121">
        <f t="shared" si="5"/>
        <v>2.3006249999999997E-6</v>
      </c>
    </row>
    <row r="182" spans="1:31" x14ac:dyDescent="0.2">
      <c r="A182" t="s">
        <v>82</v>
      </c>
      <c r="B182" t="s">
        <v>133</v>
      </c>
      <c r="C182" t="s">
        <v>916</v>
      </c>
      <c r="D182" t="s">
        <v>464</v>
      </c>
      <c r="E182" t="s">
        <v>1132</v>
      </c>
      <c r="F182" t="s">
        <v>198</v>
      </c>
      <c r="G182" t="s">
        <v>24</v>
      </c>
      <c r="H182" t="s">
        <v>28</v>
      </c>
      <c r="I182">
        <v>2.5000000000000002E-6</v>
      </c>
      <c r="J182">
        <v>2.7999999999999999E-6</v>
      </c>
      <c r="K182">
        <v>0</v>
      </c>
      <c r="L182">
        <v>0</v>
      </c>
      <c r="M182">
        <v>5.3000000000000001E-6</v>
      </c>
      <c r="N182">
        <v>0.75</v>
      </c>
      <c r="O182">
        <v>7</v>
      </c>
      <c r="P182">
        <v>3</v>
      </c>
      <c r="Q182">
        <v>3</v>
      </c>
      <c r="R182">
        <v>4</v>
      </c>
      <c r="S182">
        <v>2750</v>
      </c>
      <c r="T182">
        <v>0.6</v>
      </c>
      <c r="U182" t="s">
        <v>1133</v>
      </c>
      <c r="V182" t="s">
        <v>1134</v>
      </c>
      <c r="W182" t="s">
        <v>1135</v>
      </c>
      <c r="X182" t="s">
        <v>1135</v>
      </c>
      <c r="Y182" t="s">
        <v>1136</v>
      </c>
      <c r="Z182" s="70">
        <f>I182*'Dynamic Analysis Dashboard'!$B$8*'Dynamic Analysis Dashboard'!$B$9*'Dynamic Analysis Dashboard'!$B$21</f>
        <v>1.6874999999999999E-6</v>
      </c>
      <c r="AA182" s="75">
        <f>J182*'Dynamic Analysis Dashboard'!$B$8*'Dynamic Analysis Dashboard'!$B$9*'Dynamic Analysis Dashboard'!$B$21</f>
        <v>1.8900000000000001E-6</v>
      </c>
      <c r="AB182" s="80">
        <f>K182*'Dynamic Analysis Dashboard'!$B$10*'Dynamic Analysis Dashboard'!$B$9*'Dynamic Analysis Dashboard'!$B$21</f>
        <v>0</v>
      </c>
      <c r="AC182" s="85">
        <f>L182*'Dynamic Analysis Dashboard'!$B$11*'Dynamic Analysis Dashboard'!$B$9*'Dynamic Analysis Dashboard'!$B$21</f>
        <v>0</v>
      </c>
      <c r="AD182" s="120">
        <f t="shared" si="4"/>
        <v>3.5775000000000001E-6</v>
      </c>
      <c r="AE182" s="121">
        <f t="shared" si="5"/>
        <v>2.6831249999999998E-6</v>
      </c>
    </row>
    <row r="183" spans="1:31" x14ac:dyDescent="0.2">
      <c r="A183" t="s">
        <v>82</v>
      </c>
      <c r="B183" t="s">
        <v>164</v>
      </c>
      <c r="C183" t="s">
        <v>1137</v>
      </c>
      <c r="D183" t="s">
        <v>328</v>
      </c>
      <c r="E183" t="s">
        <v>151</v>
      </c>
      <c r="F183" t="s">
        <v>1138</v>
      </c>
      <c r="G183" t="s">
        <v>24</v>
      </c>
      <c r="H183" t="s">
        <v>33</v>
      </c>
      <c r="I183">
        <v>1.1999999999999999E-6</v>
      </c>
      <c r="J183">
        <v>3.2000000000000003E-6</v>
      </c>
      <c r="K183">
        <v>0</v>
      </c>
      <c r="L183">
        <v>0</v>
      </c>
      <c r="M183">
        <v>4.4000000000000002E-6</v>
      </c>
      <c r="N183">
        <v>0.8</v>
      </c>
      <c r="O183">
        <v>4</v>
      </c>
      <c r="P183">
        <v>2</v>
      </c>
      <c r="Q183">
        <v>3</v>
      </c>
      <c r="R183">
        <v>2</v>
      </c>
      <c r="S183">
        <v>4800</v>
      </c>
      <c r="T183">
        <v>1.1000000000000001</v>
      </c>
      <c r="U183" t="s">
        <v>1139</v>
      </c>
      <c r="V183" t="s">
        <v>1140</v>
      </c>
      <c r="W183" t="s">
        <v>1135</v>
      </c>
      <c r="X183" t="s">
        <v>1135</v>
      </c>
      <c r="Y183" t="s">
        <v>1141</v>
      </c>
      <c r="Z183" s="70">
        <f>I183*'Dynamic Analysis Dashboard'!$B$8*'Dynamic Analysis Dashboard'!$B$9*'Dynamic Analysis Dashboard'!$B$21</f>
        <v>8.1000000000000008E-7</v>
      </c>
      <c r="AA183" s="75">
        <f>J183*'Dynamic Analysis Dashboard'!$B$8*'Dynamic Analysis Dashboard'!$B$9*'Dynamic Analysis Dashboard'!$B$21</f>
        <v>2.1600000000000005E-6</v>
      </c>
      <c r="AB183" s="80">
        <f>K183*'Dynamic Analysis Dashboard'!$B$10*'Dynamic Analysis Dashboard'!$B$9*'Dynamic Analysis Dashboard'!$B$21</f>
        <v>0</v>
      </c>
      <c r="AC183" s="85">
        <f>L183*'Dynamic Analysis Dashboard'!$B$11*'Dynamic Analysis Dashboard'!$B$9*'Dynamic Analysis Dashboard'!$B$21</f>
        <v>0</v>
      </c>
      <c r="AD183" s="120">
        <f t="shared" si="4"/>
        <v>2.9700000000000004E-6</v>
      </c>
      <c r="AE183" s="121">
        <f t="shared" si="5"/>
        <v>2.3760000000000006E-6</v>
      </c>
    </row>
    <row r="184" spans="1:31" x14ac:dyDescent="0.2">
      <c r="A184" t="s">
        <v>82</v>
      </c>
      <c r="B184" t="s">
        <v>172</v>
      </c>
      <c r="C184" t="s">
        <v>1142</v>
      </c>
      <c r="D184" t="s">
        <v>487</v>
      </c>
      <c r="E184" t="s">
        <v>1143</v>
      </c>
      <c r="F184" t="s">
        <v>518</v>
      </c>
      <c r="G184" t="s">
        <v>24</v>
      </c>
      <c r="H184" t="s">
        <v>28</v>
      </c>
      <c r="I184">
        <v>5.0999999999999995E-6</v>
      </c>
      <c r="J184">
        <v>1.8999999999999998E-6</v>
      </c>
      <c r="K184">
        <v>0</v>
      </c>
      <c r="L184">
        <v>0</v>
      </c>
      <c r="M184">
        <v>6.9999999999999999E-6</v>
      </c>
      <c r="N184">
        <v>0.85</v>
      </c>
      <c r="O184">
        <v>6</v>
      </c>
      <c r="P184">
        <v>3</v>
      </c>
      <c r="Q184">
        <v>3</v>
      </c>
      <c r="R184">
        <v>3</v>
      </c>
      <c r="S184">
        <v>96000</v>
      </c>
      <c r="T184">
        <v>20.2</v>
      </c>
      <c r="U184" t="s">
        <v>1144</v>
      </c>
      <c r="V184" t="s">
        <v>1145</v>
      </c>
      <c r="W184" t="s">
        <v>1135</v>
      </c>
      <c r="X184" t="s">
        <v>1135</v>
      </c>
      <c r="Y184" t="s">
        <v>1146</v>
      </c>
      <c r="Z184" s="70">
        <f>I184*'Dynamic Analysis Dashboard'!$B$8*'Dynamic Analysis Dashboard'!$B$9*'Dynamic Analysis Dashboard'!$B$21</f>
        <v>3.4424999999999997E-6</v>
      </c>
      <c r="AA184" s="75">
        <f>J184*'Dynamic Analysis Dashboard'!$B$8*'Dynamic Analysis Dashboard'!$B$9*'Dynamic Analysis Dashboard'!$B$21</f>
        <v>1.2825E-6</v>
      </c>
      <c r="AB184" s="80">
        <f>K184*'Dynamic Analysis Dashboard'!$B$10*'Dynamic Analysis Dashboard'!$B$9*'Dynamic Analysis Dashboard'!$B$21</f>
        <v>0</v>
      </c>
      <c r="AC184" s="85">
        <f>L184*'Dynamic Analysis Dashboard'!$B$11*'Dynamic Analysis Dashboard'!$B$9*'Dynamic Analysis Dashboard'!$B$21</f>
        <v>0</v>
      </c>
      <c r="AD184" s="120">
        <f t="shared" si="4"/>
        <v>4.7249999999999997E-6</v>
      </c>
      <c r="AE184" s="121">
        <f t="shared" si="5"/>
        <v>4.0162499999999999E-6</v>
      </c>
    </row>
    <row r="185" spans="1:31" x14ac:dyDescent="0.2">
      <c r="A185" t="s">
        <v>82</v>
      </c>
      <c r="B185" t="s">
        <v>186</v>
      </c>
      <c r="C185" t="s">
        <v>1147</v>
      </c>
      <c r="D185" t="s">
        <v>181</v>
      </c>
      <c r="E185" t="s">
        <v>511</v>
      </c>
      <c r="F185" t="s">
        <v>183</v>
      </c>
      <c r="G185" t="s">
        <v>24</v>
      </c>
      <c r="H185" t="s">
        <v>33</v>
      </c>
      <c r="I185">
        <v>1.7E-6</v>
      </c>
      <c r="J185">
        <v>2.1000000000000002E-6</v>
      </c>
      <c r="K185">
        <v>0</v>
      </c>
      <c r="L185">
        <v>0</v>
      </c>
      <c r="M185">
        <v>3.7999999999999996E-6</v>
      </c>
      <c r="N185">
        <v>0.8</v>
      </c>
      <c r="O185">
        <v>3</v>
      </c>
      <c r="P185">
        <v>2</v>
      </c>
      <c r="Q185">
        <v>4</v>
      </c>
      <c r="R185">
        <v>1</v>
      </c>
      <c r="S185">
        <v>3250</v>
      </c>
      <c r="T185">
        <v>0.7</v>
      </c>
      <c r="U185" t="s">
        <v>1148</v>
      </c>
      <c r="V185" t="s">
        <v>1149</v>
      </c>
      <c r="W185" t="s">
        <v>1135</v>
      </c>
      <c r="X185" t="s">
        <v>1135</v>
      </c>
      <c r="Y185" t="s">
        <v>1150</v>
      </c>
      <c r="Z185" s="70">
        <f>I185*'Dynamic Analysis Dashboard'!$B$8*'Dynamic Analysis Dashboard'!$B$9*'Dynamic Analysis Dashboard'!$B$21</f>
        <v>1.1475E-6</v>
      </c>
      <c r="AA185" s="75">
        <f>J185*'Dynamic Analysis Dashboard'!$B$8*'Dynamic Analysis Dashboard'!$B$9*'Dynamic Analysis Dashboard'!$B$21</f>
        <v>1.4175000000000002E-6</v>
      </c>
      <c r="AB185" s="80">
        <f>K185*'Dynamic Analysis Dashboard'!$B$10*'Dynamic Analysis Dashboard'!$B$9*'Dynamic Analysis Dashboard'!$B$21</f>
        <v>0</v>
      </c>
      <c r="AC185" s="85">
        <f>L185*'Dynamic Analysis Dashboard'!$B$11*'Dynamic Analysis Dashboard'!$B$9*'Dynamic Analysis Dashboard'!$B$21</f>
        <v>0</v>
      </c>
      <c r="AD185" s="120">
        <f t="shared" si="4"/>
        <v>2.565E-6</v>
      </c>
      <c r="AE185" s="121">
        <f t="shared" si="5"/>
        <v>2.052E-6</v>
      </c>
    </row>
    <row r="186" spans="1:31" hidden="1" x14ac:dyDescent="0.2">
      <c r="A186" t="s">
        <v>82</v>
      </c>
      <c r="B186" t="s">
        <v>141</v>
      </c>
      <c r="C186" t="s">
        <v>1151</v>
      </c>
      <c r="D186" t="s">
        <v>481</v>
      </c>
      <c r="E186" t="s">
        <v>1152</v>
      </c>
      <c r="F186" t="s">
        <v>732</v>
      </c>
      <c r="G186" t="s">
        <v>31</v>
      </c>
      <c r="H186" t="s">
        <v>28</v>
      </c>
      <c r="I186">
        <v>4.7999999999999998E-6</v>
      </c>
      <c r="J186">
        <v>3.4000000000000001E-6</v>
      </c>
      <c r="K186">
        <v>0</v>
      </c>
      <c r="L186">
        <v>0</v>
      </c>
      <c r="M186">
        <v>8.1999999999999994E-6</v>
      </c>
      <c r="N186">
        <v>0.8</v>
      </c>
      <c r="O186">
        <v>6</v>
      </c>
      <c r="P186">
        <v>3</v>
      </c>
      <c r="Q186">
        <v>3</v>
      </c>
      <c r="R186">
        <v>3</v>
      </c>
      <c r="S186">
        <v>60000</v>
      </c>
      <c r="T186">
        <v>12.6</v>
      </c>
      <c r="U186" t="s">
        <v>1153</v>
      </c>
      <c r="V186" t="s">
        <v>1154</v>
      </c>
      <c r="W186" t="s">
        <v>1135</v>
      </c>
      <c r="X186" t="s">
        <v>1135</v>
      </c>
      <c r="Y186" t="s">
        <v>1155</v>
      </c>
      <c r="Z186" s="70">
        <f>I186*'Dynamic Analysis Dashboard'!$B$8*'Dynamic Analysis Dashboard'!$B$9*'Dynamic Analysis Dashboard'!$B$21</f>
        <v>3.2400000000000003E-6</v>
      </c>
      <c r="AA186" s="75">
        <f>J186*'Dynamic Analysis Dashboard'!$B$8*'Dynamic Analysis Dashboard'!$B$9*'Dynamic Analysis Dashboard'!$B$21</f>
        <v>2.295E-6</v>
      </c>
      <c r="AB186" s="80">
        <f>K186*'Dynamic Analysis Dashboard'!$B$10*'Dynamic Analysis Dashboard'!$B$9*'Dynamic Analysis Dashboard'!$B$21</f>
        <v>0</v>
      </c>
      <c r="AC186" s="85">
        <f>L186*'Dynamic Analysis Dashboard'!$B$11*'Dynamic Analysis Dashboard'!$B$9*'Dynamic Analysis Dashboard'!$B$21</f>
        <v>0</v>
      </c>
      <c r="AD186" s="120">
        <f t="shared" si="4"/>
        <v>5.5350000000000004E-6</v>
      </c>
      <c r="AE186" s="121">
        <f t="shared" si="5"/>
        <v>4.4280000000000006E-6</v>
      </c>
    </row>
    <row r="187" spans="1:31" hidden="1" x14ac:dyDescent="0.2">
      <c r="A187" t="s">
        <v>82</v>
      </c>
      <c r="B187" t="s">
        <v>123</v>
      </c>
      <c r="C187" t="s">
        <v>1156</v>
      </c>
      <c r="D187" t="s">
        <v>481</v>
      </c>
      <c r="E187" t="s">
        <v>329</v>
      </c>
      <c r="F187" t="s">
        <v>330</v>
      </c>
      <c r="G187" t="s">
        <v>31</v>
      </c>
      <c r="H187" t="s">
        <v>25</v>
      </c>
      <c r="I187">
        <v>3.4000000000000001E-6</v>
      </c>
      <c r="J187">
        <v>5.7000000000000005E-6</v>
      </c>
      <c r="K187">
        <v>0</v>
      </c>
      <c r="L187">
        <v>0</v>
      </c>
      <c r="M187">
        <v>9.0999999999999993E-6</v>
      </c>
      <c r="N187">
        <v>0.75</v>
      </c>
      <c r="O187">
        <v>5</v>
      </c>
      <c r="P187">
        <v>2</v>
      </c>
      <c r="Q187">
        <v>4</v>
      </c>
      <c r="R187">
        <v>2</v>
      </c>
      <c r="S187">
        <v>32500</v>
      </c>
      <c r="T187">
        <v>6.9</v>
      </c>
      <c r="U187" t="s">
        <v>1157</v>
      </c>
      <c r="V187" t="s">
        <v>1158</v>
      </c>
      <c r="W187" t="s">
        <v>1135</v>
      </c>
      <c r="X187" t="s">
        <v>1135</v>
      </c>
      <c r="Y187" t="s">
        <v>1159</v>
      </c>
      <c r="Z187" s="70">
        <f>I187*'Dynamic Analysis Dashboard'!$B$8*'Dynamic Analysis Dashboard'!$B$9*'Dynamic Analysis Dashboard'!$B$21</f>
        <v>2.295E-6</v>
      </c>
      <c r="AA187" s="75">
        <f>J187*'Dynamic Analysis Dashboard'!$B$8*'Dynamic Analysis Dashboard'!$B$9*'Dynamic Analysis Dashboard'!$B$21</f>
        <v>3.8475000000000009E-6</v>
      </c>
      <c r="AB187" s="80">
        <f>K187*'Dynamic Analysis Dashboard'!$B$10*'Dynamic Analysis Dashboard'!$B$9*'Dynamic Analysis Dashboard'!$B$21</f>
        <v>0</v>
      </c>
      <c r="AC187" s="85">
        <f>L187*'Dynamic Analysis Dashboard'!$B$11*'Dynamic Analysis Dashboard'!$B$9*'Dynamic Analysis Dashboard'!$B$21</f>
        <v>0</v>
      </c>
      <c r="AD187" s="120">
        <f t="shared" si="4"/>
        <v>6.1425000000000009E-6</v>
      </c>
      <c r="AE187" s="121">
        <f t="shared" si="5"/>
        <v>4.6068750000000007E-6</v>
      </c>
    </row>
    <row r="188" spans="1:31" hidden="1" x14ac:dyDescent="0.2">
      <c r="A188" t="s">
        <v>82</v>
      </c>
      <c r="B188" t="s">
        <v>149</v>
      </c>
      <c r="C188" t="s">
        <v>1160</v>
      </c>
      <c r="D188" t="s">
        <v>464</v>
      </c>
      <c r="E188" t="s">
        <v>287</v>
      </c>
      <c r="F188" t="s">
        <v>1161</v>
      </c>
      <c r="G188" t="s">
        <v>38</v>
      </c>
      <c r="H188" t="s">
        <v>33</v>
      </c>
      <c r="I188">
        <v>2.7E-6</v>
      </c>
      <c r="J188">
        <v>0</v>
      </c>
      <c r="K188">
        <v>1.6000000000000001E-6</v>
      </c>
      <c r="L188">
        <v>0</v>
      </c>
      <c r="M188">
        <v>4.2999999999999995E-6</v>
      </c>
      <c r="N188">
        <v>0.7</v>
      </c>
      <c r="O188">
        <v>9</v>
      </c>
      <c r="P188">
        <v>4</v>
      </c>
      <c r="Q188">
        <v>2</v>
      </c>
      <c r="R188">
        <v>4</v>
      </c>
      <c r="S188">
        <v>5610</v>
      </c>
      <c r="T188">
        <v>1.2</v>
      </c>
      <c r="U188" t="s">
        <v>1162</v>
      </c>
      <c r="V188" t="s">
        <v>1135</v>
      </c>
      <c r="W188" t="s">
        <v>1163</v>
      </c>
      <c r="X188" t="s">
        <v>1135</v>
      </c>
      <c r="Y188" t="s">
        <v>1164</v>
      </c>
      <c r="Z188" s="70">
        <f>I188*'Dynamic Analysis Dashboard'!$B$8*'Dynamic Analysis Dashboard'!$B$9*'Dynamic Analysis Dashboard'!$B$21</f>
        <v>1.8224999999999999E-6</v>
      </c>
      <c r="AA188" s="75">
        <f>J188*'Dynamic Analysis Dashboard'!$B$8*'Dynamic Analysis Dashboard'!$B$9*'Dynamic Analysis Dashboard'!$B$21</f>
        <v>0</v>
      </c>
      <c r="AB188" s="80">
        <f>K188*'Dynamic Analysis Dashboard'!$B$10*'Dynamic Analysis Dashboard'!$B$9*'Dynamic Analysis Dashboard'!$B$21</f>
        <v>9.6000000000000013E-7</v>
      </c>
      <c r="AC188" s="85">
        <f>L188*'Dynamic Analysis Dashboard'!$B$11*'Dynamic Analysis Dashboard'!$B$9*'Dynamic Analysis Dashboard'!$B$21</f>
        <v>0</v>
      </c>
      <c r="AD188" s="120">
        <f t="shared" si="4"/>
        <v>2.7825E-6</v>
      </c>
      <c r="AE188" s="121">
        <f t="shared" si="5"/>
        <v>1.9477500000000001E-6</v>
      </c>
    </row>
    <row r="189" spans="1:31" hidden="1" x14ac:dyDescent="0.2">
      <c r="A189" t="s">
        <v>82</v>
      </c>
      <c r="B189" t="s">
        <v>156</v>
      </c>
      <c r="C189" t="s">
        <v>1165</v>
      </c>
      <c r="D189" t="s">
        <v>328</v>
      </c>
      <c r="E189" t="s">
        <v>1166</v>
      </c>
      <c r="F189" t="s">
        <v>198</v>
      </c>
      <c r="G189" t="s">
        <v>31</v>
      </c>
      <c r="H189" t="s">
        <v>25</v>
      </c>
      <c r="I189">
        <v>1.8999999999999998E-6</v>
      </c>
      <c r="J189">
        <v>6.8000000000000001E-6</v>
      </c>
      <c r="K189">
        <v>0</v>
      </c>
      <c r="L189">
        <v>0</v>
      </c>
      <c r="M189">
        <v>8.6999999999999997E-6</v>
      </c>
      <c r="N189">
        <v>0.75</v>
      </c>
      <c r="O189">
        <v>6</v>
      </c>
      <c r="P189">
        <v>3</v>
      </c>
      <c r="Q189">
        <v>2</v>
      </c>
      <c r="R189">
        <v>3</v>
      </c>
      <c r="S189">
        <v>9240</v>
      </c>
      <c r="T189">
        <v>2</v>
      </c>
      <c r="U189" t="s">
        <v>1167</v>
      </c>
      <c r="V189" t="s">
        <v>1168</v>
      </c>
      <c r="W189" t="s">
        <v>1135</v>
      </c>
      <c r="X189" t="s">
        <v>1135</v>
      </c>
      <c r="Y189" t="s">
        <v>1169</v>
      </c>
      <c r="Z189" s="70">
        <f>I189*'Dynamic Analysis Dashboard'!$B$8*'Dynamic Analysis Dashboard'!$B$9*'Dynamic Analysis Dashboard'!$B$21</f>
        <v>1.2825E-6</v>
      </c>
      <c r="AA189" s="75">
        <f>J189*'Dynamic Analysis Dashboard'!$B$8*'Dynamic Analysis Dashboard'!$B$9*'Dynamic Analysis Dashboard'!$B$21</f>
        <v>4.5900000000000001E-6</v>
      </c>
      <c r="AB189" s="80">
        <f>K189*'Dynamic Analysis Dashboard'!$B$10*'Dynamic Analysis Dashboard'!$B$9*'Dynamic Analysis Dashboard'!$B$21</f>
        <v>0</v>
      </c>
      <c r="AC189" s="85">
        <f>L189*'Dynamic Analysis Dashboard'!$B$11*'Dynamic Analysis Dashboard'!$B$9*'Dynamic Analysis Dashboard'!$B$21</f>
        <v>0</v>
      </c>
      <c r="AD189" s="120">
        <f t="shared" si="4"/>
        <v>5.8725000000000001E-6</v>
      </c>
      <c r="AE189" s="121">
        <f t="shared" si="5"/>
        <v>4.4043749999999997E-6</v>
      </c>
    </row>
    <row r="190" spans="1:31" hidden="1" x14ac:dyDescent="0.2">
      <c r="A190" t="s">
        <v>82</v>
      </c>
      <c r="B190" t="s">
        <v>179</v>
      </c>
      <c r="C190" t="s">
        <v>1170</v>
      </c>
      <c r="D190" t="s">
        <v>487</v>
      </c>
      <c r="E190" t="s">
        <v>251</v>
      </c>
      <c r="F190" t="s">
        <v>330</v>
      </c>
      <c r="G190" t="s">
        <v>38</v>
      </c>
      <c r="H190" t="s">
        <v>311</v>
      </c>
      <c r="I190">
        <v>0.8</v>
      </c>
      <c r="J190">
        <v>0</v>
      </c>
      <c r="K190">
        <v>0.9</v>
      </c>
      <c r="L190">
        <v>0</v>
      </c>
      <c r="M190">
        <v>1.7E-6</v>
      </c>
      <c r="N190">
        <v>0.75</v>
      </c>
      <c r="O190">
        <v>4</v>
      </c>
      <c r="P190">
        <v>2</v>
      </c>
      <c r="Q190">
        <v>4</v>
      </c>
      <c r="R190">
        <v>2</v>
      </c>
      <c r="S190">
        <v>2320</v>
      </c>
      <c r="T190">
        <v>0.5</v>
      </c>
      <c r="U190" t="s">
        <v>1171</v>
      </c>
      <c r="V190" t="s">
        <v>1135</v>
      </c>
      <c r="W190" t="s">
        <v>1172</v>
      </c>
      <c r="X190" t="s">
        <v>1135</v>
      </c>
      <c r="Y190" t="s">
        <v>1173</v>
      </c>
      <c r="Z190" s="70">
        <f>I190*'Dynamic Analysis Dashboard'!$B$8*'Dynamic Analysis Dashboard'!$B$9*'Dynamic Analysis Dashboard'!$B$21</f>
        <v>0.54</v>
      </c>
      <c r="AA190" s="75">
        <f>J190*'Dynamic Analysis Dashboard'!$B$8*'Dynamic Analysis Dashboard'!$B$9*'Dynamic Analysis Dashboard'!$B$21</f>
        <v>0</v>
      </c>
      <c r="AB190" s="80">
        <f>K190*'Dynamic Analysis Dashboard'!$B$10*'Dynamic Analysis Dashboard'!$B$9*'Dynamic Analysis Dashboard'!$B$21</f>
        <v>0.54</v>
      </c>
      <c r="AC190" s="85">
        <f>L190*'Dynamic Analysis Dashboard'!$B$11*'Dynamic Analysis Dashboard'!$B$9*'Dynamic Analysis Dashboard'!$B$21</f>
        <v>0</v>
      </c>
      <c r="AD190" s="120">
        <f t="shared" si="4"/>
        <v>1.08</v>
      </c>
      <c r="AE190" s="121">
        <f t="shared" si="5"/>
        <v>0.81</v>
      </c>
    </row>
    <row r="191" spans="1:31" hidden="1" x14ac:dyDescent="0.2">
      <c r="A191" t="s">
        <v>82</v>
      </c>
      <c r="B191" t="s">
        <v>194</v>
      </c>
      <c r="C191" t="s">
        <v>1174</v>
      </c>
      <c r="D191" t="s">
        <v>504</v>
      </c>
      <c r="E191" t="s">
        <v>1175</v>
      </c>
      <c r="F191" t="s">
        <v>923</v>
      </c>
      <c r="G191" t="s">
        <v>38</v>
      </c>
      <c r="H191" t="s">
        <v>311</v>
      </c>
      <c r="I191">
        <v>1.1999999999999999E-6</v>
      </c>
      <c r="J191">
        <v>1.8000000000000001E-6</v>
      </c>
      <c r="K191">
        <v>0</v>
      </c>
      <c r="L191">
        <v>0</v>
      </c>
      <c r="M191">
        <v>3.0000000000000001E-6</v>
      </c>
      <c r="N191">
        <v>0.75</v>
      </c>
      <c r="O191">
        <v>5</v>
      </c>
      <c r="P191">
        <v>3</v>
      </c>
      <c r="Q191">
        <v>3</v>
      </c>
      <c r="R191">
        <v>3</v>
      </c>
      <c r="S191">
        <v>1440</v>
      </c>
      <c r="T191">
        <v>0.3</v>
      </c>
      <c r="U191" t="s">
        <v>1176</v>
      </c>
      <c r="V191" t="s">
        <v>1177</v>
      </c>
      <c r="W191" t="s">
        <v>1135</v>
      </c>
      <c r="X191" t="s">
        <v>1135</v>
      </c>
      <c r="Y191" t="s">
        <v>1178</v>
      </c>
      <c r="Z191" s="70">
        <f>I191*'Dynamic Analysis Dashboard'!$B$8*'Dynamic Analysis Dashboard'!$B$9*'Dynamic Analysis Dashboard'!$B$21</f>
        <v>8.1000000000000008E-7</v>
      </c>
      <c r="AA191" s="75">
        <f>J191*'Dynamic Analysis Dashboard'!$B$8*'Dynamic Analysis Dashboard'!$B$9*'Dynamic Analysis Dashboard'!$B$21</f>
        <v>1.2150000000000002E-6</v>
      </c>
      <c r="AB191" s="80">
        <f>K191*'Dynamic Analysis Dashboard'!$B$10*'Dynamic Analysis Dashboard'!$B$9*'Dynamic Analysis Dashboard'!$B$21</f>
        <v>0</v>
      </c>
      <c r="AC191" s="85">
        <f>L191*'Dynamic Analysis Dashboard'!$B$11*'Dynamic Analysis Dashboard'!$B$9*'Dynamic Analysis Dashboard'!$B$21</f>
        <v>0</v>
      </c>
      <c r="AD191" s="120">
        <f t="shared" si="4"/>
        <v>2.0250000000000001E-6</v>
      </c>
      <c r="AE191" s="121">
        <f t="shared" si="5"/>
        <v>1.5187500000000001E-6</v>
      </c>
    </row>
    <row r="192" spans="1:31" x14ac:dyDescent="0.2">
      <c r="A192" t="s">
        <v>94</v>
      </c>
      <c r="B192" t="s">
        <v>141</v>
      </c>
      <c r="C192" t="s">
        <v>1179</v>
      </c>
      <c r="D192" t="s">
        <v>437</v>
      </c>
      <c r="E192" t="s">
        <v>532</v>
      </c>
      <c r="F192" t="s">
        <v>1180</v>
      </c>
      <c r="G192" t="s">
        <v>24</v>
      </c>
      <c r="H192" t="s">
        <v>28</v>
      </c>
      <c r="I192">
        <v>3.4999999999999999E-6</v>
      </c>
      <c r="J192">
        <v>1.8999999999999998E-6</v>
      </c>
      <c r="K192">
        <v>0</v>
      </c>
      <c r="L192">
        <v>0.8</v>
      </c>
      <c r="M192">
        <v>6.1999999999999999E-6</v>
      </c>
      <c r="N192">
        <v>0.8</v>
      </c>
      <c r="O192">
        <v>9</v>
      </c>
      <c r="P192">
        <v>4</v>
      </c>
      <c r="Q192">
        <v>3</v>
      </c>
      <c r="R192">
        <v>4</v>
      </c>
      <c r="S192">
        <v>3600</v>
      </c>
      <c r="T192">
        <v>2592</v>
      </c>
      <c r="U192" t="s">
        <v>1181</v>
      </c>
      <c r="V192" t="s">
        <v>1182</v>
      </c>
      <c r="W192" t="s">
        <v>359</v>
      </c>
      <c r="X192" t="s">
        <v>1183</v>
      </c>
      <c r="Y192" t="s">
        <v>1184</v>
      </c>
      <c r="Z192" s="70">
        <f>I192*'Dynamic Analysis Dashboard'!$B$8*'Dynamic Analysis Dashboard'!$B$9*'Dynamic Analysis Dashboard'!$B$21</f>
        <v>2.3624999999999998E-6</v>
      </c>
      <c r="AA192" s="75">
        <f>J192*'Dynamic Analysis Dashboard'!$B$8*'Dynamic Analysis Dashboard'!$B$9*'Dynamic Analysis Dashboard'!$B$21</f>
        <v>1.2825E-6</v>
      </c>
      <c r="AB192" s="80">
        <f>K192*'Dynamic Analysis Dashboard'!$B$10*'Dynamic Analysis Dashboard'!$B$9*'Dynamic Analysis Dashboard'!$B$21</f>
        <v>0</v>
      </c>
      <c r="AC192" s="85">
        <f>L192*'Dynamic Analysis Dashboard'!$B$11*'Dynamic Analysis Dashboard'!$B$9*'Dynamic Analysis Dashboard'!$B$21</f>
        <v>0.51</v>
      </c>
      <c r="AD192" s="120">
        <f t="shared" si="4"/>
        <v>0.51000364500000006</v>
      </c>
      <c r="AE192" s="121">
        <f t="shared" si="5"/>
        <v>0.40800291600000005</v>
      </c>
    </row>
    <row r="193" spans="1:31" x14ac:dyDescent="0.2">
      <c r="A193" t="s">
        <v>94</v>
      </c>
      <c r="B193" t="s">
        <v>149</v>
      </c>
      <c r="C193" t="s">
        <v>1185</v>
      </c>
      <c r="D193" t="s">
        <v>511</v>
      </c>
      <c r="E193" t="s">
        <v>1186</v>
      </c>
      <c r="F193" t="s">
        <v>533</v>
      </c>
      <c r="G193" t="s">
        <v>24</v>
      </c>
      <c r="H193" t="s">
        <v>28</v>
      </c>
      <c r="I193">
        <v>1.8000000000000001E-6</v>
      </c>
      <c r="J193">
        <v>0</v>
      </c>
      <c r="K193">
        <v>1.3E-6</v>
      </c>
      <c r="L193">
        <v>0</v>
      </c>
      <c r="M193">
        <v>3.1E-6</v>
      </c>
      <c r="N193">
        <v>0.75</v>
      </c>
      <c r="O193">
        <v>6</v>
      </c>
      <c r="P193">
        <v>3</v>
      </c>
      <c r="Q193">
        <v>3</v>
      </c>
      <c r="R193">
        <v>3</v>
      </c>
      <c r="S193">
        <v>3360</v>
      </c>
      <c r="T193">
        <v>2419.1999999999998</v>
      </c>
      <c r="U193" t="s">
        <v>1187</v>
      </c>
      <c r="V193" t="s">
        <v>129</v>
      </c>
      <c r="W193" t="s">
        <v>1188</v>
      </c>
      <c r="X193" t="s">
        <v>1189</v>
      </c>
      <c r="Y193" t="s">
        <v>1190</v>
      </c>
      <c r="Z193" s="70">
        <f>I193*'Dynamic Analysis Dashboard'!$B$8*'Dynamic Analysis Dashboard'!$B$9*'Dynamic Analysis Dashboard'!$B$21</f>
        <v>1.2150000000000002E-6</v>
      </c>
      <c r="AA193" s="75">
        <f>J193*'Dynamic Analysis Dashboard'!$B$8*'Dynamic Analysis Dashboard'!$B$9*'Dynamic Analysis Dashboard'!$B$21</f>
        <v>0</v>
      </c>
      <c r="AB193" s="80">
        <f>K193*'Dynamic Analysis Dashboard'!$B$10*'Dynamic Analysis Dashboard'!$B$9*'Dynamic Analysis Dashboard'!$B$21</f>
        <v>7.7999999999999994E-7</v>
      </c>
      <c r="AC193" s="85">
        <f>L193*'Dynamic Analysis Dashboard'!$B$11*'Dynamic Analysis Dashboard'!$B$9*'Dynamic Analysis Dashboard'!$B$21</f>
        <v>0</v>
      </c>
      <c r="AD193" s="120">
        <f t="shared" si="4"/>
        <v>1.9950000000000004E-6</v>
      </c>
      <c r="AE193" s="121">
        <f t="shared" si="5"/>
        <v>1.4962500000000003E-6</v>
      </c>
    </row>
    <row r="194" spans="1:31" x14ac:dyDescent="0.2">
      <c r="A194" t="s">
        <v>94</v>
      </c>
      <c r="B194" t="s">
        <v>133</v>
      </c>
      <c r="C194" t="s">
        <v>1191</v>
      </c>
      <c r="D194" t="s">
        <v>511</v>
      </c>
      <c r="E194" t="s">
        <v>1192</v>
      </c>
      <c r="F194" t="s">
        <v>330</v>
      </c>
      <c r="G194" t="s">
        <v>24</v>
      </c>
      <c r="H194" t="s">
        <v>28</v>
      </c>
      <c r="I194">
        <v>2.3999999999999999E-6</v>
      </c>
      <c r="J194">
        <v>0</v>
      </c>
      <c r="K194">
        <v>0.9</v>
      </c>
      <c r="L194">
        <v>0</v>
      </c>
      <c r="M194">
        <v>3.2999999999999997E-6</v>
      </c>
      <c r="N194">
        <v>0.8</v>
      </c>
      <c r="O194">
        <v>7</v>
      </c>
      <c r="P194">
        <v>3</v>
      </c>
      <c r="Q194">
        <v>4</v>
      </c>
      <c r="R194">
        <v>3</v>
      </c>
      <c r="S194">
        <v>5040</v>
      </c>
      <c r="T194">
        <v>6048</v>
      </c>
      <c r="U194" t="s">
        <v>1193</v>
      </c>
      <c r="V194" t="s">
        <v>129</v>
      </c>
      <c r="W194" t="s">
        <v>1194</v>
      </c>
      <c r="X194" t="s">
        <v>1189</v>
      </c>
      <c r="Y194" t="s">
        <v>1195</v>
      </c>
      <c r="Z194" s="70">
        <f>I194*'Dynamic Analysis Dashboard'!$B$8*'Dynamic Analysis Dashboard'!$B$9*'Dynamic Analysis Dashboard'!$B$21</f>
        <v>1.6200000000000002E-6</v>
      </c>
      <c r="AA194" s="75">
        <f>J194*'Dynamic Analysis Dashboard'!$B$8*'Dynamic Analysis Dashboard'!$B$9*'Dynamic Analysis Dashboard'!$B$21</f>
        <v>0</v>
      </c>
      <c r="AB194" s="80">
        <f>K194*'Dynamic Analysis Dashboard'!$B$10*'Dynamic Analysis Dashboard'!$B$9*'Dynamic Analysis Dashboard'!$B$21</f>
        <v>0.54</v>
      </c>
      <c r="AC194" s="85">
        <f>L194*'Dynamic Analysis Dashboard'!$B$11*'Dynamic Analysis Dashboard'!$B$9*'Dynamic Analysis Dashboard'!$B$21</f>
        <v>0</v>
      </c>
      <c r="AD194" s="120">
        <f t="shared" si="4"/>
        <v>0.54000162000000007</v>
      </c>
      <c r="AE194" s="121">
        <f t="shared" si="5"/>
        <v>0.43200129600000009</v>
      </c>
    </row>
    <row r="195" spans="1:31" x14ac:dyDescent="0.2">
      <c r="A195" t="s">
        <v>94</v>
      </c>
      <c r="B195" t="s">
        <v>156</v>
      </c>
      <c r="C195" t="s">
        <v>1196</v>
      </c>
      <c r="D195" t="s">
        <v>437</v>
      </c>
      <c r="E195" t="s">
        <v>1197</v>
      </c>
      <c r="F195" t="s">
        <v>609</v>
      </c>
      <c r="G195" t="s">
        <v>24</v>
      </c>
      <c r="H195" t="s">
        <v>25</v>
      </c>
      <c r="I195">
        <v>3.2000000000000003E-6</v>
      </c>
      <c r="J195">
        <v>1.6000000000000001E-6</v>
      </c>
      <c r="K195">
        <v>0</v>
      </c>
      <c r="L195">
        <v>0</v>
      </c>
      <c r="M195">
        <v>4.7999999999999998E-6</v>
      </c>
      <c r="N195">
        <v>0.75</v>
      </c>
      <c r="O195">
        <v>6</v>
      </c>
      <c r="P195">
        <v>3</v>
      </c>
      <c r="Q195">
        <v>3</v>
      </c>
      <c r="R195">
        <v>3</v>
      </c>
      <c r="S195">
        <v>2880</v>
      </c>
      <c r="T195">
        <v>2073.6</v>
      </c>
      <c r="U195" t="s">
        <v>1198</v>
      </c>
      <c r="V195" t="s">
        <v>1199</v>
      </c>
      <c r="W195" t="s">
        <v>359</v>
      </c>
      <c r="X195" t="s">
        <v>1189</v>
      </c>
      <c r="Y195" t="s">
        <v>1200</v>
      </c>
      <c r="Z195" s="70">
        <f>I195*'Dynamic Analysis Dashboard'!$B$8*'Dynamic Analysis Dashboard'!$B$9*'Dynamic Analysis Dashboard'!$B$21</f>
        <v>2.1600000000000005E-6</v>
      </c>
      <c r="AA195" s="75">
        <f>J195*'Dynamic Analysis Dashboard'!$B$8*'Dynamic Analysis Dashboard'!$B$9*'Dynamic Analysis Dashboard'!$B$21</f>
        <v>1.0800000000000002E-6</v>
      </c>
      <c r="AB195" s="80">
        <f>K195*'Dynamic Analysis Dashboard'!$B$10*'Dynamic Analysis Dashboard'!$B$9*'Dynamic Analysis Dashboard'!$B$21</f>
        <v>0</v>
      </c>
      <c r="AC195" s="85">
        <f>L195*'Dynamic Analysis Dashboard'!$B$11*'Dynamic Analysis Dashboard'!$B$9*'Dynamic Analysis Dashboard'!$B$21</f>
        <v>0</v>
      </c>
      <c r="AD195" s="120">
        <f t="shared" ref="AD195:AD258" si="6">SUM(Z195:AC195)</f>
        <v>3.2400000000000007E-6</v>
      </c>
      <c r="AE195" s="121">
        <f t="shared" ref="AE195:AE258" si="7">AD195*N195</f>
        <v>2.4300000000000005E-6</v>
      </c>
    </row>
    <row r="196" spans="1:31" x14ac:dyDescent="0.2">
      <c r="A196" t="s">
        <v>94</v>
      </c>
      <c r="B196" t="s">
        <v>172</v>
      </c>
      <c r="C196" t="s">
        <v>1201</v>
      </c>
      <c r="D196" t="s">
        <v>1202</v>
      </c>
      <c r="E196" t="s">
        <v>1203</v>
      </c>
      <c r="F196" t="s">
        <v>1180</v>
      </c>
      <c r="G196" t="s">
        <v>24</v>
      </c>
      <c r="H196" t="s">
        <v>25</v>
      </c>
      <c r="I196">
        <v>0.9</v>
      </c>
      <c r="J196">
        <v>0</v>
      </c>
      <c r="K196">
        <v>0</v>
      </c>
      <c r="L196">
        <v>1.3999999999999999E-6</v>
      </c>
      <c r="M196">
        <v>2.3E-6</v>
      </c>
      <c r="N196">
        <v>0.8</v>
      </c>
      <c r="O196">
        <v>5</v>
      </c>
      <c r="P196">
        <v>2</v>
      </c>
      <c r="Q196">
        <v>4</v>
      </c>
      <c r="R196">
        <v>2</v>
      </c>
      <c r="S196">
        <v>1400</v>
      </c>
      <c r="T196">
        <v>1008</v>
      </c>
      <c r="U196" t="s">
        <v>1204</v>
      </c>
      <c r="V196" t="s">
        <v>129</v>
      </c>
      <c r="W196" t="s">
        <v>359</v>
      </c>
      <c r="X196" t="s">
        <v>1205</v>
      </c>
      <c r="Y196" t="s">
        <v>1206</v>
      </c>
      <c r="Z196" s="70">
        <f>I196*'Dynamic Analysis Dashboard'!$B$8*'Dynamic Analysis Dashboard'!$B$9*'Dynamic Analysis Dashboard'!$B$21</f>
        <v>0.60750000000000004</v>
      </c>
      <c r="AA196" s="75">
        <f>J196*'Dynamic Analysis Dashboard'!$B$8*'Dynamic Analysis Dashboard'!$B$9*'Dynamic Analysis Dashboard'!$B$21</f>
        <v>0</v>
      </c>
      <c r="AB196" s="80">
        <f>K196*'Dynamic Analysis Dashboard'!$B$10*'Dynamic Analysis Dashboard'!$B$9*'Dynamic Analysis Dashboard'!$B$21</f>
        <v>0</v>
      </c>
      <c r="AC196" s="85">
        <f>L196*'Dynamic Analysis Dashboard'!$B$11*'Dynamic Analysis Dashboard'!$B$9*'Dynamic Analysis Dashboard'!$B$21</f>
        <v>8.9249999999999993E-7</v>
      </c>
      <c r="AD196" s="120">
        <f t="shared" si="6"/>
        <v>0.60750089250000006</v>
      </c>
      <c r="AE196" s="121">
        <f t="shared" si="7"/>
        <v>0.48600071400000006</v>
      </c>
    </row>
    <row r="197" spans="1:31" x14ac:dyDescent="0.2">
      <c r="A197" t="s">
        <v>94</v>
      </c>
      <c r="B197" t="s">
        <v>194</v>
      </c>
      <c r="C197" t="s">
        <v>1207</v>
      </c>
      <c r="D197" t="s">
        <v>166</v>
      </c>
      <c r="E197" t="s">
        <v>1208</v>
      </c>
      <c r="F197" t="s">
        <v>533</v>
      </c>
      <c r="G197" t="s">
        <v>24</v>
      </c>
      <c r="H197" t="s">
        <v>25</v>
      </c>
      <c r="I197">
        <v>0.7</v>
      </c>
      <c r="J197">
        <v>0</v>
      </c>
      <c r="K197">
        <v>0</v>
      </c>
      <c r="L197">
        <v>1.1000000000000001E-6</v>
      </c>
      <c r="M197">
        <v>1.8000000000000001E-6</v>
      </c>
      <c r="N197">
        <v>0.8</v>
      </c>
      <c r="O197">
        <v>4</v>
      </c>
      <c r="P197">
        <v>2</v>
      </c>
      <c r="Q197">
        <v>4</v>
      </c>
      <c r="R197">
        <v>2</v>
      </c>
      <c r="S197">
        <v>9240</v>
      </c>
      <c r="T197">
        <v>6652.8</v>
      </c>
      <c r="U197" t="s">
        <v>1209</v>
      </c>
      <c r="V197" t="s">
        <v>129</v>
      </c>
      <c r="W197" t="s">
        <v>359</v>
      </c>
      <c r="X197" t="s">
        <v>1210</v>
      </c>
      <c r="Y197" t="s">
        <v>1211</v>
      </c>
      <c r="Z197" s="70">
        <f>I197*'Dynamic Analysis Dashboard'!$B$8*'Dynamic Analysis Dashboard'!$B$9*'Dynamic Analysis Dashboard'!$B$21</f>
        <v>0.47250000000000003</v>
      </c>
      <c r="AA197" s="75">
        <f>J197*'Dynamic Analysis Dashboard'!$B$8*'Dynamic Analysis Dashboard'!$B$9*'Dynamic Analysis Dashboard'!$B$21</f>
        <v>0</v>
      </c>
      <c r="AB197" s="80">
        <f>K197*'Dynamic Analysis Dashboard'!$B$10*'Dynamic Analysis Dashboard'!$B$9*'Dynamic Analysis Dashboard'!$B$21</f>
        <v>0</v>
      </c>
      <c r="AC197" s="85">
        <f>L197*'Dynamic Analysis Dashboard'!$B$11*'Dynamic Analysis Dashboard'!$B$9*'Dynamic Analysis Dashboard'!$B$21</f>
        <v>7.0125000000000006E-7</v>
      </c>
      <c r="AD197" s="120">
        <f t="shared" si="6"/>
        <v>0.47250070125000004</v>
      </c>
      <c r="AE197" s="121">
        <f t="shared" si="7"/>
        <v>0.37800056100000007</v>
      </c>
    </row>
    <row r="198" spans="1:31" hidden="1" x14ac:dyDescent="0.2">
      <c r="A198" t="s">
        <v>94</v>
      </c>
      <c r="B198" t="s">
        <v>123</v>
      </c>
      <c r="C198" t="s">
        <v>1212</v>
      </c>
      <c r="D198" t="s">
        <v>1213</v>
      </c>
      <c r="E198" t="s">
        <v>635</v>
      </c>
      <c r="F198" t="s">
        <v>1161</v>
      </c>
      <c r="G198" t="s">
        <v>38</v>
      </c>
      <c r="H198" t="s">
        <v>33</v>
      </c>
      <c r="I198">
        <v>2.5000000000000002E-6</v>
      </c>
      <c r="J198">
        <v>2.7999999999999999E-6</v>
      </c>
      <c r="K198">
        <v>0</v>
      </c>
      <c r="L198">
        <v>0</v>
      </c>
      <c r="M198">
        <v>5.3000000000000001E-6</v>
      </c>
      <c r="N198">
        <v>0.75</v>
      </c>
      <c r="O198">
        <v>12</v>
      </c>
      <c r="P198">
        <v>4</v>
      </c>
      <c r="Q198">
        <v>2</v>
      </c>
      <c r="R198">
        <v>4</v>
      </c>
      <c r="S198">
        <v>8400</v>
      </c>
      <c r="T198">
        <v>18144</v>
      </c>
      <c r="U198" t="s">
        <v>1214</v>
      </c>
      <c r="V198" t="s">
        <v>1215</v>
      </c>
      <c r="W198" t="s">
        <v>359</v>
      </c>
      <c r="X198" t="s">
        <v>1189</v>
      </c>
      <c r="Y198" t="s">
        <v>1216</v>
      </c>
      <c r="Z198" s="70">
        <f>I198*'Dynamic Analysis Dashboard'!$B$8*'Dynamic Analysis Dashboard'!$B$9*'Dynamic Analysis Dashboard'!$B$21</f>
        <v>1.6874999999999999E-6</v>
      </c>
      <c r="AA198" s="75">
        <f>J198*'Dynamic Analysis Dashboard'!$B$8*'Dynamic Analysis Dashboard'!$B$9*'Dynamic Analysis Dashboard'!$B$21</f>
        <v>1.8900000000000001E-6</v>
      </c>
      <c r="AB198" s="80">
        <f>K198*'Dynamic Analysis Dashboard'!$B$10*'Dynamic Analysis Dashboard'!$B$9*'Dynamic Analysis Dashboard'!$B$21</f>
        <v>0</v>
      </c>
      <c r="AC198" s="85">
        <f>L198*'Dynamic Analysis Dashboard'!$B$11*'Dynamic Analysis Dashboard'!$B$9*'Dynamic Analysis Dashboard'!$B$21</f>
        <v>0</v>
      </c>
      <c r="AD198" s="120">
        <f t="shared" si="6"/>
        <v>3.5775000000000001E-6</v>
      </c>
      <c r="AE198" s="121">
        <f t="shared" si="7"/>
        <v>2.6831249999999998E-6</v>
      </c>
    </row>
    <row r="199" spans="1:31" hidden="1" x14ac:dyDescent="0.2">
      <c r="A199" t="s">
        <v>94</v>
      </c>
      <c r="B199" t="s">
        <v>164</v>
      </c>
      <c r="C199" t="s">
        <v>1217</v>
      </c>
      <c r="D199" t="s">
        <v>1213</v>
      </c>
      <c r="E199" t="s">
        <v>1218</v>
      </c>
      <c r="F199" t="s">
        <v>622</v>
      </c>
      <c r="G199" t="s">
        <v>38</v>
      </c>
      <c r="H199" t="s">
        <v>311</v>
      </c>
      <c r="I199">
        <v>1.3999999999999999E-6</v>
      </c>
      <c r="J199">
        <v>1.1999999999999999E-6</v>
      </c>
      <c r="K199">
        <v>0</v>
      </c>
      <c r="L199">
        <v>0</v>
      </c>
      <c r="M199">
        <v>2.6000000000000001E-6</v>
      </c>
      <c r="N199">
        <v>0.7</v>
      </c>
      <c r="O199">
        <v>10</v>
      </c>
      <c r="P199">
        <v>4</v>
      </c>
      <c r="Q199">
        <v>2</v>
      </c>
      <c r="R199">
        <v>4</v>
      </c>
      <c r="S199">
        <v>18480</v>
      </c>
      <c r="T199">
        <v>16934.400000000001</v>
      </c>
      <c r="U199" t="s">
        <v>1219</v>
      </c>
      <c r="V199" t="s">
        <v>1220</v>
      </c>
      <c r="W199" t="s">
        <v>359</v>
      </c>
      <c r="X199" t="s">
        <v>1189</v>
      </c>
      <c r="Y199" t="s">
        <v>1221</v>
      </c>
      <c r="Z199" s="70">
        <f>I199*'Dynamic Analysis Dashboard'!$B$8*'Dynamic Analysis Dashboard'!$B$9*'Dynamic Analysis Dashboard'!$B$21</f>
        <v>9.4500000000000006E-7</v>
      </c>
      <c r="AA199" s="75">
        <f>J199*'Dynamic Analysis Dashboard'!$B$8*'Dynamic Analysis Dashboard'!$B$9*'Dynamic Analysis Dashboard'!$B$21</f>
        <v>8.1000000000000008E-7</v>
      </c>
      <c r="AB199" s="80">
        <f>K199*'Dynamic Analysis Dashboard'!$B$10*'Dynamic Analysis Dashboard'!$B$9*'Dynamic Analysis Dashboard'!$B$21</f>
        <v>0</v>
      </c>
      <c r="AC199" s="85">
        <f>L199*'Dynamic Analysis Dashboard'!$B$11*'Dynamic Analysis Dashboard'!$B$9*'Dynamic Analysis Dashboard'!$B$21</f>
        <v>0</v>
      </c>
      <c r="AD199" s="120">
        <f t="shared" si="6"/>
        <v>1.7550000000000001E-6</v>
      </c>
      <c r="AE199" s="121">
        <f t="shared" si="7"/>
        <v>1.2285E-6</v>
      </c>
    </row>
    <row r="200" spans="1:31" hidden="1" x14ac:dyDescent="0.2">
      <c r="A200" t="s">
        <v>94</v>
      </c>
      <c r="B200" t="s">
        <v>179</v>
      </c>
      <c r="C200" t="s">
        <v>1222</v>
      </c>
      <c r="D200" t="s">
        <v>1202</v>
      </c>
      <c r="E200" t="s">
        <v>1223</v>
      </c>
      <c r="F200" t="s">
        <v>231</v>
      </c>
      <c r="G200" t="s">
        <v>38</v>
      </c>
      <c r="H200" t="s">
        <v>33</v>
      </c>
      <c r="I200">
        <v>1.6000000000000001E-6</v>
      </c>
      <c r="J200">
        <v>0</v>
      </c>
      <c r="K200">
        <v>0.6</v>
      </c>
      <c r="L200">
        <v>0</v>
      </c>
      <c r="M200">
        <v>2.2000000000000001E-6</v>
      </c>
      <c r="N200">
        <v>0.8</v>
      </c>
      <c r="O200">
        <v>6</v>
      </c>
      <c r="P200">
        <v>3</v>
      </c>
      <c r="Q200">
        <v>4</v>
      </c>
      <c r="R200">
        <v>3</v>
      </c>
      <c r="S200">
        <v>19600</v>
      </c>
      <c r="T200">
        <v>14112</v>
      </c>
      <c r="U200" t="s">
        <v>1224</v>
      </c>
      <c r="V200" t="s">
        <v>129</v>
      </c>
      <c r="W200" t="s">
        <v>1225</v>
      </c>
      <c r="X200" t="s">
        <v>1189</v>
      </c>
      <c r="Y200" t="s">
        <v>1226</v>
      </c>
      <c r="Z200" s="70">
        <f>I200*'Dynamic Analysis Dashboard'!$B$8*'Dynamic Analysis Dashboard'!$B$9*'Dynamic Analysis Dashboard'!$B$21</f>
        <v>1.0800000000000002E-6</v>
      </c>
      <c r="AA200" s="75">
        <f>J200*'Dynamic Analysis Dashboard'!$B$8*'Dynamic Analysis Dashboard'!$B$9*'Dynamic Analysis Dashboard'!$B$21</f>
        <v>0</v>
      </c>
      <c r="AB200" s="80">
        <f>K200*'Dynamic Analysis Dashboard'!$B$10*'Dynamic Analysis Dashboard'!$B$9*'Dynamic Analysis Dashboard'!$B$21</f>
        <v>0.36</v>
      </c>
      <c r="AC200" s="85">
        <f>L200*'Dynamic Analysis Dashboard'!$B$11*'Dynamic Analysis Dashboard'!$B$9*'Dynamic Analysis Dashboard'!$B$21</f>
        <v>0</v>
      </c>
      <c r="AD200" s="120">
        <f t="shared" si="6"/>
        <v>0.36000107999999997</v>
      </c>
      <c r="AE200" s="121">
        <f t="shared" si="7"/>
        <v>0.28800086399999997</v>
      </c>
    </row>
    <row r="201" spans="1:31" hidden="1" x14ac:dyDescent="0.2">
      <c r="A201" t="s">
        <v>94</v>
      </c>
      <c r="B201" t="s">
        <v>186</v>
      </c>
      <c r="C201" t="s">
        <v>1227</v>
      </c>
      <c r="D201" t="s">
        <v>315</v>
      </c>
      <c r="E201" t="s">
        <v>517</v>
      </c>
      <c r="F201" t="s">
        <v>395</v>
      </c>
      <c r="G201" t="s">
        <v>38</v>
      </c>
      <c r="H201" t="s">
        <v>311</v>
      </c>
      <c r="I201">
        <v>2.1000000000000002E-6</v>
      </c>
      <c r="J201">
        <v>0</v>
      </c>
      <c r="K201">
        <v>0</v>
      </c>
      <c r="L201">
        <v>0</v>
      </c>
      <c r="M201">
        <v>2.1000000000000002E-6</v>
      </c>
      <c r="N201">
        <v>0.85</v>
      </c>
      <c r="O201">
        <v>10</v>
      </c>
      <c r="P201">
        <v>4</v>
      </c>
      <c r="Q201">
        <v>2</v>
      </c>
      <c r="R201">
        <v>4</v>
      </c>
      <c r="S201">
        <v>49280</v>
      </c>
      <c r="T201">
        <v>35481.599999999999</v>
      </c>
      <c r="U201" t="s">
        <v>1228</v>
      </c>
      <c r="V201" t="s">
        <v>129</v>
      </c>
      <c r="W201" t="s">
        <v>359</v>
      </c>
      <c r="X201" t="s">
        <v>1189</v>
      </c>
      <c r="Y201" t="s">
        <v>1229</v>
      </c>
      <c r="Z201" s="70">
        <f>I201*'Dynamic Analysis Dashboard'!$B$8*'Dynamic Analysis Dashboard'!$B$9*'Dynamic Analysis Dashboard'!$B$21</f>
        <v>1.4175000000000002E-6</v>
      </c>
      <c r="AA201" s="75">
        <f>J201*'Dynamic Analysis Dashboard'!$B$8*'Dynamic Analysis Dashboard'!$B$9*'Dynamic Analysis Dashboard'!$B$21</f>
        <v>0</v>
      </c>
      <c r="AB201" s="80">
        <f>K201*'Dynamic Analysis Dashboard'!$B$10*'Dynamic Analysis Dashboard'!$B$9*'Dynamic Analysis Dashboard'!$B$21</f>
        <v>0</v>
      </c>
      <c r="AC201" s="85">
        <f>L201*'Dynamic Analysis Dashboard'!$B$11*'Dynamic Analysis Dashboard'!$B$9*'Dynamic Analysis Dashboard'!$B$21</f>
        <v>0</v>
      </c>
      <c r="AD201" s="120">
        <f t="shared" si="6"/>
        <v>1.4175000000000002E-6</v>
      </c>
      <c r="AE201" s="121">
        <f t="shared" si="7"/>
        <v>1.204875E-6</v>
      </c>
    </row>
    <row r="202" spans="1:31" hidden="1" x14ac:dyDescent="0.2">
      <c r="A202" t="s">
        <v>89</v>
      </c>
      <c r="B202" t="s">
        <v>141</v>
      </c>
      <c r="C202" t="s">
        <v>1230</v>
      </c>
      <c r="D202" t="s">
        <v>437</v>
      </c>
      <c r="E202" t="s">
        <v>1197</v>
      </c>
      <c r="F202" t="s">
        <v>533</v>
      </c>
      <c r="G202" t="s">
        <v>24</v>
      </c>
      <c r="H202" t="s">
        <v>25</v>
      </c>
      <c r="I202">
        <v>4.4000000000000002E-6</v>
      </c>
      <c r="J202">
        <v>3.7999999999999996E-6</v>
      </c>
      <c r="K202">
        <v>0</v>
      </c>
      <c r="L202">
        <v>0</v>
      </c>
      <c r="M202">
        <v>8.1999999999999994E-6</v>
      </c>
      <c r="N202">
        <v>0.75</v>
      </c>
      <c r="O202">
        <v>9</v>
      </c>
      <c r="P202">
        <v>3</v>
      </c>
      <c r="Q202">
        <v>2</v>
      </c>
      <c r="R202">
        <v>3</v>
      </c>
      <c r="S202">
        <v>10260</v>
      </c>
      <c r="T202">
        <v>46.8</v>
      </c>
      <c r="U202" t="s">
        <v>339</v>
      </c>
      <c r="V202" t="s">
        <v>1231</v>
      </c>
      <c r="W202" t="s">
        <v>1135</v>
      </c>
      <c r="X202" t="s">
        <v>1135</v>
      </c>
      <c r="Y202" t="s">
        <v>1232</v>
      </c>
      <c r="Z202" s="70">
        <f>I202*'Dynamic Analysis Dashboard'!$B$8*'Dynamic Analysis Dashboard'!$B$9*'Dynamic Analysis Dashboard'!$B$21</f>
        <v>2.9700000000000004E-6</v>
      </c>
      <c r="AA202" s="75">
        <f>J202*'Dynamic Analysis Dashboard'!$B$8*'Dynamic Analysis Dashboard'!$B$9*'Dynamic Analysis Dashboard'!$B$21</f>
        <v>2.565E-6</v>
      </c>
      <c r="AB202" s="80">
        <f>K202*'Dynamic Analysis Dashboard'!$B$10*'Dynamic Analysis Dashboard'!$B$9*'Dynamic Analysis Dashboard'!$B$21</f>
        <v>0</v>
      </c>
      <c r="AC202" s="85">
        <f>L202*'Dynamic Analysis Dashboard'!$B$11*'Dynamic Analysis Dashboard'!$B$9*'Dynamic Analysis Dashboard'!$B$21</f>
        <v>0</v>
      </c>
      <c r="AD202" s="120">
        <f t="shared" si="6"/>
        <v>5.5350000000000004E-6</v>
      </c>
      <c r="AE202" s="121">
        <f t="shared" si="7"/>
        <v>4.1512500000000003E-6</v>
      </c>
    </row>
    <row r="203" spans="1:31" hidden="1" x14ac:dyDescent="0.2">
      <c r="A203" t="s">
        <v>89</v>
      </c>
      <c r="B203" t="s">
        <v>164</v>
      </c>
      <c r="C203" t="s">
        <v>1233</v>
      </c>
      <c r="D203" t="s">
        <v>517</v>
      </c>
      <c r="E203" t="s">
        <v>1234</v>
      </c>
      <c r="F203" t="s">
        <v>518</v>
      </c>
      <c r="G203" t="s">
        <v>24</v>
      </c>
      <c r="H203" t="s">
        <v>25</v>
      </c>
      <c r="I203">
        <v>2.2000000000000001E-6</v>
      </c>
      <c r="J203">
        <v>0</v>
      </c>
      <c r="K203">
        <v>0</v>
      </c>
      <c r="L203">
        <v>0</v>
      </c>
      <c r="M203">
        <v>2.2000000000000001E-6</v>
      </c>
      <c r="N203">
        <v>0.85</v>
      </c>
      <c r="O203">
        <v>6</v>
      </c>
      <c r="P203">
        <v>2</v>
      </c>
      <c r="Q203">
        <v>2</v>
      </c>
      <c r="R203">
        <v>2</v>
      </c>
      <c r="S203">
        <v>19740</v>
      </c>
      <c r="T203">
        <v>32.76</v>
      </c>
      <c r="U203" t="s">
        <v>339</v>
      </c>
      <c r="V203" t="s">
        <v>1135</v>
      </c>
      <c r="W203" t="s">
        <v>1135</v>
      </c>
      <c r="X203" t="s">
        <v>1135</v>
      </c>
      <c r="Y203" t="s">
        <v>1235</v>
      </c>
      <c r="Z203" s="70">
        <f>I203*'Dynamic Analysis Dashboard'!$B$8*'Dynamic Analysis Dashboard'!$B$9*'Dynamic Analysis Dashboard'!$B$21</f>
        <v>1.4850000000000002E-6</v>
      </c>
      <c r="AA203" s="75">
        <f>J203*'Dynamic Analysis Dashboard'!$B$8*'Dynamic Analysis Dashboard'!$B$9*'Dynamic Analysis Dashboard'!$B$21</f>
        <v>0</v>
      </c>
      <c r="AB203" s="80">
        <f>K203*'Dynamic Analysis Dashboard'!$B$10*'Dynamic Analysis Dashboard'!$B$9*'Dynamic Analysis Dashboard'!$B$21</f>
        <v>0</v>
      </c>
      <c r="AC203" s="85">
        <f>L203*'Dynamic Analysis Dashboard'!$B$11*'Dynamic Analysis Dashboard'!$B$9*'Dynamic Analysis Dashboard'!$B$21</f>
        <v>0</v>
      </c>
      <c r="AD203" s="120">
        <f t="shared" si="6"/>
        <v>1.4850000000000002E-6</v>
      </c>
      <c r="AE203" s="121">
        <f t="shared" si="7"/>
        <v>1.2622500000000001E-6</v>
      </c>
    </row>
    <row r="204" spans="1:31" hidden="1" x14ac:dyDescent="0.2">
      <c r="A204" t="s">
        <v>89</v>
      </c>
      <c r="B204" t="s">
        <v>179</v>
      </c>
      <c r="C204" t="s">
        <v>1236</v>
      </c>
      <c r="D204" t="s">
        <v>1237</v>
      </c>
      <c r="E204" t="s">
        <v>1238</v>
      </c>
      <c r="F204" t="s">
        <v>506</v>
      </c>
      <c r="G204" t="s">
        <v>24</v>
      </c>
      <c r="H204" t="s">
        <v>25</v>
      </c>
      <c r="I204">
        <v>1.5E-6</v>
      </c>
      <c r="J204">
        <v>0</v>
      </c>
      <c r="K204">
        <v>1.1999999999999999E-6</v>
      </c>
      <c r="L204">
        <v>0</v>
      </c>
      <c r="M204">
        <v>2.7E-6</v>
      </c>
      <c r="N204">
        <v>0.75</v>
      </c>
      <c r="O204">
        <v>6</v>
      </c>
      <c r="P204">
        <v>2</v>
      </c>
      <c r="Q204">
        <v>4</v>
      </c>
      <c r="R204">
        <v>2</v>
      </c>
      <c r="S204">
        <v>11780</v>
      </c>
      <c r="T204">
        <v>59.76</v>
      </c>
      <c r="U204" t="s">
        <v>339</v>
      </c>
      <c r="V204" t="s">
        <v>1135</v>
      </c>
      <c r="W204" t="s">
        <v>1239</v>
      </c>
      <c r="X204" t="s">
        <v>1135</v>
      </c>
      <c r="Y204" t="s">
        <v>1240</v>
      </c>
      <c r="Z204" s="70">
        <f>I204*'Dynamic Analysis Dashboard'!$B$8*'Dynamic Analysis Dashboard'!$B$9*'Dynamic Analysis Dashboard'!$B$21</f>
        <v>1.0125E-6</v>
      </c>
      <c r="AA204" s="75">
        <f>J204*'Dynamic Analysis Dashboard'!$B$8*'Dynamic Analysis Dashboard'!$B$9*'Dynamic Analysis Dashboard'!$B$21</f>
        <v>0</v>
      </c>
      <c r="AB204" s="80">
        <f>K204*'Dynamic Analysis Dashboard'!$B$10*'Dynamic Analysis Dashboard'!$B$9*'Dynamic Analysis Dashboard'!$B$21</f>
        <v>7.1999999999999988E-7</v>
      </c>
      <c r="AC204" s="85">
        <f>L204*'Dynamic Analysis Dashboard'!$B$11*'Dynamic Analysis Dashboard'!$B$9*'Dynamic Analysis Dashboard'!$B$21</f>
        <v>0</v>
      </c>
      <c r="AD204" s="120">
        <f t="shared" si="6"/>
        <v>1.7324999999999999E-6</v>
      </c>
      <c r="AE204" s="121">
        <f t="shared" si="7"/>
        <v>1.2993749999999999E-6</v>
      </c>
    </row>
    <row r="205" spans="1:31" hidden="1" x14ac:dyDescent="0.2">
      <c r="A205" t="s">
        <v>89</v>
      </c>
      <c r="B205" t="s">
        <v>123</v>
      </c>
      <c r="C205" t="s">
        <v>1241</v>
      </c>
      <c r="D205" t="s">
        <v>1242</v>
      </c>
      <c r="E205" t="s">
        <v>1243</v>
      </c>
      <c r="F205" t="s">
        <v>152</v>
      </c>
      <c r="G205" t="s">
        <v>38</v>
      </c>
      <c r="H205" t="s">
        <v>33</v>
      </c>
      <c r="I205">
        <v>3.4000000000000001E-6</v>
      </c>
      <c r="J205">
        <v>0</v>
      </c>
      <c r="K205">
        <v>0</v>
      </c>
      <c r="L205">
        <v>1.3E-6</v>
      </c>
      <c r="M205">
        <v>4.6999999999999999E-6</v>
      </c>
      <c r="N205">
        <v>0.8</v>
      </c>
      <c r="O205">
        <v>12</v>
      </c>
      <c r="P205">
        <v>3</v>
      </c>
      <c r="Q205">
        <v>3</v>
      </c>
      <c r="R205">
        <v>4</v>
      </c>
      <c r="S205">
        <v>26400</v>
      </c>
      <c r="T205">
        <v>36</v>
      </c>
      <c r="U205" t="s">
        <v>339</v>
      </c>
      <c r="V205" t="s">
        <v>1135</v>
      </c>
      <c r="W205" t="s">
        <v>1135</v>
      </c>
      <c r="X205" t="s">
        <v>1244</v>
      </c>
      <c r="Y205" t="s">
        <v>1245</v>
      </c>
      <c r="Z205" s="70">
        <f>I205*'Dynamic Analysis Dashboard'!$B$8*'Dynamic Analysis Dashboard'!$B$9*'Dynamic Analysis Dashboard'!$B$21</f>
        <v>2.295E-6</v>
      </c>
      <c r="AA205" s="75">
        <f>J205*'Dynamic Analysis Dashboard'!$B$8*'Dynamic Analysis Dashboard'!$B$9*'Dynamic Analysis Dashboard'!$B$21</f>
        <v>0</v>
      </c>
      <c r="AB205" s="80">
        <f>K205*'Dynamic Analysis Dashboard'!$B$10*'Dynamic Analysis Dashboard'!$B$9*'Dynamic Analysis Dashboard'!$B$21</f>
        <v>0</v>
      </c>
      <c r="AC205" s="85">
        <f>L205*'Dynamic Analysis Dashboard'!$B$11*'Dynamic Analysis Dashboard'!$B$9*'Dynamic Analysis Dashboard'!$B$21</f>
        <v>8.2875000000000001E-7</v>
      </c>
      <c r="AD205" s="120">
        <f t="shared" si="6"/>
        <v>3.1237499999999999E-6</v>
      </c>
      <c r="AE205" s="121">
        <f t="shared" si="7"/>
        <v>2.4990000000000001E-6</v>
      </c>
    </row>
    <row r="206" spans="1:31" hidden="1" x14ac:dyDescent="0.2">
      <c r="A206" t="s">
        <v>89</v>
      </c>
      <c r="B206" t="s">
        <v>149</v>
      </c>
      <c r="C206" t="s">
        <v>1246</v>
      </c>
      <c r="D206" t="s">
        <v>1247</v>
      </c>
      <c r="E206" t="s">
        <v>1248</v>
      </c>
      <c r="F206" t="s">
        <v>1161</v>
      </c>
      <c r="G206" t="s">
        <v>38</v>
      </c>
      <c r="H206" t="s">
        <v>33</v>
      </c>
      <c r="I206">
        <v>2.7999999999999999E-6</v>
      </c>
      <c r="J206">
        <v>0</v>
      </c>
      <c r="K206">
        <v>1.1000000000000001E-6</v>
      </c>
      <c r="L206">
        <v>1.7E-6</v>
      </c>
      <c r="M206">
        <v>5.5999999999999997E-6</v>
      </c>
      <c r="N206">
        <v>0.7</v>
      </c>
      <c r="O206">
        <v>12</v>
      </c>
      <c r="P206">
        <v>4</v>
      </c>
      <c r="Q206">
        <v>2</v>
      </c>
      <c r="R206">
        <v>4</v>
      </c>
      <c r="S206">
        <v>13600</v>
      </c>
      <c r="T206">
        <v>81.599999999999994</v>
      </c>
      <c r="U206" t="s">
        <v>339</v>
      </c>
      <c r="V206" t="s">
        <v>1135</v>
      </c>
      <c r="W206" t="s">
        <v>1249</v>
      </c>
      <c r="X206" t="s">
        <v>1250</v>
      </c>
      <c r="Y206" t="s">
        <v>1251</v>
      </c>
      <c r="Z206" s="70">
        <f>I206*'Dynamic Analysis Dashboard'!$B$8*'Dynamic Analysis Dashboard'!$B$9*'Dynamic Analysis Dashboard'!$B$21</f>
        <v>1.8900000000000001E-6</v>
      </c>
      <c r="AA206" s="75">
        <f>J206*'Dynamic Analysis Dashboard'!$B$8*'Dynamic Analysis Dashboard'!$B$9*'Dynamic Analysis Dashboard'!$B$21</f>
        <v>0</v>
      </c>
      <c r="AB206" s="80">
        <f>K206*'Dynamic Analysis Dashboard'!$B$10*'Dynamic Analysis Dashboard'!$B$9*'Dynamic Analysis Dashboard'!$B$21</f>
        <v>6.6000000000000003E-7</v>
      </c>
      <c r="AC206" s="85">
        <f>L206*'Dynamic Analysis Dashboard'!$B$11*'Dynamic Analysis Dashboard'!$B$9*'Dynamic Analysis Dashboard'!$B$21</f>
        <v>1.08375E-6</v>
      </c>
      <c r="AD206" s="120">
        <f t="shared" si="6"/>
        <v>3.6337500000000001E-6</v>
      </c>
      <c r="AE206" s="121">
        <f t="shared" si="7"/>
        <v>2.5436250000000001E-6</v>
      </c>
    </row>
    <row r="207" spans="1:31" hidden="1" x14ac:dyDescent="0.2">
      <c r="A207" t="s">
        <v>89</v>
      </c>
      <c r="B207" t="s">
        <v>133</v>
      </c>
      <c r="C207" t="s">
        <v>1252</v>
      </c>
      <c r="D207" t="s">
        <v>1253</v>
      </c>
      <c r="E207" t="s">
        <v>1254</v>
      </c>
      <c r="F207" t="s">
        <v>395</v>
      </c>
      <c r="G207" t="s">
        <v>38</v>
      </c>
      <c r="H207" t="s">
        <v>28</v>
      </c>
      <c r="I207">
        <v>4.0999999999999997E-6</v>
      </c>
      <c r="J207">
        <v>0</v>
      </c>
      <c r="K207">
        <v>0</v>
      </c>
      <c r="L207">
        <v>0</v>
      </c>
      <c r="M207">
        <v>4.0999999999999997E-6</v>
      </c>
      <c r="N207">
        <v>0.75</v>
      </c>
      <c r="O207">
        <v>9</v>
      </c>
      <c r="P207">
        <v>3</v>
      </c>
      <c r="Q207">
        <v>2</v>
      </c>
      <c r="R207">
        <v>3</v>
      </c>
      <c r="S207">
        <v>11280</v>
      </c>
      <c r="T207">
        <v>51.84</v>
      </c>
      <c r="U207" t="s">
        <v>339</v>
      </c>
      <c r="V207" t="s">
        <v>1135</v>
      </c>
      <c r="W207" t="s">
        <v>1135</v>
      </c>
      <c r="X207" t="s">
        <v>1135</v>
      </c>
      <c r="Y207" t="s">
        <v>1255</v>
      </c>
      <c r="Z207" s="70">
        <f>I207*'Dynamic Analysis Dashboard'!$B$8*'Dynamic Analysis Dashboard'!$B$9*'Dynamic Analysis Dashboard'!$B$21</f>
        <v>2.7674999999999998E-6</v>
      </c>
      <c r="AA207" s="75">
        <f>J207*'Dynamic Analysis Dashboard'!$B$8*'Dynamic Analysis Dashboard'!$B$9*'Dynamic Analysis Dashboard'!$B$21</f>
        <v>0</v>
      </c>
      <c r="AB207" s="80">
        <f>K207*'Dynamic Analysis Dashboard'!$B$10*'Dynamic Analysis Dashboard'!$B$9*'Dynamic Analysis Dashboard'!$B$21</f>
        <v>0</v>
      </c>
      <c r="AC207" s="85">
        <f>L207*'Dynamic Analysis Dashboard'!$B$11*'Dynamic Analysis Dashboard'!$B$9*'Dynamic Analysis Dashboard'!$B$21</f>
        <v>0</v>
      </c>
      <c r="AD207" s="120">
        <f t="shared" si="6"/>
        <v>2.7674999999999998E-6</v>
      </c>
      <c r="AE207" s="121">
        <f t="shared" si="7"/>
        <v>2.0756249999999997E-6</v>
      </c>
    </row>
    <row r="208" spans="1:31" hidden="1" x14ac:dyDescent="0.2">
      <c r="A208" t="s">
        <v>89</v>
      </c>
      <c r="B208" t="s">
        <v>156</v>
      </c>
      <c r="C208" t="s">
        <v>1256</v>
      </c>
      <c r="D208" t="s">
        <v>1242</v>
      </c>
      <c r="E208" t="s">
        <v>1257</v>
      </c>
      <c r="F208" t="s">
        <v>317</v>
      </c>
      <c r="G208" t="s">
        <v>38</v>
      </c>
      <c r="H208" t="s">
        <v>28</v>
      </c>
      <c r="I208">
        <v>2.5000000000000002E-6</v>
      </c>
      <c r="J208">
        <v>0</v>
      </c>
      <c r="K208">
        <v>8.0000000000000007E-7</v>
      </c>
      <c r="L208">
        <v>0</v>
      </c>
      <c r="M208">
        <v>3.2999999999999997E-6</v>
      </c>
      <c r="N208">
        <v>0.8</v>
      </c>
      <c r="O208">
        <v>6</v>
      </c>
      <c r="P208">
        <v>3</v>
      </c>
      <c r="Q208">
        <v>3</v>
      </c>
      <c r="R208">
        <v>3</v>
      </c>
      <c r="S208">
        <v>14400</v>
      </c>
      <c r="T208">
        <v>37.799999999999997</v>
      </c>
      <c r="U208" t="s">
        <v>339</v>
      </c>
      <c r="V208" t="s">
        <v>1135</v>
      </c>
      <c r="W208" t="s">
        <v>1258</v>
      </c>
      <c r="X208" t="s">
        <v>1135</v>
      </c>
      <c r="Y208" t="s">
        <v>1259</v>
      </c>
      <c r="Z208" s="70">
        <f>I208*'Dynamic Analysis Dashboard'!$B$8*'Dynamic Analysis Dashboard'!$B$9*'Dynamic Analysis Dashboard'!$B$21</f>
        <v>1.6874999999999999E-6</v>
      </c>
      <c r="AA208" s="75">
        <f>J208*'Dynamic Analysis Dashboard'!$B$8*'Dynamic Analysis Dashboard'!$B$9*'Dynamic Analysis Dashboard'!$B$21</f>
        <v>0</v>
      </c>
      <c r="AB208" s="80">
        <f>K208*'Dynamic Analysis Dashboard'!$B$10*'Dynamic Analysis Dashboard'!$B$9*'Dynamic Analysis Dashboard'!$B$21</f>
        <v>4.8000000000000006E-7</v>
      </c>
      <c r="AC208" s="85">
        <f>L208*'Dynamic Analysis Dashboard'!$B$11*'Dynamic Analysis Dashboard'!$B$9*'Dynamic Analysis Dashboard'!$B$21</f>
        <v>0</v>
      </c>
      <c r="AD208" s="120">
        <f t="shared" si="6"/>
        <v>2.1675E-6</v>
      </c>
      <c r="AE208" s="121">
        <f t="shared" si="7"/>
        <v>1.734E-6</v>
      </c>
    </row>
    <row r="209" spans="1:31" hidden="1" x14ac:dyDescent="0.2">
      <c r="A209" t="s">
        <v>89</v>
      </c>
      <c r="B209" t="s">
        <v>172</v>
      </c>
      <c r="C209" t="s">
        <v>1260</v>
      </c>
      <c r="D209" t="s">
        <v>1247</v>
      </c>
      <c r="E209" t="s">
        <v>1261</v>
      </c>
      <c r="F209" t="s">
        <v>145</v>
      </c>
      <c r="G209" t="s">
        <v>38</v>
      </c>
      <c r="H209" t="s">
        <v>33</v>
      </c>
      <c r="I209">
        <v>1.8000000000000001E-6</v>
      </c>
      <c r="J209">
        <v>0</v>
      </c>
      <c r="K209">
        <v>1.3999999999999999E-6</v>
      </c>
      <c r="L209">
        <v>0</v>
      </c>
      <c r="M209">
        <v>3.2000000000000003E-6</v>
      </c>
      <c r="N209">
        <v>0.7</v>
      </c>
      <c r="O209">
        <v>9</v>
      </c>
      <c r="P209">
        <v>3</v>
      </c>
      <c r="Q209">
        <v>3</v>
      </c>
      <c r="R209">
        <v>3</v>
      </c>
      <c r="S209">
        <v>7820</v>
      </c>
      <c r="T209">
        <v>43.92</v>
      </c>
      <c r="U209" t="s">
        <v>339</v>
      </c>
      <c r="V209" t="s">
        <v>1135</v>
      </c>
      <c r="W209" t="s">
        <v>1262</v>
      </c>
      <c r="X209" t="s">
        <v>1135</v>
      </c>
      <c r="Y209" t="s">
        <v>1263</v>
      </c>
      <c r="Z209" s="70">
        <f>I209*'Dynamic Analysis Dashboard'!$B$8*'Dynamic Analysis Dashboard'!$B$9*'Dynamic Analysis Dashboard'!$B$21</f>
        <v>1.2150000000000002E-6</v>
      </c>
      <c r="AA209" s="75">
        <f>J209*'Dynamic Analysis Dashboard'!$B$8*'Dynamic Analysis Dashboard'!$B$9*'Dynamic Analysis Dashboard'!$B$21</f>
        <v>0</v>
      </c>
      <c r="AB209" s="80">
        <f>K209*'Dynamic Analysis Dashboard'!$B$10*'Dynamic Analysis Dashboard'!$B$9*'Dynamic Analysis Dashboard'!$B$21</f>
        <v>8.4E-7</v>
      </c>
      <c r="AC209" s="85">
        <f>L209*'Dynamic Analysis Dashboard'!$B$11*'Dynamic Analysis Dashboard'!$B$9*'Dynamic Analysis Dashboard'!$B$21</f>
        <v>0</v>
      </c>
      <c r="AD209" s="120">
        <f t="shared" si="6"/>
        <v>2.0550000000000002E-6</v>
      </c>
      <c r="AE209" s="121">
        <f t="shared" si="7"/>
        <v>1.4385000000000001E-6</v>
      </c>
    </row>
    <row r="210" spans="1:31" hidden="1" x14ac:dyDescent="0.2">
      <c r="A210" t="s">
        <v>89</v>
      </c>
      <c r="B210" t="s">
        <v>186</v>
      </c>
      <c r="C210" t="s">
        <v>1264</v>
      </c>
      <c r="D210" t="s">
        <v>1265</v>
      </c>
      <c r="E210" t="s">
        <v>1152</v>
      </c>
      <c r="F210" t="s">
        <v>489</v>
      </c>
      <c r="G210" t="s">
        <v>38</v>
      </c>
      <c r="H210" t="s">
        <v>28</v>
      </c>
      <c r="I210">
        <v>2.6000000000000001E-6</v>
      </c>
      <c r="J210">
        <v>0</v>
      </c>
      <c r="K210">
        <v>0</v>
      </c>
      <c r="L210">
        <v>0</v>
      </c>
      <c r="M210">
        <v>2.6000000000000001E-6</v>
      </c>
      <c r="N210">
        <v>0.7</v>
      </c>
      <c r="O210">
        <v>9</v>
      </c>
      <c r="P210">
        <v>2</v>
      </c>
      <c r="Q210">
        <v>2</v>
      </c>
      <c r="R210">
        <v>2</v>
      </c>
      <c r="S210">
        <v>6600</v>
      </c>
      <c r="T210">
        <v>30.6</v>
      </c>
      <c r="U210" t="s">
        <v>339</v>
      </c>
      <c r="V210" t="s">
        <v>1135</v>
      </c>
      <c r="W210" t="s">
        <v>1135</v>
      </c>
      <c r="X210" t="s">
        <v>1135</v>
      </c>
      <c r="Y210" t="s">
        <v>1266</v>
      </c>
      <c r="Z210" s="70">
        <f>I210*'Dynamic Analysis Dashboard'!$B$8*'Dynamic Analysis Dashboard'!$B$9*'Dynamic Analysis Dashboard'!$B$21</f>
        <v>1.7550000000000001E-6</v>
      </c>
      <c r="AA210" s="75">
        <f>J210*'Dynamic Analysis Dashboard'!$B$8*'Dynamic Analysis Dashboard'!$B$9*'Dynamic Analysis Dashboard'!$B$21</f>
        <v>0</v>
      </c>
      <c r="AB210" s="80">
        <f>K210*'Dynamic Analysis Dashboard'!$B$10*'Dynamic Analysis Dashboard'!$B$9*'Dynamic Analysis Dashboard'!$B$21</f>
        <v>0</v>
      </c>
      <c r="AC210" s="85">
        <f>L210*'Dynamic Analysis Dashboard'!$B$11*'Dynamic Analysis Dashboard'!$B$9*'Dynamic Analysis Dashboard'!$B$21</f>
        <v>0</v>
      </c>
      <c r="AD210" s="120">
        <f t="shared" si="6"/>
        <v>1.7550000000000001E-6</v>
      </c>
      <c r="AE210" s="121">
        <f t="shared" si="7"/>
        <v>1.2285E-6</v>
      </c>
    </row>
    <row r="211" spans="1:31" hidden="1" x14ac:dyDescent="0.2">
      <c r="A211" t="s">
        <v>89</v>
      </c>
      <c r="B211" t="s">
        <v>194</v>
      </c>
      <c r="C211" t="s">
        <v>539</v>
      </c>
      <c r="D211" t="s">
        <v>540</v>
      </c>
      <c r="E211" t="s">
        <v>1267</v>
      </c>
      <c r="F211" t="s">
        <v>198</v>
      </c>
      <c r="G211" t="s">
        <v>38</v>
      </c>
      <c r="H211" t="s">
        <v>28</v>
      </c>
      <c r="I211">
        <v>9.0000000000000007E-7</v>
      </c>
      <c r="J211">
        <v>0</v>
      </c>
      <c r="K211">
        <v>5.9999999999999997E-7</v>
      </c>
      <c r="L211">
        <v>1.1000000000000001E-6</v>
      </c>
      <c r="M211">
        <v>2.6000000000000001E-6</v>
      </c>
      <c r="N211">
        <v>0.75</v>
      </c>
      <c r="O211">
        <v>6</v>
      </c>
      <c r="P211">
        <v>3</v>
      </c>
      <c r="Q211">
        <v>3</v>
      </c>
      <c r="R211">
        <v>2</v>
      </c>
      <c r="S211">
        <v>2688</v>
      </c>
      <c r="T211">
        <v>20.736000000000001</v>
      </c>
      <c r="U211" t="s">
        <v>339</v>
      </c>
      <c r="V211" t="s">
        <v>1135</v>
      </c>
      <c r="W211" t="s">
        <v>1268</v>
      </c>
      <c r="X211" t="s">
        <v>1269</v>
      </c>
      <c r="Y211" t="s">
        <v>1270</v>
      </c>
      <c r="Z211" s="70">
        <f>I211*'Dynamic Analysis Dashboard'!$B$8*'Dynamic Analysis Dashboard'!$B$9*'Dynamic Analysis Dashboard'!$B$21</f>
        <v>6.0750000000000011E-7</v>
      </c>
      <c r="AA211" s="75">
        <f>J211*'Dynamic Analysis Dashboard'!$B$8*'Dynamic Analysis Dashboard'!$B$9*'Dynamic Analysis Dashboard'!$B$21</f>
        <v>0</v>
      </c>
      <c r="AB211" s="80">
        <f>K211*'Dynamic Analysis Dashboard'!$B$10*'Dynamic Analysis Dashboard'!$B$9*'Dynamic Analysis Dashboard'!$B$21</f>
        <v>3.5999999999999994E-7</v>
      </c>
      <c r="AC211" s="85">
        <f>L211*'Dynamic Analysis Dashboard'!$B$11*'Dynamic Analysis Dashboard'!$B$9*'Dynamic Analysis Dashboard'!$B$21</f>
        <v>7.0125000000000006E-7</v>
      </c>
      <c r="AD211" s="120">
        <f t="shared" si="6"/>
        <v>1.6687500000000001E-6</v>
      </c>
      <c r="AE211" s="121">
        <f t="shared" si="7"/>
        <v>1.2515625000000001E-6</v>
      </c>
    </row>
    <row r="212" spans="1:31" x14ac:dyDescent="0.2">
      <c r="A212" t="s">
        <v>63</v>
      </c>
      <c r="B212" t="s">
        <v>141</v>
      </c>
      <c r="C212" t="s">
        <v>1271</v>
      </c>
      <c r="D212" t="s">
        <v>250</v>
      </c>
      <c r="E212" t="s">
        <v>1272</v>
      </c>
      <c r="F212" t="s">
        <v>145</v>
      </c>
      <c r="G212" t="s">
        <v>24</v>
      </c>
      <c r="H212" t="s">
        <v>25</v>
      </c>
      <c r="I212">
        <v>1.7E-5</v>
      </c>
      <c r="J212">
        <v>0</v>
      </c>
      <c r="K212">
        <v>1.8000000000000001E-6</v>
      </c>
      <c r="L212">
        <v>0</v>
      </c>
      <c r="M212">
        <v>1.88E-5</v>
      </c>
      <c r="N212">
        <v>0.85</v>
      </c>
      <c r="O212">
        <v>9</v>
      </c>
      <c r="P212">
        <v>4</v>
      </c>
      <c r="Q212">
        <v>3</v>
      </c>
      <c r="R212">
        <v>4</v>
      </c>
      <c r="S212">
        <v>420000</v>
      </c>
      <c r="T212">
        <v>228.6</v>
      </c>
      <c r="U212" t="s">
        <v>1273</v>
      </c>
      <c r="V212" t="s">
        <v>129</v>
      </c>
      <c r="W212" t="s">
        <v>1274</v>
      </c>
      <c r="X212" t="s">
        <v>131</v>
      </c>
      <c r="Y212" t="s">
        <v>1275</v>
      </c>
      <c r="Z212" s="70">
        <f>I212*'Dynamic Analysis Dashboard'!$B$8*'Dynamic Analysis Dashboard'!$B$9*'Dynamic Analysis Dashboard'!$B$21</f>
        <v>1.1474999999999999E-5</v>
      </c>
      <c r="AA212" s="75">
        <f>J212*'Dynamic Analysis Dashboard'!$B$8*'Dynamic Analysis Dashboard'!$B$9*'Dynamic Analysis Dashboard'!$B$21</f>
        <v>0</v>
      </c>
      <c r="AB212" s="80">
        <f>K212*'Dynamic Analysis Dashboard'!$B$10*'Dynamic Analysis Dashboard'!$B$9*'Dynamic Analysis Dashboard'!$B$21</f>
        <v>1.0800000000000002E-6</v>
      </c>
      <c r="AC212" s="85">
        <f>L212*'Dynamic Analysis Dashboard'!$B$11*'Dynamic Analysis Dashboard'!$B$9*'Dynamic Analysis Dashboard'!$B$21</f>
        <v>0</v>
      </c>
      <c r="AD212" s="120">
        <f t="shared" si="6"/>
        <v>1.2554999999999999E-5</v>
      </c>
      <c r="AE212" s="121">
        <f t="shared" si="7"/>
        <v>1.0671749999999998E-5</v>
      </c>
    </row>
    <row r="213" spans="1:31" hidden="1" x14ac:dyDescent="0.2">
      <c r="A213" t="s">
        <v>63</v>
      </c>
      <c r="B213" t="s">
        <v>123</v>
      </c>
      <c r="C213" t="s">
        <v>1276</v>
      </c>
      <c r="D213" t="s">
        <v>250</v>
      </c>
      <c r="E213" t="s">
        <v>1277</v>
      </c>
      <c r="F213" t="s">
        <v>259</v>
      </c>
      <c r="G213" t="s">
        <v>24</v>
      </c>
      <c r="H213" t="s">
        <v>28</v>
      </c>
      <c r="I213">
        <v>0</v>
      </c>
      <c r="J213">
        <v>1.2099999999999999E-5</v>
      </c>
      <c r="K213">
        <v>2.7E-6</v>
      </c>
      <c r="L213">
        <v>0</v>
      </c>
      <c r="M213">
        <v>1.4800000000000001E-5</v>
      </c>
      <c r="N213">
        <v>0.75</v>
      </c>
      <c r="O213">
        <v>12</v>
      </c>
      <c r="P213">
        <v>4</v>
      </c>
      <c r="Q213">
        <v>3</v>
      </c>
      <c r="R213">
        <v>4</v>
      </c>
      <c r="S213">
        <v>299600</v>
      </c>
      <c r="T213">
        <v>611.28</v>
      </c>
      <c r="U213" t="s">
        <v>1009</v>
      </c>
      <c r="V213" t="s">
        <v>1278</v>
      </c>
      <c r="W213" t="s">
        <v>1279</v>
      </c>
      <c r="X213" t="s">
        <v>131</v>
      </c>
      <c r="Y213" t="s">
        <v>1280</v>
      </c>
      <c r="Z213" s="70">
        <f>I213*'Dynamic Analysis Dashboard'!$B$8*'Dynamic Analysis Dashboard'!$B$9*'Dynamic Analysis Dashboard'!$B$21</f>
        <v>0</v>
      </c>
      <c r="AA213" s="75">
        <f>J213*'Dynamic Analysis Dashboard'!$B$8*'Dynamic Analysis Dashboard'!$B$9*'Dynamic Analysis Dashboard'!$B$21</f>
        <v>8.1674999999999993E-6</v>
      </c>
      <c r="AB213" s="80">
        <f>K213*'Dynamic Analysis Dashboard'!$B$10*'Dynamic Analysis Dashboard'!$B$9*'Dynamic Analysis Dashboard'!$B$21</f>
        <v>1.6200000000000002E-6</v>
      </c>
      <c r="AC213" s="85">
        <f>L213*'Dynamic Analysis Dashboard'!$B$11*'Dynamic Analysis Dashboard'!$B$9*'Dynamic Analysis Dashboard'!$B$21</f>
        <v>0</v>
      </c>
      <c r="AD213" s="120">
        <f t="shared" si="6"/>
        <v>9.787499999999999E-6</v>
      </c>
      <c r="AE213" s="121">
        <f t="shared" si="7"/>
        <v>7.3406249999999989E-6</v>
      </c>
    </row>
    <row r="214" spans="1:31" x14ac:dyDescent="0.2">
      <c r="A214" t="s">
        <v>63</v>
      </c>
      <c r="B214" t="s">
        <v>133</v>
      </c>
      <c r="C214" t="s">
        <v>1281</v>
      </c>
      <c r="D214" t="s">
        <v>487</v>
      </c>
      <c r="E214" t="s">
        <v>1282</v>
      </c>
      <c r="F214" t="s">
        <v>215</v>
      </c>
      <c r="G214" t="s">
        <v>24</v>
      </c>
      <c r="H214" t="s">
        <v>28</v>
      </c>
      <c r="I214">
        <v>7.2999999999999996E-6</v>
      </c>
      <c r="J214">
        <v>0</v>
      </c>
      <c r="K214">
        <v>0</v>
      </c>
      <c r="L214">
        <v>0</v>
      </c>
      <c r="M214">
        <v>7.2999999999999996E-6</v>
      </c>
      <c r="N214">
        <v>0.8</v>
      </c>
      <c r="O214">
        <v>6</v>
      </c>
      <c r="P214">
        <v>3</v>
      </c>
      <c r="Q214">
        <v>4</v>
      </c>
      <c r="R214">
        <v>3</v>
      </c>
      <c r="S214">
        <v>46960</v>
      </c>
      <c r="T214">
        <v>259.416</v>
      </c>
      <c r="U214" t="s">
        <v>1283</v>
      </c>
      <c r="V214" t="s">
        <v>129</v>
      </c>
      <c r="W214" t="s">
        <v>130</v>
      </c>
      <c r="X214" t="s">
        <v>131</v>
      </c>
      <c r="Y214" t="s">
        <v>1284</v>
      </c>
      <c r="Z214" s="70">
        <f>I214*'Dynamic Analysis Dashboard'!$B$8*'Dynamic Analysis Dashboard'!$B$9*'Dynamic Analysis Dashboard'!$B$21</f>
        <v>4.9274999999999998E-6</v>
      </c>
      <c r="AA214" s="75">
        <f>J214*'Dynamic Analysis Dashboard'!$B$8*'Dynamic Analysis Dashboard'!$B$9*'Dynamic Analysis Dashboard'!$B$21</f>
        <v>0</v>
      </c>
      <c r="AB214" s="80">
        <f>K214*'Dynamic Analysis Dashboard'!$B$10*'Dynamic Analysis Dashboard'!$B$9*'Dynamic Analysis Dashboard'!$B$21</f>
        <v>0</v>
      </c>
      <c r="AC214" s="85">
        <f>L214*'Dynamic Analysis Dashboard'!$B$11*'Dynamic Analysis Dashboard'!$B$9*'Dynamic Analysis Dashboard'!$B$21</f>
        <v>0</v>
      </c>
      <c r="AD214" s="120">
        <f t="shared" si="6"/>
        <v>4.9274999999999998E-6</v>
      </c>
      <c r="AE214" s="121">
        <f t="shared" si="7"/>
        <v>3.9419999999999997E-6</v>
      </c>
    </row>
    <row r="215" spans="1:31" hidden="1" x14ac:dyDescent="0.2">
      <c r="A215" t="s">
        <v>63</v>
      </c>
      <c r="B215" t="s">
        <v>164</v>
      </c>
      <c r="C215" t="s">
        <v>1285</v>
      </c>
      <c r="D215" t="s">
        <v>1286</v>
      </c>
      <c r="E215" t="s">
        <v>1287</v>
      </c>
      <c r="F215" t="s">
        <v>223</v>
      </c>
      <c r="G215" t="s">
        <v>24</v>
      </c>
      <c r="H215" t="s">
        <v>28</v>
      </c>
      <c r="I215">
        <v>0</v>
      </c>
      <c r="J215">
        <v>9.6999999999999986E-6</v>
      </c>
      <c r="K215">
        <v>0</v>
      </c>
      <c r="L215">
        <v>0</v>
      </c>
      <c r="M215">
        <v>9.6999999999999986E-6</v>
      </c>
      <c r="N215">
        <v>0.7</v>
      </c>
      <c r="O215">
        <v>12</v>
      </c>
      <c r="P215">
        <v>3</v>
      </c>
      <c r="Q215">
        <v>2</v>
      </c>
      <c r="R215">
        <v>4</v>
      </c>
      <c r="S215">
        <v>697000</v>
      </c>
      <c r="T215">
        <v>1263.5999999999999</v>
      </c>
      <c r="U215" t="s">
        <v>1009</v>
      </c>
      <c r="V215" t="s">
        <v>1288</v>
      </c>
      <c r="W215" t="s">
        <v>130</v>
      </c>
      <c r="X215" t="s">
        <v>131</v>
      </c>
      <c r="Y215" t="s">
        <v>1289</v>
      </c>
      <c r="Z215" s="70">
        <f>I215*'Dynamic Analysis Dashboard'!$B$8*'Dynamic Analysis Dashboard'!$B$9*'Dynamic Analysis Dashboard'!$B$21</f>
        <v>0</v>
      </c>
      <c r="AA215" s="75">
        <f>J215*'Dynamic Analysis Dashboard'!$B$8*'Dynamic Analysis Dashboard'!$B$9*'Dynamic Analysis Dashboard'!$B$21</f>
        <v>6.5474999999999996E-6</v>
      </c>
      <c r="AB215" s="80">
        <f>K215*'Dynamic Analysis Dashboard'!$B$10*'Dynamic Analysis Dashboard'!$B$9*'Dynamic Analysis Dashboard'!$B$21</f>
        <v>0</v>
      </c>
      <c r="AC215" s="85">
        <f>L215*'Dynamic Analysis Dashboard'!$B$11*'Dynamic Analysis Dashboard'!$B$9*'Dynamic Analysis Dashboard'!$B$21</f>
        <v>0</v>
      </c>
      <c r="AD215" s="120">
        <f t="shared" si="6"/>
        <v>6.5474999999999996E-6</v>
      </c>
      <c r="AE215" s="121">
        <f t="shared" si="7"/>
        <v>4.5832499999999997E-6</v>
      </c>
    </row>
    <row r="216" spans="1:31" x14ac:dyDescent="0.2">
      <c r="A216" t="s">
        <v>63</v>
      </c>
      <c r="B216" t="s">
        <v>172</v>
      </c>
      <c r="C216" t="s">
        <v>1290</v>
      </c>
      <c r="D216" t="s">
        <v>1291</v>
      </c>
      <c r="E216" t="s">
        <v>288</v>
      </c>
      <c r="F216" t="s">
        <v>1180</v>
      </c>
      <c r="G216" t="s">
        <v>24</v>
      </c>
      <c r="H216" t="s">
        <v>33</v>
      </c>
      <c r="I216">
        <v>2.7E-6</v>
      </c>
      <c r="J216">
        <v>0</v>
      </c>
      <c r="K216">
        <v>1.3999999999999999E-6</v>
      </c>
      <c r="L216">
        <v>0</v>
      </c>
      <c r="M216">
        <v>4.0999999999999997E-6</v>
      </c>
      <c r="N216">
        <v>0.85</v>
      </c>
      <c r="O216">
        <v>6</v>
      </c>
      <c r="P216">
        <v>2</v>
      </c>
      <c r="Q216">
        <v>3</v>
      </c>
      <c r="R216">
        <v>2</v>
      </c>
      <c r="S216">
        <v>120</v>
      </c>
      <c r="T216">
        <v>2.52</v>
      </c>
      <c r="U216" t="s">
        <v>1292</v>
      </c>
      <c r="V216" t="s">
        <v>129</v>
      </c>
      <c r="W216" t="s">
        <v>1293</v>
      </c>
      <c r="X216" t="s">
        <v>131</v>
      </c>
      <c r="Y216" t="s">
        <v>1294</v>
      </c>
      <c r="Z216" s="70">
        <f>I216*'Dynamic Analysis Dashboard'!$B$8*'Dynamic Analysis Dashboard'!$B$9*'Dynamic Analysis Dashboard'!$B$21</f>
        <v>1.8224999999999999E-6</v>
      </c>
      <c r="AA216" s="75">
        <f>J216*'Dynamic Analysis Dashboard'!$B$8*'Dynamic Analysis Dashboard'!$B$9*'Dynamic Analysis Dashboard'!$B$21</f>
        <v>0</v>
      </c>
      <c r="AB216" s="80">
        <f>K216*'Dynamic Analysis Dashboard'!$B$10*'Dynamic Analysis Dashboard'!$B$9*'Dynamic Analysis Dashboard'!$B$21</f>
        <v>8.4E-7</v>
      </c>
      <c r="AC216" s="85">
        <f>L216*'Dynamic Analysis Dashboard'!$B$11*'Dynamic Analysis Dashboard'!$B$9*'Dynamic Analysis Dashboard'!$B$21</f>
        <v>0</v>
      </c>
      <c r="AD216" s="120">
        <f t="shared" si="6"/>
        <v>2.6624999999999999E-6</v>
      </c>
      <c r="AE216" s="121">
        <f t="shared" si="7"/>
        <v>2.263125E-6</v>
      </c>
    </row>
    <row r="217" spans="1:31" x14ac:dyDescent="0.2">
      <c r="A217" t="s">
        <v>63</v>
      </c>
      <c r="B217" t="s">
        <v>186</v>
      </c>
      <c r="C217" t="s">
        <v>1295</v>
      </c>
      <c r="D217" t="s">
        <v>547</v>
      </c>
      <c r="E217" t="s">
        <v>1296</v>
      </c>
      <c r="F217" t="s">
        <v>923</v>
      </c>
      <c r="G217" t="s">
        <v>24</v>
      </c>
      <c r="H217" t="s">
        <v>311</v>
      </c>
      <c r="I217">
        <v>3.9999999999999998E-6</v>
      </c>
      <c r="J217">
        <v>0</v>
      </c>
      <c r="K217">
        <v>0</v>
      </c>
      <c r="L217">
        <v>0</v>
      </c>
      <c r="M217">
        <v>3.9999999999999998E-6</v>
      </c>
      <c r="N217">
        <v>0.75</v>
      </c>
      <c r="O217">
        <v>6</v>
      </c>
      <c r="P217">
        <v>2</v>
      </c>
      <c r="Q217">
        <v>4</v>
      </c>
      <c r="R217">
        <v>2</v>
      </c>
      <c r="S217">
        <v>864</v>
      </c>
      <c r="T217">
        <v>5.1840000000000002</v>
      </c>
      <c r="U217" t="s">
        <v>1297</v>
      </c>
      <c r="V217" t="s">
        <v>129</v>
      </c>
      <c r="W217" t="s">
        <v>130</v>
      </c>
      <c r="X217" t="s">
        <v>131</v>
      </c>
      <c r="Y217" t="s">
        <v>1298</v>
      </c>
      <c r="Z217" s="70">
        <f>I217*'Dynamic Analysis Dashboard'!$B$8*'Dynamic Analysis Dashboard'!$B$9*'Dynamic Analysis Dashboard'!$B$21</f>
        <v>2.7E-6</v>
      </c>
      <c r="AA217" s="75">
        <f>J217*'Dynamic Analysis Dashboard'!$B$8*'Dynamic Analysis Dashboard'!$B$9*'Dynamic Analysis Dashboard'!$B$21</f>
        <v>0</v>
      </c>
      <c r="AB217" s="80">
        <f>K217*'Dynamic Analysis Dashboard'!$B$10*'Dynamic Analysis Dashboard'!$B$9*'Dynamic Analysis Dashboard'!$B$21</f>
        <v>0</v>
      </c>
      <c r="AC217" s="85">
        <f>L217*'Dynamic Analysis Dashboard'!$B$11*'Dynamic Analysis Dashboard'!$B$9*'Dynamic Analysis Dashboard'!$B$21</f>
        <v>0</v>
      </c>
      <c r="AD217" s="120">
        <f t="shared" si="6"/>
        <v>2.7E-6</v>
      </c>
      <c r="AE217" s="121">
        <f t="shared" si="7"/>
        <v>2.0250000000000001E-6</v>
      </c>
    </row>
    <row r="218" spans="1:31" hidden="1" x14ac:dyDescent="0.2">
      <c r="A218" t="s">
        <v>63</v>
      </c>
      <c r="B218" t="s">
        <v>149</v>
      </c>
      <c r="C218" t="s">
        <v>1299</v>
      </c>
      <c r="D218" t="s">
        <v>329</v>
      </c>
      <c r="E218" t="s">
        <v>1300</v>
      </c>
      <c r="F218" t="s">
        <v>145</v>
      </c>
      <c r="G218" t="s">
        <v>31</v>
      </c>
      <c r="H218" t="s">
        <v>25</v>
      </c>
      <c r="I218">
        <v>0</v>
      </c>
      <c r="J218">
        <v>2.2800000000000002E-5</v>
      </c>
      <c r="K218">
        <v>0</v>
      </c>
      <c r="L218">
        <v>0</v>
      </c>
      <c r="M218">
        <v>2.2800000000000002E-5</v>
      </c>
      <c r="N218">
        <v>0.7</v>
      </c>
      <c r="O218">
        <v>9</v>
      </c>
      <c r="P218">
        <v>3</v>
      </c>
      <c r="Q218">
        <v>2</v>
      </c>
      <c r="R218">
        <v>3</v>
      </c>
      <c r="S218">
        <v>7290</v>
      </c>
      <c r="T218">
        <v>37.908000000000001</v>
      </c>
      <c r="U218" t="s">
        <v>1009</v>
      </c>
      <c r="V218" t="s">
        <v>1301</v>
      </c>
      <c r="W218" t="s">
        <v>130</v>
      </c>
      <c r="X218" t="s">
        <v>131</v>
      </c>
      <c r="Y218" t="s">
        <v>1302</v>
      </c>
      <c r="Z218" s="70">
        <f>I218*'Dynamic Analysis Dashboard'!$B$8*'Dynamic Analysis Dashboard'!$B$9*'Dynamic Analysis Dashboard'!$B$21</f>
        <v>0</v>
      </c>
      <c r="AA218" s="75">
        <f>J218*'Dynamic Analysis Dashboard'!$B$8*'Dynamic Analysis Dashboard'!$B$9*'Dynamic Analysis Dashboard'!$B$21</f>
        <v>1.5390000000000003E-5</v>
      </c>
      <c r="AB218" s="80">
        <f>K218*'Dynamic Analysis Dashboard'!$B$10*'Dynamic Analysis Dashboard'!$B$9*'Dynamic Analysis Dashboard'!$B$21</f>
        <v>0</v>
      </c>
      <c r="AC218" s="85">
        <f>L218*'Dynamic Analysis Dashboard'!$B$11*'Dynamic Analysis Dashboard'!$B$9*'Dynamic Analysis Dashboard'!$B$21</f>
        <v>0</v>
      </c>
      <c r="AD218" s="120">
        <f t="shared" si="6"/>
        <v>1.5390000000000003E-5</v>
      </c>
      <c r="AE218" s="121">
        <f t="shared" si="7"/>
        <v>1.0773000000000002E-5</v>
      </c>
    </row>
    <row r="219" spans="1:31" hidden="1" x14ac:dyDescent="0.2">
      <c r="A219" t="s">
        <v>63</v>
      </c>
      <c r="B219" t="s">
        <v>156</v>
      </c>
      <c r="C219" t="s">
        <v>1303</v>
      </c>
      <c r="D219" t="s">
        <v>135</v>
      </c>
      <c r="E219" t="s">
        <v>532</v>
      </c>
      <c r="F219" t="s">
        <v>609</v>
      </c>
      <c r="G219" t="s">
        <v>31</v>
      </c>
      <c r="H219" t="s">
        <v>25</v>
      </c>
      <c r="I219">
        <v>4.7999999999999998E-6</v>
      </c>
      <c r="J219">
        <v>6.8000000000000001E-6</v>
      </c>
      <c r="K219">
        <v>0</v>
      </c>
      <c r="L219">
        <v>8.1000000000000004E-6</v>
      </c>
      <c r="M219">
        <v>1.9699999999999998E-5</v>
      </c>
      <c r="N219">
        <v>0.75</v>
      </c>
      <c r="O219">
        <v>6</v>
      </c>
      <c r="P219">
        <v>2</v>
      </c>
      <c r="Q219">
        <v>3</v>
      </c>
      <c r="R219">
        <v>2</v>
      </c>
      <c r="S219">
        <v>945</v>
      </c>
      <c r="T219">
        <v>5.2919999999999998</v>
      </c>
      <c r="U219" t="s">
        <v>1304</v>
      </c>
      <c r="V219" t="s">
        <v>1305</v>
      </c>
      <c r="W219" t="s">
        <v>130</v>
      </c>
      <c r="X219" t="s">
        <v>1306</v>
      </c>
      <c r="Y219" t="s">
        <v>1307</v>
      </c>
      <c r="Z219" s="70">
        <f>I219*'Dynamic Analysis Dashboard'!$B$8*'Dynamic Analysis Dashboard'!$B$9*'Dynamic Analysis Dashboard'!$B$21</f>
        <v>3.2400000000000003E-6</v>
      </c>
      <c r="AA219" s="75">
        <f>J219*'Dynamic Analysis Dashboard'!$B$8*'Dynamic Analysis Dashboard'!$B$9*'Dynamic Analysis Dashboard'!$B$21</f>
        <v>4.5900000000000001E-6</v>
      </c>
      <c r="AB219" s="80">
        <f>K219*'Dynamic Analysis Dashboard'!$B$10*'Dynamic Analysis Dashboard'!$B$9*'Dynamic Analysis Dashboard'!$B$21</f>
        <v>0</v>
      </c>
      <c r="AC219" s="85">
        <f>L219*'Dynamic Analysis Dashboard'!$B$11*'Dynamic Analysis Dashboard'!$B$9*'Dynamic Analysis Dashboard'!$B$21</f>
        <v>5.1637500000000003E-6</v>
      </c>
      <c r="AD219" s="120">
        <f t="shared" si="6"/>
        <v>1.2993750000000001E-5</v>
      </c>
      <c r="AE219" s="121">
        <f t="shared" si="7"/>
        <v>9.7453125000000006E-6</v>
      </c>
    </row>
    <row r="220" spans="1:31" hidden="1" x14ac:dyDescent="0.2">
      <c r="A220" t="s">
        <v>63</v>
      </c>
      <c r="B220" t="s">
        <v>179</v>
      </c>
      <c r="C220" t="s">
        <v>1308</v>
      </c>
      <c r="D220" t="s">
        <v>1309</v>
      </c>
      <c r="E220" t="s">
        <v>1310</v>
      </c>
      <c r="F220" t="s">
        <v>259</v>
      </c>
      <c r="G220" t="s">
        <v>31</v>
      </c>
      <c r="H220" t="s">
        <v>33</v>
      </c>
      <c r="I220">
        <v>6.1E-6</v>
      </c>
      <c r="J220">
        <v>0</v>
      </c>
      <c r="K220">
        <v>0</v>
      </c>
      <c r="L220">
        <v>0</v>
      </c>
      <c r="M220">
        <v>6.1E-6</v>
      </c>
      <c r="N220">
        <v>0.8</v>
      </c>
      <c r="O220">
        <v>6</v>
      </c>
      <c r="P220">
        <v>2</v>
      </c>
      <c r="Q220">
        <v>4</v>
      </c>
      <c r="R220">
        <v>3</v>
      </c>
      <c r="S220">
        <v>3975</v>
      </c>
      <c r="T220">
        <v>21.51</v>
      </c>
      <c r="U220" t="s">
        <v>1311</v>
      </c>
      <c r="V220" t="s">
        <v>129</v>
      </c>
      <c r="W220" t="s">
        <v>130</v>
      </c>
      <c r="X220" t="s">
        <v>131</v>
      </c>
      <c r="Y220" t="s">
        <v>1312</v>
      </c>
      <c r="Z220" s="70">
        <f>I220*'Dynamic Analysis Dashboard'!$B$8*'Dynamic Analysis Dashboard'!$B$9*'Dynamic Analysis Dashboard'!$B$21</f>
        <v>4.1175E-6</v>
      </c>
      <c r="AA220" s="75">
        <f>J220*'Dynamic Analysis Dashboard'!$B$8*'Dynamic Analysis Dashboard'!$B$9*'Dynamic Analysis Dashboard'!$B$21</f>
        <v>0</v>
      </c>
      <c r="AB220" s="80">
        <f>K220*'Dynamic Analysis Dashboard'!$B$10*'Dynamic Analysis Dashboard'!$B$9*'Dynamic Analysis Dashboard'!$B$21</f>
        <v>0</v>
      </c>
      <c r="AC220" s="85">
        <f>L220*'Dynamic Analysis Dashboard'!$B$11*'Dynamic Analysis Dashboard'!$B$9*'Dynamic Analysis Dashboard'!$B$21</f>
        <v>0</v>
      </c>
      <c r="AD220" s="120">
        <f t="shared" si="6"/>
        <v>4.1175E-6</v>
      </c>
      <c r="AE220" s="121">
        <f t="shared" si="7"/>
        <v>3.2940000000000001E-6</v>
      </c>
    </row>
    <row r="221" spans="1:31" hidden="1" x14ac:dyDescent="0.2">
      <c r="A221" t="s">
        <v>63</v>
      </c>
      <c r="B221" t="s">
        <v>194</v>
      </c>
      <c r="C221" t="s">
        <v>1313</v>
      </c>
      <c r="D221" t="s">
        <v>166</v>
      </c>
      <c r="E221" t="s">
        <v>470</v>
      </c>
      <c r="F221" t="s">
        <v>145</v>
      </c>
      <c r="G221" t="s">
        <v>31</v>
      </c>
      <c r="H221" t="s">
        <v>33</v>
      </c>
      <c r="I221">
        <v>3.2000000000000003E-6</v>
      </c>
      <c r="J221">
        <v>0</v>
      </c>
      <c r="K221">
        <v>9.0000000000000007E-7</v>
      </c>
      <c r="L221">
        <v>3.7999999999999996E-6</v>
      </c>
      <c r="M221">
        <v>7.9000000000000006E-6</v>
      </c>
      <c r="N221">
        <v>0.8</v>
      </c>
      <c r="O221">
        <v>6</v>
      </c>
      <c r="P221">
        <v>2</v>
      </c>
      <c r="Q221">
        <v>3</v>
      </c>
      <c r="R221">
        <v>2</v>
      </c>
      <c r="S221">
        <v>414.2</v>
      </c>
      <c r="T221">
        <v>3.0190000000000001</v>
      </c>
      <c r="U221" t="s">
        <v>1314</v>
      </c>
      <c r="V221" t="s">
        <v>129</v>
      </c>
      <c r="W221" t="s">
        <v>1315</v>
      </c>
      <c r="X221" t="s">
        <v>1316</v>
      </c>
      <c r="Y221" t="s">
        <v>1317</v>
      </c>
      <c r="Z221" s="70">
        <f>I221*'Dynamic Analysis Dashboard'!$B$8*'Dynamic Analysis Dashboard'!$B$9*'Dynamic Analysis Dashboard'!$B$21</f>
        <v>2.1600000000000005E-6</v>
      </c>
      <c r="AA221" s="75">
        <f>J221*'Dynamic Analysis Dashboard'!$B$8*'Dynamic Analysis Dashboard'!$B$9*'Dynamic Analysis Dashboard'!$B$21</f>
        <v>0</v>
      </c>
      <c r="AB221" s="80">
        <f>K221*'Dynamic Analysis Dashboard'!$B$10*'Dynamic Analysis Dashboard'!$B$9*'Dynamic Analysis Dashboard'!$B$21</f>
        <v>5.4000000000000012E-7</v>
      </c>
      <c r="AC221" s="85">
        <f>L221*'Dynamic Analysis Dashboard'!$B$11*'Dynamic Analysis Dashboard'!$B$9*'Dynamic Analysis Dashboard'!$B$21</f>
        <v>2.4224999999999997E-6</v>
      </c>
      <c r="AD221" s="120">
        <f t="shared" si="6"/>
        <v>5.1225000000000005E-6</v>
      </c>
      <c r="AE221" s="121">
        <f t="shared" si="7"/>
        <v>4.0980000000000004E-6</v>
      </c>
    </row>
    <row r="222" spans="1:31" x14ac:dyDescent="0.2">
      <c r="A222" t="s">
        <v>79</v>
      </c>
      <c r="B222" t="s">
        <v>123</v>
      </c>
      <c r="C222" t="s">
        <v>1318</v>
      </c>
      <c r="D222" t="s">
        <v>315</v>
      </c>
      <c r="E222" t="s">
        <v>1319</v>
      </c>
      <c r="F222" t="s">
        <v>1320</v>
      </c>
      <c r="G222" t="s">
        <v>24</v>
      </c>
      <c r="H222" t="s">
        <v>28</v>
      </c>
      <c r="I222">
        <v>4.0999999999999997E-6</v>
      </c>
      <c r="J222">
        <v>0</v>
      </c>
      <c r="K222">
        <v>0</v>
      </c>
      <c r="L222">
        <v>0</v>
      </c>
      <c r="M222">
        <v>4.0999999999999997E-6</v>
      </c>
      <c r="N222">
        <v>0.75</v>
      </c>
      <c r="O222">
        <v>8</v>
      </c>
      <c r="P222">
        <v>3</v>
      </c>
      <c r="Q222">
        <v>3</v>
      </c>
      <c r="R222">
        <v>3</v>
      </c>
      <c r="S222">
        <v>88800</v>
      </c>
      <c r="T222">
        <v>216</v>
      </c>
      <c r="U222" t="s">
        <v>1321</v>
      </c>
      <c r="V222" t="s">
        <v>1322</v>
      </c>
      <c r="W222" t="s">
        <v>1323</v>
      </c>
      <c r="X222" t="s">
        <v>1324</v>
      </c>
      <c r="Y222" t="s">
        <v>1325</v>
      </c>
      <c r="Z222" s="70">
        <f>I222*'Dynamic Analysis Dashboard'!$B$8*'Dynamic Analysis Dashboard'!$B$9*'Dynamic Analysis Dashboard'!$B$21</f>
        <v>2.7674999999999998E-6</v>
      </c>
      <c r="AA222" s="75">
        <f>J222*'Dynamic Analysis Dashboard'!$B$8*'Dynamic Analysis Dashboard'!$B$9*'Dynamic Analysis Dashboard'!$B$21</f>
        <v>0</v>
      </c>
      <c r="AB222" s="80">
        <f>K222*'Dynamic Analysis Dashboard'!$B$10*'Dynamic Analysis Dashboard'!$B$9*'Dynamic Analysis Dashboard'!$B$21</f>
        <v>0</v>
      </c>
      <c r="AC222" s="85">
        <f>L222*'Dynamic Analysis Dashboard'!$B$11*'Dynamic Analysis Dashboard'!$B$9*'Dynamic Analysis Dashboard'!$B$21</f>
        <v>0</v>
      </c>
      <c r="AD222" s="120">
        <f t="shared" si="6"/>
        <v>2.7674999999999998E-6</v>
      </c>
      <c r="AE222" s="121">
        <f t="shared" si="7"/>
        <v>2.0756249999999997E-6</v>
      </c>
    </row>
    <row r="223" spans="1:31" x14ac:dyDescent="0.2">
      <c r="A223" t="s">
        <v>79</v>
      </c>
      <c r="B223" t="s">
        <v>149</v>
      </c>
      <c r="C223" t="s">
        <v>1326</v>
      </c>
      <c r="D223" t="s">
        <v>221</v>
      </c>
      <c r="E223" t="s">
        <v>1327</v>
      </c>
      <c r="F223" t="s">
        <v>1328</v>
      </c>
      <c r="G223" t="s">
        <v>24</v>
      </c>
      <c r="H223" t="s">
        <v>33</v>
      </c>
      <c r="I223">
        <v>1.6000000000000001E-6</v>
      </c>
      <c r="J223">
        <v>0</v>
      </c>
      <c r="K223">
        <v>1.3E-6</v>
      </c>
      <c r="L223">
        <v>0</v>
      </c>
      <c r="M223">
        <v>2.8999999999999998E-6</v>
      </c>
      <c r="N223">
        <v>0.7</v>
      </c>
      <c r="O223">
        <v>7</v>
      </c>
      <c r="P223">
        <v>3</v>
      </c>
      <c r="Q223">
        <v>2</v>
      </c>
      <c r="R223">
        <v>3</v>
      </c>
      <c r="S223">
        <v>138750</v>
      </c>
      <c r="T223">
        <v>348</v>
      </c>
      <c r="U223" t="s">
        <v>1329</v>
      </c>
      <c r="V223" t="s">
        <v>1322</v>
      </c>
      <c r="W223" t="s">
        <v>1330</v>
      </c>
      <c r="X223" t="s">
        <v>1324</v>
      </c>
      <c r="Y223" t="s">
        <v>1331</v>
      </c>
      <c r="Z223" s="70">
        <f>I223*'Dynamic Analysis Dashboard'!$B$8*'Dynamic Analysis Dashboard'!$B$9*'Dynamic Analysis Dashboard'!$B$21</f>
        <v>1.0800000000000002E-6</v>
      </c>
      <c r="AA223" s="75">
        <f>J223*'Dynamic Analysis Dashboard'!$B$8*'Dynamic Analysis Dashboard'!$B$9*'Dynamic Analysis Dashboard'!$B$21</f>
        <v>0</v>
      </c>
      <c r="AB223" s="80">
        <f>K223*'Dynamic Analysis Dashboard'!$B$10*'Dynamic Analysis Dashboard'!$B$9*'Dynamic Analysis Dashboard'!$B$21</f>
        <v>7.7999999999999994E-7</v>
      </c>
      <c r="AC223" s="85">
        <f>L223*'Dynamic Analysis Dashboard'!$B$11*'Dynamic Analysis Dashboard'!$B$9*'Dynamic Analysis Dashboard'!$B$21</f>
        <v>0</v>
      </c>
      <c r="AD223" s="120">
        <f t="shared" si="6"/>
        <v>1.8600000000000002E-6</v>
      </c>
      <c r="AE223" s="121">
        <f t="shared" si="7"/>
        <v>1.302E-6</v>
      </c>
    </row>
    <row r="224" spans="1:31" x14ac:dyDescent="0.2">
      <c r="A224" t="s">
        <v>79</v>
      </c>
      <c r="B224" t="s">
        <v>156</v>
      </c>
      <c r="C224" t="s">
        <v>1332</v>
      </c>
      <c r="D224" t="s">
        <v>315</v>
      </c>
      <c r="E224" t="s">
        <v>1333</v>
      </c>
      <c r="F224" t="s">
        <v>1334</v>
      </c>
      <c r="G224" t="s">
        <v>24</v>
      </c>
      <c r="H224" t="s">
        <v>33</v>
      </c>
      <c r="I224">
        <v>1.5E-6</v>
      </c>
      <c r="J224">
        <v>1.7E-6</v>
      </c>
      <c r="K224">
        <v>8.0000000000000007E-7</v>
      </c>
      <c r="L224">
        <v>0</v>
      </c>
      <c r="M224">
        <v>3.9999999999999998E-6</v>
      </c>
      <c r="N224">
        <v>0.7</v>
      </c>
      <c r="O224">
        <v>12</v>
      </c>
      <c r="P224">
        <v>4</v>
      </c>
      <c r="Q224">
        <v>2</v>
      </c>
      <c r="R224">
        <v>4</v>
      </c>
      <c r="S224">
        <v>288600</v>
      </c>
      <c r="T224">
        <v>612</v>
      </c>
      <c r="U224" t="s">
        <v>1335</v>
      </c>
      <c r="V224" t="s">
        <v>1336</v>
      </c>
      <c r="W224" t="s">
        <v>1337</v>
      </c>
      <c r="X224" t="s">
        <v>1324</v>
      </c>
      <c r="Y224" t="s">
        <v>1338</v>
      </c>
      <c r="Z224" s="70">
        <f>I224*'Dynamic Analysis Dashboard'!$B$8*'Dynamic Analysis Dashboard'!$B$9*'Dynamic Analysis Dashboard'!$B$21</f>
        <v>1.0125E-6</v>
      </c>
      <c r="AA224" s="75">
        <f>J224*'Dynamic Analysis Dashboard'!$B$8*'Dynamic Analysis Dashboard'!$B$9*'Dynamic Analysis Dashboard'!$B$21</f>
        <v>1.1475E-6</v>
      </c>
      <c r="AB224" s="80">
        <f>K224*'Dynamic Analysis Dashboard'!$B$10*'Dynamic Analysis Dashboard'!$B$9*'Dynamic Analysis Dashboard'!$B$21</f>
        <v>4.8000000000000006E-7</v>
      </c>
      <c r="AC224" s="85">
        <f>L224*'Dynamic Analysis Dashboard'!$B$11*'Dynamic Analysis Dashboard'!$B$9*'Dynamic Analysis Dashboard'!$B$21</f>
        <v>0</v>
      </c>
      <c r="AD224" s="120">
        <f t="shared" si="6"/>
        <v>2.6400000000000001E-6</v>
      </c>
      <c r="AE224" s="121">
        <f t="shared" si="7"/>
        <v>1.8479999999999999E-6</v>
      </c>
    </row>
    <row r="225" spans="1:31" x14ac:dyDescent="0.2">
      <c r="A225" t="s">
        <v>79</v>
      </c>
      <c r="B225" t="s">
        <v>179</v>
      </c>
      <c r="C225" t="s">
        <v>1339</v>
      </c>
      <c r="D225" t="s">
        <v>188</v>
      </c>
      <c r="E225" t="s">
        <v>835</v>
      </c>
      <c r="F225" t="s">
        <v>1340</v>
      </c>
      <c r="G225" t="s">
        <v>24</v>
      </c>
      <c r="H225" t="s">
        <v>311</v>
      </c>
      <c r="I225">
        <v>2.8999999999999998E-6</v>
      </c>
      <c r="J225">
        <v>0</v>
      </c>
      <c r="K225">
        <v>0</v>
      </c>
      <c r="L225">
        <v>0</v>
      </c>
      <c r="M225">
        <v>2.8999999999999998E-6</v>
      </c>
      <c r="N225">
        <v>0.7</v>
      </c>
      <c r="O225">
        <v>9</v>
      </c>
      <c r="P225">
        <v>3</v>
      </c>
      <c r="Q225">
        <v>2</v>
      </c>
      <c r="R225">
        <v>3</v>
      </c>
      <c r="S225">
        <v>83160</v>
      </c>
      <c r="T225">
        <v>228</v>
      </c>
      <c r="U225" t="s">
        <v>1341</v>
      </c>
      <c r="V225" t="s">
        <v>1322</v>
      </c>
      <c r="W225" t="s">
        <v>1323</v>
      </c>
      <c r="X225" t="s">
        <v>1324</v>
      </c>
      <c r="Y225" t="s">
        <v>1342</v>
      </c>
      <c r="Z225" s="70">
        <f>I225*'Dynamic Analysis Dashboard'!$B$8*'Dynamic Analysis Dashboard'!$B$9*'Dynamic Analysis Dashboard'!$B$21</f>
        <v>1.9574999999999999E-6</v>
      </c>
      <c r="AA225" s="75">
        <f>J225*'Dynamic Analysis Dashboard'!$B$8*'Dynamic Analysis Dashboard'!$B$9*'Dynamic Analysis Dashboard'!$B$21</f>
        <v>0</v>
      </c>
      <c r="AB225" s="80">
        <f>K225*'Dynamic Analysis Dashboard'!$B$10*'Dynamic Analysis Dashboard'!$B$9*'Dynamic Analysis Dashboard'!$B$21</f>
        <v>0</v>
      </c>
      <c r="AC225" s="85">
        <f>L225*'Dynamic Analysis Dashboard'!$B$11*'Dynamic Analysis Dashboard'!$B$9*'Dynamic Analysis Dashboard'!$B$21</f>
        <v>0</v>
      </c>
      <c r="AD225" s="120">
        <f t="shared" si="6"/>
        <v>1.9574999999999999E-6</v>
      </c>
      <c r="AE225" s="121">
        <f t="shared" si="7"/>
        <v>1.3702499999999999E-6</v>
      </c>
    </row>
    <row r="226" spans="1:31" x14ac:dyDescent="0.2">
      <c r="A226" t="s">
        <v>79</v>
      </c>
      <c r="B226" t="s">
        <v>186</v>
      </c>
      <c r="C226" t="s">
        <v>1343</v>
      </c>
      <c r="D226" t="s">
        <v>1344</v>
      </c>
      <c r="E226" t="s">
        <v>1345</v>
      </c>
      <c r="F226" t="s">
        <v>1346</v>
      </c>
      <c r="G226" t="s">
        <v>24</v>
      </c>
      <c r="H226" t="s">
        <v>33</v>
      </c>
      <c r="I226">
        <v>2.5000000000000002E-6</v>
      </c>
      <c r="J226">
        <v>0</v>
      </c>
      <c r="K226">
        <v>5.9999999999999997E-7</v>
      </c>
      <c r="L226">
        <v>0</v>
      </c>
      <c r="M226">
        <v>3.1E-6</v>
      </c>
      <c r="N226">
        <v>0.75</v>
      </c>
      <c r="O226">
        <v>7</v>
      </c>
      <c r="P226">
        <v>3</v>
      </c>
      <c r="Q226">
        <v>3</v>
      </c>
      <c r="R226">
        <v>3</v>
      </c>
      <c r="S226">
        <v>260000000</v>
      </c>
      <c r="T226">
        <v>780</v>
      </c>
      <c r="U226" t="s">
        <v>1347</v>
      </c>
      <c r="V226" t="s">
        <v>1322</v>
      </c>
      <c r="W226" t="s">
        <v>1348</v>
      </c>
      <c r="X226" t="s">
        <v>1324</v>
      </c>
      <c r="Y226" t="s">
        <v>1349</v>
      </c>
      <c r="Z226" s="70">
        <f>I226*'Dynamic Analysis Dashboard'!$B$8*'Dynamic Analysis Dashboard'!$B$9*'Dynamic Analysis Dashboard'!$B$21</f>
        <v>1.6874999999999999E-6</v>
      </c>
      <c r="AA226" s="75">
        <f>J226*'Dynamic Analysis Dashboard'!$B$8*'Dynamic Analysis Dashboard'!$B$9*'Dynamic Analysis Dashboard'!$B$21</f>
        <v>0</v>
      </c>
      <c r="AB226" s="80">
        <f>K226*'Dynamic Analysis Dashboard'!$B$10*'Dynamic Analysis Dashboard'!$B$9*'Dynamic Analysis Dashboard'!$B$21</f>
        <v>3.5999999999999994E-7</v>
      </c>
      <c r="AC226" s="85">
        <f>L226*'Dynamic Analysis Dashboard'!$B$11*'Dynamic Analysis Dashboard'!$B$9*'Dynamic Analysis Dashboard'!$B$21</f>
        <v>0</v>
      </c>
      <c r="AD226" s="120">
        <f t="shared" si="6"/>
        <v>2.0474999999999999E-6</v>
      </c>
      <c r="AE226" s="121">
        <f t="shared" si="7"/>
        <v>1.5356249999999998E-6</v>
      </c>
    </row>
    <row r="227" spans="1:31" hidden="1" x14ac:dyDescent="0.2">
      <c r="A227" t="s">
        <v>79</v>
      </c>
      <c r="B227" t="s">
        <v>141</v>
      </c>
      <c r="C227" t="s">
        <v>1350</v>
      </c>
      <c r="D227" t="s">
        <v>595</v>
      </c>
      <c r="E227" t="s">
        <v>431</v>
      </c>
      <c r="F227" t="s">
        <v>1351</v>
      </c>
      <c r="G227" t="s">
        <v>31</v>
      </c>
      <c r="H227" t="s">
        <v>25</v>
      </c>
      <c r="I227">
        <v>7.2999999999999996E-6</v>
      </c>
      <c r="J227">
        <v>3.4999999999999999E-6</v>
      </c>
      <c r="K227">
        <v>0</v>
      </c>
      <c r="L227">
        <v>1.8000000000000001E-6</v>
      </c>
      <c r="M227">
        <v>1.26E-5</v>
      </c>
      <c r="N227">
        <v>0.8</v>
      </c>
      <c r="O227">
        <v>9</v>
      </c>
      <c r="P227">
        <v>4</v>
      </c>
      <c r="Q227">
        <v>3</v>
      </c>
      <c r="R227">
        <v>4</v>
      </c>
      <c r="S227">
        <v>333000</v>
      </c>
      <c r="T227">
        <v>684</v>
      </c>
      <c r="U227" t="s">
        <v>1352</v>
      </c>
      <c r="V227" t="s">
        <v>1353</v>
      </c>
      <c r="W227" t="s">
        <v>1323</v>
      </c>
      <c r="X227" t="s">
        <v>1354</v>
      </c>
      <c r="Y227" t="s">
        <v>1355</v>
      </c>
      <c r="Z227" s="70">
        <f>I227*'Dynamic Analysis Dashboard'!$B$8*'Dynamic Analysis Dashboard'!$B$9*'Dynamic Analysis Dashboard'!$B$21</f>
        <v>4.9274999999999998E-6</v>
      </c>
      <c r="AA227" s="75">
        <f>J227*'Dynamic Analysis Dashboard'!$B$8*'Dynamic Analysis Dashboard'!$B$9*'Dynamic Analysis Dashboard'!$B$21</f>
        <v>2.3624999999999998E-6</v>
      </c>
      <c r="AB227" s="80">
        <f>K227*'Dynamic Analysis Dashboard'!$B$10*'Dynamic Analysis Dashboard'!$B$9*'Dynamic Analysis Dashboard'!$B$21</f>
        <v>0</v>
      </c>
      <c r="AC227" s="85">
        <f>L227*'Dynamic Analysis Dashboard'!$B$11*'Dynamic Analysis Dashboard'!$B$9*'Dynamic Analysis Dashboard'!$B$21</f>
        <v>1.1475E-6</v>
      </c>
      <c r="AD227" s="120">
        <f t="shared" si="6"/>
        <v>8.4375000000000001E-6</v>
      </c>
      <c r="AE227" s="121">
        <f t="shared" si="7"/>
        <v>6.7500000000000006E-6</v>
      </c>
    </row>
    <row r="228" spans="1:31" hidden="1" x14ac:dyDescent="0.2">
      <c r="A228" t="s">
        <v>79</v>
      </c>
      <c r="B228" t="s">
        <v>133</v>
      </c>
      <c r="C228" t="s">
        <v>1356</v>
      </c>
      <c r="D228" t="s">
        <v>1357</v>
      </c>
      <c r="E228" t="s">
        <v>9</v>
      </c>
      <c r="F228" t="s">
        <v>1358</v>
      </c>
      <c r="G228" t="s">
        <v>31</v>
      </c>
      <c r="H228" t="s">
        <v>25</v>
      </c>
      <c r="I228">
        <v>0</v>
      </c>
      <c r="J228">
        <v>1.63E-5</v>
      </c>
      <c r="K228">
        <v>0</v>
      </c>
      <c r="L228">
        <v>0</v>
      </c>
      <c r="M228">
        <v>1.63E-5</v>
      </c>
      <c r="N228">
        <v>0.65</v>
      </c>
      <c r="O228">
        <v>10</v>
      </c>
      <c r="P228">
        <v>3</v>
      </c>
      <c r="Q228">
        <v>3</v>
      </c>
      <c r="R228">
        <v>4</v>
      </c>
      <c r="S228">
        <v>182000000</v>
      </c>
      <c r="T228">
        <v>546</v>
      </c>
      <c r="U228" t="s">
        <v>1359</v>
      </c>
      <c r="V228" t="s">
        <v>1360</v>
      </c>
      <c r="W228" t="s">
        <v>1323</v>
      </c>
      <c r="X228" t="s">
        <v>1324</v>
      </c>
      <c r="Y228" t="s">
        <v>1361</v>
      </c>
      <c r="Z228" s="70">
        <f>I228*'Dynamic Analysis Dashboard'!$B$8*'Dynamic Analysis Dashboard'!$B$9*'Dynamic Analysis Dashboard'!$B$21</f>
        <v>0</v>
      </c>
      <c r="AA228" s="75">
        <f>J228*'Dynamic Analysis Dashboard'!$B$8*'Dynamic Analysis Dashboard'!$B$9*'Dynamic Analysis Dashboard'!$B$21</f>
        <v>1.10025E-5</v>
      </c>
      <c r="AB228" s="80">
        <f>K228*'Dynamic Analysis Dashboard'!$B$10*'Dynamic Analysis Dashboard'!$B$9*'Dynamic Analysis Dashboard'!$B$21</f>
        <v>0</v>
      </c>
      <c r="AC228" s="85">
        <f>L228*'Dynamic Analysis Dashboard'!$B$11*'Dynamic Analysis Dashboard'!$B$9*'Dynamic Analysis Dashboard'!$B$21</f>
        <v>0</v>
      </c>
      <c r="AD228" s="120">
        <f t="shared" si="6"/>
        <v>1.10025E-5</v>
      </c>
      <c r="AE228" s="121">
        <f t="shared" si="7"/>
        <v>7.1516250000000003E-6</v>
      </c>
    </row>
    <row r="229" spans="1:31" hidden="1" x14ac:dyDescent="0.2">
      <c r="A229" t="s">
        <v>79</v>
      </c>
      <c r="B229" t="s">
        <v>164</v>
      </c>
      <c r="C229" t="s">
        <v>1362</v>
      </c>
      <c r="D229" t="s">
        <v>188</v>
      </c>
      <c r="E229" t="s">
        <v>1363</v>
      </c>
      <c r="F229" t="s">
        <v>1364</v>
      </c>
      <c r="G229" t="s">
        <v>31</v>
      </c>
      <c r="H229" t="s">
        <v>28</v>
      </c>
      <c r="I229">
        <v>4.7999999999999998E-6</v>
      </c>
      <c r="J229">
        <v>0</v>
      </c>
      <c r="K229">
        <v>0</v>
      </c>
      <c r="L229">
        <v>0</v>
      </c>
      <c r="M229">
        <v>4.7999999999999998E-6</v>
      </c>
      <c r="N229">
        <v>0.7</v>
      </c>
      <c r="O229">
        <v>6</v>
      </c>
      <c r="P229">
        <v>2</v>
      </c>
      <c r="Q229">
        <v>3</v>
      </c>
      <c r="R229">
        <v>2</v>
      </c>
      <c r="S229">
        <v>41580</v>
      </c>
      <c r="T229">
        <v>108</v>
      </c>
      <c r="U229" t="s">
        <v>1365</v>
      </c>
      <c r="V229" t="s">
        <v>1322</v>
      </c>
      <c r="W229" t="s">
        <v>1323</v>
      </c>
      <c r="X229" t="s">
        <v>1324</v>
      </c>
      <c r="Y229" t="s">
        <v>1366</v>
      </c>
      <c r="Z229" s="70">
        <f>I229*'Dynamic Analysis Dashboard'!$B$8*'Dynamic Analysis Dashboard'!$B$9*'Dynamic Analysis Dashboard'!$B$21</f>
        <v>3.2400000000000003E-6</v>
      </c>
      <c r="AA229" s="75">
        <f>J229*'Dynamic Analysis Dashboard'!$B$8*'Dynamic Analysis Dashboard'!$B$9*'Dynamic Analysis Dashboard'!$B$21</f>
        <v>0</v>
      </c>
      <c r="AB229" s="80">
        <f>K229*'Dynamic Analysis Dashboard'!$B$10*'Dynamic Analysis Dashboard'!$B$9*'Dynamic Analysis Dashboard'!$B$21</f>
        <v>0</v>
      </c>
      <c r="AC229" s="85">
        <f>L229*'Dynamic Analysis Dashboard'!$B$11*'Dynamic Analysis Dashboard'!$B$9*'Dynamic Analysis Dashboard'!$B$21</f>
        <v>0</v>
      </c>
      <c r="AD229" s="120">
        <f t="shared" si="6"/>
        <v>3.2400000000000003E-6</v>
      </c>
      <c r="AE229" s="121">
        <f t="shared" si="7"/>
        <v>2.2680000000000001E-6</v>
      </c>
    </row>
    <row r="230" spans="1:31" hidden="1" x14ac:dyDescent="0.2">
      <c r="A230" t="s">
        <v>79</v>
      </c>
      <c r="B230" t="s">
        <v>172</v>
      </c>
      <c r="C230" t="s">
        <v>1367</v>
      </c>
      <c r="D230" t="s">
        <v>166</v>
      </c>
      <c r="E230" t="s">
        <v>698</v>
      </c>
      <c r="F230" t="s">
        <v>1368</v>
      </c>
      <c r="G230" t="s">
        <v>31</v>
      </c>
      <c r="H230" t="s">
        <v>28</v>
      </c>
      <c r="I230">
        <v>4.9999999999999998E-7</v>
      </c>
      <c r="J230">
        <v>0</v>
      </c>
      <c r="K230">
        <v>0</v>
      </c>
      <c r="L230">
        <v>3.2000000000000003E-6</v>
      </c>
      <c r="M230">
        <v>3.7000000000000002E-6</v>
      </c>
      <c r="N230">
        <v>0.75</v>
      </c>
      <c r="O230">
        <v>5</v>
      </c>
      <c r="P230">
        <v>2</v>
      </c>
      <c r="Q230">
        <v>3</v>
      </c>
      <c r="R230">
        <v>3</v>
      </c>
      <c r="S230">
        <v>133200</v>
      </c>
      <c r="T230">
        <v>288</v>
      </c>
      <c r="U230" t="s">
        <v>1369</v>
      </c>
      <c r="V230" t="s">
        <v>1322</v>
      </c>
      <c r="W230" t="s">
        <v>1323</v>
      </c>
      <c r="X230" t="s">
        <v>1370</v>
      </c>
      <c r="Y230" t="s">
        <v>1371</v>
      </c>
      <c r="Z230" s="70">
        <f>I230*'Dynamic Analysis Dashboard'!$B$8*'Dynamic Analysis Dashboard'!$B$9*'Dynamic Analysis Dashboard'!$B$21</f>
        <v>3.375E-7</v>
      </c>
      <c r="AA230" s="75">
        <f>J230*'Dynamic Analysis Dashboard'!$B$8*'Dynamic Analysis Dashboard'!$B$9*'Dynamic Analysis Dashboard'!$B$21</f>
        <v>0</v>
      </c>
      <c r="AB230" s="80">
        <f>K230*'Dynamic Analysis Dashboard'!$B$10*'Dynamic Analysis Dashboard'!$B$9*'Dynamic Analysis Dashboard'!$B$21</f>
        <v>0</v>
      </c>
      <c r="AC230" s="85">
        <f>L230*'Dynamic Analysis Dashboard'!$B$11*'Dynamic Analysis Dashboard'!$B$9*'Dynamic Analysis Dashboard'!$B$21</f>
        <v>2.04E-6</v>
      </c>
      <c r="AD230" s="120">
        <f t="shared" si="6"/>
        <v>2.3775000000000001E-6</v>
      </c>
      <c r="AE230" s="121">
        <f t="shared" si="7"/>
        <v>1.783125E-6</v>
      </c>
    </row>
    <row r="231" spans="1:31" hidden="1" x14ac:dyDescent="0.2">
      <c r="A231" t="s">
        <v>79</v>
      </c>
      <c r="B231" t="s">
        <v>194</v>
      </c>
      <c r="C231" t="s">
        <v>1372</v>
      </c>
      <c r="D231" t="s">
        <v>315</v>
      </c>
      <c r="E231" t="s">
        <v>1373</v>
      </c>
      <c r="F231" t="s">
        <v>1374</v>
      </c>
      <c r="G231" t="s">
        <v>31</v>
      </c>
      <c r="H231" t="s">
        <v>25</v>
      </c>
      <c r="I231">
        <v>1.8000000000000001E-6</v>
      </c>
      <c r="J231">
        <v>4.7999999999999998E-6</v>
      </c>
      <c r="K231">
        <v>0</v>
      </c>
      <c r="L231">
        <v>0</v>
      </c>
      <c r="M231">
        <v>6.5999999999999995E-6</v>
      </c>
      <c r="N231">
        <v>0.7</v>
      </c>
      <c r="O231">
        <v>6</v>
      </c>
      <c r="P231">
        <v>3</v>
      </c>
      <c r="Q231">
        <v>3</v>
      </c>
      <c r="R231">
        <v>4</v>
      </c>
      <c r="S231">
        <v>108000</v>
      </c>
      <c r="T231">
        <v>288</v>
      </c>
      <c r="U231" t="s">
        <v>1375</v>
      </c>
      <c r="V231" t="s">
        <v>1376</v>
      </c>
      <c r="W231" t="s">
        <v>1323</v>
      </c>
      <c r="X231" t="s">
        <v>1324</v>
      </c>
      <c r="Y231" t="s">
        <v>1377</v>
      </c>
      <c r="Z231" s="70">
        <f>I231*'Dynamic Analysis Dashboard'!$B$8*'Dynamic Analysis Dashboard'!$B$9*'Dynamic Analysis Dashboard'!$B$21</f>
        <v>1.2150000000000002E-6</v>
      </c>
      <c r="AA231" s="75">
        <f>J231*'Dynamic Analysis Dashboard'!$B$8*'Dynamic Analysis Dashboard'!$B$9*'Dynamic Analysis Dashboard'!$B$21</f>
        <v>3.2400000000000003E-6</v>
      </c>
      <c r="AB231" s="80">
        <f>K231*'Dynamic Analysis Dashboard'!$B$10*'Dynamic Analysis Dashboard'!$B$9*'Dynamic Analysis Dashboard'!$B$21</f>
        <v>0</v>
      </c>
      <c r="AC231" s="85">
        <f>L231*'Dynamic Analysis Dashboard'!$B$11*'Dynamic Analysis Dashboard'!$B$9*'Dynamic Analysis Dashboard'!$B$21</f>
        <v>0</v>
      </c>
      <c r="AD231" s="120">
        <f t="shared" si="6"/>
        <v>4.4550000000000005E-6</v>
      </c>
      <c r="AE231" s="121">
        <f t="shared" si="7"/>
        <v>3.1185000000000003E-6</v>
      </c>
    </row>
    <row r="232" spans="1:31" hidden="1" x14ac:dyDescent="0.2">
      <c r="A232" t="s">
        <v>74</v>
      </c>
      <c r="B232" t="s">
        <v>186</v>
      </c>
      <c r="C232" t="s">
        <v>1378</v>
      </c>
      <c r="D232" t="s">
        <v>470</v>
      </c>
      <c r="E232" t="s">
        <v>1379</v>
      </c>
      <c r="F232" t="s">
        <v>267</v>
      </c>
      <c r="G232" t="s">
        <v>24</v>
      </c>
      <c r="H232" t="s">
        <v>25</v>
      </c>
      <c r="I232">
        <v>0</v>
      </c>
      <c r="J232">
        <v>1.04E-5</v>
      </c>
      <c r="K232">
        <v>0</v>
      </c>
      <c r="L232">
        <v>0</v>
      </c>
      <c r="M232">
        <v>1.04E-5</v>
      </c>
      <c r="N232">
        <v>0.65</v>
      </c>
      <c r="O232">
        <v>9</v>
      </c>
      <c r="P232">
        <v>3</v>
      </c>
      <c r="Q232">
        <v>3</v>
      </c>
      <c r="R232">
        <v>3</v>
      </c>
      <c r="S232">
        <v>7260</v>
      </c>
      <c r="T232">
        <v>1.6000000000000001E-3</v>
      </c>
      <c r="U232" t="s">
        <v>1009</v>
      </c>
      <c r="V232" t="s">
        <v>1380</v>
      </c>
      <c r="W232" t="s">
        <v>1381</v>
      </c>
      <c r="X232" t="s">
        <v>131</v>
      </c>
      <c r="Y232" t="s">
        <v>1382</v>
      </c>
      <c r="Z232" s="70">
        <f>I232*'Dynamic Analysis Dashboard'!$B$8*'Dynamic Analysis Dashboard'!$B$9*'Dynamic Analysis Dashboard'!$B$21</f>
        <v>0</v>
      </c>
      <c r="AA232" s="75">
        <f>J232*'Dynamic Analysis Dashboard'!$B$8*'Dynamic Analysis Dashboard'!$B$9*'Dynamic Analysis Dashboard'!$B$21</f>
        <v>7.0200000000000006E-6</v>
      </c>
      <c r="AB232" s="80">
        <f>K232*'Dynamic Analysis Dashboard'!$B$10*'Dynamic Analysis Dashboard'!$B$9*'Dynamic Analysis Dashboard'!$B$21</f>
        <v>0</v>
      </c>
      <c r="AC232" s="85">
        <f>L232*'Dynamic Analysis Dashboard'!$B$11*'Dynamic Analysis Dashboard'!$B$9*'Dynamic Analysis Dashboard'!$B$21</f>
        <v>0</v>
      </c>
      <c r="AD232" s="120">
        <f t="shared" si="6"/>
        <v>7.0200000000000006E-6</v>
      </c>
      <c r="AE232" s="121">
        <f t="shared" si="7"/>
        <v>4.5630000000000002E-6</v>
      </c>
    </row>
    <row r="233" spans="1:31" hidden="1" x14ac:dyDescent="0.2">
      <c r="A233" t="s">
        <v>74</v>
      </c>
      <c r="B233" t="s">
        <v>141</v>
      </c>
      <c r="C233" t="s">
        <v>1383</v>
      </c>
      <c r="D233" t="s">
        <v>1384</v>
      </c>
      <c r="E233" t="s">
        <v>197</v>
      </c>
      <c r="F233" t="s">
        <v>1385</v>
      </c>
      <c r="G233" t="s">
        <v>38</v>
      </c>
      <c r="H233" t="s">
        <v>33</v>
      </c>
      <c r="I233">
        <v>1.3999999999999999E-6</v>
      </c>
      <c r="J233">
        <v>0</v>
      </c>
      <c r="K233">
        <v>0</v>
      </c>
      <c r="L233">
        <v>3.7999999999999996E-6</v>
      </c>
      <c r="M233">
        <v>5.2000000000000002E-6</v>
      </c>
      <c r="N233">
        <v>0.8</v>
      </c>
      <c r="O233">
        <v>9</v>
      </c>
      <c r="P233">
        <v>4</v>
      </c>
      <c r="Q233">
        <v>2</v>
      </c>
      <c r="R233">
        <v>4</v>
      </c>
      <c r="S233">
        <v>2418</v>
      </c>
      <c r="T233">
        <v>580</v>
      </c>
      <c r="U233" t="s">
        <v>1386</v>
      </c>
      <c r="V233" t="s">
        <v>129</v>
      </c>
      <c r="W233" t="s">
        <v>1381</v>
      </c>
      <c r="X233" t="s">
        <v>1387</v>
      </c>
      <c r="Y233" t="s">
        <v>1388</v>
      </c>
      <c r="Z233" s="70">
        <f>I233*'Dynamic Analysis Dashboard'!$B$8*'Dynamic Analysis Dashboard'!$B$9*'Dynamic Analysis Dashboard'!$B$21</f>
        <v>9.4500000000000006E-7</v>
      </c>
      <c r="AA233" s="75">
        <f>J233*'Dynamic Analysis Dashboard'!$B$8*'Dynamic Analysis Dashboard'!$B$9*'Dynamic Analysis Dashboard'!$B$21</f>
        <v>0</v>
      </c>
      <c r="AB233" s="80">
        <f>K233*'Dynamic Analysis Dashboard'!$B$10*'Dynamic Analysis Dashboard'!$B$9*'Dynamic Analysis Dashboard'!$B$21</f>
        <v>0</v>
      </c>
      <c r="AC233" s="85">
        <f>L233*'Dynamic Analysis Dashboard'!$B$11*'Dynamic Analysis Dashboard'!$B$9*'Dynamic Analysis Dashboard'!$B$21</f>
        <v>2.4224999999999997E-6</v>
      </c>
      <c r="AD233" s="120">
        <f t="shared" si="6"/>
        <v>3.3674999999999995E-6</v>
      </c>
      <c r="AE233" s="121">
        <f t="shared" si="7"/>
        <v>2.694E-6</v>
      </c>
    </row>
    <row r="234" spans="1:31" hidden="1" x14ac:dyDescent="0.2">
      <c r="A234" t="s">
        <v>74</v>
      </c>
      <c r="B234" t="s">
        <v>123</v>
      </c>
      <c r="C234" t="s">
        <v>1389</v>
      </c>
      <c r="D234" t="s">
        <v>1390</v>
      </c>
      <c r="E234" t="s">
        <v>1391</v>
      </c>
      <c r="F234" t="s">
        <v>495</v>
      </c>
      <c r="G234" t="s">
        <v>31</v>
      </c>
      <c r="H234" t="s">
        <v>25</v>
      </c>
      <c r="I234">
        <v>1.3E-6</v>
      </c>
      <c r="J234">
        <v>1.8199999999999999E-5</v>
      </c>
      <c r="K234">
        <v>0</v>
      </c>
      <c r="L234">
        <v>0</v>
      </c>
      <c r="M234">
        <v>1.95E-5</v>
      </c>
      <c r="N234">
        <v>0.65</v>
      </c>
      <c r="O234">
        <v>6</v>
      </c>
      <c r="P234">
        <v>2</v>
      </c>
      <c r="Q234">
        <v>3</v>
      </c>
      <c r="R234">
        <v>2</v>
      </c>
      <c r="S234">
        <v>4356</v>
      </c>
      <c r="T234">
        <v>870</v>
      </c>
      <c r="U234" t="s">
        <v>1392</v>
      </c>
      <c r="V234" t="s">
        <v>1393</v>
      </c>
      <c r="W234" t="s">
        <v>1381</v>
      </c>
      <c r="X234" t="s">
        <v>131</v>
      </c>
      <c r="Y234" t="s">
        <v>1394</v>
      </c>
      <c r="Z234" s="70">
        <f>I234*'Dynamic Analysis Dashboard'!$B$8*'Dynamic Analysis Dashboard'!$B$9*'Dynamic Analysis Dashboard'!$B$21</f>
        <v>8.7750000000000007E-7</v>
      </c>
      <c r="AA234" s="75">
        <f>J234*'Dynamic Analysis Dashboard'!$B$8*'Dynamic Analysis Dashboard'!$B$9*'Dynamic Analysis Dashboard'!$B$21</f>
        <v>1.2284999999999998E-5</v>
      </c>
      <c r="AB234" s="80">
        <f>K234*'Dynamic Analysis Dashboard'!$B$10*'Dynamic Analysis Dashboard'!$B$9*'Dynamic Analysis Dashboard'!$B$21</f>
        <v>0</v>
      </c>
      <c r="AC234" s="85">
        <f>L234*'Dynamic Analysis Dashboard'!$B$11*'Dynamic Analysis Dashboard'!$B$9*'Dynamic Analysis Dashboard'!$B$21</f>
        <v>0</v>
      </c>
      <c r="AD234" s="120">
        <f t="shared" si="6"/>
        <v>1.3162499999999998E-5</v>
      </c>
      <c r="AE234" s="121">
        <f t="shared" si="7"/>
        <v>8.5556249999999982E-6</v>
      </c>
    </row>
    <row r="235" spans="1:31" hidden="1" x14ac:dyDescent="0.2">
      <c r="A235" t="s">
        <v>74</v>
      </c>
      <c r="B235" t="s">
        <v>149</v>
      </c>
      <c r="C235" t="s">
        <v>1395</v>
      </c>
      <c r="D235" t="s">
        <v>1396</v>
      </c>
      <c r="E235" t="s">
        <v>1397</v>
      </c>
      <c r="F235" t="s">
        <v>1398</v>
      </c>
      <c r="G235" t="s">
        <v>38</v>
      </c>
      <c r="H235" t="s">
        <v>311</v>
      </c>
      <c r="I235">
        <v>1.9999999999999999E-6</v>
      </c>
      <c r="J235">
        <v>9.0999999999999993E-6</v>
      </c>
      <c r="K235">
        <v>0</v>
      </c>
      <c r="L235">
        <v>0</v>
      </c>
      <c r="M235">
        <v>1.11E-5</v>
      </c>
      <c r="N235">
        <v>0.7</v>
      </c>
      <c r="O235">
        <v>12</v>
      </c>
      <c r="P235">
        <v>4</v>
      </c>
      <c r="Q235">
        <v>2</v>
      </c>
      <c r="R235">
        <v>3</v>
      </c>
      <c r="S235">
        <v>3120</v>
      </c>
      <c r="T235">
        <v>690</v>
      </c>
      <c r="U235" t="s">
        <v>1399</v>
      </c>
      <c r="V235" t="s">
        <v>1400</v>
      </c>
      <c r="W235" t="s">
        <v>1381</v>
      </c>
      <c r="X235" t="s">
        <v>131</v>
      </c>
      <c r="Y235" t="s">
        <v>1401</v>
      </c>
      <c r="Z235" s="70">
        <f>I235*'Dynamic Analysis Dashboard'!$B$8*'Dynamic Analysis Dashboard'!$B$9*'Dynamic Analysis Dashboard'!$B$21</f>
        <v>1.35E-6</v>
      </c>
      <c r="AA235" s="75">
        <f>J235*'Dynamic Analysis Dashboard'!$B$8*'Dynamic Analysis Dashboard'!$B$9*'Dynamic Analysis Dashboard'!$B$21</f>
        <v>6.1424999999999992E-6</v>
      </c>
      <c r="AB235" s="80">
        <f>K235*'Dynamic Analysis Dashboard'!$B$10*'Dynamic Analysis Dashboard'!$B$9*'Dynamic Analysis Dashboard'!$B$21</f>
        <v>0</v>
      </c>
      <c r="AC235" s="85">
        <f>L235*'Dynamic Analysis Dashboard'!$B$11*'Dynamic Analysis Dashboard'!$B$9*'Dynamic Analysis Dashboard'!$B$21</f>
        <v>0</v>
      </c>
      <c r="AD235" s="120">
        <f t="shared" si="6"/>
        <v>7.492499999999999E-6</v>
      </c>
      <c r="AE235" s="121">
        <f t="shared" si="7"/>
        <v>5.2447499999999992E-6</v>
      </c>
    </row>
    <row r="236" spans="1:31" hidden="1" x14ac:dyDescent="0.2">
      <c r="A236" t="s">
        <v>74</v>
      </c>
      <c r="B236" t="s">
        <v>133</v>
      </c>
      <c r="C236" t="s">
        <v>1402</v>
      </c>
      <c r="D236" t="s">
        <v>1390</v>
      </c>
      <c r="E236" t="s">
        <v>1403</v>
      </c>
      <c r="F236" t="s">
        <v>259</v>
      </c>
      <c r="G236" t="s">
        <v>38</v>
      </c>
      <c r="H236" t="s">
        <v>28</v>
      </c>
      <c r="I236">
        <v>2.5000000000000002E-6</v>
      </c>
      <c r="J236">
        <v>0</v>
      </c>
      <c r="K236">
        <v>0</v>
      </c>
      <c r="L236">
        <v>0</v>
      </c>
      <c r="M236">
        <v>2.5000000000000002E-6</v>
      </c>
      <c r="N236">
        <v>0.85</v>
      </c>
      <c r="O236">
        <v>6</v>
      </c>
      <c r="P236">
        <v>3</v>
      </c>
      <c r="Q236">
        <v>3</v>
      </c>
      <c r="R236">
        <v>3</v>
      </c>
      <c r="S236">
        <v>10440</v>
      </c>
      <c r="T236">
        <v>2.3999999999999998E-3</v>
      </c>
      <c r="U236" t="s">
        <v>1404</v>
      </c>
      <c r="V236" t="s">
        <v>129</v>
      </c>
      <c r="W236" t="s">
        <v>1381</v>
      </c>
      <c r="X236" t="s">
        <v>131</v>
      </c>
      <c r="Y236" t="s">
        <v>1405</v>
      </c>
      <c r="Z236" s="70">
        <f>I236*'Dynamic Analysis Dashboard'!$B$8*'Dynamic Analysis Dashboard'!$B$9*'Dynamic Analysis Dashboard'!$B$21</f>
        <v>1.6874999999999999E-6</v>
      </c>
      <c r="AA236" s="75">
        <f>J236*'Dynamic Analysis Dashboard'!$B$8*'Dynamic Analysis Dashboard'!$B$9*'Dynamic Analysis Dashboard'!$B$21</f>
        <v>0</v>
      </c>
      <c r="AB236" s="80">
        <f>K236*'Dynamic Analysis Dashboard'!$B$10*'Dynamic Analysis Dashboard'!$B$9*'Dynamic Analysis Dashboard'!$B$21</f>
        <v>0</v>
      </c>
      <c r="AC236" s="85">
        <f>L236*'Dynamic Analysis Dashboard'!$B$11*'Dynamic Analysis Dashboard'!$B$9*'Dynamic Analysis Dashboard'!$B$21</f>
        <v>0</v>
      </c>
      <c r="AD236" s="120">
        <f t="shared" si="6"/>
        <v>1.6874999999999999E-6</v>
      </c>
      <c r="AE236" s="121">
        <f t="shared" si="7"/>
        <v>1.4343749999999999E-6</v>
      </c>
    </row>
    <row r="237" spans="1:31" hidden="1" x14ac:dyDescent="0.2">
      <c r="A237" t="s">
        <v>74</v>
      </c>
      <c r="B237" t="s">
        <v>156</v>
      </c>
      <c r="C237" t="s">
        <v>1406</v>
      </c>
      <c r="D237" t="s">
        <v>287</v>
      </c>
      <c r="E237" t="s">
        <v>1407</v>
      </c>
      <c r="F237" t="s">
        <v>1408</v>
      </c>
      <c r="G237" t="s">
        <v>38</v>
      </c>
      <c r="H237" t="s">
        <v>33</v>
      </c>
      <c r="I237">
        <v>0.2</v>
      </c>
      <c r="J237">
        <v>0</v>
      </c>
      <c r="K237">
        <v>2.1000000000000002E-6</v>
      </c>
      <c r="L237">
        <v>0</v>
      </c>
      <c r="M237">
        <v>2.3E-6</v>
      </c>
      <c r="N237">
        <v>0.75</v>
      </c>
      <c r="O237">
        <v>9</v>
      </c>
      <c r="P237">
        <v>3</v>
      </c>
      <c r="Q237">
        <v>2</v>
      </c>
      <c r="R237">
        <v>2</v>
      </c>
      <c r="S237">
        <v>2904</v>
      </c>
      <c r="T237">
        <v>630</v>
      </c>
      <c r="U237" t="s">
        <v>1409</v>
      </c>
      <c r="V237" t="s">
        <v>129</v>
      </c>
      <c r="W237" t="s">
        <v>1410</v>
      </c>
      <c r="X237" t="s">
        <v>131</v>
      </c>
      <c r="Y237" t="s">
        <v>1411</v>
      </c>
      <c r="Z237" s="70">
        <f>I237*'Dynamic Analysis Dashboard'!$B$8*'Dynamic Analysis Dashboard'!$B$9*'Dynamic Analysis Dashboard'!$B$21</f>
        <v>0.13500000000000001</v>
      </c>
      <c r="AA237" s="75">
        <f>J237*'Dynamic Analysis Dashboard'!$B$8*'Dynamic Analysis Dashboard'!$B$9*'Dynamic Analysis Dashboard'!$B$21</f>
        <v>0</v>
      </c>
      <c r="AB237" s="80">
        <f>K237*'Dynamic Analysis Dashboard'!$B$10*'Dynamic Analysis Dashboard'!$B$9*'Dynamic Analysis Dashboard'!$B$21</f>
        <v>1.2600000000000002E-6</v>
      </c>
      <c r="AC237" s="85">
        <f>L237*'Dynamic Analysis Dashboard'!$B$11*'Dynamic Analysis Dashboard'!$B$9*'Dynamic Analysis Dashboard'!$B$21</f>
        <v>0</v>
      </c>
      <c r="AD237" s="120">
        <f t="shared" si="6"/>
        <v>0.13500126000000001</v>
      </c>
      <c r="AE237" s="121">
        <f t="shared" si="7"/>
        <v>0.10125094500000001</v>
      </c>
    </row>
    <row r="238" spans="1:31" hidden="1" x14ac:dyDescent="0.2">
      <c r="A238" t="s">
        <v>74</v>
      </c>
      <c r="B238" t="s">
        <v>164</v>
      </c>
      <c r="C238" t="s">
        <v>1412</v>
      </c>
      <c r="D238" t="s">
        <v>413</v>
      </c>
      <c r="E238" t="s">
        <v>1413</v>
      </c>
      <c r="F238" t="s">
        <v>1414</v>
      </c>
      <c r="G238" t="s">
        <v>38</v>
      </c>
      <c r="H238" t="s">
        <v>33</v>
      </c>
      <c r="I238">
        <v>1.3999999999999999E-6</v>
      </c>
      <c r="J238">
        <v>1.8000000000000001E-6</v>
      </c>
      <c r="K238">
        <v>0</v>
      </c>
      <c r="L238">
        <v>0</v>
      </c>
      <c r="M238">
        <v>3.2000000000000003E-6</v>
      </c>
      <c r="N238">
        <v>0.75</v>
      </c>
      <c r="O238">
        <v>9</v>
      </c>
      <c r="P238">
        <v>3</v>
      </c>
      <c r="Q238">
        <v>2</v>
      </c>
      <c r="R238">
        <v>3</v>
      </c>
      <c r="S238">
        <v>2808</v>
      </c>
      <c r="T238">
        <v>560</v>
      </c>
      <c r="U238" t="s">
        <v>1415</v>
      </c>
      <c r="V238" t="s">
        <v>1416</v>
      </c>
      <c r="W238" t="s">
        <v>1381</v>
      </c>
      <c r="X238" t="s">
        <v>131</v>
      </c>
      <c r="Y238" t="s">
        <v>1417</v>
      </c>
      <c r="Z238" s="70">
        <f>I238*'Dynamic Analysis Dashboard'!$B$8*'Dynamic Analysis Dashboard'!$B$9*'Dynamic Analysis Dashboard'!$B$21</f>
        <v>9.4500000000000006E-7</v>
      </c>
      <c r="AA238" s="75">
        <f>J238*'Dynamic Analysis Dashboard'!$B$8*'Dynamic Analysis Dashboard'!$B$9*'Dynamic Analysis Dashboard'!$B$21</f>
        <v>1.2150000000000002E-6</v>
      </c>
      <c r="AB238" s="80">
        <f>K238*'Dynamic Analysis Dashboard'!$B$10*'Dynamic Analysis Dashboard'!$B$9*'Dynamic Analysis Dashboard'!$B$21</f>
        <v>0</v>
      </c>
      <c r="AC238" s="85">
        <f>L238*'Dynamic Analysis Dashboard'!$B$11*'Dynamic Analysis Dashboard'!$B$9*'Dynamic Analysis Dashboard'!$B$21</f>
        <v>0</v>
      </c>
      <c r="AD238" s="120">
        <f t="shared" si="6"/>
        <v>2.1600000000000005E-6</v>
      </c>
      <c r="AE238" s="121">
        <f t="shared" si="7"/>
        <v>1.6200000000000004E-6</v>
      </c>
    </row>
    <row r="239" spans="1:31" hidden="1" x14ac:dyDescent="0.2">
      <c r="A239" t="s">
        <v>74</v>
      </c>
      <c r="B239" t="s">
        <v>172</v>
      </c>
      <c r="C239" t="s">
        <v>1418</v>
      </c>
      <c r="D239" t="s">
        <v>413</v>
      </c>
      <c r="E239" t="s">
        <v>1419</v>
      </c>
      <c r="F239" t="s">
        <v>231</v>
      </c>
      <c r="G239" t="s">
        <v>38</v>
      </c>
      <c r="H239" t="s">
        <v>28</v>
      </c>
      <c r="I239">
        <v>0.4</v>
      </c>
      <c r="J239">
        <v>8.6999999999999997E-6</v>
      </c>
      <c r="K239">
        <v>0</v>
      </c>
      <c r="L239">
        <v>0</v>
      </c>
      <c r="M239">
        <v>9.0999999999999993E-6</v>
      </c>
      <c r="N239">
        <v>0.7</v>
      </c>
      <c r="O239">
        <v>12</v>
      </c>
      <c r="P239">
        <v>3</v>
      </c>
      <c r="Q239">
        <v>2</v>
      </c>
      <c r="R239">
        <v>3</v>
      </c>
      <c r="S239">
        <v>3276</v>
      </c>
      <c r="T239">
        <v>670</v>
      </c>
      <c r="U239" t="s">
        <v>1420</v>
      </c>
      <c r="V239" t="s">
        <v>1421</v>
      </c>
      <c r="W239" t="s">
        <v>1381</v>
      </c>
      <c r="X239" t="s">
        <v>131</v>
      </c>
      <c r="Y239" t="s">
        <v>1422</v>
      </c>
      <c r="Z239" s="70">
        <f>I239*'Dynamic Analysis Dashboard'!$B$8*'Dynamic Analysis Dashboard'!$B$9*'Dynamic Analysis Dashboard'!$B$21</f>
        <v>0.27</v>
      </c>
      <c r="AA239" s="75">
        <f>J239*'Dynamic Analysis Dashboard'!$B$8*'Dynamic Analysis Dashboard'!$B$9*'Dynamic Analysis Dashboard'!$B$21</f>
        <v>5.8725000000000001E-6</v>
      </c>
      <c r="AB239" s="80">
        <f>K239*'Dynamic Analysis Dashboard'!$B$10*'Dynamic Analysis Dashboard'!$B$9*'Dynamic Analysis Dashboard'!$B$21</f>
        <v>0</v>
      </c>
      <c r="AC239" s="85">
        <f>L239*'Dynamic Analysis Dashboard'!$B$11*'Dynamic Analysis Dashboard'!$B$9*'Dynamic Analysis Dashboard'!$B$21</f>
        <v>0</v>
      </c>
      <c r="AD239" s="120">
        <f t="shared" si="6"/>
        <v>0.27000587250000002</v>
      </c>
      <c r="AE239" s="121">
        <f t="shared" si="7"/>
        <v>0.18900411075000001</v>
      </c>
    </row>
    <row r="240" spans="1:31" hidden="1" x14ac:dyDescent="0.2">
      <c r="A240" t="s">
        <v>74</v>
      </c>
      <c r="B240" t="s">
        <v>179</v>
      </c>
      <c r="C240" t="s">
        <v>1423</v>
      </c>
      <c r="D240" t="s">
        <v>1396</v>
      </c>
      <c r="E240" t="s">
        <v>1152</v>
      </c>
      <c r="F240" t="s">
        <v>582</v>
      </c>
      <c r="G240" t="s">
        <v>38</v>
      </c>
      <c r="H240" t="s">
        <v>33</v>
      </c>
      <c r="I240">
        <v>1.5E-6</v>
      </c>
      <c r="J240">
        <v>2.2000000000000001E-6</v>
      </c>
      <c r="K240">
        <v>0</v>
      </c>
      <c r="L240">
        <v>0</v>
      </c>
      <c r="M240">
        <v>3.7000000000000002E-6</v>
      </c>
      <c r="N240">
        <v>0.8</v>
      </c>
      <c r="O240">
        <v>9</v>
      </c>
      <c r="P240">
        <v>3</v>
      </c>
      <c r="Q240">
        <v>3</v>
      </c>
      <c r="R240">
        <v>2</v>
      </c>
      <c r="S240">
        <v>540</v>
      </c>
      <c r="T240">
        <v>130</v>
      </c>
      <c r="U240" t="s">
        <v>1424</v>
      </c>
      <c r="V240" t="s">
        <v>1425</v>
      </c>
      <c r="W240" t="s">
        <v>1381</v>
      </c>
      <c r="X240" t="s">
        <v>131</v>
      </c>
      <c r="Y240" t="s">
        <v>1426</v>
      </c>
      <c r="Z240" s="70">
        <f>I240*'Dynamic Analysis Dashboard'!$B$8*'Dynamic Analysis Dashboard'!$B$9*'Dynamic Analysis Dashboard'!$B$21</f>
        <v>1.0125E-6</v>
      </c>
      <c r="AA240" s="75">
        <f>J240*'Dynamic Analysis Dashboard'!$B$8*'Dynamic Analysis Dashboard'!$B$9*'Dynamic Analysis Dashboard'!$B$21</f>
        <v>1.4850000000000002E-6</v>
      </c>
      <c r="AB240" s="80">
        <f>K240*'Dynamic Analysis Dashboard'!$B$10*'Dynamic Analysis Dashboard'!$B$9*'Dynamic Analysis Dashboard'!$B$21</f>
        <v>0</v>
      </c>
      <c r="AC240" s="85">
        <f>L240*'Dynamic Analysis Dashboard'!$B$11*'Dynamic Analysis Dashboard'!$B$9*'Dynamic Analysis Dashboard'!$B$21</f>
        <v>0</v>
      </c>
      <c r="AD240" s="120">
        <f t="shared" si="6"/>
        <v>2.4975000000000002E-6</v>
      </c>
      <c r="AE240" s="121">
        <f t="shared" si="7"/>
        <v>1.9980000000000002E-6</v>
      </c>
    </row>
    <row r="241" spans="1:31" hidden="1" x14ac:dyDescent="0.2">
      <c r="A241" t="s">
        <v>74</v>
      </c>
      <c r="B241" t="s">
        <v>194</v>
      </c>
      <c r="C241" t="s">
        <v>1427</v>
      </c>
      <c r="D241" t="s">
        <v>1384</v>
      </c>
      <c r="E241" t="s">
        <v>1428</v>
      </c>
      <c r="F241" t="s">
        <v>231</v>
      </c>
      <c r="G241" t="s">
        <v>38</v>
      </c>
      <c r="H241" t="s">
        <v>28</v>
      </c>
      <c r="I241">
        <v>1.5E-6</v>
      </c>
      <c r="J241">
        <v>0</v>
      </c>
      <c r="K241">
        <v>0</v>
      </c>
      <c r="L241">
        <v>0</v>
      </c>
      <c r="M241">
        <v>1.5E-6</v>
      </c>
      <c r="N241">
        <v>0.85</v>
      </c>
      <c r="O241">
        <v>6</v>
      </c>
      <c r="P241">
        <v>2</v>
      </c>
      <c r="Q241">
        <v>2</v>
      </c>
      <c r="R241">
        <v>2</v>
      </c>
      <c r="S241">
        <v>1089</v>
      </c>
      <c r="T241">
        <v>220</v>
      </c>
      <c r="U241" t="s">
        <v>1429</v>
      </c>
      <c r="V241" t="s">
        <v>129</v>
      </c>
      <c r="W241" t="s">
        <v>1381</v>
      </c>
      <c r="X241" t="s">
        <v>131</v>
      </c>
      <c r="Y241" t="s">
        <v>1430</v>
      </c>
      <c r="Z241" s="70">
        <f>I241*'Dynamic Analysis Dashboard'!$B$8*'Dynamic Analysis Dashboard'!$B$9*'Dynamic Analysis Dashboard'!$B$21</f>
        <v>1.0125E-6</v>
      </c>
      <c r="AA241" s="75">
        <f>J241*'Dynamic Analysis Dashboard'!$B$8*'Dynamic Analysis Dashboard'!$B$9*'Dynamic Analysis Dashboard'!$B$21</f>
        <v>0</v>
      </c>
      <c r="AB241" s="80">
        <f>K241*'Dynamic Analysis Dashboard'!$B$10*'Dynamic Analysis Dashboard'!$B$9*'Dynamic Analysis Dashboard'!$B$21</f>
        <v>0</v>
      </c>
      <c r="AC241" s="85">
        <f>L241*'Dynamic Analysis Dashboard'!$B$11*'Dynamic Analysis Dashboard'!$B$9*'Dynamic Analysis Dashboard'!$B$21</f>
        <v>0</v>
      </c>
      <c r="AD241" s="120">
        <f t="shared" si="6"/>
        <v>1.0125E-6</v>
      </c>
      <c r="AE241" s="121">
        <f t="shared" si="7"/>
        <v>8.6062500000000002E-7</v>
      </c>
    </row>
    <row r="242" spans="1:31" x14ac:dyDescent="0.2">
      <c r="A242" t="s">
        <v>101</v>
      </c>
      <c r="B242" t="s">
        <v>141</v>
      </c>
      <c r="C242" t="s">
        <v>1431</v>
      </c>
      <c r="D242" t="s">
        <v>1432</v>
      </c>
      <c r="E242" t="s">
        <v>1433</v>
      </c>
      <c r="F242" t="s">
        <v>1138</v>
      </c>
      <c r="G242" t="s">
        <v>24</v>
      </c>
      <c r="H242" t="s">
        <v>28</v>
      </c>
      <c r="I242">
        <v>0.8</v>
      </c>
      <c r="J242">
        <v>0</v>
      </c>
      <c r="K242">
        <v>0.2</v>
      </c>
      <c r="L242">
        <v>0</v>
      </c>
      <c r="M242">
        <v>9.9999999999999995E-7</v>
      </c>
      <c r="N242">
        <v>0.85</v>
      </c>
      <c r="O242">
        <v>9</v>
      </c>
      <c r="P242">
        <v>3</v>
      </c>
      <c r="Q242">
        <v>3</v>
      </c>
      <c r="R242">
        <v>2</v>
      </c>
      <c r="S242">
        <v>16380</v>
      </c>
      <c r="T242">
        <v>411</v>
      </c>
      <c r="U242" t="s">
        <v>1434</v>
      </c>
      <c r="V242" t="s">
        <v>129</v>
      </c>
      <c r="W242" t="s">
        <v>1435</v>
      </c>
      <c r="X242" t="s">
        <v>131</v>
      </c>
      <c r="Y242" t="s">
        <v>1436</v>
      </c>
      <c r="Z242" s="70">
        <f>I242*'Dynamic Analysis Dashboard'!$B$8*'Dynamic Analysis Dashboard'!$B$9*'Dynamic Analysis Dashboard'!$B$21</f>
        <v>0.54</v>
      </c>
      <c r="AA242" s="75">
        <f>J242*'Dynamic Analysis Dashboard'!$B$8*'Dynamic Analysis Dashboard'!$B$9*'Dynamic Analysis Dashboard'!$B$21</f>
        <v>0</v>
      </c>
      <c r="AB242" s="80">
        <f>K242*'Dynamic Analysis Dashboard'!$B$10*'Dynamic Analysis Dashboard'!$B$9*'Dynamic Analysis Dashboard'!$B$21</f>
        <v>0.12000000000000002</v>
      </c>
      <c r="AC242" s="85">
        <f>L242*'Dynamic Analysis Dashboard'!$B$11*'Dynamic Analysis Dashboard'!$B$9*'Dynamic Analysis Dashboard'!$B$21</f>
        <v>0</v>
      </c>
      <c r="AD242" s="120">
        <f t="shared" si="6"/>
        <v>0.66</v>
      </c>
      <c r="AE242" s="121">
        <f t="shared" si="7"/>
        <v>0.56100000000000005</v>
      </c>
    </row>
    <row r="243" spans="1:31" x14ac:dyDescent="0.2">
      <c r="A243" t="s">
        <v>101</v>
      </c>
      <c r="B243" t="s">
        <v>123</v>
      </c>
      <c r="C243" t="s">
        <v>1437</v>
      </c>
      <c r="D243" t="s">
        <v>1438</v>
      </c>
      <c r="E243" t="s">
        <v>1439</v>
      </c>
      <c r="F243" t="s">
        <v>609</v>
      </c>
      <c r="G243" t="s">
        <v>24</v>
      </c>
      <c r="H243" t="s">
        <v>28</v>
      </c>
      <c r="I243">
        <v>1.7E-6</v>
      </c>
      <c r="J243">
        <v>0</v>
      </c>
      <c r="K243">
        <v>0.4</v>
      </c>
      <c r="L243">
        <v>0</v>
      </c>
      <c r="M243">
        <v>2.1000000000000002E-6</v>
      </c>
      <c r="N243">
        <v>0.75</v>
      </c>
      <c r="O243">
        <v>12</v>
      </c>
      <c r="P243">
        <v>4</v>
      </c>
      <c r="Q243">
        <v>2</v>
      </c>
      <c r="R243">
        <v>4</v>
      </c>
      <c r="S243">
        <v>1079.5</v>
      </c>
      <c r="T243">
        <v>101</v>
      </c>
      <c r="U243" t="s">
        <v>1440</v>
      </c>
      <c r="V243" t="s">
        <v>129</v>
      </c>
      <c r="W243" t="s">
        <v>1441</v>
      </c>
      <c r="X243" t="s">
        <v>131</v>
      </c>
      <c r="Y243" t="s">
        <v>1442</v>
      </c>
      <c r="Z243" s="70">
        <f>I243*'Dynamic Analysis Dashboard'!$B$8*'Dynamic Analysis Dashboard'!$B$9*'Dynamic Analysis Dashboard'!$B$21</f>
        <v>1.1475E-6</v>
      </c>
      <c r="AA243" s="75">
        <f>J243*'Dynamic Analysis Dashboard'!$B$8*'Dynamic Analysis Dashboard'!$B$9*'Dynamic Analysis Dashboard'!$B$21</f>
        <v>0</v>
      </c>
      <c r="AB243" s="80">
        <f>K243*'Dynamic Analysis Dashboard'!$B$10*'Dynamic Analysis Dashboard'!$B$9*'Dynamic Analysis Dashboard'!$B$21</f>
        <v>0.24000000000000005</v>
      </c>
      <c r="AC243" s="85">
        <f>L243*'Dynamic Analysis Dashboard'!$B$11*'Dynamic Analysis Dashboard'!$B$9*'Dynamic Analysis Dashboard'!$B$21</f>
        <v>0</v>
      </c>
      <c r="AD243" s="120">
        <f t="shared" si="6"/>
        <v>0.24000114750000004</v>
      </c>
      <c r="AE243" s="121">
        <f t="shared" si="7"/>
        <v>0.18000086062500004</v>
      </c>
    </row>
    <row r="244" spans="1:31" x14ac:dyDescent="0.2">
      <c r="A244" t="s">
        <v>101</v>
      </c>
      <c r="B244" t="s">
        <v>186</v>
      </c>
      <c r="C244" t="s">
        <v>1443</v>
      </c>
      <c r="D244" t="s">
        <v>1013</v>
      </c>
      <c r="E244" t="s">
        <v>1444</v>
      </c>
      <c r="F244" t="s">
        <v>1414</v>
      </c>
      <c r="G244" t="s">
        <v>24</v>
      </c>
      <c r="H244" t="s">
        <v>33</v>
      </c>
      <c r="I244">
        <v>0.9</v>
      </c>
      <c r="J244">
        <v>0</v>
      </c>
      <c r="K244">
        <v>0.5</v>
      </c>
      <c r="L244">
        <v>0</v>
      </c>
      <c r="M244">
        <v>1.3999999999999999E-6</v>
      </c>
      <c r="N244">
        <v>0.75</v>
      </c>
      <c r="O244">
        <v>12</v>
      </c>
      <c r="P244">
        <v>3</v>
      </c>
      <c r="Q244">
        <v>2</v>
      </c>
      <c r="R244">
        <v>3</v>
      </c>
      <c r="S244">
        <v>3400</v>
      </c>
      <c r="T244">
        <v>61</v>
      </c>
      <c r="U244" t="s">
        <v>1445</v>
      </c>
      <c r="V244" t="s">
        <v>129</v>
      </c>
      <c r="W244" t="s">
        <v>1446</v>
      </c>
      <c r="X244" t="s">
        <v>131</v>
      </c>
      <c r="Y244" t="s">
        <v>1447</v>
      </c>
      <c r="Z244" s="70">
        <f>I244*'Dynamic Analysis Dashboard'!$B$8*'Dynamic Analysis Dashboard'!$B$9*'Dynamic Analysis Dashboard'!$B$21</f>
        <v>0.60750000000000004</v>
      </c>
      <c r="AA244" s="75">
        <f>J244*'Dynamic Analysis Dashboard'!$B$8*'Dynamic Analysis Dashboard'!$B$9*'Dynamic Analysis Dashboard'!$B$21</f>
        <v>0</v>
      </c>
      <c r="AB244" s="80">
        <f>K244*'Dynamic Analysis Dashboard'!$B$10*'Dynamic Analysis Dashboard'!$B$9*'Dynamic Analysis Dashboard'!$B$21</f>
        <v>0.30000000000000004</v>
      </c>
      <c r="AC244" s="85">
        <f>L244*'Dynamic Analysis Dashboard'!$B$11*'Dynamic Analysis Dashboard'!$B$9*'Dynamic Analysis Dashboard'!$B$21</f>
        <v>0</v>
      </c>
      <c r="AD244" s="120">
        <f t="shared" si="6"/>
        <v>0.90750000000000008</v>
      </c>
      <c r="AE244" s="121">
        <f t="shared" si="7"/>
        <v>0.68062500000000004</v>
      </c>
    </row>
    <row r="245" spans="1:31" x14ac:dyDescent="0.2">
      <c r="A245" t="s">
        <v>101</v>
      </c>
      <c r="B245" t="s">
        <v>194</v>
      </c>
      <c r="C245" t="s">
        <v>1448</v>
      </c>
      <c r="D245" t="s">
        <v>158</v>
      </c>
      <c r="E245" t="s">
        <v>197</v>
      </c>
      <c r="F245" t="s">
        <v>324</v>
      </c>
      <c r="G245" t="s">
        <v>24</v>
      </c>
      <c r="H245" t="s">
        <v>28</v>
      </c>
      <c r="I245">
        <v>0.2</v>
      </c>
      <c r="J245">
        <v>0</v>
      </c>
      <c r="K245">
        <v>0.2</v>
      </c>
      <c r="L245">
        <v>0</v>
      </c>
      <c r="M245">
        <v>0.4</v>
      </c>
      <c r="N245">
        <v>0.85</v>
      </c>
      <c r="O245">
        <v>6</v>
      </c>
      <c r="P245">
        <v>2</v>
      </c>
      <c r="Q245">
        <v>3</v>
      </c>
      <c r="R245">
        <v>2</v>
      </c>
      <c r="S245">
        <v>76.5</v>
      </c>
      <c r="T245">
        <v>14</v>
      </c>
      <c r="U245" t="s">
        <v>1449</v>
      </c>
      <c r="V245" t="s">
        <v>129</v>
      </c>
      <c r="W245" t="s">
        <v>1450</v>
      </c>
      <c r="X245" t="s">
        <v>131</v>
      </c>
      <c r="Y245" t="s">
        <v>1451</v>
      </c>
      <c r="Z245" s="70">
        <f>I245*'Dynamic Analysis Dashboard'!$B$8*'Dynamic Analysis Dashboard'!$B$9*'Dynamic Analysis Dashboard'!$B$21</f>
        <v>0.13500000000000001</v>
      </c>
      <c r="AA245" s="75">
        <f>J245*'Dynamic Analysis Dashboard'!$B$8*'Dynamic Analysis Dashboard'!$B$9*'Dynamic Analysis Dashboard'!$B$21</f>
        <v>0</v>
      </c>
      <c r="AB245" s="80">
        <f>K245*'Dynamic Analysis Dashboard'!$B$10*'Dynamic Analysis Dashboard'!$B$9*'Dynamic Analysis Dashboard'!$B$21</f>
        <v>0.12000000000000002</v>
      </c>
      <c r="AC245" s="85">
        <f>L245*'Dynamic Analysis Dashboard'!$B$11*'Dynamic Analysis Dashboard'!$B$9*'Dynamic Analysis Dashboard'!$B$21</f>
        <v>0</v>
      </c>
      <c r="AD245" s="120">
        <f t="shared" si="6"/>
        <v>0.255</v>
      </c>
      <c r="AE245" s="121">
        <f t="shared" si="7"/>
        <v>0.21675</v>
      </c>
    </row>
    <row r="246" spans="1:31" hidden="1" x14ac:dyDescent="0.2">
      <c r="A246" t="s">
        <v>101</v>
      </c>
      <c r="B246" t="s">
        <v>149</v>
      </c>
      <c r="C246" t="s">
        <v>1452</v>
      </c>
      <c r="D246" t="s">
        <v>125</v>
      </c>
      <c r="E246" t="s">
        <v>1048</v>
      </c>
      <c r="F246" t="s">
        <v>127</v>
      </c>
      <c r="G246" t="s">
        <v>31</v>
      </c>
      <c r="H246" t="s">
        <v>25</v>
      </c>
      <c r="I246">
        <v>0.9</v>
      </c>
      <c r="J246">
        <v>0.3</v>
      </c>
      <c r="K246">
        <v>0</v>
      </c>
      <c r="L246">
        <v>0</v>
      </c>
      <c r="M246">
        <v>1.1999999999999999E-6</v>
      </c>
      <c r="N246">
        <v>0.8</v>
      </c>
      <c r="O246">
        <v>6</v>
      </c>
      <c r="P246">
        <v>3</v>
      </c>
      <c r="Q246">
        <v>3</v>
      </c>
      <c r="R246">
        <v>3</v>
      </c>
      <c r="S246">
        <v>16480</v>
      </c>
      <c r="T246">
        <v>131</v>
      </c>
      <c r="U246" t="s">
        <v>1453</v>
      </c>
      <c r="V246" t="s">
        <v>1454</v>
      </c>
      <c r="W246" t="s">
        <v>359</v>
      </c>
      <c r="X246" t="s">
        <v>131</v>
      </c>
      <c r="Y246" t="s">
        <v>1455</v>
      </c>
      <c r="Z246" s="70">
        <f>I246*'Dynamic Analysis Dashboard'!$B$8*'Dynamic Analysis Dashboard'!$B$9*'Dynamic Analysis Dashboard'!$B$21</f>
        <v>0.60750000000000004</v>
      </c>
      <c r="AA246" s="75">
        <f>J246*'Dynamic Analysis Dashboard'!$B$8*'Dynamic Analysis Dashboard'!$B$9*'Dynamic Analysis Dashboard'!$B$21</f>
        <v>0.20250000000000001</v>
      </c>
      <c r="AB246" s="80">
        <f>K246*'Dynamic Analysis Dashboard'!$B$10*'Dynamic Analysis Dashboard'!$B$9*'Dynamic Analysis Dashboard'!$B$21</f>
        <v>0</v>
      </c>
      <c r="AC246" s="85">
        <f>L246*'Dynamic Analysis Dashboard'!$B$11*'Dynamic Analysis Dashboard'!$B$9*'Dynamic Analysis Dashboard'!$B$21</f>
        <v>0</v>
      </c>
      <c r="AD246" s="120">
        <f t="shared" si="6"/>
        <v>0.81</v>
      </c>
      <c r="AE246" s="121">
        <f t="shared" si="7"/>
        <v>0.64800000000000013</v>
      </c>
    </row>
    <row r="247" spans="1:31" hidden="1" x14ac:dyDescent="0.2">
      <c r="A247" t="s">
        <v>101</v>
      </c>
      <c r="B247" t="s">
        <v>133</v>
      </c>
      <c r="C247" t="s">
        <v>1456</v>
      </c>
      <c r="D247" t="s">
        <v>125</v>
      </c>
      <c r="E247" t="s">
        <v>1457</v>
      </c>
      <c r="F247" t="s">
        <v>145</v>
      </c>
      <c r="G247" t="s">
        <v>38</v>
      </c>
      <c r="H247" t="s">
        <v>33</v>
      </c>
      <c r="I247">
        <v>0.4</v>
      </c>
      <c r="J247">
        <v>0</v>
      </c>
      <c r="K247">
        <v>0.6</v>
      </c>
      <c r="L247">
        <v>0</v>
      </c>
      <c r="M247">
        <v>9.9999999999999995E-7</v>
      </c>
      <c r="N247">
        <v>0.75</v>
      </c>
      <c r="O247">
        <v>15</v>
      </c>
      <c r="P247">
        <v>4</v>
      </c>
      <c r="Q247">
        <v>2</v>
      </c>
      <c r="R247">
        <v>4</v>
      </c>
      <c r="S247">
        <v>1491</v>
      </c>
      <c r="T247">
        <v>22</v>
      </c>
      <c r="U247" t="s">
        <v>1458</v>
      </c>
      <c r="V247" t="s">
        <v>129</v>
      </c>
      <c r="W247" t="s">
        <v>1459</v>
      </c>
      <c r="X247" t="s">
        <v>131</v>
      </c>
      <c r="Y247" t="s">
        <v>1460</v>
      </c>
      <c r="Z247" s="70">
        <f>I247*'Dynamic Analysis Dashboard'!$B$8*'Dynamic Analysis Dashboard'!$B$9*'Dynamic Analysis Dashboard'!$B$21</f>
        <v>0.27</v>
      </c>
      <c r="AA247" s="75">
        <f>J247*'Dynamic Analysis Dashboard'!$B$8*'Dynamic Analysis Dashboard'!$B$9*'Dynamic Analysis Dashboard'!$B$21</f>
        <v>0</v>
      </c>
      <c r="AB247" s="80">
        <f>K247*'Dynamic Analysis Dashboard'!$B$10*'Dynamic Analysis Dashboard'!$B$9*'Dynamic Analysis Dashboard'!$B$21</f>
        <v>0.36</v>
      </c>
      <c r="AC247" s="85">
        <f>L247*'Dynamic Analysis Dashboard'!$B$11*'Dynamic Analysis Dashboard'!$B$9*'Dynamic Analysis Dashboard'!$B$21</f>
        <v>0</v>
      </c>
      <c r="AD247" s="120">
        <f t="shared" si="6"/>
        <v>0.63</v>
      </c>
      <c r="AE247" s="121">
        <f t="shared" si="7"/>
        <v>0.47250000000000003</v>
      </c>
    </row>
    <row r="248" spans="1:31" hidden="1" x14ac:dyDescent="0.2">
      <c r="A248" t="s">
        <v>101</v>
      </c>
      <c r="B248" t="s">
        <v>156</v>
      </c>
      <c r="C248" t="s">
        <v>1461</v>
      </c>
      <c r="D248" t="s">
        <v>1462</v>
      </c>
      <c r="E248" t="s">
        <v>1463</v>
      </c>
      <c r="F248" t="s">
        <v>259</v>
      </c>
      <c r="G248" t="s">
        <v>38</v>
      </c>
      <c r="H248" t="s">
        <v>33</v>
      </c>
      <c r="I248">
        <v>0.3</v>
      </c>
      <c r="J248">
        <v>0</v>
      </c>
      <c r="K248">
        <v>0.3</v>
      </c>
      <c r="L248">
        <v>0</v>
      </c>
      <c r="M248">
        <v>0.6</v>
      </c>
      <c r="N248">
        <v>0.8</v>
      </c>
      <c r="O248">
        <v>9</v>
      </c>
      <c r="P248">
        <v>3</v>
      </c>
      <c r="Q248">
        <v>2</v>
      </c>
      <c r="R248">
        <v>3</v>
      </c>
      <c r="S248">
        <v>156.80000000000001</v>
      </c>
      <c r="T248">
        <v>20</v>
      </c>
      <c r="U248" t="s">
        <v>1464</v>
      </c>
      <c r="V248" t="s">
        <v>129</v>
      </c>
      <c r="W248" t="s">
        <v>1465</v>
      </c>
      <c r="X248" t="s">
        <v>131</v>
      </c>
      <c r="Y248" t="s">
        <v>1466</v>
      </c>
      <c r="Z248" s="70">
        <f>I248*'Dynamic Analysis Dashboard'!$B$8*'Dynamic Analysis Dashboard'!$B$9*'Dynamic Analysis Dashboard'!$B$21</f>
        <v>0.20250000000000001</v>
      </c>
      <c r="AA248" s="75">
        <f>J248*'Dynamic Analysis Dashboard'!$B$8*'Dynamic Analysis Dashboard'!$B$9*'Dynamic Analysis Dashboard'!$B$21</f>
        <v>0</v>
      </c>
      <c r="AB248" s="80">
        <f>K248*'Dynamic Analysis Dashboard'!$B$10*'Dynamic Analysis Dashboard'!$B$9*'Dynamic Analysis Dashboard'!$B$21</f>
        <v>0.18</v>
      </c>
      <c r="AC248" s="85">
        <f>L248*'Dynamic Analysis Dashboard'!$B$11*'Dynamic Analysis Dashboard'!$B$9*'Dynamic Analysis Dashboard'!$B$21</f>
        <v>0</v>
      </c>
      <c r="AD248" s="120">
        <f t="shared" si="6"/>
        <v>0.38250000000000001</v>
      </c>
      <c r="AE248" s="121">
        <f t="shared" si="7"/>
        <v>0.30600000000000005</v>
      </c>
    </row>
    <row r="249" spans="1:31" hidden="1" x14ac:dyDescent="0.2">
      <c r="A249" t="s">
        <v>101</v>
      </c>
      <c r="B249" t="s">
        <v>164</v>
      </c>
      <c r="C249" t="s">
        <v>1467</v>
      </c>
      <c r="D249" t="s">
        <v>1462</v>
      </c>
      <c r="E249" t="s">
        <v>1468</v>
      </c>
      <c r="F249" t="s">
        <v>1469</v>
      </c>
      <c r="G249" t="s">
        <v>38</v>
      </c>
      <c r="H249" t="s">
        <v>311</v>
      </c>
      <c r="I249">
        <v>0.4</v>
      </c>
      <c r="J249">
        <v>0</v>
      </c>
      <c r="K249">
        <v>1.1999999999999999E-6</v>
      </c>
      <c r="L249">
        <v>1.3999999999999999E-6</v>
      </c>
      <c r="M249">
        <v>3.0000000000000001E-6</v>
      </c>
      <c r="N249">
        <v>0.7</v>
      </c>
      <c r="O249">
        <v>18</v>
      </c>
      <c r="P249">
        <v>4</v>
      </c>
      <c r="Q249">
        <v>2</v>
      </c>
      <c r="R249">
        <v>4</v>
      </c>
      <c r="S249">
        <v>153.6</v>
      </c>
      <c r="T249">
        <v>19</v>
      </c>
      <c r="U249" t="s">
        <v>1470</v>
      </c>
      <c r="V249" t="s">
        <v>129</v>
      </c>
      <c r="W249" t="s">
        <v>1471</v>
      </c>
      <c r="X249" t="s">
        <v>1472</v>
      </c>
      <c r="Y249" t="s">
        <v>1473</v>
      </c>
      <c r="Z249" s="70">
        <f>I249*'Dynamic Analysis Dashboard'!$B$8*'Dynamic Analysis Dashboard'!$B$9*'Dynamic Analysis Dashboard'!$B$21</f>
        <v>0.27</v>
      </c>
      <c r="AA249" s="75">
        <f>J249*'Dynamic Analysis Dashboard'!$B$8*'Dynamic Analysis Dashboard'!$B$9*'Dynamic Analysis Dashboard'!$B$21</f>
        <v>0</v>
      </c>
      <c r="AB249" s="80">
        <f>K249*'Dynamic Analysis Dashboard'!$B$10*'Dynamic Analysis Dashboard'!$B$9*'Dynamic Analysis Dashboard'!$B$21</f>
        <v>7.1999999999999988E-7</v>
      </c>
      <c r="AC249" s="85">
        <f>L249*'Dynamic Analysis Dashboard'!$B$11*'Dynamic Analysis Dashboard'!$B$9*'Dynamic Analysis Dashboard'!$B$21</f>
        <v>8.9249999999999993E-7</v>
      </c>
      <c r="AD249" s="120">
        <f t="shared" si="6"/>
        <v>0.27000161250000004</v>
      </c>
      <c r="AE249" s="121">
        <f t="shared" si="7"/>
        <v>0.18900112875000002</v>
      </c>
    </row>
    <row r="250" spans="1:31" hidden="1" x14ac:dyDescent="0.2">
      <c r="A250" t="s">
        <v>101</v>
      </c>
      <c r="B250" t="s">
        <v>172</v>
      </c>
      <c r="C250" t="s">
        <v>1474</v>
      </c>
      <c r="D250" t="s">
        <v>504</v>
      </c>
      <c r="E250" t="s">
        <v>1475</v>
      </c>
      <c r="F250" t="s">
        <v>145</v>
      </c>
      <c r="G250" t="s">
        <v>38</v>
      </c>
      <c r="H250" t="s">
        <v>311</v>
      </c>
      <c r="I250">
        <v>0.2</v>
      </c>
      <c r="J250">
        <v>0</v>
      </c>
      <c r="K250">
        <v>0</v>
      </c>
      <c r="L250">
        <v>2.3E-6</v>
      </c>
      <c r="M250">
        <v>2.5000000000000002E-6</v>
      </c>
      <c r="N250">
        <v>0.75</v>
      </c>
      <c r="O250">
        <v>18</v>
      </c>
      <c r="P250">
        <v>5</v>
      </c>
      <c r="Q250">
        <v>2</v>
      </c>
      <c r="R250">
        <v>5</v>
      </c>
      <c r="S250">
        <v>0</v>
      </c>
      <c r="T250">
        <v>47</v>
      </c>
      <c r="U250" t="s">
        <v>1476</v>
      </c>
      <c r="V250" t="s">
        <v>129</v>
      </c>
      <c r="W250" t="s">
        <v>788</v>
      </c>
      <c r="X250" t="s">
        <v>1477</v>
      </c>
      <c r="Y250" t="s">
        <v>1478</v>
      </c>
      <c r="Z250" s="70">
        <f>I250*'Dynamic Analysis Dashboard'!$B$8*'Dynamic Analysis Dashboard'!$B$9*'Dynamic Analysis Dashboard'!$B$21</f>
        <v>0.13500000000000001</v>
      </c>
      <c r="AA250" s="75">
        <f>J250*'Dynamic Analysis Dashboard'!$B$8*'Dynamic Analysis Dashboard'!$B$9*'Dynamic Analysis Dashboard'!$B$21</f>
        <v>0</v>
      </c>
      <c r="AB250" s="80">
        <f>K250*'Dynamic Analysis Dashboard'!$B$10*'Dynamic Analysis Dashboard'!$B$9*'Dynamic Analysis Dashboard'!$B$21</f>
        <v>0</v>
      </c>
      <c r="AC250" s="85">
        <f>L250*'Dynamic Analysis Dashboard'!$B$11*'Dynamic Analysis Dashboard'!$B$9*'Dynamic Analysis Dashboard'!$B$21</f>
        <v>1.4662499999999999E-6</v>
      </c>
      <c r="AD250" s="120">
        <f t="shared" si="6"/>
        <v>0.13500146625000001</v>
      </c>
      <c r="AE250" s="121">
        <f t="shared" si="7"/>
        <v>0.10125109968750001</v>
      </c>
    </row>
    <row r="251" spans="1:31" hidden="1" x14ac:dyDescent="0.2">
      <c r="A251" t="s">
        <v>101</v>
      </c>
      <c r="B251" t="s">
        <v>179</v>
      </c>
      <c r="C251" t="s">
        <v>1479</v>
      </c>
      <c r="D251" t="s">
        <v>504</v>
      </c>
      <c r="E251" t="s">
        <v>1480</v>
      </c>
      <c r="F251" t="s">
        <v>324</v>
      </c>
      <c r="G251" t="s">
        <v>31</v>
      </c>
      <c r="H251" t="s">
        <v>25</v>
      </c>
      <c r="I251">
        <v>0.2</v>
      </c>
      <c r="J251">
        <v>0</v>
      </c>
      <c r="K251">
        <v>0.2</v>
      </c>
      <c r="L251">
        <v>0.3</v>
      </c>
      <c r="M251">
        <v>0.7</v>
      </c>
      <c r="N251">
        <v>0.8</v>
      </c>
      <c r="O251">
        <v>6</v>
      </c>
      <c r="P251">
        <v>2</v>
      </c>
      <c r="Q251">
        <v>3</v>
      </c>
      <c r="R251">
        <v>2</v>
      </c>
      <c r="S251">
        <v>120.6</v>
      </c>
      <c r="T251">
        <v>24</v>
      </c>
      <c r="U251" t="s">
        <v>1481</v>
      </c>
      <c r="V251" t="s">
        <v>129</v>
      </c>
      <c r="W251" t="s">
        <v>1482</v>
      </c>
      <c r="X251" t="s">
        <v>1483</v>
      </c>
      <c r="Y251" t="s">
        <v>1484</v>
      </c>
      <c r="Z251" s="70">
        <f>I251*'Dynamic Analysis Dashboard'!$B$8*'Dynamic Analysis Dashboard'!$B$9*'Dynamic Analysis Dashboard'!$B$21</f>
        <v>0.13500000000000001</v>
      </c>
      <c r="AA251" s="75">
        <f>J251*'Dynamic Analysis Dashboard'!$B$8*'Dynamic Analysis Dashboard'!$B$9*'Dynamic Analysis Dashboard'!$B$21</f>
        <v>0</v>
      </c>
      <c r="AB251" s="80">
        <f>K251*'Dynamic Analysis Dashboard'!$B$10*'Dynamic Analysis Dashboard'!$B$9*'Dynamic Analysis Dashboard'!$B$21</f>
        <v>0.12000000000000002</v>
      </c>
      <c r="AC251" s="85">
        <f>L251*'Dynamic Analysis Dashboard'!$B$11*'Dynamic Analysis Dashboard'!$B$9*'Dynamic Analysis Dashboard'!$B$21</f>
        <v>0.19125</v>
      </c>
      <c r="AD251" s="120">
        <f t="shared" si="6"/>
        <v>0.44625000000000004</v>
      </c>
      <c r="AE251" s="121">
        <f t="shared" si="7"/>
        <v>0.35700000000000004</v>
      </c>
    </row>
    <row r="252" spans="1:31" hidden="1" x14ac:dyDescent="0.2">
      <c r="A252" t="s">
        <v>55</v>
      </c>
      <c r="B252" t="s">
        <v>149</v>
      </c>
      <c r="C252" t="s">
        <v>1485</v>
      </c>
      <c r="D252" t="s">
        <v>595</v>
      </c>
      <c r="E252" t="s">
        <v>1486</v>
      </c>
      <c r="F252" t="s">
        <v>223</v>
      </c>
      <c r="G252" t="s">
        <v>24</v>
      </c>
      <c r="H252" t="s">
        <v>28</v>
      </c>
      <c r="I252">
        <v>0</v>
      </c>
      <c r="J252">
        <v>0</v>
      </c>
      <c r="K252">
        <v>1.47E-5</v>
      </c>
      <c r="L252">
        <v>0</v>
      </c>
      <c r="M252">
        <v>1.47E-5</v>
      </c>
      <c r="N252">
        <v>0.7</v>
      </c>
      <c r="O252">
        <v>9</v>
      </c>
      <c r="P252">
        <v>4</v>
      </c>
      <c r="Q252">
        <v>2</v>
      </c>
      <c r="R252">
        <v>4</v>
      </c>
      <c r="S252">
        <v>5950</v>
      </c>
      <c r="T252">
        <v>411</v>
      </c>
      <c r="U252" t="s">
        <v>318</v>
      </c>
      <c r="V252" t="s">
        <v>129</v>
      </c>
      <c r="W252" t="s">
        <v>1487</v>
      </c>
      <c r="X252" t="s">
        <v>131</v>
      </c>
      <c r="Y252" t="s">
        <v>1488</v>
      </c>
      <c r="Z252" s="70">
        <f>I252*'Dynamic Analysis Dashboard'!$B$8*'Dynamic Analysis Dashboard'!$B$9*'Dynamic Analysis Dashboard'!$B$21</f>
        <v>0</v>
      </c>
      <c r="AA252" s="75">
        <f>J252*'Dynamic Analysis Dashboard'!$B$8*'Dynamic Analysis Dashboard'!$B$9*'Dynamic Analysis Dashboard'!$B$21</f>
        <v>0</v>
      </c>
      <c r="AB252" s="80">
        <f>K252*'Dynamic Analysis Dashboard'!$B$10*'Dynamic Analysis Dashboard'!$B$9*'Dynamic Analysis Dashboard'!$B$21</f>
        <v>8.8200000000000003E-6</v>
      </c>
      <c r="AC252" s="85">
        <f>L252*'Dynamic Analysis Dashboard'!$B$11*'Dynamic Analysis Dashboard'!$B$9*'Dynamic Analysis Dashboard'!$B$21</f>
        <v>0</v>
      </c>
      <c r="AD252" s="120">
        <f t="shared" si="6"/>
        <v>8.8200000000000003E-6</v>
      </c>
      <c r="AE252" s="121">
        <f t="shared" si="7"/>
        <v>6.1739999999999997E-6</v>
      </c>
    </row>
    <row r="253" spans="1:31" x14ac:dyDescent="0.2">
      <c r="A253" t="s">
        <v>55</v>
      </c>
      <c r="B253" t="s">
        <v>156</v>
      </c>
      <c r="C253" t="s">
        <v>1489</v>
      </c>
      <c r="D253" t="s">
        <v>328</v>
      </c>
      <c r="E253" t="s">
        <v>1490</v>
      </c>
      <c r="F253" t="s">
        <v>259</v>
      </c>
      <c r="G253" t="s">
        <v>24</v>
      </c>
      <c r="H253" t="s">
        <v>28</v>
      </c>
      <c r="I253">
        <v>7.4000000000000003E-6</v>
      </c>
      <c r="J253">
        <v>1.36E-5</v>
      </c>
      <c r="K253">
        <v>0</v>
      </c>
      <c r="L253">
        <v>0</v>
      </c>
      <c r="M253">
        <v>2.0999999999999999E-5</v>
      </c>
      <c r="N253">
        <v>0.75</v>
      </c>
      <c r="O253">
        <v>15</v>
      </c>
      <c r="P253">
        <v>4</v>
      </c>
      <c r="Q253">
        <v>2</v>
      </c>
      <c r="R253">
        <v>4</v>
      </c>
      <c r="S253">
        <v>5400</v>
      </c>
      <c r="T253">
        <v>468</v>
      </c>
      <c r="U253" t="s">
        <v>1491</v>
      </c>
      <c r="V253" t="s">
        <v>1492</v>
      </c>
      <c r="W253" t="s">
        <v>1493</v>
      </c>
      <c r="X253" t="s">
        <v>131</v>
      </c>
      <c r="Y253" t="s">
        <v>1494</v>
      </c>
      <c r="Z253" s="70">
        <f>I253*'Dynamic Analysis Dashboard'!$B$8*'Dynamic Analysis Dashboard'!$B$9*'Dynamic Analysis Dashboard'!$B$21</f>
        <v>4.9950000000000005E-6</v>
      </c>
      <c r="AA253" s="75">
        <f>J253*'Dynamic Analysis Dashboard'!$B$8*'Dynamic Analysis Dashboard'!$B$9*'Dynamic Analysis Dashboard'!$B$21</f>
        <v>9.1800000000000002E-6</v>
      </c>
      <c r="AB253" s="80">
        <f>K253*'Dynamic Analysis Dashboard'!$B$10*'Dynamic Analysis Dashboard'!$B$9*'Dynamic Analysis Dashboard'!$B$21</f>
        <v>0</v>
      </c>
      <c r="AC253" s="85">
        <f>L253*'Dynamic Analysis Dashboard'!$B$11*'Dynamic Analysis Dashboard'!$B$9*'Dynamic Analysis Dashboard'!$B$21</f>
        <v>0</v>
      </c>
      <c r="AD253" s="120">
        <f t="shared" si="6"/>
        <v>1.4175000000000001E-5</v>
      </c>
      <c r="AE253" s="121">
        <f t="shared" si="7"/>
        <v>1.0631250000000001E-5</v>
      </c>
    </row>
    <row r="254" spans="1:31" x14ac:dyDescent="0.2">
      <c r="A254" t="s">
        <v>55</v>
      </c>
      <c r="B254" t="s">
        <v>164</v>
      </c>
      <c r="C254" t="s">
        <v>1495</v>
      </c>
      <c r="D254" t="s">
        <v>1496</v>
      </c>
      <c r="E254" t="s">
        <v>1119</v>
      </c>
      <c r="F254" t="s">
        <v>267</v>
      </c>
      <c r="G254" t="s">
        <v>24</v>
      </c>
      <c r="H254" t="s">
        <v>33</v>
      </c>
      <c r="I254">
        <v>0</v>
      </c>
      <c r="J254">
        <v>0</v>
      </c>
      <c r="K254">
        <v>3.0000000000000001E-6</v>
      </c>
      <c r="L254">
        <v>0</v>
      </c>
      <c r="M254">
        <v>3.0000000000000001E-6</v>
      </c>
      <c r="N254">
        <v>0.7</v>
      </c>
      <c r="O254">
        <v>12</v>
      </c>
      <c r="P254">
        <v>3</v>
      </c>
      <c r="Q254">
        <v>3</v>
      </c>
      <c r="R254">
        <v>3</v>
      </c>
      <c r="S254">
        <v>2520</v>
      </c>
      <c r="T254">
        <v>216</v>
      </c>
      <c r="U254" t="s">
        <v>1497</v>
      </c>
      <c r="V254" t="s">
        <v>129</v>
      </c>
      <c r="W254" t="s">
        <v>1498</v>
      </c>
      <c r="X254" t="s">
        <v>131</v>
      </c>
      <c r="Y254" t="s">
        <v>1499</v>
      </c>
      <c r="Z254" s="70">
        <f>I254*'Dynamic Analysis Dashboard'!$B$8*'Dynamic Analysis Dashboard'!$B$9*'Dynamic Analysis Dashboard'!$B$21</f>
        <v>0</v>
      </c>
      <c r="AA254" s="75">
        <f>J254*'Dynamic Analysis Dashboard'!$B$8*'Dynamic Analysis Dashboard'!$B$9*'Dynamic Analysis Dashboard'!$B$21</f>
        <v>0</v>
      </c>
      <c r="AB254" s="80">
        <f>K254*'Dynamic Analysis Dashboard'!$B$10*'Dynamic Analysis Dashboard'!$B$9*'Dynamic Analysis Dashboard'!$B$21</f>
        <v>1.8000000000000001E-6</v>
      </c>
      <c r="AC254" s="85">
        <f>L254*'Dynamic Analysis Dashboard'!$B$11*'Dynamic Analysis Dashboard'!$B$9*'Dynamic Analysis Dashboard'!$B$21</f>
        <v>0</v>
      </c>
      <c r="AD254" s="120">
        <f t="shared" si="6"/>
        <v>1.8000000000000001E-6</v>
      </c>
      <c r="AE254" s="121">
        <f t="shared" si="7"/>
        <v>1.26E-6</v>
      </c>
    </row>
    <row r="255" spans="1:31" x14ac:dyDescent="0.2">
      <c r="A255" t="s">
        <v>55</v>
      </c>
      <c r="B255" t="s">
        <v>172</v>
      </c>
      <c r="C255" t="s">
        <v>1500</v>
      </c>
      <c r="D255" t="s">
        <v>188</v>
      </c>
      <c r="E255" t="s">
        <v>1444</v>
      </c>
      <c r="F255" t="s">
        <v>970</v>
      </c>
      <c r="G255" t="s">
        <v>24</v>
      </c>
      <c r="H255" t="s">
        <v>33</v>
      </c>
      <c r="I255">
        <v>6.8000000000000001E-6</v>
      </c>
      <c r="J255">
        <v>0</v>
      </c>
      <c r="K255">
        <v>4.0999999999999997E-6</v>
      </c>
      <c r="L255">
        <v>0</v>
      </c>
      <c r="M255">
        <v>1.0900000000000001E-5</v>
      </c>
      <c r="N255">
        <v>0.65</v>
      </c>
      <c r="O255">
        <v>18</v>
      </c>
      <c r="P255">
        <v>3</v>
      </c>
      <c r="Q255">
        <v>2</v>
      </c>
      <c r="R255">
        <v>3</v>
      </c>
      <c r="S255">
        <v>14300</v>
      </c>
      <c r="T255">
        <v>726</v>
      </c>
      <c r="U255" t="s">
        <v>1501</v>
      </c>
      <c r="V255" t="s">
        <v>129</v>
      </c>
      <c r="W255" t="s">
        <v>1502</v>
      </c>
      <c r="X255" t="s">
        <v>131</v>
      </c>
      <c r="Y255" t="s">
        <v>1503</v>
      </c>
      <c r="Z255" s="70">
        <f>I255*'Dynamic Analysis Dashboard'!$B$8*'Dynamic Analysis Dashboard'!$B$9*'Dynamic Analysis Dashboard'!$B$21</f>
        <v>4.5900000000000001E-6</v>
      </c>
      <c r="AA255" s="75">
        <f>J255*'Dynamic Analysis Dashboard'!$B$8*'Dynamic Analysis Dashboard'!$B$9*'Dynamic Analysis Dashboard'!$B$21</f>
        <v>0</v>
      </c>
      <c r="AB255" s="80">
        <f>K255*'Dynamic Analysis Dashboard'!$B$10*'Dynamic Analysis Dashboard'!$B$9*'Dynamic Analysis Dashboard'!$B$21</f>
        <v>2.4600000000000002E-6</v>
      </c>
      <c r="AC255" s="85">
        <f>L255*'Dynamic Analysis Dashboard'!$B$11*'Dynamic Analysis Dashboard'!$B$9*'Dynamic Analysis Dashboard'!$B$21</f>
        <v>0</v>
      </c>
      <c r="AD255" s="120">
        <f t="shared" si="6"/>
        <v>7.0500000000000003E-6</v>
      </c>
      <c r="AE255" s="121">
        <f t="shared" si="7"/>
        <v>4.5825000000000006E-6</v>
      </c>
    </row>
    <row r="256" spans="1:31" x14ac:dyDescent="0.2">
      <c r="A256" t="s">
        <v>55</v>
      </c>
      <c r="B256" t="s">
        <v>186</v>
      </c>
      <c r="C256" t="s">
        <v>1504</v>
      </c>
      <c r="D256" t="s">
        <v>166</v>
      </c>
      <c r="E256" t="s">
        <v>1505</v>
      </c>
      <c r="F256" t="s">
        <v>267</v>
      </c>
      <c r="G256" t="s">
        <v>24</v>
      </c>
      <c r="H256" t="s">
        <v>28</v>
      </c>
      <c r="I256">
        <v>3.7000000000000002E-6</v>
      </c>
      <c r="J256">
        <v>0</v>
      </c>
      <c r="K256">
        <v>0</v>
      </c>
      <c r="L256">
        <v>5.9000000000000003E-6</v>
      </c>
      <c r="M256">
        <v>9.5999999999999996E-6</v>
      </c>
      <c r="N256">
        <v>0.75</v>
      </c>
      <c r="O256">
        <v>12</v>
      </c>
      <c r="P256">
        <v>3</v>
      </c>
      <c r="Q256">
        <v>2</v>
      </c>
      <c r="R256">
        <v>3</v>
      </c>
      <c r="S256">
        <v>2520</v>
      </c>
      <c r="T256">
        <v>218</v>
      </c>
      <c r="U256" t="s">
        <v>1506</v>
      </c>
      <c r="V256" t="s">
        <v>129</v>
      </c>
      <c r="W256" t="s">
        <v>1493</v>
      </c>
      <c r="X256" t="s">
        <v>1507</v>
      </c>
      <c r="Y256" t="s">
        <v>1508</v>
      </c>
      <c r="Z256" s="70">
        <f>I256*'Dynamic Analysis Dashboard'!$B$8*'Dynamic Analysis Dashboard'!$B$9*'Dynamic Analysis Dashboard'!$B$21</f>
        <v>2.4975000000000002E-6</v>
      </c>
      <c r="AA256" s="75">
        <f>J256*'Dynamic Analysis Dashboard'!$B$8*'Dynamic Analysis Dashboard'!$B$9*'Dynamic Analysis Dashboard'!$B$21</f>
        <v>0</v>
      </c>
      <c r="AB256" s="80">
        <f>K256*'Dynamic Analysis Dashboard'!$B$10*'Dynamic Analysis Dashboard'!$B$9*'Dynamic Analysis Dashboard'!$B$21</f>
        <v>0</v>
      </c>
      <c r="AC256" s="85">
        <f>L256*'Dynamic Analysis Dashboard'!$B$11*'Dynamic Analysis Dashboard'!$B$9*'Dynamic Analysis Dashboard'!$B$21</f>
        <v>3.7612500000000002E-6</v>
      </c>
      <c r="AD256" s="120">
        <f t="shared" si="6"/>
        <v>6.25875E-6</v>
      </c>
      <c r="AE256" s="121">
        <f t="shared" si="7"/>
        <v>4.6940625000000004E-6</v>
      </c>
    </row>
    <row r="257" spans="1:31" x14ac:dyDescent="0.2">
      <c r="A257" t="s">
        <v>55</v>
      </c>
      <c r="B257" t="s">
        <v>194</v>
      </c>
      <c r="C257" t="s">
        <v>1509</v>
      </c>
      <c r="D257" t="s">
        <v>504</v>
      </c>
      <c r="E257" t="s">
        <v>705</v>
      </c>
      <c r="F257" t="s">
        <v>495</v>
      </c>
      <c r="G257" t="s">
        <v>24</v>
      </c>
      <c r="H257" t="s">
        <v>33</v>
      </c>
      <c r="I257">
        <v>1.2699999999999999E-5</v>
      </c>
      <c r="J257">
        <v>0</v>
      </c>
      <c r="K257">
        <v>0</v>
      </c>
      <c r="L257">
        <v>0</v>
      </c>
      <c r="M257">
        <v>1.2699999999999999E-5</v>
      </c>
      <c r="N257">
        <v>0.75</v>
      </c>
      <c r="O257">
        <v>15</v>
      </c>
      <c r="P257">
        <v>4</v>
      </c>
      <c r="Q257">
        <v>3</v>
      </c>
      <c r="R257">
        <v>4</v>
      </c>
      <c r="S257">
        <v>5940</v>
      </c>
      <c r="T257">
        <v>428</v>
      </c>
      <c r="U257" t="s">
        <v>1510</v>
      </c>
      <c r="V257" t="s">
        <v>129</v>
      </c>
      <c r="W257" t="s">
        <v>1493</v>
      </c>
      <c r="X257" t="s">
        <v>131</v>
      </c>
      <c r="Y257" t="s">
        <v>1511</v>
      </c>
      <c r="Z257" s="70">
        <f>I257*'Dynamic Analysis Dashboard'!$B$8*'Dynamic Analysis Dashboard'!$B$9*'Dynamic Analysis Dashboard'!$B$21</f>
        <v>8.5724999999999997E-6</v>
      </c>
      <c r="AA257" s="75">
        <f>J257*'Dynamic Analysis Dashboard'!$B$8*'Dynamic Analysis Dashboard'!$B$9*'Dynamic Analysis Dashboard'!$B$21</f>
        <v>0</v>
      </c>
      <c r="AB257" s="80">
        <f>K257*'Dynamic Analysis Dashboard'!$B$10*'Dynamic Analysis Dashboard'!$B$9*'Dynamic Analysis Dashboard'!$B$21</f>
        <v>0</v>
      </c>
      <c r="AC257" s="85">
        <f>L257*'Dynamic Analysis Dashboard'!$B$11*'Dynamic Analysis Dashboard'!$B$9*'Dynamic Analysis Dashboard'!$B$21</f>
        <v>0</v>
      </c>
      <c r="AD257" s="120">
        <f t="shared" si="6"/>
        <v>8.5724999999999997E-6</v>
      </c>
      <c r="AE257" s="121">
        <f t="shared" si="7"/>
        <v>6.4293749999999997E-6</v>
      </c>
    </row>
    <row r="258" spans="1:31" hidden="1" x14ac:dyDescent="0.2">
      <c r="A258" t="s">
        <v>55</v>
      </c>
      <c r="B258" t="s">
        <v>141</v>
      </c>
      <c r="C258" t="s">
        <v>1512</v>
      </c>
      <c r="D258" t="s">
        <v>504</v>
      </c>
      <c r="E258" t="s">
        <v>1513</v>
      </c>
      <c r="F258" t="s">
        <v>1514</v>
      </c>
      <c r="G258" t="s">
        <v>31</v>
      </c>
      <c r="H258" t="s">
        <v>25</v>
      </c>
      <c r="I258">
        <v>1.84E-5</v>
      </c>
      <c r="J258">
        <v>0</v>
      </c>
      <c r="K258">
        <v>0</v>
      </c>
      <c r="L258">
        <v>2.1299999999999999E-5</v>
      </c>
      <c r="M258">
        <v>3.9700000000000003E-5</v>
      </c>
      <c r="N258">
        <v>0.8</v>
      </c>
      <c r="O258">
        <v>15</v>
      </c>
      <c r="P258">
        <v>4</v>
      </c>
      <c r="Q258">
        <v>2</v>
      </c>
      <c r="R258">
        <v>4</v>
      </c>
      <c r="S258">
        <v>13175</v>
      </c>
      <c r="T258">
        <v>943</v>
      </c>
      <c r="U258" t="s">
        <v>1515</v>
      </c>
      <c r="V258" t="s">
        <v>129</v>
      </c>
      <c r="W258" t="s">
        <v>1493</v>
      </c>
      <c r="X258" t="s">
        <v>1516</v>
      </c>
      <c r="Y258" t="s">
        <v>1517</v>
      </c>
      <c r="Z258" s="70">
        <f>I258*'Dynamic Analysis Dashboard'!$B$8*'Dynamic Analysis Dashboard'!$B$9*'Dynamic Analysis Dashboard'!$B$21</f>
        <v>1.242E-5</v>
      </c>
      <c r="AA258" s="75">
        <f>J258*'Dynamic Analysis Dashboard'!$B$8*'Dynamic Analysis Dashboard'!$B$9*'Dynamic Analysis Dashboard'!$B$21</f>
        <v>0</v>
      </c>
      <c r="AB258" s="80">
        <f>K258*'Dynamic Analysis Dashboard'!$B$10*'Dynamic Analysis Dashboard'!$B$9*'Dynamic Analysis Dashboard'!$B$21</f>
        <v>0</v>
      </c>
      <c r="AC258" s="85">
        <f>L258*'Dynamic Analysis Dashboard'!$B$11*'Dynamic Analysis Dashboard'!$B$9*'Dynamic Analysis Dashboard'!$B$21</f>
        <v>1.3578749999999999E-5</v>
      </c>
      <c r="AD258" s="120">
        <f t="shared" si="6"/>
        <v>2.5998749999999999E-5</v>
      </c>
      <c r="AE258" s="121">
        <f t="shared" si="7"/>
        <v>2.0799000000000002E-5</v>
      </c>
    </row>
    <row r="259" spans="1:31" hidden="1" x14ac:dyDescent="0.2">
      <c r="A259" t="s">
        <v>55</v>
      </c>
      <c r="B259" t="s">
        <v>123</v>
      </c>
      <c r="C259" t="s">
        <v>1518</v>
      </c>
      <c r="D259" t="s">
        <v>1496</v>
      </c>
      <c r="E259" t="s">
        <v>581</v>
      </c>
      <c r="F259" t="s">
        <v>495</v>
      </c>
      <c r="G259" t="s">
        <v>31</v>
      </c>
      <c r="H259" t="s">
        <v>25</v>
      </c>
      <c r="I259">
        <v>1.19E-5</v>
      </c>
      <c r="J259">
        <v>0</v>
      </c>
      <c r="K259">
        <v>1.3E-6</v>
      </c>
      <c r="L259">
        <v>1.17E-5</v>
      </c>
      <c r="M259">
        <v>2.4899999999999999E-5</v>
      </c>
      <c r="N259">
        <v>0.75</v>
      </c>
      <c r="O259">
        <v>12</v>
      </c>
      <c r="P259">
        <v>3</v>
      </c>
      <c r="Q259">
        <v>3</v>
      </c>
      <c r="R259">
        <v>3</v>
      </c>
      <c r="S259">
        <v>17400</v>
      </c>
      <c r="T259">
        <v>1.39E-3</v>
      </c>
      <c r="U259" t="s">
        <v>1519</v>
      </c>
      <c r="V259" t="s">
        <v>129</v>
      </c>
      <c r="W259" t="s">
        <v>1520</v>
      </c>
      <c r="X259" t="s">
        <v>1521</v>
      </c>
      <c r="Y259" t="s">
        <v>1522</v>
      </c>
      <c r="Z259" s="70">
        <f>I259*'Dynamic Analysis Dashboard'!$B$8*'Dynamic Analysis Dashboard'!$B$9*'Dynamic Analysis Dashboard'!$B$21</f>
        <v>8.0324999999999998E-6</v>
      </c>
      <c r="AA259" s="75">
        <f>J259*'Dynamic Analysis Dashboard'!$B$8*'Dynamic Analysis Dashboard'!$B$9*'Dynamic Analysis Dashboard'!$B$21</f>
        <v>0</v>
      </c>
      <c r="AB259" s="80">
        <f>K259*'Dynamic Analysis Dashboard'!$B$10*'Dynamic Analysis Dashboard'!$B$9*'Dynamic Analysis Dashboard'!$B$21</f>
        <v>7.7999999999999994E-7</v>
      </c>
      <c r="AC259" s="85">
        <f>L259*'Dynamic Analysis Dashboard'!$B$11*'Dynamic Analysis Dashboard'!$B$9*'Dynamic Analysis Dashboard'!$B$21</f>
        <v>7.4587499999999987E-6</v>
      </c>
      <c r="AD259" s="120">
        <f t="shared" ref="AD259:AD322" si="8">SUM(Z259:AC259)</f>
        <v>1.6271249999999998E-5</v>
      </c>
      <c r="AE259" s="121">
        <f t="shared" ref="AE259:AE322" si="9">AD259*N259</f>
        <v>1.2203437499999998E-5</v>
      </c>
    </row>
    <row r="260" spans="1:31" hidden="1" x14ac:dyDescent="0.2">
      <c r="A260" t="s">
        <v>55</v>
      </c>
      <c r="B260" t="s">
        <v>133</v>
      </c>
      <c r="C260" t="s">
        <v>1523</v>
      </c>
      <c r="D260" t="s">
        <v>125</v>
      </c>
      <c r="E260" t="s">
        <v>1524</v>
      </c>
      <c r="F260" t="s">
        <v>1525</v>
      </c>
      <c r="G260" t="s">
        <v>31</v>
      </c>
      <c r="H260" t="s">
        <v>25</v>
      </c>
      <c r="I260">
        <v>1.0199999999999999E-5</v>
      </c>
      <c r="J260">
        <v>0</v>
      </c>
      <c r="K260">
        <v>0</v>
      </c>
      <c r="L260">
        <v>0</v>
      </c>
      <c r="M260">
        <v>1.0199999999999999E-5</v>
      </c>
      <c r="N260">
        <v>0.8</v>
      </c>
      <c r="O260">
        <v>9</v>
      </c>
      <c r="P260">
        <v>3</v>
      </c>
      <c r="Q260">
        <v>2</v>
      </c>
      <c r="R260">
        <v>3</v>
      </c>
      <c r="S260">
        <v>15050</v>
      </c>
      <c r="T260">
        <v>779</v>
      </c>
      <c r="U260" t="s">
        <v>1526</v>
      </c>
      <c r="V260" t="s">
        <v>129</v>
      </c>
      <c r="W260" t="s">
        <v>1493</v>
      </c>
      <c r="X260" t="s">
        <v>131</v>
      </c>
      <c r="Y260" t="s">
        <v>1527</v>
      </c>
      <c r="Z260" s="70">
        <f>I260*'Dynamic Analysis Dashboard'!$B$8*'Dynamic Analysis Dashboard'!$B$9*'Dynamic Analysis Dashboard'!$B$21</f>
        <v>6.8849999999999993E-6</v>
      </c>
      <c r="AA260" s="75">
        <f>J260*'Dynamic Analysis Dashboard'!$B$8*'Dynamic Analysis Dashboard'!$B$9*'Dynamic Analysis Dashboard'!$B$21</f>
        <v>0</v>
      </c>
      <c r="AB260" s="80">
        <f>K260*'Dynamic Analysis Dashboard'!$B$10*'Dynamic Analysis Dashboard'!$B$9*'Dynamic Analysis Dashboard'!$B$21</f>
        <v>0</v>
      </c>
      <c r="AC260" s="85">
        <f>L260*'Dynamic Analysis Dashboard'!$B$11*'Dynamic Analysis Dashboard'!$B$9*'Dynamic Analysis Dashboard'!$B$21</f>
        <v>0</v>
      </c>
      <c r="AD260" s="120">
        <f t="shared" si="8"/>
        <v>6.8849999999999993E-6</v>
      </c>
      <c r="AE260" s="121">
        <f t="shared" si="9"/>
        <v>5.5079999999999996E-6</v>
      </c>
    </row>
    <row r="261" spans="1:31" hidden="1" x14ac:dyDescent="0.2">
      <c r="A261" t="s">
        <v>55</v>
      </c>
      <c r="B261" t="s">
        <v>179</v>
      </c>
      <c r="C261" t="s">
        <v>1528</v>
      </c>
      <c r="D261" t="s">
        <v>595</v>
      </c>
      <c r="E261" t="s">
        <v>1529</v>
      </c>
      <c r="F261" t="s">
        <v>1530</v>
      </c>
      <c r="G261" t="s">
        <v>38</v>
      </c>
      <c r="H261" t="s">
        <v>311</v>
      </c>
      <c r="I261">
        <v>0</v>
      </c>
      <c r="J261">
        <v>0</v>
      </c>
      <c r="K261">
        <v>1.8000000000000001E-6</v>
      </c>
      <c r="L261">
        <v>1.7800000000000002E-5</v>
      </c>
      <c r="M261">
        <v>1.9600000000000002E-5</v>
      </c>
      <c r="N261">
        <v>0.7</v>
      </c>
      <c r="O261">
        <v>18</v>
      </c>
      <c r="P261">
        <v>5</v>
      </c>
      <c r="Q261">
        <v>2</v>
      </c>
      <c r="R261">
        <v>5</v>
      </c>
      <c r="S261">
        <v>6090</v>
      </c>
      <c r="T261">
        <v>530</v>
      </c>
      <c r="U261" t="s">
        <v>1531</v>
      </c>
      <c r="V261" t="s">
        <v>129</v>
      </c>
      <c r="W261" t="s">
        <v>1532</v>
      </c>
      <c r="X261" t="s">
        <v>1533</v>
      </c>
      <c r="Y261" t="s">
        <v>1534</v>
      </c>
      <c r="Z261" s="70">
        <f>I261*'Dynamic Analysis Dashboard'!$B$8*'Dynamic Analysis Dashboard'!$B$9*'Dynamic Analysis Dashboard'!$B$21</f>
        <v>0</v>
      </c>
      <c r="AA261" s="75">
        <f>J261*'Dynamic Analysis Dashboard'!$B$8*'Dynamic Analysis Dashboard'!$B$9*'Dynamic Analysis Dashboard'!$B$21</f>
        <v>0</v>
      </c>
      <c r="AB261" s="80">
        <f>K261*'Dynamic Analysis Dashboard'!$B$10*'Dynamic Analysis Dashboard'!$B$9*'Dynamic Analysis Dashboard'!$B$21</f>
        <v>1.0800000000000002E-6</v>
      </c>
      <c r="AC261" s="85">
        <f>L261*'Dynamic Analysis Dashboard'!$B$11*'Dynamic Analysis Dashboard'!$B$9*'Dynamic Analysis Dashboard'!$B$21</f>
        <v>1.1347500000000001E-5</v>
      </c>
      <c r="AD261" s="120">
        <f t="shared" si="8"/>
        <v>1.2427500000000001E-5</v>
      </c>
      <c r="AE261" s="121">
        <f t="shared" si="9"/>
        <v>8.6992499999999998E-6</v>
      </c>
    </row>
    <row r="262" spans="1:31" hidden="1" x14ac:dyDescent="0.2">
      <c r="A262" t="s">
        <v>72</v>
      </c>
      <c r="B262" t="s">
        <v>133</v>
      </c>
      <c r="C262" t="s">
        <v>1535</v>
      </c>
      <c r="D262" t="s">
        <v>1536</v>
      </c>
      <c r="E262" t="s">
        <v>295</v>
      </c>
      <c r="F262" t="s">
        <v>324</v>
      </c>
      <c r="G262" t="s">
        <v>24</v>
      </c>
      <c r="H262" t="s">
        <v>311</v>
      </c>
      <c r="I262">
        <v>0</v>
      </c>
      <c r="J262">
        <v>5.7000000000000005E-6</v>
      </c>
      <c r="K262">
        <v>4.0000000000000003E-7</v>
      </c>
      <c r="L262">
        <v>0</v>
      </c>
      <c r="M262">
        <v>6.1E-6</v>
      </c>
      <c r="N262">
        <v>0.7</v>
      </c>
      <c r="O262">
        <v>12</v>
      </c>
      <c r="P262">
        <v>4</v>
      </c>
      <c r="Q262">
        <v>2</v>
      </c>
      <c r="R262">
        <v>4</v>
      </c>
      <c r="S262">
        <v>198640</v>
      </c>
      <c r="T262">
        <v>10.7</v>
      </c>
      <c r="U262" t="s">
        <v>1537</v>
      </c>
      <c r="V262" t="s">
        <v>1538</v>
      </c>
      <c r="W262" t="s">
        <v>1539</v>
      </c>
      <c r="X262" t="s">
        <v>1537</v>
      </c>
      <c r="Y262" t="s">
        <v>1540</v>
      </c>
      <c r="Z262" s="70">
        <f>I262*'Dynamic Analysis Dashboard'!$B$8*'Dynamic Analysis Dashboard'!$B$9*'Dynamic Analysis Dashboard'!$B$21</f>
        <v>0</v>
      </c>
      <c r="AA262" s="75">
        <f>J262*'Dynamic Analysis Dashboard'!$B$8*'Dynamic Analysis Dashboard'!$B$9*'Dynamic Analysis Dashboard'!$B$21</f>
        <v>3.8475000000000009E-6</v>
      </c>
      <c r="AB262" s="80">
        <f>K262*'Dynamic Analysis Dashboard'!$B$10*'Dynamic Analysis Dashboard'!$B$9*'Dynamic Analysis Dashboard'!$B$21</f>
        <v>2.4000000000000003E-7</v>
      </c>
      <c r="AC262" s="85">
        <f>L262*'Dynamic Analysis Dashboard'!$B$11*'Dynamic Analysis Dashboard'!$B$9*'Dynamic Analysis Dashboard'!$B$21</f>
        <v>0</v>
      </c>
      <c r="AD262" s="120">
        <f t="shared" si="8"/>
        <v>4.0875000000000011E-6</v>
      </c>
      <c r="AE262" s="121">
        <f t="shared" si="9"/>
        <v>2.8612500000000008E-6</v>
      </c>
    </row>
    <row r="263" spans="1:31" x14ac:dyDescent="0.2">
      <c r="A263" t="s">
        <v>72</v>
      </c>
      <c r="B263" t="s">
        <v>156</v>
      </c>
      <c r="C263" t="s">
        <v>1541</v>
      </c>
      <c r="D263" t="s">
        <v>1542</v>
      </c>
      <c r="E263" t="s">
        <v>287</v>
      </c>
      <c r="F263" t="s">
        <v>1543</v>
      </c>
      <c r="G263" t="s">
        <v>24</v>
      </c>
      <c r="H263" t="s">
        <v>25</v>
      </c>
      <c r="I263">
        <v>5.9999999999999997E-7</v>
      </c>
      <c r="J263">
        <v>0</v>
      </c>
      <c r="K263">
        <v>1.7E-6</v>
      </c>
      <c r="L263">
        <v>0</v>
      </c>
      <c r="M263">
        <v>2.3E-6</v>
      </c>
      <c r="N263">
        <v>0.9</v>
      </c>
      <c r="O263">
        <v>5</v>
      </c>
      <c r="P263">
        <v>2</v>
      </c>
      <c r="Q263">
        <v>3</v>
      </c>
      <c r="R263">
        <v>2</v>
      </c>
      <c r="S263">
        <v>16950</v>
      </c>
      <c r="T263">
        <v>0.9</v>
      </c>
      <c r="U263" t="s">
        <v>1544</v>
      </c>
      <c r="V263" t="s">
        <v>1537</v>
      </c>
      <c r="W263" t="s">
        <v>1545</v>
      </c>
      <c r="X263" t="s">
        <v>1537</v>
      </c>
      <c r="Y263" t="s">
        <v>1546</v>
      </c>
      <c r="Z263" s="70">
        <f>I263*'Dynamic Analysis Dashboard'!$B$8*'Dynamic Analysis Dashboard'!$B$9*'Dynamic Analysis Dashboard'!$B$21</f>
        <v>4.0500000000000004E-7</v>
      </c>
      <c r="AA263" s="75">
        <f>J263*'Dynamic Analysis Dashboard'!$B$8*'Dynamic Analysis Dashboard'!$B$9*'Dynamic Analysis Dashboard'!$B$21</f>
        <v>0</v>
      </c>
      <c r="AB263" s="80">
        <f>K263*'Dynamic Analysis Dashboard'!$B$10*'Dynamic Analysis Dashboard'!$B$9*'Dynamic Analysis Dashboard'!$B$21</f>
        <v>1.02E-6</v>
      </c>
      <c r="AC263" s="85">
        <f>L263*'Dynamic Analysis Dashboard'!$B$11*'Dynamic Analysis Dashboard'!$B$9*'Dynamic Analysis Dashboard'!$B$21</f>
        <v>0</v>
      </c>
      <c r="AD263" s="120">
        <f t="shared" si="8"/>
        <v>1.4249999999999999E-6</v>
      </c>
      <c r="AE263" s="121">
        <f t="shared" si="9"/>
        <v>1.2825E-6</v>
      </c>
    </row>
    <row r="264" spans="1:31" x14ac:dyDescent="0.2">
      <c r="A264" t="s">
        <v>72</v>
      </c>
      <c r="B264" t="s">
        <v>164</v>
      </c>
      <c r="C264" t="s">
        <v>1547</v>
      </c>
      <c r="D264" t="s">
        <v>315</v>
      </c>
      <c r="E264" t="s">
        <v>1548</v>
      </c>
      <c r="F264" t="s">
        <v>324</v>
      </c>
      <c r="G264" t="s">
        <v>24</v>
      </c>
      <c r="H264" t="s">
        <v>33</v>
      </c>
      <c r="I264">
        <v>2.8999999999999998E-6</v>
      </c>
      <c r="J264">
        <v>3.4000000000000001E-6</v>
      </c>
      <c r="K264">
        <v>0</v>
      </c>
      <c r="L264">
        <v>0</v>
      </c>
      <c r="M264">
        <v>6.2999999999999998E-6</v>
      </c>
      <c r="N264">
        <v>0.75</v>
      </c>
      <c r="O264">
        <v>9</v>
      </c>
      <c r="P264">
        <v>3</v>
      </c>
      <c r="Q264">
        <v>2</v>
      </c>
      <c r="R264">
        <v>3</v>
      </c>
      <c r="S264">
        <v>730</v>
      </c>
      <c r="T264">
        <v>0.2</v>
      </c>
      <c r="U264" t="s">
        <v>1549</v>
      </c>
      <c r="V264" t="s">
        <v>1550</v>
      </c>
      <c r="W264" t="s">
        <v>1537</v>
      </c>
      <c r="X264" t="s">
        <v>1537</v>
      </c>
      <c r="Y264" t="s">
        <v>1551</v>
      </c>
      <c r="Z264" s="70">
        <f>I264*'Dynamic Analysis Dashboard'!$B$8*'Dynamic Analysis Dashboard'!$B$9*'Dynamic Analysis Dashboard'!$B$21</f>
        <v>1.9574999999999999E-6</v>
      </c>
      <c r="AA264" s="75">
        <f>J264*'Dynamic Analysis Dashboard'!$B$8*'Dynamic Analysis Dashboard'!$B$9*'Dynamic Analysis Dashboard'!$B$21</f>
        <v>2.295E-6</v>
      </c>
      <c r="AB264" s="80">
        <f>K264*'Dynamic Analysis Dashboard'!$B$10*'Dynamic Analysis Dashboard'!$B$9*'Dynamic Analysis Dashboard'!$B$21</f>
        <v>0</v>
      </c>
      <c r="AC264" s="85">
        <f>L264*'Dynamic Analysis Dashboard'!$B$11*'Dynamic Analysis Dashboard'!$B$9*'Dynamic Analysis Dashboard'!$B$21</f>
        <v>0</v>
      </c>
      <c r="AD264" s="120">
        <f t="shared" si="8"/>
        <v>4.2525000000000004E-6</v>
      </c>
      <c r="AE264" s="121">
        <f t="shared" si="9"/>
        <v>3.1893750000000003E-6</v>
      </c>
    </row>
    <row r="265" spans="1:31" x14ac:dyDescent="0.2">
      <c r="A265" t="s">
        <v>72</v>
      </c>
      <c r="B265" t="s">
        <v>172</v>
      </c>
      <c r="C265" t="s">
        <v>1552</v>
      </c>
      <c r="D265" t="s">
        <v>328</v>
      </c>
      <c r="E265" t="s">
        <v>1553</v>
      </c>
      <c r="F265" t="s">
        <v>152</v>
      </c>
      <c r="G265" t="s">
        <v>24</v>
      </c>
      <c r="H265" t="s">
        <v>28</v>
      </c>
      <c r="I265">
        <v>3.2000000000000003E-6</v>
      </c>
      <c r="J265">
        <v>4.7999999999999998E-6</v>
      </c>
      <c r="K265">
        <v>0</v>
      </c>
      <c r="L265">
        <v>0</v>
      </c>
      <c r="M265">
        <v>7.9999999999999996E-6</v>
      </c>
      <c r="N265">
        <v>0.8</v>
      </c>
      <c r="O265">
        <v>6</v>
      </c>
      <c r="P265">
        <v>3</v>
      </c>
      <c r="Q265">
        <v>3</v>
      </c>
      <c r="R265">
        <v>3</v>
      </c>
      <c r="S265">
        <v>57200</v>
      </c>
      <c r="T265">
        <v>5.2</v>
      </c>
      <c r="U265" t="s">
        <v>1554</v>
      </c>
      <c r="V265" t="s">
        <v>1555</v>
      </c>
      <c r="W265" t="s">
        <v>1537</v>
      </c>
      <c r="X265" t="s">
        <v>1537</v>
      </c>
      <c r="Y265" t="s">
        <v>1556</v>
      </c>
      <c r="Z265" s="70">
        <f>I265*'Dynamic Analysis Dashboard'!$B$8*'Dynamic Analysis Dashboard'!$B$9*'Dynamic Analysis Dashboard'!$B$21</f>
        <v>2.1600000000000005E-6</v>
      </c>
      <c r="AA265" s="75">
        <f>J265*'Dynamic Analysis Dashboard'!$B$8*'Dynamic Analysis Dashboard'!$B$9*'Dynamic Analysis Dashboard'!$B$21</f>
        <v>3.2400000000000003E-6</v>
      </c>
      <c r="AB265" s="80">
        <f>K265*'Dynamic Analysis Dashboard'!$B$10*'Dynamic Analysis Dashboard'!$B$9*'Dynamic Analysis Dashboard'!$B$21</f>
        <v>0</v>
      </c>
      <c r="AC265" s="85">
        <f>L265*'Dynamic Analysis Dashboard'!$B$11*'Dynamic Analysis Dashboard'!$B$9*'Dynamic Analysis Dashboard'!$B$21</f>
        <v>0</v>
      </c>
      <c r="AD265" s="120">
        <f t="shared" si="8"/>
        <v>5.4000000000000008E-6</v>
      </c>
      <c r="AE265" s="121">
        <f t="shared" si="9"/>
        <v>4.320000000000001E-6</v>
      </c>
    </row>
    <row r="266" spans="1:31" x14ac:dyDescent="0.2">
      <c r="A266" t="s">
        <v>72</v>
      </c>
      <c r="B266" t="s">
        <v>179</v>
      </c>
      <c r="C266" t="s">
        <v>1557</v>
      </c>
      <c r="D266" t="s">
        <v>125</v>
      </c>
      <c r="E266" t="s">
        <v>1558</v>
      </c>
      <c r="F266" t="s">
        <v>145</v>
      </c>
      <c r="G266" t="s">
        <v>24</v>
      </c>
      <c r="H266" t="s">
        <v>311</v>
      </c>
      <c r="I266">
        <v>1.8000000000000001E-6</v>
      </c>
      <c r="J266">
        <v>1.8999999999999998E-6</v>
      </c>
      <c r="K266">
        <v>9.0000000000000007E-7</v>
      </c>
      <c r="L266">
        <v>0</v>
      </c>
      <c r="M266">
        <v>4.6E-6</v>
      </c>
      <c r="N266">
        <v>0.75</v>
      </c>
      <c r="O266">
        <v>10</v>
      </c>
      <c r="P266">
        <v>4</v>
      </c>
      <c r="Q266">
        <v>2</v>
      </c>
      <c r="R266">
        <v>4</v>
      </c>
      <c r="S266">
        <v>60760</v>
      </c>
      <c r="T266">
        <v>3.8</v>
      </c>
      <c r="U266" t="s">
        <v>1559</v>
      </c>
      <c r="V266" t="s">
        <v>1560</v>
      </c>
      <c r="W266" t="s">
        <v>1561</v>
      </c>
      <c r="X266" t="s">
        <v>1537</v>
      </c>
      <c r="Y266" t="s">
        <v>1562</v>
      </c>
      <c r="Z266" s="70">
        <f>I266*'Dynamic Analysis Dashboard'!$B$8*'Dynamic Analysis Dashboard'!$B$9*'Dynamic Analysis Dashboard'!$B$21</f>
        <v>1.2150000000000002E-6</v>
      </c>
      <c r="AA266" s="75">
        <f>J266*'Dynamic Analysis Dashboard'!$B$8*'Dynamic Analysis Dashboard'!$B$9*'Dynamic Analysis Dashboard'!$B$21</f>
        <v>1.2825E-6</v>
      </c>
      <c r="AB266" s="80">
        <f>K266*'Dynamic Analysis Dashboard'!$B$10*'Dynamic Analysis Dashboard'!$B$9*'Dynamic Analysis Dashboard'!$B$21</f>
        <v>5.4000000000000012E-7</v>
      </c>
      <c r="AC266" s="85">
        <f>L266*'Dynamic Analysis Dashboard'!$B$11*'Dynamic Analysis Dashboard'!$B$9*'Dynamic Analysis Dashboard'!$B$21</f>
        <v>0</v>
      </c>
      <c r="AD266" s="120">
        <f t="shared" si="8"/>
        <v>3.0375000000000001E-6</v>
      </c>
      <c r="AE266" s="121">
        <f t="shared" si="9"/>
        <v>2.2781250000000003E-6</v>
      </c>
    </row>
    <row r="267" spans="1:31" x14ac:dyDescent="0.2">
      <c r="A267" t="s">
        <v>72</v>
      </c>
      <c r="B267" t="s">
        <v>186</v>
      </c>
      <c r="C267" t="s">
        <v>1563</v>
      </c>
      <c r="D267" t="s">
        <v>166</v>
      </c>
      <c r="E267" t="s">
        <v>1564</v>
      </c>
      <c r="F267" t="s">
        <v>330</v>
      </c>
      <c r="G267" t="s">
        <v>24</v>
      </c>
      <c r="H267" t="s">
        <v>28</v>
      </c>
      <c r="I267">
        <v>1.3999999999999999E-6</v>
      </c>
      <c r="J267">
        <v>0</v>
      </c>
      <c r="K267">
        <v>5.9999999999999997E-7</v>
      </c>
      <c r="L267">
        <v>2.2000000000000001E-6</v>
      </c>
      <c r="M267">
        <v>4.2000000000000004E-6</v>
      </c>
      <c r="N267">
        <v>0.85</v>
      </c>
      <c r="O267">
        <v>6</v>
      </c>
      <c r="P267">
        <v>2</v>
      </c>
      <c r="Q267">
        <v>3</v>
      </c>
      <c r="R267">
        <v>2</v>
      </c>
      <c r="S267">
        <v>66240</v>
      </c>
      <c r="T267">
        <v>4.0999999999999996</v>
      </c>
      <c r="U267" t="s">
        <v>1565</v>
      </c>
      <c r="V267" t="s">
        <v>1537</v>
      </c>
      <c r="W267" t="s">
        <v>1566</v>
      </c>
      <c r="X267" t="s">
        <v>1567</v>
      </c>
      <c r="Y267" t="s">
        <v>1568</v>
      </c>
      <c r="Z267" s="70">
        <f>I267*'Dynamic Analysis Dashboard'!$B$8*'Dynamic Analysis Dashboard'!$B$9*'Dynamic Analysis Dashboard'!$B$21</f>
        <v>9.4500000000000006E-7</v>
      </c>
      <c r="AA267" s="75">
        <f>J267*'Dynamic Analysis Dashboard'!$B$8*'Dynamic Analysis Dashboard'!$B$9*'Dynamic Analysis Dashboard'!$B$21</f>
        <v>0</v>
      </c>
      <c r="AB267" s="80">
        <f>K267*'Dynamic Analysis Dashboard'!$B$10*'Dynamic Analysis Dashboard'!$B$9*'Dynamic Analysis Dashboard'!$B$21</f>
        <v>3.5999999999999994E-7</v>
      </c>
      <c r="AC267" s="85">
        <f>L267*'Dynamic Analysis Dashboard'!$B$11*'Dynamic Analysis Dashboard'!$B$9*'Dynamic Analysis Dashboard'!$B$21</f>
        <v>1.4025000000000001E-6</v>
      </c>
      <c r="AD267" s="120">
        <f t="shared" si="8"/>
        <v>2.7074999999999999E-6</v>
      </c>
      <c r="AE267" s="121">
        <f t="shared" si="9"/>
        <v>2.3013750000000001E-6</v>
      </c>
    </row>
    <row r="268" spans="1:31" hidden="1" x14ac:dyDescent="0.2">
      <c r="A268" t="s">
        <v>72</v>
      </c>
      <c r="B268" t="s">
        <v>194</v>
      </c>
      <c r="C268" t="s">
        <v>1569</v>
      </c>
      <c r="D268" t="s">
        <v>1542</v>
      </c>
      <c r="E268" t="s">
        <v>1570</v>
      </c>
      <c r="F268" t="s">
        <v>324</v>
      </c>
      <c r="G268" t="s">
        <v>24</v>
      </c>
      <c r="H268" t="s">
        <v>33</v>
      </c>
      <c r="I268">
        <v>0</v>
      </c>
      <c r="J268">
        <v>0</v>
      </c>
      <c r="K268">
        <v>3.2000000000000003E-6</v>
      </c>
      <c r="L268">
        <v>0</v>
      </c>
      <c r="M268">
        <v>3.2000000000000003E-6</v>
      </c>
      <c r="N268">
        <v>0.8</v>
      </c>
      <c r="O268">
        <v>7</v>
      </c>
      <c r="P268">
        <v>3</v>
      </c>
      <c r="Q268">
        <v>2</v>
      </c>
      <c r="R268">
        <v>4</v>
      </c>
      <c r="S268">
        <v>151.5</v>
      </c>
      <c r="T268">
        <v>0.3</v>
      </c>
      <c r="U268" t="s">
        <v>1537</v>
      </c>
      <c r="V268" t="s">
        <v>1537</v>
      </c>
      <c r="W268" t="s">
        <v>1571</v>
      </c>
      <c r="X268" t="s">
        <v>1537</v>
      </c>
      <c r="Y268" t="s">
        <v>1572</v>
      </c>
      <c r="Z268" s="70">
        <f>I268*'Dynamic Analysis Dashboard'!$B$8*'Dynamic Analysis Dashboard'!$B$9*'Dynamic Analysis Dashboard'!$B$21</f>
        <v>0</v>
      </c>
      <c r="AA268" s="75">
        <f>J268*'Dynamic Analysis Dashboard'!$B$8*'Dynamic Analysis Dashboard'!$B$9*'Dynamic Analysis Dashboard'!$B$21</f>
        <v>0</v>
      </c>
      <c r="AB268" s="80">
        <f>K268*'Dynamic Analysis Dashboard'!$B$10*'Dynamic Analysis Dashboard'!$B$9*'Dynamic Analysis Dashboard'!$B$21</f>
        <v>1.9200000000000003E-6</v>
      </c>
      <c r="AC268" s="85">
        <f>L268*'Dynamic Analysis Dashboard'!$B$11*'Dynamic Analysis Dashboard'!$B$9*'Dynamic Analysis Dashboard'!$B$21</f>
        <v>0</v>
      </c>
      <c r="AD268" s="120">
        <f t="shared" si="8"/>
        <v>1.9200000000000003E-6</v>
      </c>
      <c r="AE268" s="121">
        <f t="shared" si="9"/>
        <v>1.5360000000000002E-6</v>
      </c>
    </row>
    <row r="269" spans="1:31" hidden="1" x14ac:dyDescent="0.2">
      <c r="A269" t="s">
        <v>72</v>
      </c>
      <c r="B269" t="s">
        <v>141</v>
      </c>
      <c r="C269" t="s">
        <v>1573</v>
      </c>
      <c r="D269" t="s">
        <v>315</v>
      </c>
      <c r="E269" t="s">
        <v>1574</v>
      </c>
      <c r="F269" t="s">
        <v>145</v>
      </c>
      <c r="G269" t="s">
        <v>31</v>
      </c>
      <c r="H269" t="s">
        <v>28</v>
      </c>
      <c r="I269">
        <v>1.2999999999999999E-5</v>
      </c>
      <c r="J269">
        <v>6.1999999999999999E-6</v>
      </c>
      <c r="K269">
        <v>0</v>
      </c>
      <c r="L269">
        <v>1.8999999999999998E-6</v>
      </c>
      <c r="M269">
        <v>2.1100000000000001E-5</v>
      </c>
      <c r="N269">
        <v>0.8</v>
      </c>
      <c r="O269">
        <v>9</v>
      </c>
      <c r="P269">
        <v>4</v>
      </c>
      <c r="Q269">
        <v>2</v>
      </c>
      <c r="R269">
        <v>4</v>
      </c>
      <c r="S269">
        <v>107250</v>
      </c>
      <c r="T269">
        <v>6.1</v>
      </c>
      <c r="U269" t="s">
        <v>1575</v>
      </c>
      <c r="V269" t="s">
        <v>1576</v>
      </c>
      <c r="W269" t="s">
        <v>1537</v>
      </c>
      <c r="X269" t="s">
        <v>1577</v>
      </c>
      <c r="Y269" t="s">
        <v>1578</v>
      </c>
      <c r="Z269" s="70">
        <f>I269*'Dynamic Analysis Dashboard'!$B$8*'Dynamic Analysis Dashboard'!$B$9*'Dynamic Analysis Dashboard'!$B$21</f>
        <v>8.7749999999999998E-6</v>
      </c>
      <c r="AA269" s="75">
        <f>J269*'Dynamic Analysis Dashboard'!$B$8*'Dynamic Analysis Dashboard'!$B$9*'Dynamic Analysis Dashboard'!$B$21</f>
        <v>4.1849999999999997E-6</v>
      </c>
      <c r="AB269" s="80">
        <f>K269*'Dynamic Analysis Dashboard'!$B$10*'Dynamic Analysis Dashboard'!$B$9*'Dynamic Analysis Dashboard'!$B$21</f>
        <v>0</v>
      </c>
      <c r="AC269" s="85">
        <f>L269*'Dynamic Analysis Dashboard'!$B$11*'Dynamic Analysis Dashboard'!$B$9*'Dynamic Analysis Dashboard'!$B$21</f>
        <v>1.2112499999999998E-6</v>
      </c>
      <c r="AD269" s="120">
        <f t="shared" si="8"/>
        <v>1.4171249999999999E-5</v>
      </c>
      <c r="AE269" s="121">
        <f t="shared" si="9"/>
        <v>1.1337E-5</v>
      </c>
    </row>
    <row r="270" spans="1:31" hidden="1" x14ac:dyDescent="0.2">
      <c r="A270" t="s">
        <v>72</v>
      </c>
      <c r="B270" t="s">
        <v>123</v>
      </c>
      <c r="C270" t="s">
        <v>1579</v>
      </c>
      <c r="D270" t="s">
        <v>125</v>
      </c>
      <c r="E270" t="s">
        <v>1580</v>
      </c>
      <c r="F270" t="s">
        <v>127</v>
      </c>
      <c r="G270" t="s">
        <v>31</v>
      </c>
      <c r="H270" t="s">
        <v>25</v>
      </c>
      <c r="I270">
        <v>6.7000000000000002E-6</v>
      </c>
      <c r="J270">
        <v>2.1000000000000002E-6</v>
      </c>
      <c r="K270">
        <v>2.9999999999999999E-7</v>
      </c>
      <c r="L270">
        <v>0</v>
      </c>
      <c r="M270">
        <v>9.0999999999999993E-6</v>
      </c>
      <c r="N270">
        <v>0.85</v>
      </c>
      <c r="O270">
        <v>6</v>
      </c>
      <c r="P270">
        <v>3</v>
      </c>
      <c r="Q270">
        <v>3</v>
      </c>
      <c r="R270">
        <v>3</v>
      </c>
      <c r="S270">
        <v>65540</v>
      </c>
      <c r="T270">
        <v>5</v>
      </c>
      <c r="U270" t="s">
        <v>1581</v>
      </c>
      <c r="V270" t="s">
        <v>1582</v>
      </c>
      <c r="W270" t="s">
        <v>1583</v>
      </c>
      <c r="X270" t="s">
        <v>1537</v>
      </c>
      <c r="Y270" t="s">
        <v>1584</v>
      </c>
      <c r="Z270" s="70">
        <f>I270*'Dynamic Analysis Dashboard'!$B$8*'Dynamic Analysis Dashboard'!$B$9*'Dynamic Analysis Dashboard'!$B$21</f>
        <v>4.5225000000000003E-6</v>
      </c>
      <c r="AA270" s="75">
        <f>J270*'Dynamic Analysis Dashboard'!$B$8*'Dynamic Analysis Dashboard'!$B$9*'Dynamic Analysis Dashboard'!$B$21</f>
        <v>1.4175000000000002E-6</v>
      </c>
      <c r="AB270" s="80">
        <f>K270*'Dynamic Analysis Dashboard'!$B$10*'Dynamic Analysis Dashboard'!$B$9*'Dynamic Analysis Dashboard'!$B$21</f>
        <v>1.7999999999999997E-7</v>
      </c>
      <c r="AC270" s="85">
        <f>L270*'Dynamic Analysis Dashboard'!$B$11*'Dynamic Analysis Dashboard'!$B$9*'Dynamic Analysis Dashboard'!$B$21</f>
        <v>0</v>
      </c>
      <c r="AD270" s="120">
        <f t="shared" si="8"/>
        <v>6.1200000000000007E-6</v>
      </c>
      <c r="AE270" s="121">
        <f t="shared" si="9"/>
        <v>5.2020000000000003E-6</v>
      </c>
    </row>
    <row r="271" spans="1:31" hidden="1" x14ac:dyDescent="0.2">
      <c r="A271" t="s">
        <v>72</v>
      </c>
      <c r="B271" t="s">
        <v>149</v>
      </c>
      <c r="C271" t="s">
        <v>1585</v>
      </c>
      <c r="D271" t="s">
        <v>1586</v>
      </c>
      <c r="E271" t="s">
        <v>1587</v>
      </c>
      <c r="F271" t="s">
        <v>330</v>
      </c>
      <c r="G271" t="s">
        <v>31</v>
      </c>
      <c r="H271" t="s">
        <v>33</v>
      </c>
      <c r="I271">
        <v>5.7999999999999995E-6</v>
      </c>
      <c r="J271">
        <v>0</v>
      </c>
      <c r="K271">
        <v>8.0000000000000007E-7</v>
      </c>
      <c r="L271">
        <v>4.2999999999999995E-6</v>
      </c>
      <c r="M271">
        <v>1.0900000000000001E-5</v>
      </c>
      <c r="N271">
        <v>0.75</v>
      </c>
      <c r="O271">
        <v>8</v>
      </c>
      <c r="P271">
        <v>3</v>
      </c>
      <c r="Q271">
        <v>2</v>
      </c>
      <c r="R271">
        <v>3</v>
      </c>
      <c r="S271">
        <v>860</v>
      </c>
      <c r="T271">
        <v>0.2</v>
      </c>
      <c r="U271" t="s">
        <v>1588</v>
      </c>
      <c r="V271" t="s">
        <v>1537</v>
      </c>
      <c r="W271" t="s">
        <v>1589</v>
      </c>
      <c r="X271" t="s">
        <v>1590</v>
      </c>
      <c r="Y271" t="s">
        <v>1591</v>
      </c>
      <c r="Z271" s="70">
        <f>I271*'Dynamic Analysis Dashboard'!$B$8*'Dynamic Analysis Dashboard'!$B$9*'Dynamic Analysis Dashboard'!$B$21</f>
        <v>3.9149999999999998E-6</v>
      </c>
      <c r="AA271" s="75">
        <f>J271*'Dynamic Analysis Dashboard'!$B$8*'Dynamic Analysis Dashboard'!$B$9*'Dynamic Analysis Dashboard'!$B$21</f>
        <v>0</v>
      </c>
      <c r="AB271" s="80">
        <f>K271*'Dynamic Analysis Dashboard'!$B$10*'Dynamic Analysis Dashboard'!$B$9*'Dynamic Analysis Dashboard'!$B$21</f>
        <v>4.8000000000000006E-7</v>
      </c>
      <c r="AC271" s="85">
        <f>L271*'Dynamic Analysis Dashboard'!$B$11*'Dynamic Analysis Dashboard'!$B$9*'Dynamic Analysis Dashboard'!$B$21</f>
        <v>2.7412499999999994E-6</v>
      </c>
      <c r="AD271" s="120">
        <f t="shared" si="8"/>
        <v>7.1362499999999988E-6</v>
      </c>
      <c r="AE271" s="121">
        <f t="shared" si="9"/>
        <v>5.3521874999999993E-6</v>
      </c>
    </row>
    <row r="272" spans="1:31" x14ac:dyDescent="0.2">
      <c r="A272" t="s">
        <v>64</v>
      </c>
      <c r="B272" t="s">
        <v>123</v>
      </c>
      <c r="C272" t="s">
        <v>1592</v>
      </c>
      <c r="D272" t="s">
        <v>1432</v>
      </c>
      <c r="E272" t="s">
        <v>1593</v>
      </c>
      <c r="F272" t="s">
        <v>963</v>
      </c>
      <c r="G272" t="s">
        <v>24</v>
      </c>
      <c r="H272" t="s">
        <v>33</v>
      </c>
      <c r="I272">
        <v>2.0999999999999999E-5</v>
      </c>
      <c r="J272">
        <v>0</v>
      </c>
      <c r="K272">
        <v>0</v>
      </c>
      <c r="L272">
        <v>0</v>
      </c>
      <c r="M272">
        <v>2.0999999999999999E-5</v>
      </c>
      <c r="N272">
        <v>0.75</v>
      </c>
      <c r="O272">
        <v>18</v>
      </c>
      <c r="P272">
        <v>5</v>
      </c>
      <c r="Q272">
        <v>2</v>
      </c>
      <c r="R272">
        <v>5</v>
      </c>
      <c r="S272">
        <v>57780</v>
      </c>
      <c r="T272">
        <v>933.48</v>
      </c>
      <c r="U272" t="s">
        <v>1594</v>
      </c>
      <c r="V272" t="s">
        <v>129</v>
      </c>
      <c r="W272" t="s">
        <v>788</v>
      </c>
      <c r="X272" t="s">
        <v>131</v>
      </c>
      <c r="Y272" t="s">
        <v>1595</v>
      </c>
      <c r="Z272" s="70">
        <f>I272*'Dynamic Analysis Dashboard'!$B$8*'Dynamic Analysis Dashboard'!$B$9*'Dynamic Analysis Dashboard'!$B$21</f>
        <v>1.4174999999999999E-5</v>
      </c>
      <c r="AA272" s="75">
        <f>J272*'Dynamic Analysis Dashboard'!$B$8*'Dynamic Analysis Dashboard'!$B$9*'Dynamic Analysis Dashboard'!$B$21</f>
        <v>0</v>
      </c>
      <c r="AB272" s="80">
        <f>K272*'Dynamic Analysis Dashboard'!$B$10*'Dynamic Analysis Dashboard'!$B$9*'Dynamic Analysis Dashboard'!$B$21</f>
        <v>0</v>
      </c>
      <c r="AC272" s="85">
        <f>L272*'Dynamic Analysis Dashboard'!$B$11*'Dynamic Analysis Dashboard'!$B$9*'Dynamic Analysis Dashboard'!$B$21</f>
        <v>0</v>
      </c>
      <c r="AD272" s="120">
        <f t="shared" si="8"/>
        <v>1.4174999999999999E-5</v>
      </c>
      <c r="AE272" s="121">
        <f t="shared" si="9"/>
        <v>1.0631249999999999E-5</v>
      </c>
    </row>
    <row r="273" spans="1:31" x14ac:dyDescent="0.2">
      <c r="A273" t="s">
        <v>64</v>
      </c>
      <c r="B273" t="s">
        <v>149</v>
      </c>
      <c r="C273" t="s">
        <v>1596</v>
      </c>
      <c r="D273" t="s">
        <v>1432</v>
      </c>
      <c r="E273" t="s">
        <v>796</v>
      </c>
      <c r="F273" t="s">
        <v>495</v>
      </c>
      <c r="G273" t="s">
        <v>24</v>
      </c>
      <c r="H273" t="s">
        <v>25</v>
      </c>
      <c r="I273">
        <v>3.2000000000000003E-6</v>
      </c>
      <c r="J273">
        <v>0</v>
      </c>
      <c r="K273">
        <v>5.2000000000000002E-6</v>
      </c>
      <c r="L273">
        <v>0</v>
      </c>
      <c r="M273">
        <v>8.4000000000000009E-6</v>
      </c>
      <c r="N273">
        <v>0.7</v>
      </c>
      <c r="O273">
        <v>6</v>
      </c>
      <c r="P273">
        <v>2</v>
      </c>
      <c r="Q273">
        <v>3</v>
      </c>
      <c r="R273">
        <v>2</v>
      </c>
      <c r="S273">
        <v>116530</v>
      </c>
      <c r="T273">
        <v>735.36</v>
      </c>
      <c r="U273" t="s">
        <v>1597</v>
      </c>
      <c r="V273" t="s">
        <v>129</v>
      </c>
      <c r="W273" t="s">
        <v>1598</v>
      </c>
      <c r="X273" t="s">
        <v>131</v>
      </c>
      <c r="Y273" t="s">
        <v>1599</v>
      </c>
      <c r="Z273" s="70">
        <f>I273*'Dynamic Analysis Dashboard'!$B$8*'Dynamic Analysis Dashboard'!$B$9*'Dynamic Analysis Dashboard'!$B$21</f>
        <v>2.1600000000000005E-6</v>
      </c>
      <c r="AA273" s="75">
        <f>J273*'Dynamic Analysis Dashboard'!$B$8*'Dynamic Analysis Dashboard'!$B$9*'Dynamic Analysis Dashboard'!$B$21</f>
        <v>0</v>
      </c>
      <c r="AB273" s="80">
        <f>K273*'Dynamic Analysis Dashboard'!$B$10*'Dynamic Analysis Dashboard'!$B$9*'Dynamic Analysis Dashboard'!$B$21</f>
        <v>3.1199999999999998E-6</v>
      </c>
      <c r="AC273" s="85">
        <f>L273*'Dynamic Analysis Dashboard'!$B$11*'Dynamic Analysis Dashboard'!$B$9*'Dynamic Analysis Dashboard'!$B$21</f>
        <v>0</v>
      </c>
      <c r="AD273" s="120">
        <f t="shared" si="8"/>
        <v>5.2800000000000003E-6</v>
      </c>
      <c r="AE273" s="121">
        <f t="shared" si="9"/>
        <v>3.6959999999999998E-6</v>
      </c>
    </row>
    <row r="274" spans="1:31" x14ac:dyDescent="0.2">
      <c r="A274" t="s">
        <v>64</v>
      </c>
      <c r="B274" t="s">
        <v>156</v>
      </c>
      <c r="C274" t="s">
        <v>1600</v>
      </c>
      <c r="D274" t="s">
        <v>1247</v>
      </c>
      <c r="E274" t="s">
        <v>1601</v>
      </c>
      <c r="F274" t="s">
        <v>779</v>
      </c>
      <c r="G274" t="s">
        <v>24</v>
      </c>
      <c r="H274" t="s">
        <v>28</v>
      </c>
      <c r="I274">
        <v>6.9E-6</v>
      </c>
      <c r="J274">
        <v>0</v>
      </c>
      <c r="K274">
        <v>0</v>
      </c>
      <c r="L274">
        <v>4.6999999999999999E-6</v>
      </c>
      <c r="M274">
        <v>1.1599999999999999E-5</v>
      </c>
      <c r="N274">
        <v>0.8</v>
      </c>
      <c r="O274">
        <v>9</v>
      </c>
      <c r="P274">
        <v>3</v>
      </c>
      <c r="Q274">
        <v>3</v>
      </c>
      <c r="R274">
        <v>3</v>
      </c>
      <c r="S274">
        <v>23100</v>
      </c>
      <c r="T274">
        <v>424.8</v>
      </c>
      <c r="U274" t="s">
        <v>1602</v>
      </c>
      <c r="V274" t="s">
        <v>129</v>
      </c>
      <c r="W274" t="s">
        <v>788</v>
      </c>
      <c r="X274" t="s">
        <v>1603</v>
      </c>
      <c r="Y274" t="s">
        <v>1604</v>
      </c>
      <c r="Z274" s="70">
        <f>I274*'Dynamic Analysis Dashboard'!$B$8*'Dynamic Analysis Dashboard'!$B$9*'Dynamic Analysis Dashboard'!$B$21</f>
        <v>4.6574999999999999E-6</v>
      </c>
      <c r="AA274" s="75">
        <f>J274*'Dynamic Analysis Dashboard'!$B$8*'Dynamic Analysis Dashboard'!$B$9*'Dynamic Analysis Dashboard'!$B$21</f>
        <v>0</v>
      </c>
      <c r="AB274" s="80">
        <f>K274*'Dynamic Analysis Dashboard'!$B$10*'Dynamic Analysis Dashboard'!$B$9*'Dynamic Analysis Dashboard'!$B$21</f>
        <v>0</v>
      </c>
      <c r="AC274" s="85">
        <f>L274*'Dynamic Analysis Dashboard'!$B$11*'Dynamic Analysis Dashboard'!$B$9*'Dynamic Analysis Dashboard'!$B$21</f>
        <v>2.9962499999999999E-6</v>
      </c>
      <c r="AD274" s="120">
        <f t="shared" si="8"/>
        <v>7.6537499999999994E-6</v>
      </c>
      <c r="AE274" s="121">
        <f t="shared" si="9"/>
        <v>6.1229999999999997E-6</v>
      </c>
    </row>
    <row r="275" spans="1:31" x14ac:dyDescent="0.2">
      <c r="A275" t="s">
        <v>64</v>
      </c>
      <c r="B275" t="s">
        <v>164</v>
      </c>
      <c r="C275" t="s">
        <v>1605</v>
      </c>
      <c r="D275" t="s">
        <v>1247</v>
      </c>
      <c r="E275" t="s">
        <v>1606</v>
      </c>
      <c r="F275" t="s">
        <v>495</v>
      </c>
      <c r="G275" t="s">
        <v>24</v>
      </c>
      <c r="H275" t="s">
        <v>28</v>
      </c>
      <c r="I275">
        <v>3.6000000000000003E-6</v>
      </c>
      <c r="J275">
        <v>0</v>
      </c>
      <c r="K275">
        <v>4.2000000000000004E-6</v>
      </c>
      <c r="L275">
        <v>2.3999999999999999E-6</v>
      </c>
      <c r="M275">
        <v>1.0199999999999999E-5</v>
      </c>
      <c r="N275">
        <v>0.75</v>
      </c>
      <c r="O275">
        <v>6</v>
      </c>
      <c r="P275">
        <v>2</v>
      </c>
      <c r="Q275">
        <v>3</v>
      </c>
      <c r="R275">
        <v>2</v>
      </c>
      <c r="S275">
        <v>4816</v>
      </c>
      <c r="T275">
        <v>115.776</v>
      </c>
      <c r="U275" t="s">
        <v>1607</v>
      </c>
      <c r="V275" t="s">
        <v>129</v>
      </c>
      <c r="W275" t="s">
        <v>1608</v>
      </c>
      <c r="X275" t="s">
        <v>1609</v>
      </c>
      <c r="Y275" t="s">
        <v>1610</v>
      </c>
      <c r="Z275" s="70">
        <f>I275*'Dynamic Analysis Dashboard'!$B$8*'Dynamic Analysis Dashboard'!$B$9*'Dynamic Analysis Dashboard'!$B$21</f>
        <v>2.4300000000000005E-6</v>
      </c>
      <c r="AA275" s="75">
        <f>J275*'Dynamic Analysis Dashboard'!$B$8*'Dynamic Analysis Dashboard'!$B$9*'Dynamic Analysis Dashboard'!$B$21</f>
        <v>0</v>
      </c>
      <c r="AB275" s="80">
        <f>K275*'Dynamic Analysis Dashboard'!$B$10*'Dynamic Analysis Dashboard'!$B$9*'Dynamic Analysis Dashboard'!$B$21</f>
        <v>2.5200000000000004E-6</v>
      </c>
      <c r="AC275" s="85">
        <f>L275*'Dynamic Analysis Dashboard'!$B$11*'Dynamic Analysis Dashboard'!$B$9*'Dynamic Analysis Dashboard'!$B$21</f>
        <v>1.53E-6</v>
      </c>
      <c r="AD275" s="120">
        <f t="shared" si="8"/>
        <v>6.4800000000000006E-6</v>
      </c>
      <c r="AE275" s="121">
        <f t="shared" si="9"/>
        <v>4.8600000000000009E-6</v>
      </c>
    </row>
    <row r="276" spans="1:31" x14ac:dyDescent="0.2">
      <c r="A276" t="s">
        <v>64</v>
      </c>
      <c r="B276" t="s">
        <v>179</v>
      </c>
      <c r="C276" t="s">
        <v>1611</v>
      </c>
      <c r="D276" t="s">
        <v>188</v>
      </c>
      <c r="E276" t="s">
        <v>1612</v>
      </c>
      <c r="F276" t="s">
        <v>489</v>
      </c>
      <c r="G276" t="s">
        <v>24</v>
      </c>
      <c r="H276" t="s">
        <v>25</v>
      </c>
      <c r="I276">
        <v>3.2000000000000003E-6</v>
      </c>
      <c r="J276">
        <v>2.5000000000000002E-6</v>
      </c>
      <c r="K276">
        <v>0</v>
      </c>
      <c r="L276">
        <v>0</v>
      </c>
      <c r="M276">
        <v>5.7000000000000005E-6</v>
      </c>
      <c r="N276">
        <v>0.7</v>
      </c>
      <c r="O276">
        <v>6</v>
      </c>
      <c r="P276">
        <v>2</v>
      </c>
      <c r="Q276">
        <v>3</v>
      </c>
      <c r="R276">
        <v>2</v>
      </c>
      <c r="S276">
        <v>30600</v>
      </c>
      <c r="T276">
        <v>459</v>
      </c>
      <c r="U276" t="s">
        <v>1613</v>
      </c>
      <c r="V276" t="s">
        <v>1614</v>
      </c>
      <c r="W276" t="s">
        <v>788</v>
      </c>
      <c r="X276" t="s">
        <v>131</v>
      </c>
      <c r="Y276" t="s">
        <v>1615</v>
      </c>
      <c r="Z276" s="70">
        <f>I276*'Dynamic Analysis Dashboard'!$B$8*'Dynamic Analysis Dashboard'!$B$9*'Dynamic Analysis Dashboard'!$B$21</f>
        <v>2.1600000000000005E-6</v>
      </c>
      <c r="AA276" s="75">
        <f>J276*'Dynamic Analysis Dashboard'!$B$8*'Dynamic Analysis Dashboard'!$B$9*'Dynamic Analysis Dashboard'!$B$21</f>
        <v>1.6874999999999999E-6</v>
      </c>
      <c r="AB276" s="80">
        <f>K276*'Dynamic Analysis Dashboard'!$B$10*'Dynamic Analysis Dashboard'!$B$9*'Dynamic Analysis Dashboard'!$B$21</f>
        <v>0</v>
      </c>
      <c r="AC276" s="85">
        <f>L276*'Dynamic Analysis Dashboard'!$B$11*'Dynamic Analysis Dashboard'!$B$9*'Dynamic Analysis Dashboard'!$B$21</f>
        <v>0</v>
      </c>
      <c r="AD276" s="120">
        <f t="shared" si="8"/>
        <v>3.8475E-6</v>
      </c>
      <c r="AE276" s="121">
        <f t="shared" si="9"/>
        <v>2.69325E-6</v>
      </c>
    </row>
    <row r="277" spans="1:31" hidden="1" x14ac:dyDescent="0.2">
      <c r="A277" t="s">
        <v>64</v>
      </c>
      <c r="B277" t="s">
        <v>141</v>
      </c>
      <c r="C277" t="s">
        <v>1616</v>
      </c>
      <c r="D277" t="s">
        <v>1617</v>
      </c>
      <c r="E277" t="s">
        <v>1618</v>
      </c>
      <c r="F277" t="s">
        <v>687</v>
      </c>
      <c r="G277" t="s">
        <v>31</v>
      </c>
      <c r="H277" t="s">
        <v>25</v>
      </c>
      <c r="I277">
        <v>8.1999999999999994E-6</v>
      </c>
      <c r="J277">
        <v>1.49E-5</v>
      </c>
      <c r="K277">
        <v>0</v>
      </c>
      <c r="L277">
        <v>0</v>
      </c>
      <c r="M277">
        <v>2.3100000000000002E-5</v>
      </c>
      <c r="N277">
        <v>0.8</v>
      </c>
      <c r="O277">
        <v>9</v>
      </c>
      <c r="P277">
        <v>4</v>
      </c>
      <c r="Q277">
        <v>3</v>
      </c>
      <c r="R277">
        <v>4</v>
      </c>
      <c r="S277">
        <v>57750</v>
      </c>
      <c r="T277">
        <v>1043.0999999999999</v>
      </c>
      <c r="U277" t="s">
        <v>1619</v>
      </c>
      <c r="V277" t="s">
        <v>1620</v>
      </c>
      <c r="W277" t="s">
        <v>788</v>
      </c>
      <c r="X277" t="s">
        <v>131</v>
      </c>
      <c r="Y277" t="s">
        <v>1621</v>
      </c>
      <c r="Z277" s="70">
        <f>I277*'Dynamic Analysis Dashboard'!$B$8*'Dynamic Analysis Dashboard'!$B$9*'Dynamic Analysis Dashboard'!$B$21</f>
        <v>5.5349999999999995E-6</v>
      </c>
      <c r="AA277" s="75">
        <f>J277*'Dynamic Analysis Dashboard'!$B$8*'Dynamic Analysis Dashboard'!$B$9*'Dynamic Analysis Dashboard'!$B$21</f>
        <v>1.00575E-5</v>
      </c>
      <c r="AB277" s="80">
        <f>K277*'Dynamic Analysis Dashboard'!$B$10*'Dynamic Analysis Dashboard'!$B$9*'Dynamic Analysis Dashboard'!$B$21</f>
        <v>0</v>
      </c>
      <c r="AC277" s="85">
        <f>L277*'Dynamic Analysis Dashboard'!$B$11*'Dynamic Analysis Dashboard'!$B$9*'Dynamic Analysis Dashboard'!$B$21</f>
        <v>0</v>
      </c>
      <c r="AD277" s="120">
        <f t="shared" si="8"/>
        <v>1.55925E-5</v>
      </c>
      <c r="AE277" s="121">
        <f t="shared" si="9"/>
        <v>1.2474000000000001E-5</v>
      </c>
    </row>
    <row r="278" spans="1:31" hidden="1" x14ac:dyDescent="0.2">
      <c r="A278" t="s">
        <v>64</v>
      </c>
      <c r="B278" t="s">
        <v>133</v>
      </c>
      <c r="C278" t="s">
        <v>1622</v>
      </c>
      <c r="D278" t="s">
        <v>1617</v>
      </c>
      <c r="E278" t="s">
        <v>1623</v>
      </c>
      <c r="F278" t="s">
        <v>338</v>
      </c>
      <c r="G278" t="s">
        <v>38</v>
      </c>
      <c r="H278" t="s">
        <v>28</v>
      </c>
      <c r="I278">
        <v>2.8999999999999998E-6</v>
      </c>
      <c r="J278">
        <v>6.7000000000000002E-6</v>
      </c>
      <c r="K278">
        <v>0</v>
      </c>
      <c r="L278">
        <v>0</v>
      </c>
      <c r="M278">
        <v>9.5999999999999996E-6</v>
      </c>
      <c r="N278">
        <v>0.75</v>
      </c>
      <c r="O278">
        <v>9</v>
      </c>
      <c r="P278">
        <v>3</v>
      </c>
      <c r="Q278">
        <v>3</v>
      </c>
      <c r="R278">
        <v>3</v>
      </c>
      <c r="S278">
        <v>38500</v>
      </c>
      <c r="T278">
        <v>907.2</v>
      </c>
      <c r="U278" t="s">
        <v>1624</v>
      </c>
      <c r="V278" t="s">
        <v>1625</v>
      </c>
      <c r="W278" t="s">
        <v>788</v>
      </c>
      <c r="X278" t="s">
        <v>131</v>
      </c>
      <c r="Y278" t="s">
        <v>1626</v>
      </c>
      <c r="Z278" s="70">
        <f>I278*'Dynamic Analysis Dashboard'!$B$8*'Dynamic Analysis Dashboard'!$B$9*'Dynamic Analysis Dashboard'!$B$21</f>
        <v>1.9574999999999999E-6</v>
      </c>
      <c r="AA278" s="75">
        <f>J278*'Dynamic Analysis Dashboard'!$B$8*'Dynamic Analysis Dashboard'!$B$9*'Dynamic Analysis Dashboard'!$B$21</f>
        <v>4.5225000000000003E-6</v>
      </c>
      <c r="AB278" s="80">
        <f>K278*'Dynamic Analysis Dashboard'!$B$10*'Dynamic Analysis Dashboard'!$B$9*'Dynamic Analysis Dashboard'!$B$21</f>
        <v>0</v>
      </c>
      <c r="AC278" s="85">
        <f>L278*'Dynamic Analysis Dashboard'!$B$11*'Dynamic Analysis Dashboard'!$B$9*'Dynamic Analysis Dashboard'!$B$21</f>
        <v>0</v>
      </c>
      <c r="AD278" s="120">
        <f t="shared" si="8"/>
        <v>6.4800000000000006E-6</v>
      </c>
      <c r="AE278" s="121">
        <f t="shared" si="9"/>
        <v>4.8600000000000009E-6</v>
      </c>
    </row>
    <row r="279" spans="1:31" hidden="1" x14ac:dyDescent="0.2">
      <c r="A279" t="s">
        <v>64</v>
      </c>
      <c r="B279" t="s">
        <v>172</v>
      </c>
      <c r="C279" t="s">
        <v>1627</v>
      </c>
      <c r="D279" t="s">
        <v>158</v>
      </c>
      <c r="E279" t="s">
        <v>1628</v>
      </c>
      <c r="F279" t="s">
        <v>374</v>
      </c>
      <c r="G279" t="s">
        <v>38</v>
      </c>
      <c r="H279" t="s">
        <v>33</v>
      </c>
      <c r="I279">
        <v>6.5999999999999995E-6</v>
      </c>
      <c r="J279">
        <v>0</v>
      </c>
      <c r="K279">
        <v>0</v>
      </c>
      <c r="L279">
        <v>3.1E-6</v>
      </c>
      <c r="M279">
        <v>9.6999999999999986E-6</v>
      </c>
      <c r="N279">
        <v>0.8</v>
      </c>
      <c r="O279">
        <v>12</v>
      </c>
      <c r="P279">
        <v>4</v>
      </c>
      <c r="Q279">
        <v>2</v>
      </c>
      <c r="R279">
        <v>4</v>
      </c>
      <c r="S279">
        <v>35000</v>
      </c>
      <c r="T279">
        <v>672</v>
      </c>
      <c r="U279" t="s">
        <v>1629</v>
      </c>
      <c r="V279" t="s">
        <v>129</v>
      </c>
      <c r="W279" t="s">
        <v>788</v>
      </c>
      <c r="X279" t="s">
        <v>1630</v>
      </c>
      <c r="Y279" t="s">
        <v>1631</v>
      </c>
      <c r="Z279" s="70">
        <f>I279*'Dynamic Analysis Dashboard'!$B$8*'Dynamic Analysis Dashboard'!$B$9*'Dynamic Analysis Dashboard'!$B$21</f>
        <v>4.4549999999999997E-6</v>
      </c>
      <c r="AA279" s="75">
        <f>J279*'Dynamic Analysis Dashboard'!$B$8*'Dynamic Analysis Dashboard'!$B$9*'Dynamic Analysis Dashboard'!$B$21</f>
        <v>0</v>
      </c>
      <c r="AB279" s="80">
        <f>K279*'Dynamic Analysis Dashboard'!$B$10*'Dynamic Analysis Dashboard'!$B$9*'Dynamic Analysis Dashboard'!$B$21</f>
        <v>0</v>
      </c>
      <c r="AC279" s="85">
        <f>L279*'Dynamic Analysis Dashboard'!$B$11*'Dynamic Analysis Dashboard'!$B$9*'Dynamic Analysis Dashboard'!$B$21</f>
        <v>1.9762499999999999E-6</v>
      </c>
      <c r="AD279" s="120">
        <f t="shared" si="8"/>
        <v>6.4312499999999996E-6</v>
      </c>
      <c r="AE279" s="121">
        <f t="shared" si="9"/>
        <v>5.1449999999999999E-6</v>
      </c>
    </row>
    <row r="280" spans="1:31" hidden="1" x14ac:dyDescent="0.2">
      <c r="A280" t="s">
        <v>64</v>
      </c>
      <c r="B280" t="s">
        <v>186</v>
      </c>
      <c r="C280" t="s">
        <v>1632</v>
      </c>
      <c r="D280" t="s">
        <v>1633</v>
      </c>
      <c r="E280" t="s">
        <v>1634</v>
      </c>
      <c r="F280" t="s">
        <v>589</v>
      </c>
      <c r="G280" t="s">
        <v>38</v>
      </c>
      <c r="H280" t="s">
        <v>33</v>
      </c>
      <c r="I280">
        <v>1.3E-6</v>
      </c>
      <c r="J280">
        <v>0</v>
      </c>
      <c r="K280">
        <v>0</v>
      </c>
      <c r="L280">
        <v>6.2999999999999998E-6</v>
      </c>
      <c r="M280">
        <v>7.5999999999999992E-6</v>
      </c>
      <c r="N280">
        <v>0.8</v>
      </c>
      <c r="O280">
        <v>9</v>
      </c>
      <c r="P280">
        <v>3</v>
      </c>
      <c r="Q280">
        <v>3</v>
      </c>
      <c r="R280">
        <v>3</v>
      </c>
      <c r="S280">
        <v>18900</v>
      </c>
      <c r="T280">
        <v>327.60000000000002</v>
      </c>
      <c r="U280" t="s">
        <v>1635</v>
      </c>
      <c r="V280" t="s">
        <v>129</v>
      </c>
      <c r="W280" t="s">
        <v>788</v>
      </c>
      <c r="X280" t="s">
        <v>1636</v>
      </c>
      <c r="Y280" t="s">
        <v>1637</v>
      </c>
      <c r="Z280" s="70">
        <f>I280*'Dynamic Analysis Dashboard'!$B$8*'Dynamic Analysis Dashboard'!$B$9*'Dynamic Analysis Dashboard'!$B$21</f>
        <v>8.7750000000000007E-7</v>
      </c>
      <c r="AA280" s="75">
        <f>J280*'Dynamic Analysis Dashboard'!$B$8*'Dynamic Analysis Dashboard'!$B$9*'Dynamic Analysis Dashboard'!$B$21</f>
        <v>0</v>
      </c>
      <c r="AB280" s="80">
        <f>K280*'Dynamic Analysis Dashboard'!$B$10*'Dynamic Analysis Dashboard'!$B$9*'Dynamic Analysis Dashboard'!$B$21</f>
        <v>0</v>
      </c>
      <c r="AC280" s="85">
        <f>L280*'Dynamic Analysis Dashboard'!$B$11*'Dynamic Analysis Dashboard'!$B$9*'Dynamic Analysis Dashboard'!$B$21</f>
        <v>4.0162499999999999E-6</v>
      </c>
      <c r="AD280" s="120">
        <f t="shared" si="8"/>
        <v>4.8937500000000004E-6</v>
      </c>
      <c r="AE280" s="121">
        <f t="shared" si="9"/>
        <v>3.9150000000000006E-6</v>
      </c>
    </row>
    <row r="281" spans="1:31" hidden="1" x14ac:dyDescent="0.2">
      <c r="A281" t="s">
        <v>64</v>
      </c>
      <c r="B281" t="s">
        <v>194</v>
      </c>
      <c r="C281" t="s">
        <v>1638</v>
      </c>
      <c r="D281" t="s">
        <v>125</v>
      </c>
      <c r="E281" t="s">
        <v>1639</v>
      </c>
      <c r="F281" t="s">
        <v>963</v>
      </c>
      <c r="G281" t="s">
        <v>38</v>
      </c>
      <c r="H281" t="s">
        <v>311</v>
      </c>
      <c r="I281">
        <v>2.3E-6</v>
      </c>
      <c r="J281">
        <v>3.7999999999999996E-6</v>
      </c>
      <c r="K281">
        <v>1.8999999999999998E-6</v>
      </c>
      <c r="L281">
        <v>0</v>
      </c>
      <c r="M281">
        <v>7.9999999999999996E-6</v>
      </c>
      <c r="N281">
        <v>0.75</v>
      </c>
      <c r="O281">
        <v>12</v>
      </c>
      <c r="P281">
        <v>4</v>
      </c>
      <c r="Q281">
        <v>2</v>
      </c>
      <c r="R281">
        <v>4</v>
      </c>
      <c r="S281">
        <v>5180</v>
      </c>
      <c r="T281">
        <v>113.04</v>
      </c>
      <c r="U281" t="s">
        <v>1640</v>
      </c>
      <c r="V281" t="s">
        <v>1641</v>
      </c>
      <c r="W281" t="s">
        <v>1642</v>
      </c>
      <c r="X281" t="s">
        <v>131</v>
      </c>
      <c r="Y281" t="s">
        <v>1643</v>
      </c>
      <c r="Z281" s="70">
        <f>I281*'Dynamic Analysis Dashboard'!$B$8*'Dynamic Analysis Dashboard'!$B$9*'Dynamic Analysis Dashboard'!$B$21</f>
        <v>1.5525E-6</v>
      </c>
      <c r="AA281" s="75">
        <f>J281*'Dynamic Analysis Dashboard'!$B$8*'Dynamic Analysis Dashboard'!$B$9*'Dynamic Analysis Dashboard'!$B$21</f>
        <v>2.565E-6</v>
      </c>
      <c r="AB281" s="80">
        <f>K281*'Dynamic Analysis Dashboard'!$B$10*'Dynamic Analysis Dashboard'!$B$9*'Dynamic Analysis Dashboard'!$B$21</f>
        <v>1.1399999999999999E-6</v>
      </c>
      <c r="AC281" s="85">
        <f>L281*'Dynamic Analysis Dashboard'!$B$11*'Dynamic Analysis Dashboard'!$B$9*'Dynamic Analysis Dashboard'!$B$21</f>
        <v>0</v>
      </c>
      <c r="AD281" s="120">
        <f t="shared" si="8"/>
        <v>5.2575000000000001E-6</v>
      </c>
      <c r="AE281" s="121">
        <f t="shared" si="9"/>
        <v>3.9431249999999996E-6</v>
      </c>
    </row>
    <row r="282" spans="1:31" x14ac:dyDescent="0.2">
      <c r="A282" t="s">
        <v>56</v>
      </c>
      <c r="B282" t="s">
        <v>123</v>
      </c>
      <c r="C282" t="s">
        <v>1644</v>
      </c>
      <c r="D282" t="s">
        <v>932</v>
      </c>
      <c r="E282" t="s">
        <v>1645</v>
      </c>
      <c r="F282" t="s">
        <v>622</v>
      </c>
      <c r="G282" t="s">
        <v>24</v>
      </c>
      <c r="H282" t="s">
        <v>28</v>
      </c>
      <c r="I282">
        <v>1.1800000000000001E-5</v>
      </c>
      <c r="J282">
        <v>0</v>
      </c>
      <c r="K282">
        <v>6.8000000000000001E-6</v>
      </c>
      <c r="L282">
        <v>0</v>
      </c>
      <c r="M282">
        <v>1.8600000000000001E-5</v>
      </c>
      <c r="N282">
        <v>0.75</v>
      </c>
      <c r="O282">
        <v>9</v>
      </c>
      <c r="P282">
        <v>4</v>
      </c>
      <c r="Q282">
        <v>2</v>
      </c>
      <c r="R282">
        <v>4</v>
      </c>
      <c r="S282">
        <v>6000</v>
      </c>
      <c r="T282">
        <v>0.13319999999999999</v>
      </c>
      <c r="U282" t="s">
        <v>1646</v>
      </c>
      <c r="V282" t="s">
        <v>129</v>
      </c>
      <c r="W282" t="s">
        <v>1647</v>
      </c>
      <c r="X282" t="s">
        <v>131</v>
      </c>
      <c r="Y282" t="s">
        <v>1648</v>
      </c>
      <c r="Z282" s="70">
        <f>I282*'Dynamic Analysis Dashboard'!$B$8*'Dynamic Analysis Dashboard'!$B$9*'Dynamic Analysis Dashboard'!$B$21</f>
        <v>7.9649999999999991E-6</v>
      </c>
      <c r="AA282" s="75">
        <f>J282*'Dynamic Analysis Dashboard'!$B$8*'Dynamic Analysis Dashboard'!$B$9*'Dynamic Analysis Dashboard'!$B$21</f>
        <v>0</v>
      </c>
      <c r="AB282" s="80">
        <f>K282*'Dynamic Analysis Dashboard'!$B$10*'Dynamic Analysis Dashboard'!$B$9*'Dynamic Analysis Dashboard'!$B$21</f>
        <v>4.0799999999999999E-6</v>
      </c>
      <c r="AC282" s="85">
        <f>L282*'Dynamic Analysis Dashboard'!$B$11*'Dynamic Analysis Dashboard'!$B$9*'Dynamic Analysis Dashboard'!$B$21</f>
        <v>0</v>
      </c>
      <c r="AD282" s="120">
        <f t="shared" si="8"/>
        <v>1.2044999999999999E-5</v>
      </c>
      <c r="AE282" s="121">
        <f t="shared" si="9"/>
        <v>9.0337499999999997E-6</v>
      </c>
    </row>
    <row r="283" spans="1:31" hidden="1" x14ac:dyDescent="0.2">
      <c r="A283" t="s">
        <v>56</v>
      </c>
      <c r="B283" t="s">
        <v>141</v>
      </c>
      <c r="C283" t="s">
        <v>1649</v>
      </c>
      <c r="D283" t="s">
        <v>932</v>
      </c>
      <c r="E283" t="s">
        <v>1650</v>
      </c>
      <c r="F283" t="s">
        <v>1651</v>
      </c>
      <c r="G283" t="s">
        <v>31</v>
      </c>
      <c r="H283" t="s">
        <v>25</v>
      </c>
      <c r="I283">
        <v>8.1999999999999994E-6</v>
      </c>
      <c r="J283">
        <v>7.5999999999999992E-6</v>
      </c>
      <c r="K283">
        <v>0</v>
      </c>
      <c r="L283">
        <v>0</v>
      </c>
      <c r="M283">
        <v>1.5800000000000001E-5</v>
      </c>
      <c r="N283">
        <v>0.8</v>
      </c>
      <c r="O283">
        <v>6</v>
      </c>
      <c r="P283">
        <v>3</v>
      </c>
      <c r="Q283">
        <v>3</v>
      </c>
      <c r="R283">
        <v>2</v>
      </c>
      <c r="S283">
        <v>8550</v>
      </c>
      <c r="T283">
        <v>0.19169999999999998</v>
      </c>
      <c r="U283" t="s">
        <v>1652</v>
      </c>
      <c r="V283" t="s">
        <v>1653</v>
      </c>
      <c r="W283" t="s">
        <v>682</v>
      </c>
      <c r="X283" t="s">
        <v>131</v>
      </c>
      <c r="Y283" t="s">
        <v>1654</v>
      </c>
      <c r="Z283" s="70">
        <f>I283*'Dynamic Analysis Dashboard'!$B$8*'Dynamic Analysis Dashboard'!$B$9*'Dynamic Analysis Dashboard'!$B$21</f>
        <v>5.5349999999999995E-6</v>
      </c>
      <c r="AA283" s="75">
        <f>J283*'Dynamic Analysis Dashboard'!$B$8*'Dynamic Analysis Dashboard'!$B$9*'Dynamic Analysis Dashboard'!$B$21</f>
        <v>5.13E-6</v>
      </c>
      <c r="AB283" s="80">
        <f>K283*'Dynamic Analysis Dashboard'!$B$10*'Dynamic Analysis Dashboard'!$B$9*'Dynamic Analysis Dashboard'!$B$21</f>
        <v>0</v>
      </c>
      <c r="AC283" s="85">
        <f>L283*'Dynamic Analysis Dashboard'!$B$11*'Dynamic Analysis Dashboard'!$B$9*'Dynamic Analysis Dashboard'!$B$21</f>
        <v>0</v>
      </c>
      <c r="AD283" s="120">
        <f t="shared" si="8"/>
        <v>1.0665E-5</v>
      </c>
      <c r="AE283" s="121">
        <f t="shared" si="9"/>
        <v>8.5320000000000006E-6</v>
      </c>
    </row>
    <row r="284" spans="1:31" hidden="1" x14ac:dyDescent="0.2">
      <c r="A284" t="s">
        <v>56</v>
      </c>
      <c r="B284" t="s">
        <v>149</v>
      </c>
      <c r="C284" t="s">
        <v>1655</v>
      </c>
      <c r="D284" t="s">
        <v>315</v>
      </c>
      <c r="E284" t="s">
        <v>1656</v>
      </c>
      <c r="F284" t="s">
        <v>145</v>
      </c>
      <c r="G284" t="s">
        <v>31</v>
      </c>
      <c r="H284" t="s">
        <v>25</v>
      </c>
      <c r="I284">
        <v>2.1800000000000001E-5</v>
      </c>
      <c r="J284">
        <v>0</v>
      </c>
      <c r="K284">
        <v>4.2999999999999995E-6</v>
      </c>
      <c r="L284">
        <v>0</v>
      </c>
      <c r="M284">
        <v>2.6100000000000001E-5</v>
      </c>
      <c r="N284">
        <v>0.85</v>
      </c>
      <c r="O284">
        <v>5</v>
      </c>
      <c r="P284">
        <v>2</v>
      </c>
      <c r="Q284">
        <v>4</v>
      </c>
      <c r="R284">
        <v>3</v>
      </c>
      <c r="S284">
        <v>227800</v>
      </c>
      <c r="T284">
        <v>5.0999999999999995E-3</v>
      </c>
      <c r="U284" t="s">
        <v>1657</v>
      </c>
      <c r="V284" t="s">
        <v>129</v>
      </c>
      <c r="W284" t="s">
        <v>1658</v>
      </c>
      <c r="X284" t="s">
        <v>131</v>
      </c>
      <c r="Y284" t="s">
        <v>1659</v>
      </c>
      <c r="Z284" s="70">
        <f>I284*'Dynamic Analysis Dashboard'!$B$8*'Dynamic Analysis Dashboard'!$B$9*'Dynamic Analysis Dashboard'!$B$21</f>
        <v>1.4715000000000001E-5</v>
      </c>
      <c r="AA284" s="75">
        <f>J284*'Dynamic Analysis Dashboard'!$B$8*'Dynamic Analysis Dashboard'!$B$9*'Dynamic Analysis Dashboard'!$B$21</f>
        <v>0</v>
      </c>
      <c r="AB284" s="80">
        <f>K284*'Dynamic Analysis Dashboard'!$B$10*'Dynamic Analysis Dashboard'!$B$9*'Dynamic Analysis Dashboard'!$B$21</f>
        <v>2.5799999999999999E-6</v>
      </c>
      <c r="AC284" s="85">
        <f>L284*'Dynamic Analysis Dashboard'!$B$11*'Dynamic Analysis Dashboard'!$B$9*'Dynamic Analysis Dashboard'!$B$21</f>
        <v>0</v>
      </c>
      <c r="AD284" s="120">
        <f t="shared" si="8"/>
        <v>1.7295E-5</v>
      </c>
      <c r="AE284" s="121">
        <f t="shared" si="9"/>
        <v>1.470075E-5</v>
      </c>
    </row>
    <row r="285" spans="1:31" hidden="1" x14ac:dyDescent="0.2">
      <c r="A285" t="s">
        <v>56</v>
      </c>
      <c r="B285" t="s">
        <v>133</v>
      </c>
      <c r="C285" t="s">
        <v>1660</v>
      </c>
      <c r="D285" t="s">
        <v>315</v>
      </c>
      <c r="E285" t="s">
        <v>1661</v>
      </c>
      <c r="F285" t="s">
        <v>1662</v>
      </c>
      <c r="G285" t="s">
        <v>31</v>
      </c>
      <c r="H285" t="s">
        <v>28</v>
      </c>
      <c r="I285">
        <v>6.1999999999999999E-6</v>
      </c>
      <c r="J285">
        <v>0</v>
      </c>
      <c r="K285">
        <v>2.1000000000000002E-6</v>
      </c>
      <c r="L285">
        <v>0</v>
      </c>
      <c r="M285">
        <v>8.3000000000000002E-6</v>
      </c>
      <c r="N285">
        <v>0.8</v>
      </c>
      <c r="O285">
        <v>7</v>
      </c>
      <c r="P285">
        <v>3</v>
      </c>
      <c r="Q285">
        <v>2</v>
      </c>
      <c r="R285">
        <v>3</v>
      </c>
      <c r="S285">
        <v>29400</v>
      </c>
      <c r="T285">
        <v>0.65879999999999994</v>
      </c>
      <c r="U285" t="s">
        <v>1663</v>
      </c>
      <c r="V285" t="s">
        <v>129</v>
      </c>
      <c r="W285" t="s">
        <v>1664</v>
      </c>
      <c r="X285" t="s">
        <v>131</v>
      </c>
      <c r="Y285" t="s">
        <v>1665</v>
      </c>
      <c r="Z285" s="70">
        <f>I285*'Dynamic Analysis Dashboard'!$B$8*'Dynamic Analysis Dashboard'!$B$9*'Dynamic Analysis Dashboard'!$B$21</f>
        <v>4.1849999999999997E-6</v>
      </c>
      <c r="AA285" s="75">
        <f>J285*'Dynamic Analysis Dashboard'!$B$8*'Dynamic Analysis Dashboard'!$B$9*'Dynamic Analysis Dashboard'!$B$21</f>
        <v>0</v>
      </c>
      <c r="AB285" s="80">
        <f>K285*'Dynamic Analysis Dashboard'!$B$10*'Dynamic Analysis Dashboard'!$B$9*'Dynamic Analysis Dashboard'!$B$21</f>
        <v>1.2600000000000002E-6</v>
      </c>
      <c r="AC285" s="85">
        <f>L285*'Dynamic Analysis Dashboard'!$B$11*'Dynamic Analysis Dashboard'!$B$9*'Dynamic Analysis Dashboard'!$B$21</f>
        <v>0</v>
      </c>
      <c r="AD285" s="120">
        <f t="shared" si="8"/>
        <v>5.4449999999999995E-6</v>
      </c>
      <c r="AE285" s="121">
        <f t="shared" si="9"/>
        <v>4.3559999999999995E-6</v>
      </c>
    </row>
    <row r="286" spans="1:31" hidden="1" x14ac:dyDescent="0.2">
      <c r="A286" t="s">
        <v>56</v>
      </c>
      <c r="B286" t="s">
        <v>156</v>
      </c>
      <c r="C286" t="s">
        <v>1666</v>
      </c>
      <c r="D286" t="s">
        <v>1667</v>
      </c>
      <c r="E286" t="s">
        <v>1668</v>
      </c>
      <c r="F286" t="s">
        <v>1669</v>
      </c>
      <c r="G286" t="s">
        <v>31</v>
      </c>
      <c r="H286" t="s">
        <v>28</v>
      </c>
      <c r="I286">
        <v>2.1000000000000002E-6</v>
      </c>
      <c r="J286">
        <v>1.9199999999999999E-5</v>
      </c>
      <c r="K286">
        <v>0</v>
      </c>
      <c r="L286">
        <v>0</v>
      </c>
      <c r="M286">
        <v>2.1299999999999999E-5</v>
      </c>
      <c r="N286">
        <v>0.7</v>
      </c>
      <c r="O286">
        <v>10</v>
      </c>
      <c r="P286">
        <v>4</v>
      </c>
      <c r="Q286">
        <v>2</v>
      </c>
      <c r="R286">
        <v>4</v>
      </c>
      <c r="S286">
        <v>19260</v>
      </c>
      <c r="T286">
        <v>0.43739999999999996</v>
      </c>
      <c r="U286" t="s">
        <v>1670</v>
      </c>
      <c r="V286" t="s">
        <v>1671</v>
      </c>
      <c r="W286" t="s">
        <v>682</v>
      </c>
      <c r="X286" t="s">
        <v>131</v>
      </c>
      <c r="Y286" t="s">
        <v>1672</v>
      </c>
      <c r="Z286" s="70">
        <f>I286*'Dynamic Analysis Dashboard'!$B$8*'Dynamic Analysis Dashboard'!$B$9*'Dynamic Analysis Dashboard'!$B$21</f>
        <v>1.4175000000000002E-6</v>
      </c>
      <c r="AA286" s="75">
        <f>J286*'Dynamic Analysis Dashboard'!$B$8*'Dynamic Analysis Dashboard'!$B$9*'Dynamic Analysis Dashboard'!$B$21</f>
        <v>1.2960000000000001E-5</v>
      </c>
      <c r="AB286" s="80">
        <f>K286*'Dynamic Analysis Dashboard'!$B$10*'Dynamic Analysis Dashboard'!$B$9*'Dynamic Analysis Dashboard'!$B$21</f>
        <v>0</v>
      </c>
      <c r="AC286" s="85">
        <f>L286*'Dynamic Analysis Dashboard'!$B$11*'Dynamic Analysis Dashboard'!$B$9*'Dynamic Analysis Dashboard'!$B$21</f>
        <v>0</v>
      </c>
      <c r="AD286" s="120">
        <f t="shared" si="8"/>
        <v>1.4377500000000001E-5</v>
      </c>
      <c r="AE286" s="121">
        <f t="shared" si="9"/>
        <v>1.0064249999999999E-5</v>
      </c>
    </row>
    <row r="287" spans="1:31" hidden="1" x14ac:dyDescent="0.2">
      <c r="A287" t="s">
        <v>56</v>
      </c>
      <c r="B287" t="s">
        <v>164</v>
      </c>
      <c r="C287" t="s">
        <v>899</v>
      </c>
      <c r="D287" t="s">
        <v>1667</v>
      </c>
      <c r="E287" t="s">
        <v>532</v>
      </c>
      <c r="F287" t="s">
        <v>797</v>
      </c>
      <c r="G287" t="s">
        <v>31</v>
      </c>
      <c r="H287" t="s">
        <v>25</v>
      </c>
      <c r="I287">
        <v>3.4000000000000001E-6</v>
      </c>
      <c r="J287">
        <v>1.2800000000000001E-5</v>
      </c>
      <c r="K287">
        <v>0</v>
      </c>
      <c r="L287">
        <v>0</v>
      </c>
      <c r="M287">
        <v>1.6200000000000001E-5</v>
      </c>
      <c r="N287">
        <v>0.75</v>
      </c>
      <c r="O287">
        <v>5</v>
      </c>
      <c r="P287">
        <v>2</v>
      </c>
      <c r="Q287">
        <v>3</v>
      </c>
      <c r="R287">
        <v>2</v>
      </c>
      <c r="S287">
        <v>5600</v>
      </c>
      <c r="T287">
        <v>1.5E-3</v>
      </c>
      <c r="U287" t="s">
        <v>1673</v>
      </c>
      <c r="V287" t="s">
        <v>1674</v>
      </c>
      <c r="W287" t="s">
        <v>682</v>
      </c>
      <c r="X287" t="s">
        <v>131</v>
      </c>
      <c r="Y287" t="s">
        <v>1675</v>
      </c>
      <c r="Z287" s="70">
        <f>I287*'Dynamic Analysis Dashboard'!$B$8*'Dynamic Analysis Dashboard'!$B$9*'Dynamic Analysis Dashboard'!$B$21</f>
        <v>2.295E-6</v>
      </c>
      <c r="AA287" s="75">
        <f>J287*'Dynamic Analysis Dashboard'!$B$8*'Dynamic Analysis Dashboard'!$B$9*'Dynamic Analysis Dashboard'!$B$21</f>
        <v>8.640000000000002E-6</v>
      </c>
      <c r="AB287" s="80">
        <f>K287*'Dynamic Analysis Dashboard'!$B$10*'Dynamic Analysis Dashboard'!$B$9*'Dynamic Analysis Dashboard'!$B$21</f>
        <v>0</v>
      </c>
      <c r="AC287" s="85">
        <f>L287*'Dynamic Analysis Dashboard'!$B$11*'Dynamic Analysis Dashboard'!$B$9*'Dynamic Analysis Dashboard'!$B$21</f>
        <v>0</v>
      </c>
      <c r="AD287" s="120">
        <f t="shared" si="8"/>
        <v>1.0935000000000003E-5</v>
      </c>
      <c r="AE287" s="121">
        <f t="shared" si="9"/>
        <v>8.2012500000000022E-6</v>
      </c>
    </row>
    <row r="288" spans="1:31" hidden="1" x14ac:dyDescent="0.2">
      <c r="A288" t="s">
        <v>56</v>
      </c>
      <c r="B288" t="s">
        <v>172</v>
      </c>
      <c r="C288" t="s">
        <v>1676</v>
      </c>
      <c r="D288" t="s">
        <v>166</v>
      </c>
      <c r="E288" t="s">
        <v>1677</v>
      </c>
      <c r="F288" t="s">
        <v>808</v>
      </c>
      <c r="G288" t="s">
        <v>31</v>
      </c>
      <c r="H288" t="s">
        <v>25</v>
      </c>
      <c r="I288">
        <v>4.6E-6</v>
      </c>
      <c r="J288">
        <v>0</v>
      </c>
      <c r="K288">
        <v>0</v>
      </c>
      <c r="L288">
        <v>1.43E-5</v>
      </c>
      <c r="M288">
        <v>1.8899999999999999E-5</v>
      </c>
      <c r="N288">
        <v>0.8</v>
      </c>
      <c r="O288">
        <v>6</v>
      </c>
      <c r="P288">
        <v>2</v>
      </c>
      <c r="Q288">
        <v>3</v>
      </c>
      <c r="R288">
        <v>3</v>
      </c>
      <c r="S288">
        <v>14720</v>
      </c>
      <c r="T288">
        <v>0.33119999999999999</v>
      </c>
      <c r="U288" t="s">
        <v>1678</v>
      </c>
      <c r="V288" t="s">
        <v>129</v>
      </c>
      <c r="W288" t="s">
        <v>682</v>
      </c>
      <c r="X288" t="s">
        <v>1679</v>
      </c>
      <c r="Y288" t="s">
        <v>1680</v>
      </c>
      <c r="Z288" s="70">
        <f>I288*'Dynamic Analysis Dashboard'!$B$8*'Dynamic Analysis Dashboard'!$B$9*'Dynamic Analysis Dashboard'!$B$21</f>
        <v>3.1049999999999999E-6</v>
      </c>
      <c r="AA288" s="75">
        <f>J288*'Dynamic Analysis Dashboard'!$B$8*'Dynamic Analysis Dashboard'!$B$9*'Dynamic Analysis Dashboard'!$B$21</f>
        <v>0</v>
      </c>
      <c r="AB288" s="80">
        <f>K288*'Dynamic Analysis Dashboard'!$B$10*'Dynamic Analysis Dashboard'!$B$9*'Dynamic Analysis Dashboard'!$B$21</f>
        <v>0</v>
      </c>
      <c r="AC288" s="85">
        <f>L288*'Dynamic Analysis Dashboard'!$B$11*'Dynamic Analysis Dashboard'!$B$9*'Dynamic Analysis Dashboard'!$B$21</f>
        <v>9.1162499999999993E-6</v>
      </c>
      <c r="AD288" s="120">
        <f t="shared" si="8"/>
        <v>1.2221249999999999E-5</v>
      </c>
      <c r="AE288" s="121">
        <f t="shared" si="9"/>
        <v>9.7769999999999997E-6</v>
      </c>
    </row>
    <row r="289" spans="1:31" hidden="1" x14ac:dyDescent="0.2">
      <c r="A289" t="s">
        <v>56</v>
      </c>
      <c r="B289" t="s">
        <v>179</v>
      </c>
      <c r="C289" t="s">
        <v>1681</v>
      </c>
      <c r="D289" t="s">
        <v>166</v>
      </c>
      <c r="E289" t="s">
        <v>1682</v>
      </c>
      <c r="F289" t="s">
        <v>145</v>
      </c>
      <c r="G289" t="s">
        <v>31</v>
      </c>
      <c r="H289" t="s">
        <v>25</v>
      </c>
      <c r="I289">
        <v>7.7999999999999999E-6</v>
      </c>
      <c r="J289">
        <v>0</v>
      </c>
      <c r="K289">
        <v>0</v>
      </c>
      <c r="L289">
        <v>3.2000000000000003E-6</v>
      </c>
      <c r="M289">
        <v>1.1E-5</v>
      </c>
      <c r="N289">
        <v>0.85</v>
      </c>
      <c r="O289">
        <v>6</v>
      </c>
      <c r="P289">
        <v>2</v>
      </c>
      <c r="Q289">
        <v>4</v>
      </c>
      <c r="R289">
        <v>3</v>
      </c>
      <c r="S289">
        <v>2862</v>
      </c>
      <c r="T289">
        <v>6.3899999999999998E-2</v>
      </c>
      <c r="U289" t="s">
        <v>1683</v>
      </c>
      <c r="V289" t="s">
        <v>129</v>
      </c>
      <c r="W289" t="s">
        <v>682</v>
      </c>
      <c r="X289" t="s">
        <v>1684</v>
      </c>
      <c r="Y289" t="s">
        <v>1685</v>
      </c>
      <c r="Z289" s="70">
        <f>I289*'Dynamic Analysis Dashboard'!$B$8*'Dynamic Analysis Dashboard'!$B$9*'Dynamic Analysis Dashboard'!$B$21</f>
        <v>5.2649999999999996E-6</v>
      </c>
      <c r="AA289" s="75">
        <f>J289*'Dynamic Analysis Dashboard'!$B$8*'Dynamic Analysis Dashboard'!$B$9*'Dynamic Analysis Dashboard'!$B$21</f>
        <v>0</v>
      </c>
      <c r="AB289" s="80">
        <f>K289*'Dynamic Analysis Dashboard'!$B$10*'Dynamic Analysis Dashboard'!$B$9*'Dynamic Analysis Dashboard'!$B$21</f>
        <v>0</v>
      </c>
      <c r="AC289" s="85">
        <f>L289*'Dynamic Analysis Dashboard'!$B$11*'Dynamic Analysis Dashboard'!$B$9*'Dynamic Analysis Dashboard'!$B$21</f>
        <v>2.04E-6</v>
      </c>
      <c r="AD289" s="120">
        <f t="shared" si="8"/>
        <v>7.3049999999999995E-6</v>
      </c>
      <c r="AE289" s="121">
        <f t="shared" si="9"/>
        <v>6.209249999999999E-6</v>
      </c>
    </row>
    <row r="290" spans="1:31" hidden="1" x14ac:dyDescent="0.2">
      <c r="A290" t="s">
        <v>56</v>
      </c>
      <c r="B290" t="s">
        <v>186</v>
      </c>
      <c r="C290" t="s">
        <v>864</v>
      </c>
      <c r="D290" t="s">
        <v>540</v>
      </c>
      <c r="E290" t="s">
        <v>1686</v>
      </c>
      <c r="F290" t="s">
        <v>1687</v>
      </c>
      <c r="G290" t="s">
        <v>31</v>
      </c>
      <c r="H290" t="s">
        <v>28</v>
      </c>
      <c r="I290">
        <v>4.2000000000000004E-6</v>
      </c>
      <c r="J290">
        <v>0</v>
      </c>
      <c r="K290">
        <v>8.9000000000000012E-6</v>
      </c>
      <c r="L290">
        <v>0</v>
      </c>
      <c r="M290">
        <v>1.31E-5</v>
      </c>
      <c r="N290">
        <v>0.7</v>
      </c>
      <c r="O290">
        <v>8</v>
      </c>
      <c r="P290">
        <v>3</v>
      </c>
      <c r="Q290">
        <v>2</v>
      </c>
      <c r="R290">
        <v>3</v>
      </c>
      <c r="S290">
        <v>9282</v>
      </c>
      <c r="T290">
        <v>0.2084</v>
      </c>
      <c r="U290" t="s">
        <v>1688</v>
      </c>
      <c r="V290" t="s">
        <v>129</v>
      </c>
      <c r="W290" t="s">
        <v>1689</v>
      </c>
      <c r="X290" t="s">
        <v>131</v>
      </c>
      <c r="Y290" t="s">
        <v>1690</v>
      </c>
      <c r="Z290" s="70">
        <f>I290*'Dynamic Analysis Dashboard'!$B$8*'Dynamic Analysis Dashboard'!$B$9*'Dynamic Analysis Dashboard'!$B$21</f>
        <v>2.8350000000000004E-6</v>
      </c>
      <c r="AA290" s="75">
        <f>J290*'Dynamic Analysis Dashboard'!$B$8*'Dynamic Analysis Dashboard'!$B$9*'Dynamic Analysis Dashboard'!$B$21</f>
        <v>0</v>
      </c>
      <c r="AB290" s="80">
        <f>K290*'Dynamic Analysis Dashboard'!$B$10*'Dynamic Analysis Dashboard'!$B$9*'Dynamic Analysis Dashboard'!$B$21</f>
        <v>5.3400000000000014E-6</v>
      </c>
      <c r="AC290" s="85">
        <f>L290*'Dynamic Analysis Dashboard'!$B$11*'Dynamic Analysis Dashboard'!$B$9*'Dynamic Analysis Dashboard'!$B$21</f>
        <v>0</v>
      </c>
      <c r="AD290" s="120">
        <f t="shared" si="8"/>
        <v>8.1750000000000022E-6</v>
      </c>
      <c r="AE290" s="121">
        <f t="shared" si="9"/>
        <v>5.7225000000000015E-6</v>
      </c>
    </row>
    <row r="291" spans="1:31" hidden="1" x14ac:dyDescent="0.2">
      <c r="A291" t="s">
        <v>56</v>
      </c>
      <c r="B291" t="s">
        <v>194</v>
      </c>
      <c r="C291" t="s">
        <v>1611</v>
      </c>
      <c r="D291" t="s">
        <v>517</v>
      </c>
      <c r="E291" t="s">
        <v>705</v>
      </c>
      <c r="F291" t="s">
        <v>1662</v>
      </c>
      <c r="G291" t="s">
        <v>31</v>
      </c>
      <c r="H291" t="s">
        <v>25</v>
      </c>
      <c r="I291">
        <v>3.7999999999999996E-6</v>
      </c>
      <c r="J291">
        <v>0</v>
      </c>
      <c r="K291">
        <v>1.3999999999999999E-6</v>
      </c>
      <c r="L291">
        <v>0</v>
      </c>
      <c r="M291">
        <v>5.2000000000000002E-6</v>
      </c>
      <c r="N291">
        <v>0.8</v>
      </c>
      <c r="O291">
        <v>5</v>
      </c>
      <c r="P291">
        <v>2</v>
      </c>
      <c r="Q291">
        <v>2</v>
      </c>
      <c r="R291">
        <v>2</v>
      </c>
      <c r="S291">
        <v>67680</v>
      </c>
      <c r="T291">
        <v>1.5E-3</v>
      </c>
      <c r="U291" t="s">
        <v>1691</v>
      </c>
      <c r="V291" t="s">
        <v>129</v>
      </c>
      <c r="W291" t="s">
        <v>1692</v>
      </c>
      <c r="X291" t="s">
        <v>131</v>
      </c>
      <c r="Y291" t="s">
        <v>1693</v>
      </c>
      <c r="Z291" s="70">
        <f>I291*'Dynamic Analysis Dashboard'!$B$8*'Dynamic Analysis Dashboard'!$B$9*'Dynamic Analysis Dashboard'!$B$21</f>
        <v>2.565E-6</v>
      </c>
      <c r="AA291" s="75">
        <f>J291*'Dynamic Analysis Dashboard'!$B$8*'Dynamic Analysis Dashboard'!$B$9*'Dynamic Analysis Dashboard'!$B$21</f>
        <v>0</v>
      </c>
      <c r="AB291" s="80">
        <f>K291*'Dynamic Analysis Dashboard'!$B$10*'Dynamic Analysis Dashboard'!$B$9*'Dynamic Analysis Dashboard'!$B$21</f>
        <v>8.4E-7</v>
      </c>
      <c r="AC291" s="85">
        <f>L291*'Dynamic Analysis Dashboard'!$B$11*'Dynamic Analysis Dashboard'!$B$9*'Dynamic Analysis Dashboard'!$B$21</f>
        <v>0</v>
      </c>
      <c r="AD291" s="120">
        <f t="shared" si="8"/>
        <v>3.405E-6</v>
      </c>
      <c r="AE291" s="121">
        <f t="shared" si="9"/>
        <v>2.7240000000000001E-6</v>
      </c>
    </row>
    <row r="292" spans="1:31" x14ac:dyDescent="0.2">
      <c r="A292" t="s">
        <v>59</v>
      </c>
      <c r="B292" t="s">
        <v>141</v>
      </c>
      <c r="C292" t="s">
        <v>1694</v>
      </c>
      <c r="D292" t="s">
        <v>236</v>
      </c>
      <c r="E292" t="s">
        <v>944</v>
      </c>
      <c r="F292" t="s">
        <v>338</v>
      </c>
      <c r="G292" t="s">
        <v>24</v>
      </c>
      <c r="H292" t="s">
        <v>28</v>
      </c>
      <c r="I292">
        <v>8.599999999999999E-6</v>
      </c>
      <c r="J292">
        <v>0</v>
      </c>
      <c r="K292">
        <v>2.1000000000000002E-6</v>
      </c>
      <c r="L292">
        <v>9.2E-6</v>
      </c>
      <c r="M292">
        <v>1.9899999999999999E-5</v>
      </c>
      <c r="N292">
        <v>0.75</v>
      </c>
      <c r="O292">
        <v>12</v>
      </c>
      <c r="P292">
        <v>4</v>
      </c>
      <c r="Q292">
        <v>3</v>
      </c>
      <c r="R292">
        <v>4</v>
      </c>
      <c r="S292">
        <v>88330</v>
      </c>
      <c r="T292">
        <v>1854</v>
      </c>
      <c r="U292" t="s">
        <v>1695</v>
      </c>
      <c r="V292" t="s">
        <v>129</v>
      </c>
      <c r="W292" t="s">
        <v>1696</v>
      </c>
      <c r="X292" t="s">
        <v>1697</v>
      </c>
      <c r="Y292" t="s">
        <v>1698</v>
      </c>
      <c r="Z292" s="70">
        <f>I292*'Dynamic Analysis Dashboard'!$B$8*'Dynamic Analysis Dashboard'!$B$9*'Dynamic Analysis Dashboard'!$B$21</f>
        <v>5.8049999999999995E-6</v>
      </c>
      <c r="AA292" s="75">
        <f>J292*'Dynamic Analysis Dashboard'!$B$8*'Dynamic Analysis Dashboard'!$B$9*'Dynamic Analysis Dashboard'!$B$21</f>
        <v>0</v>
      </c>
      <c r="AB292" s="80">
        <f>K292*'Dynamic Analysis Dashboard'!$B$10*'Dynamic Analysis Dashboard'!$B$9*'Dynamic Analysis Dashboard'!$B$21</f>
        <v>1.2600000000000002E-6</v>
      </c>
      <c r="AC292" s="85">
        <f>L292*'Dynamic Analysis Dashboard'!$B$11*'Dynamic Analysis Dashboard'!$B$9*'Dynamic Analysis Dashboard'!$B$21</f>
        <v>5.8649999999999998E-6</v>
      </c>
      <c r="AD292" s="120">
        <f t="shared" si="8"/>
        <v>1.293E-5</v>
      </c>
      <c r="AE292" s="121">
        <f t="shared" si="9"/>
        <v>9.6974999999999999E-6</v>
      </c>
    </row>
    <row r="293" spans="1:31" x14ac:dyDescent="0.2">
      <c r="A293" t="s">
        <v>59</v>
      </c>
      <c r="B293" t="s">
        <v>149</v>
      </c>
      <c r="C293" t="s">
        <v>1699</v>
      </c>
      <c r="D293" t="s">
        <v>250</v>
      </c>
      <c r="E293" t="s">
        <v>1700</v>
      </c>
      <c r="F293" t="s">
        <v>1701</v>
      </c>
      <c r="G293" t="s">
        <v>24</v>
      </c>
      <c r="H293" t="s">
        <v>28</v>
      </c>
      <c r="I293">
        <v>1.49E-5</v>
      </c>
      <c r="J293">
        <v>0</v>
      </c>
      <c r="K293">
        <v>1.8000000000000001E-6</v>
      </c>
      <c r="L293">
        <v>0</v>
      </c>
      <c r="M293">
        <v>1.6699999999999999E-5</v>
      </c>
      <c r="N293">
        <v>0.8</v>
      </c>
      <c r="O293">
        <v>9</v>
      </c>
      <c r="P293">
        <v>4</v>
      </c>
      <c r="Q293">
        <v>3</v>
      </c>
      <c r="R293">
        <v>3</v>
      </c>
      <c r="S293">
        <v>67760</v>
      </c>
      <c r="T293">
        <v>1473</v>
      </c>
      <c r="U293" t="s">
        <v>1702</v>
      </c>
      <c r="V293" t="s">
        <v>129</v>
      </c>
      <c r="W293" t="s">
        <v>1703</v>
      </c>
      <c r="X293" t="s">
        <v>131</v>
      </c>
      <c r="Y293" t="s">
        <v>1704</v>
      </c>
      <c r="Z293" s="70">
        <f>I293*'Dynamic Analysis Dashboard'!$B$8*'Dynamic Analysis Dashboard'!$B$9*'Dynamic Analysis Dashboard'!$B$21</f>
        <v>1.00575E-5</v>
      </c>
      <c r="AA293" s="75">
        <f>J293*'Dynamic Analysis Dashboard'!$B$8*'Dynamic Analysis Dashboard'!$B$9*'Dynamic Analysis Dashboard'!$B$21</f>
        <v>0</v>
      </c>
      <c r="AB293" s="80">
        <f>K293*'Dynamic Analysis Dashboard'!$B$10*'Dynamic Analysis Dashboard'!$B$9*'Dynamic Analysis Dashboard'!$B$21</f>
        <v>1.0800000000000002E-6</v>
      </c>
      <c r="AC293" s="85">
        <f>L293*'Dynamic Analysis Dashboard'!$B$11*'Dynamic Analysis Dashboard'!$B$9*'Dynamic Analysis Dashboard'!$B$21</f>
        <v>0</v>
      </c>
      <c r="AD293" s="120">
        <f t="shared" si="8"/>
        <v>1.11375E-5</v>
      </c>
      <c r="AE293" s="121">
        <f t="shared" si="9"/>
        <v>8.9099999999999994E-6</v>
      </c>
    </row>
    <row r="294" spans="1:31" x14ac:dyDescent="0.2">
      <c r="A294" t="s">
        <v>59</v>
      </c>
      <c r="B294" t="s">
        <v>186</v>
      </c>
      <c r="C294" t="s">
        <v>1705</v>
      </c>
      <c r="D294" t="s">
        <v>135</v>
      </c>
      <c r="E294" t="s">
        <v>1706</v>
      </c>
      <c r="F294" t="s">
        <v>589</v>
      </c>
      <c r="G294" t="s">
        <v>24</v>
      </c>
      <c r="H294" t="s">
        <v>25</v>
      </c>
      <c r="I294">
        <v>1.8000000000000001E-6</v>
      </c>
      <c r="J294">
        <v>5.7999999999999995E-6</v>
      </c>
      <c r="K294">
        <v>0</v>
      </c>
      <c r="L294">
        <v>0</v>
      </c>
      <c r="M294">
        <v>7.7000000000000008E-6</v>
      </c>
      <c r="N294">
        <v>0.7</v>
      </c>
      <c r="O294">
        <v>6</v>
      </c>
      <c r="P294">
        <v>2</v>
      </c>
      <c r="Q294">
        <v>3</v>
      </c>
      <c r="R294">
        <v>2</v>
      </c>
      <c r="S294">
        <v>19950</v>
      </c>
      <c r="T294">
        <v>393</v>
      </c>
      <c r="U294" t="s">
        <v>1707</v>
      </c>
      <c r="V294" t="s">
        <v>1708</v>
      </c>
      <c r="W294" t="s">
        <v>130</v>
      </c>
      <c r="X294" t="s">
        <v>131</v>
      </c>
      <c r="Y294" t="s">
        <v>1709</v>
      </c>
      <c r="Z294" s="70">
        <f>I294*'Dynamic Analysis Dashboard'!$B$8*'Dynamic Analysis Dashboard'!$B$9*'Dynamic Analysis Dashboard'!$B$21</f>
        <v>1.2150000000000002E-6</v>
      </c>
      <c r="AA294" s="75">
        <f>J294*'Dynamic Analysis Dashboard'!$B$8*'Dynamic Analysis Dashboard'!$B$9*'Dynamic Analysis Dashboard'!$B$21</f>
        <v>3.9149999999999998E-6</v>
      </c>
      <c r="AB294" s="80">
        <f>K294*'Dynamic Analysis Dashboard'!$B$10*'Dynamic Analysis Dashboard'!$B$9*'Dynamic Analysis Dashboard'!$B$21</f>
        <v>0</v>
      </c>
      <c r="AC294" s="85">
        <f>L294*'Dynamic Analysis Dashboard'!$B$11*'Dynamic Analysis Dashboard'!$B$9*'Dynamic Analysis Dashboard'!$B$21</f>
        <v>0</v>
      </c>
      <c r="AD294" s="120">
        <f t="shared" si="8"/>
        <v>5.13E-6</v>
      </c>
      <c r="AE294" s="121">
        <f t="shared" si="9"/>
        <v>3.5909999999999996E-6</v>
      </c>
    </row>
    <row r="295" spans="1:31" x14ac:dyDescent="0.2">
      <c r="A295" t="s">
        <v>59</v>
      </c>
      <c r="B295" t="s">
        <v>194</v>
      </c>
      <c r="C295" t="s">
        <v>1710</v>
      </c>
      <c r="D295" t="s">
        <v>236</v>
      </c>
      <c r="E295" t="s">
        <v>802</v>
      </c>
      <c r="F295" t="s">
        <v>231</v>
      </c>
      <c r="G295" t="s">
        <v>24</v>
      </c>
      <c r="H295" t="s">
        <v>25</v>
      </c>
      <c r="I295">
        <v>2.1000000000000002E-6</v>
      </c>
      <c r="J295">
        <v>0</v>
      </c>
      <c r="K295">
        <v>0</v>
      </c>
      <c r="L295">
        <v>1.84E-5</v>
      </c>
      <c r="M295">
        <v>2.0300000000000002E-5</v>
      </c>
      <c r="N295">
        <v>0.7</v>
      </c>
      <c r="O295">
        <v>12</v>
      </c>
      <c r="P295">
        <v>4</v>
      </c>
      <c r="Q295">
        <v>3</v>
      </c>
      <c r="R295">
        <v>4</v>
      </c>
      <c r="S295">
        <v>70180</v>
      </c>
      <c r="T295">
        <v>1314</v>
      </c>
      <c r="U295" t="s">
        <v>1711</v>
      </c>
      <c r="V295" t="s">
        <v>129</v>
      </c>
      <c r="W295" t="s">
        <v>130</v>
      </c>
      <c r="X295" t="s">
        <v>1712</v>
      </c>
      <c r="Y295" t="s">
        <v>1713</v>
      </c>
      <c r="Z295" s="70">
        <f>I295*'Dynamic Analysis Dashboard'!$B$8*'Dynamic Analysis Dashboard'!$B$9*'Dynamic Analysis Dashboard'!$B$21</f>
        <v>1.4175000000000002E-6</v>
      </c>
      <c r="AA295" s="75">
        <f>J295*'Dynamic Analysis Dashboard'!$B$8*'Dynamic Analysis Dashboard'!$B$9*'Dynamic Analysis Dashboard'!$B$21</f>
        <v>0</v>
      </c>
      <c r="AB295" s="80">
        <f>K295*'Dynamic Analysis Dashboard'!$B$10*'Dynamic Analysis Dashboard'!$B$9*'Dynamic Analysis Dashboard'!$B$21</f>
        <v>0</v>
      </c>
      <c r="AC295" s="85">
        <f>L295*'Dynamic Analysis Dashboard'!$B$11*'Dynamic Analysis Dashboard'!$B$9*'Dynamic Analysis Dashboard'!$B$21</f>
        <v>1.173E-5</v>
      </c>
      <c r="AD295" s="120">
        <f t="shared" si="8"/>
        <v>1.3147499999999999E-5</v>
      </c>
      <c r="AE295" s="121">
        <f t="shared" si="9"/>
        <v>9.2032499999999987E-6</v>
      </c>
    </row>
    <row r="296" spans="1:31" hidden="1" x14ac:dyDescent="0.2">
      <c r="A296" t="s">
        <v>59</v>
      </c>
      <c r="B296" t="s">
        <v>123</v>
      </c>
      <c r="C296" t="s">
        <v>1714</v>
      </c>
      <c r="D296" t="s">
        <v>1715</v>
      </c>
      <c r="E296" t="s">
        <v>1716</v>
      </c>
      <c r="F296" t="s">
        <v>963</v>
      </c>
      <c r="G296" t="s">
        <v>38</v>
      </c>
      <c r="H296" t="s">
        <v>33</v>
      </c>
      <c r="I296">
        <v>3.7999999999999996E-6</v>
      </c>
      <c r="J296">
        <v>7.4000000000000003E-6</v>
      </c>
      <c r="K296">
        <v>0</v>
      </c>
      <c r="L296">
        <v>0</v>
      </c>
      <c r="M296">
        <v>1.1199999999999999E-5</v>
      </c>
      <c r="N296">
        <v>0.7</v>
      </c>
      <c r="O296">
        <v>15</v>
      </c>
      <c r="P296">
        <v>5</v>
      </c>
      <c r="Q296">
        <v>2</v>
      </c>
      <c r="R296">
        <v>5</v>
      </c>
      <c r="S296">
        <v>59400</v>
      </c>
      <c r="T296">
        <v>1098</v>
      </c>
      <c r="U296" t="s">
        <v>1717</v>
      </c>
      <c r="V296" t="s">
        <v>1718</v>
      </c>
      <c r="W296" t="s">
        <v>130</v>
      </c>
      <c r="X296" t="s">
        <v>131</v>
      </c>
      <c r="Y296" t="s">
        <v>1719</v>
      </c>
      <c r="Z296" s="70">
        <f>I296*'Dynamic Analysis Dashboard'!$B$8*'Dynamic Analysis Dashboard'!$B$9*'Dynamic Analysis Dashboard'!$B$21</f>
        <v>2.565E-6</v>
      </c>
      <c r="AA296" s="75">
        <f>J296*'Dynamic Analysis Dashboard'!$B$8*'Dynamic Analysis Dashboard'!$B$9*'Dynamic Analysis Dashboard'!$B$21</f>
        <v>4.9950000000000005E-6</v>
      </c>
      <c r="AB296" s="80">
        <f>K296*'Dynamic Analysis Dashboard'!$B$10*'Dynamic Analysis Dashboard'!$B$9*'Dynamic Analysis Dashboard'!$B$21</f>
        <v>0</v>
      </c>
      <c r="AC296" s="85">
        <f>L296*'Dynamic Analysis Dashboard'!$B$11*'Dynamic Analysis Dashboard'!$B$9*'Dynamic Analysis Dashboard'!$B$21</f>
        <v>0</v>
      </c>
      <c r="AD296" s="120">
        <f t="shared" si="8"/>
        <v>7.5600000000000005E-6</v>
      </c>
      <c r="AE296" s="121">
        <f t="shared" si="9"/>
        <v>5.2920000000000003E-6</v>
      </c>
    </row>
    <row r="297" spans="1:31" hidden="1" x14ac:dyDescent="0.2">
      <c r="A297" t="s">
        <v>59</v>
      </c>
      <c r="B297" t="s">
        <v>133</v>
      </c>
      <c r="C297" t="s">
        <v>1720</v>
      </c>
      <c r="D297" t="s">
        <v>236</v>
      </c>
      <c r="E297" t="s">
        <v>237</v>
      </c>
      <c r="F297" t="s">
        <v>267</v>
      </c>
      <c r="G297" t="s">
        <v>31</v>
      </c>
      <c r="H297" t="s">
        <v>25</v>
      </c>
      <c r="I297">
        <v>7.2999999999999996E-6</v>
      </c>
      <c r="J297">
        <v>0</v>
      </c>
      <c r="K297">
        <v>0</v>
      </c>
      <c r="L297">
        <v>1.5800000000000001E-5</v>
      </c>
      <c r="M297">
        <v>2.3100000000000002E-5</v>
      </c>
      <c r="N297">
        <v>0.75</v>
      </c>
      <c r="O297">
        <v>12</v>
      </c>
      <c r="P297">
        <v>4</v>
      </c>
      <c r="Q297">
        <v>3</v>
      </c>
      <c r="R297">
        <v>4</v>
      </c>
      <c r="S297">
        <v>84700</v>
      </c>
      <c r="T297">
        <v>1566</v>
      </c>
      <c r="U297" t="s">
        <v>1721</v>
      </c>
      <c r="V297" t="s">
        <v>129</v>
      </c>
      <c r="W297" t="s">
        <v>130</v>
      </c>
      <c r="X297" t="s">
        <v>1722</v>
      </c>
      <c r="Y297" t="s">
        <v>1723</v>
      </c>
      <c r="Z297" s="70">
        <f>I297*'Dynamic Analysis Dashboard'!$B$8*'Dynamic Analysis Dashboard'!$B$9*'Dynamic Analysis Dashboard'!$B$21</f>
        <v>4.9274999999999998E-6</v>
      </c>
      <c r="AA297" s="75">
        <f>J297*'Dynamic Analysis Dashboard'!$B$8*'Dynamic Analysis Dashboard'!$B$9*'Dynamic Analysis Dashboard'!$B$21</f>
        <v>0</v>
      </c>
      <c r="AB297" s="80">
        <f>K297*'Dynamic Analysis Dashboard'!$B$10*'Dynamic Analysis Dashboard'!$B$9*'Dynamic Analysis Dashboard'!$B$21</f>
        <v>0</v>
      </c>
      <c r="AC297" s="85">
        <f>L297*'Dynamic Analysis Dashboard'!$B$11*'Dynamic Analysis Dashboard'!$B$9*'Dynamic Analysis Dashboard'!$B$21</f>
        <v>1.0072500000000001E-5</v>
      </c>
      <c r="AD297" s="120">
        <f t="shared" si="8"/>
        <v>1.5E-5</v>
      </c>
      <c r="AE297" s="121">
        <f t="shared" si="9"/>
        <v>1.1250000000000001E-5</v>
      </c>
    </row>
    <row r="298" spans="1:31" hidden="1" x14ac:dyDescent="0.2">
      <c r="A298" t="s">
        <v>59</v>
      </c>
      <c r="B298" t="s">
        <v>156</v>
      </c>
      <c r="C298" t="s">
        <v>1724</v>
      </c>
      <c r="D298" t="s">
        <v>595</v>
      </c>
      <c r="E298" t="s">
        <v>431</v>
      </c>
      <c r="F298" t="s">
        <v>223</v>
      </c>
      <c r="G298" t="s">
        <v>38</v>
      </c>
      <c r="H298" t="s">
        <v>33</v>
      </c>
      <c r="I298">
        <v>6.8000000000000001E-6</v>
      </c>
      <c r="J298">
        <v>0</v>
      </c>
      <c r="K298">
        <v>0</v>
      </c>
      <c r="L298">
        <v>5.0999999999999995E-6</v>
      </c>
      <c r="M298">
        <v>1.08E-5</v>
      </c>
      <c r="N298">
        <v>0.65</v>
      </c>
      <c r="O298">
        <v>15</v>
      </c>
      <c r="P298">
        <v>4</v>
      </c>
      <c r="Q298">
        <v>2</v>
      </c>
      <c r="R298">
        <v>5</v>
      </c>
      <c r="S298">
        <v>69600</v>
      </c>
      <c r="T298">
        <v>1188</v>
      </c>
      <c r="U298" t="s">
        <v>1725</v>
      </c>
      <c r="V298" t="s">
        <v>129</v>
      </c>
      <c r="W298" t="s">
        <v>130</v>
      </c>
      <c r="X298" t="s">
        <v>1726</v>
      </c>
      <c r="Y298" t="s">
        <v>1727</v>
      </c>
      <c r="Z298" s="70">
        <f>I298*'Dynamic Analysis Dashboard'!$B$8*'Dynamic Analysis Dashboard'!$B$9*'Dynamic Analysis Dashboard'!$B$21</f>
        <v>4.5900000000000001E-6</v>
      </c>
      <c r="AA298" s="75">
        <f>J298*'Dynamic Analysis Dashboard'!$B$8*'Dynamic Analysis Dashboard'!$B$9*'Dynamic Analysis Dashboard'!$B$21</f>
        <v>0</v>
      </c>
      <c r="AB298" s="80">
        <f>K298*'Dynamic Analysis Dashboard'!$B$10*'Dynamic Analysis Dashboard'!$B$9*'Dynamic Analysis Dashboard'!$B$21</f>
        <v>0</v>
      </c>
      <c r="AC298" s="85">
        <f>L298*'Dynamic Analysis Dashboard'!$B$11*'Dynamic Analysis Dashboard'!$B$9*'Dynamic Analysis Dashboard'!$B$21</f>
        <v>3.2512499999999996E-6</v>
      </c>
      <c r="AD298" s="120">
        <f t="shared" si="8"/>
        <v>7.8412499999999988E-6</v>
      </c>
      <c r="AE298" s="121">
        <f t="shared" si="9"/>
        <v>5.0968124999999992E-6</v>
      </c>
    </row>
    <row r="299" spans="1:31" hidden="1" x14ac:dyDescent="0.2">
      <c r="A299" t="s">
        <v>59</v>
      </c>
      <c r="B299" t="s">
        <v>164</v>
      </c>
      <c r="C299" t="s">
        <v>1728</v>
      </c>
      <c r="D299" t="s">
        <v>125</v>
      </c>
      <c r="E299" t="s">
        <v>1048</v>
      </c>
      <c r="F299" t="s">
        <v>215</v>
      </c>
      <c r="G299" t="s">
        <v>38</v>
      </c>
      <c r="H299" t="s">
        <v>28</v>
      </c>
      <c r="I299">
        <v>3.2000000000000003E-6</v>
      </c>
      <c r="J299">
        <v>0</v>
      </c>
      <c r="K299">
        <v>5.9999999999999997E-7</v>
      </c>
      <c r="L299">
        <v>0</v>
      </c>
      <c r="M299">
        <v>3.7999999999999996E-6</v>
      </c>
      <c r="N299">
        <v>0.8</v>
      </c>
      <c r="O299">
        <v>6</v>
      </c>
      <c r="P299">
        <v>3</v>
      </c>
      <c r="Q299">
        <v>3</v>
      </c>
      <c r="R299">
        <v>3</v>
      </c>
      <c r="S299">
        <v>99200</v>
      </c>
      <c r="T299">
        <v>1548</v>
      </c>
      <c r="U299" t="s">
        <v>1729</v>
      </c>
      <c r="V299" t="s">
        <v>129</v>
      </c>
      <c r="W299" t="s">
        <v>1730</v>
      </c>
      <c r="X299" t="s">
        <v>131</v>
      </c>
      <c r="Y299" t="s">
        <v>1731</v>
      </c>
      <c r="Z299" s="70">
        <f>I299*'Dynamic Analysis Dashboard'!$B$8*'Dynamic Analysis Dashboard'!$B$9*'Dynamic Analysis Dashboard'!$B$21</f>
        <v>2.1600000000000005E-6</v>
      </c>
      <c r="AA299" s="75">
        <f>J299*'Dynamic Analysis Dashboard'!$B$8*'Dynamic Analysis Dashboard'!$B$9*'Dynamic Analysis Dashboard'!$B$21</f>
        <v>0</v>
      </c>
      <c r="AB299" s="80">
        <f>K299*'Dynamic Analysis Dashboard'!$B$10*'Dynamic Analysis Dashboard'!$B$9*'Dynamic Analysis Dashboard'!$B$21</f>
        <v>3.5999999999999994E-7</v>
      </c>
      <c r="AC299" s="85">
        <f>L299*'Dynamic Analysis Dashboard'!$B$11*'Dynamic Analysis Dashboard'!$B$9*'Dynamic Analysis Dashboard'!$B$21</f>
        <v>0</v>
      </c>
      <c r="AD299" s="120">
        <f t="shared" si="8"/>
        <v>2.5200000000000004E-6</v>
      </c>
      <c r="AE299" s="121">
        <f t="shared" si="9"/>
        <v>2.0160000000000003E-6</v>
      </c>
    </row>
    <row r="300" spans="1:31" hidden="1" x14ac:dyDescent="0.2">
      <c r="A300" t="s">
        <v>59</v>
      </c>
      <c r="B300" t="s">
        <v>172</v>
      </c>
      <c r="C300" t="s">
        <v>1732</v>
      </c>
      <c r="D300" t="s">
        <v>287</v>
      </c>
      <c r="E300" t="s">
        <v>1733</v>
      </c>
      <c r="F300" t="s">
        <v>198</v>
      </c>
      <c r="G300" t="s">
        <v>38</v>
      </c>
      <c r="H300" t="s">
        <v>311</v>
      </c>
      <c r="I300">
        <v>4.6E-6</v>
      </c>
      <c r="J300">
        <v>0</v>
      </c>
      <c r="K300">
        <v>4.2000000000000004E-6</v>
      </c>
      <c r="L300">
        <v>0</v>
      </c>
      <c r="M300">
        <v>8.8000000000000004E-6</v>
      </c>
      <c r="N300">
        <v>0.7</v>
      </c>
      <c r="O300">
        <v>12</v>
      </c>
      <c r="P300">
        <v>4</v>
      </c>
      <c r="Q300">
        <v>2</v>
      </c>
      <c r="R300">
        <v>5</v>
      </c>
      <c r="S300">
        <v>13580</v>
      </c>
      <c r="T300">
        <v>306</v>
      </c>
      <c r="U300" t="s">
        <v>1734</v>
      </c>
      <c r="V300" t="s">
        <v>129</v>
      </c>
      <c r="W300" t="s">
        <v>1735</v>
      </c>
      <c r="X300" t="s">
        <v>131</v>
      </c>
      <c r="Y300" t="s">
        <v>1736</v>
      </c>
      <c r="Z300" s="70">
        <f>I300*'Dynamic Analysis Dashboard'!$B$8*'Dynamic Analysis Dashboard'!$B$9*'Dynamic Analysis Dashboard'!$B$21</f>
        <v>3.1049999999999999E-6</v>
      </c>
      <c r="AA300" s="75">
        <f>J300*'Dynamic Analysis Dashboard'!$B$8*'Dynamic Analysis Dashboard'!$B$9*'Dynamic Analysis Dashboard'!$B$21</f>
        <v>0</v>
      </c>
      <c r="AB300" s="80">
        <f>K300*'Dynamic Analysis Dashboard'!$B$10*'Dynamic Analysis Dashboard'!$B$9*'Dynamic Analysis Dashboard'!$B$21</f>
        <v>2.5200000000000004E-6</v>
      </c>
      <c r="AC300" s="85">
        <f>L300*'Dynamic Analysis Dashboard'!$B$11*'Dynamic Analysis Dashboard'!$B$9*'Dynamic Analysis Dashboard'!$B$21</f>
        <v>0</v>
      </c>
      <c r="AD300" s="120">
        <f t="shared" si="8"/>
        <v>5.6250000000000004E-6</v>
      </c>
      <c r="AE300" s="121">
        <f t="shared" si="9"/>
        <v>3.9375E-6</v>
      </c>
    </row>
    <row r="301" spans="1:31" hidden="1" x14ac:dyDescent="0.2">
      <c r="A301" t="s">
        <v>59</v>
      </c>
      <c r="B301" t="s">
        <v>179</v>
      </c>
      <c r="C301" t="s">
        <v>1737</v>
      </c>
      <c r="D301" t="s">
        <v>1738</v>
      </c>
      <c r="E301" t="s">
        <v>1739</v>
      </c>
      <c r="F301" t="s">
        <v>267</v>
      </c>
      <c r="G301" t="s">
        <v>38</v>
      </c>
      <c r="H301" t="s">
        <v>33</v>
      </c>
      <c r="I301">
        <v>3.4999999999999999E-6</v>
      </c>
      <c r="J301">
        <v>0</v>
      </c>
      <c r="K301">
        <v>1.1999999999999999E-6</v>
      </c>
      <c r="L301">
        <v>0</v>
      </c>
      <c r="M301">
        <v>4.6E-6</v>
      </c>
      <c r="N301">
        <v>0.75</v>
      </c>
      <c r="O301">
        <v>9</v>
      </c>
      <c r="P301">
        <v>3</v>
      </c>
      <c r="Q301">
        <v>3</v>
      </c>
      <c r="R301">
        <v>3</v>
      </c>
      <c r="S301">
        <v>48400</v>
      </c>
      <c r="T301">
        <v>858</v>
      </c>
      <c r="U301" t="s">
        <v>1740</v>
      </c>
      <c r="V301" t="s">
        <v>129</v>
      </c>
      <c r="W301" t="s">
        <v>1741</v>
      </c>
      <c r="X301" t="s">
        <v>131</v>
      </c>
      <c r="Y301" t="s">
        <v>1742</v>
      </c>
      <c r="Z301" s="70">
        <f>I301*'Dynamic Analysis Dashboard'!$B$8*'Dynamic Analysis Dashboard'!$B$9*'Dynamic Analysis Dashboard'!$B$21</f>
        <v>2.3624999999999998E-6</v>
      </c>
      <c r="AA301" s="75">
        <f>J301*'Dynamic Analysis Dashboard'!$B$8*'Dynamic Analysis Dashboard'!$B$9*'Dynamic Analysis Dashboard'!$B$21</f>
        <v>0</v>
      </c>
      <c r="AB301" s="80">
        <f>K301*'Dynamic Analysis Dashboard'!$B$10*'Dynamic Analysis Dashboard'!$B$9*'Dynamic Analysis Dashboard'!$B$21</f>
        <v>7.1999999999999988E-7</v>
      </c>
      <c r="AC301" s="85">
        <f>L301*'Dynamic Analysis Dashboard'!$B$11*'Dynamic Analysis Dashboard'!$B$9*'Dynamic Analysis Dashboard'!$B$21</f>
        <v>0</v>
      </c>
      <c r="AD301" s="120">
        <f t="shared" si="8"/>
        <v>3.0824999999999997E-6</v>
      </c>
      <c r="AE301" s="121">
        <f t="shared" si="9"/>
        <v>2.3118749999999998E-6</v>
      </c>
    </row>
    <row r="302" spans="1:31" x14ac:dyDescent="0.2">
      <c r="A302" t="s">
        <v>91</v>
      </c>
      <c r="B302" t="s">
        <v>123</v>
      </c>
      <c r="C302" t="s">
        <v>1743</v>
      </c>
      <c r="D302" t="s">
        <v>315</v>
      </c>
      <c r="E302" t="s">
        <v>1462</v>
      </c>
      <c r="F302" t="s">
        <v>1744</v>
      </c>
      <c r="G302" t="s">
        <v>24</v>
      </c>
      <c r="H302" t="s">
        <v>28</v>
      </c>
      <c r="I302">
        <v>7.4000000000000003E-6</v>
      </c>
      <c r="J302">
        <v>0</v>
      </c>
      <c r="K302">
        <v>0</v>
      </c>
      <c r="L302">
        <v>0</v>
      </c>
      <c r="M302">
        <v>7.4000000000000003E-6</v>
      </c>
      <c r="N302">
        <v>0.7</v>
      </c>
      <c r="O302">
        <v>12</v>
      </c>
      <c r="P302">
        <v>3</v>
      </c>
      <c r="Q302">
        <v>2</v>
      </c>
      <c r="R302">
        <v>3</v>
      </c>
      <c r="S302">
        <v>2568</v>
      </c>
      <c r="T302">
        <v>7</v>
      </c>
      <c r="U302" t="s">
        <v>1745</v>
      </c>
      <c r="V302" t="s">
        <v>129</v>
      </c>
      <c r="W302" t="s">
        <v>682</v>
      </c>
      <c r="X302" t="s">
        <v>131</v>
      </c>
      <c r="Y302" t="s">
        <v>1746</v>
      </c>
      <c r="Z302" s="70">
        <f>I302*'Dynamic Analysis Dashboard'!$B$8*'Dynamic Analysis Dashboard'!$B$9*'Dynamic Analysis Dashboard'!$B$21</f>
        <v>4.9950000000000005E-6</v>
      </c>
      <c r="AA302" s="75">
        <f>J302*'Dynamic Analysis Dashboard'!$B$8*'Dynamic Analysis Dashboard'!$B$9*'Dynamic Analysis Dashboard'!$B$21</f>
        <v>0</v>
      </c>
      <c r="AB302" s="80">
        <f>K302*'Dynamic Analysis Dashboard'!$B$10*'Dynamic Analysis Dashboard'!$B$9*'Dynamic Analysis Dashboard'!$B$21</f>
        <v>0</v>
      </c>
      <c r="AC302" s="85">
        <f>L302*'Dynamic Analysis Dashboard'!$B$11*'Dynamic Analysis Dashboard'!$B$9*'Dynamic Analysis Dashboard'!$B$21</f>
        <v>0</v>
      </c>
      <c r="AD302" s="120">
        <f t="shared" si="8"/>
        <v>4.9950000000000005E-6</v>
      </c>
      <c r="AE302" s="121">
        <f t="shared" si="9"/>
        <v>3.4964999999999999E-6</v>
      </c>
    </row>
    <row r="303" spans="1:31" x14ac:dyDescent="0.2">
      <c r="A303" t="s">
        <v>91</v>
      </c>
      <c r="B303" t="s">
        <v>149</v>
      </c>
      <c r="C303" t="s">
        <v>1747</v>
      </c>
      <c r="D303" t="s">
        <v>125</v>
      </c>
      <c r="E303" t="s">
        <v>1748</v>
      </c>
      <c r="F303" t="s">
        <v>1749</v>
      </c>
      <c r="G303" t="s">
        <v>24</v>
      </c>
      <c r="H303" t="s">
        <v>25</v>
      </c>
      <c r="I303">
        <v>0.4</v>
      </c>
      <c r="J303">
        <v>4.7999999999999998E-6</v>
      </c>
      <c r="K303">
        <v>0</v>
      </c>
      <c r="L303">
        <v>0</v>
      </c>
      <c r="M303">
        <v>5.2000000000000002E-6</v>
      </c>
      <c r="N303">
        <v>0.75</v>
      </c>
      <c r="O303">
        <v>6</v>
      </c>
      <c r="P303">
        <v>3</v>
      </c>
      <c r="Q303">
        <v>3</v>
      </c>
      <c r="R303">
        <v>3</v>
      </c>
      <c r="S303">
        <v>12740</v>
      </c>
      <c r="T303">
        <v>33</v>
      </c>
      <c r="U303" t="s">
        <v>1750</v>
      </c>
      <c r="V303" t="s">
        <v>1751</v>
      </c>
      <c r="W303" t="s">
        <v>682</v>
      </c>
      <c r="X303" t="s">
        <v>131</v>
      </c>
      <c r="Y303" t="s">
        <v>1752</v>
      </c>
      <c r="Z303" s="70">
        <f>I303*'Dynamic Analysis Dashboard'!$B$8*'Dynamic Analysis Dashboard'!$B$9*'Dynamic Analysis Dashboard'!$B$21</f>
        <v>0.27</v>
      </c>
      <c r="AA303" s="75">
        <f>J303*'Dynamic Analysis Dashboard'!$B$8*'Dynamic Analysis Dashboard'!$B$9*'Dynamic Analysis Dashboard'!$B$21</f>
        <v>3.2400000000000003E-6</v>
      </c>
      <c r="AB303" s="80">
        <f>K303*'Dynamic Analysis Dashboard'!$B$10*'Dynamic Analysis Dashboard'!$B$9*'Dynamic Analysis Dashboard'!$B$21</f>
        <v>0</v>
      </c>
      <c r="AC303" s="85">
        <f>L303*'Dynamic Analysis Dashboard'!$B$11*'Dynamic Analysis Dashboard'!$B$9*'Dynamic Analysis Dashboard'!$B$21</f>
        <v>0</v>
      </c>
      <c r="AD303" s="120">
        <f t="shared" si="8"/>
        <v>0.27000324000000003</v>
      </c>
      <c r="AE303" s="121">
        <f t="shared" si="9"/>
        <v>0.20250243000000001</v>
      </c>
    </row>
    <row r="304" spans="1:31" hidden="1" x14ac:dyDescent="0.2">
      <c r="A304" t="s">
        <v>91</v>
      </c>
      <c r="B304" t="s">
        <v>141</v>
      </c>
      <c r="C304" t="s">
        <v>1753</v>
      </c>
      <c r="D304" t="s">
        <v>315</v>
      </c>
      <c r="E304" t="s">
        <v>1754</v>
      </c>
      <c r="F304" t="s">
        <v>1755</v>
      </c>
      <c r="G304" t="s">
        <v>38</v>
      </c>
      <c r="H304" t="s">
        <v>33</v>
      </c>
      <c r="I304">
        <v>1.6000000000000001E-6</v>
      </c>
      <c r="J304">
        <v>0</v>
      </c>
      <c r="K304">
        <v>0</v>
      </c>
      <c r="L304">
        <v>1.8999999999999998E-6</v>
      </c>
      <c r="M304">
        <v>3.4999999999999999E-6</v>
      </c>
      <c r="N304">
        <v>0.8</v>
      </c>
      <c r="O304">
        <v>9</v>
      </c>
      <c r="P304">
        <v>4</v>
      </c>
      <c r="Q304">
        <v>2</v>
      </c>
      <c r="R304">
        <v>4</v>
      </c>
      <c r="S304">
        <v>288300</v>
      </c>
      <c r="T304">
        <v>744</v>
      </c>
      <c r="U304" t="s">
        <v>1756</v>
      </c>
      <c r="V304" t="s">
        <v>129</v>
      </c>
      <c r="W304" t="s">
        <v>682</v>
      </c>
      <c r="X304" t="s">
        <v>1757</v>
      </c>
      <c r="Y304" t="s">
        <v>1758</v>
      </c>
      <c r="Z304" s="70">
        <f>I304*'Dynamic Analysis Dashboard'!$B$8*'Dynamic Analysis Dashboard'!$B$9*'Dynamic Analysis Dashboard'!$B$21</f>
        <v>1.0800000000000002E-6</v>
      </c>
      <c r="AA304" s="75">
        <f>J304*'Dynamic Analysis Dashboard'!$B$8*'Dynamic Analysis Dashboard'!$B$9*'Dynamic Analysis Dashboard'!$B$21</f>
        <v>0</v>
      </c>
      <c r="AB304" s="80">
        <f>K304*'Dynamic Analysis Dashboard'!$B$10*'Dynamic Analysis Dashboard'!$B$9*'Dynamic Analysis Dashboard'!$B$21</f>
        <v>0</v>
      </c>
      <c r="AC304" s="85">
        <f>L304*'Dynamic Analysis Dashboard'!$B$11*'Dynamic Analysis Dashboard'!$B$9*'Dynamic Analysis Dashboard'!$B$21</f>
        <v>1.2112499999999998E-6</v>
      </c>
      <c r="AD304" s="120">
        <f t="shared" si="8"/>
        <v>2.2912500000000003E-6</v>
      </c>
      <c r="AE304" s="121">
        <f t="shared" si="9"/>
        <v>1.8330000000000003E-6</v>
      </c>
    </row>
    <row r="305" spans="1:31" hidden="1" x14ac:dyDescent="0.2">
      <c r="A305" t="s">
        <v>91</v>
      </c>
      <c r="B305" t="s">
        <v>133</v>
      </c>
      <c r="C305" t="s">
        <v>1759</v>
      </c>
      <c r="D305" t="s">
        <v>315</v>
      </c>
      <c r="E305" t="s">
        <v>1760</v>
      </c>
      <c r="F305" t="s">
        <v>1761</v>
      </c>
      <c r="G305" t="s">
        <v>38</v>
      </c>
      <c r="H305" t="s">
        <v>311</v>
      </c>
      <c r="I305">
        <v>0.9</v>
      </c>
      <c r="J305">
        <v>0</v>
      </c>
      <c r="K305">
        <v>0</v>
      </c>
      <c r="L305">
        <v>0</v>
      </c>
      <c r="M305">
        <v>0.9</v>
      </c>
      <c r="N305">
        <v>0.75</v>
      </c>
      <c r="O305">
        <v>9</v>
      </c>
      <c r="P305">
        <v>4</v>
      </c>
      <c r="Q305">
        <v>2</v>
      </c>
      <c r="R305">
        <v>4</v>
      </c>
      <c r="S305">
        <v>67940</v>
      </c>
      <c r="T305">
        <v>175</v>
      </c>
      <c r="U305" t="s">
        <v>1762</v>
      </c>
      <c r="V305" t="s">
        <v>129</v>
      </c>
      <c r="W305" t="s">
        <v>682</v>
      </c>
      <c r="X305" t="s">
        <v>131</v>
      </c>
      <c r="Y305" t="s">
        <v>1763</v>
      </c>
      <c r="Z305" s="70">
        <f>I305*'Dynamic Analysis Dashboard'!$B$8*'Dynamic Analysis Dashboard'!$B$9*'Dynamic Analysis Dashboard'!$B$21</f>
        <v>0.60750000000000004</v>
      </c>
      <c r="AA305" s="75">
        <f>J305*'Dynamic Analysis Dashboard'!$B$8*'Dynamic Analysis Dashboard'!$B$9*'Dynamic Analysis Dashboard'!$B$21</f>
        <v>0</v>
      </c>
      <c r="AB305" s="80">
        <f>K305*'Dynamic Analysis Dashboard'!$B$10*'Dynamic Analysis Dashboard'!$B$9*'Dynamic Analysis Dashboard'!$B$21</f>
        <v>0</v>
      </c>
      <c r="AC305" s="85">
        <f>L305*'Dynamic Analysis Dashboard'!$B$11*'Dynamic Analysis Dashboard'!$B$9*'Dynamic Analysis Dashboard'!$B$21</f>
        <v>0</v>
      </c>
      <c r="AD305" s="120">
        <f t="shared" si="8"/>
        <v>0.60750000000000004</v>
      </c>
      <c r="AE305" s="121">
        <f t="shared" si="9"/>
        <v>0.45562500000000006</v>
      </c>
    </row>
    <row r="306" spans="1:31" hidden="1" x14ac:dyDescent="0.2">
      <c r="A306" t="s">
        <v>91</v>
      </c>
      <c r="B306" t="s">
        <v>156</v>
      </c>
      <c r="C306" t="s">
        <v>1764</v>
      </c>
      <c r="D306" t="s">
        <v>287</v>
      </c>
      <c r="E306" t="s">
        <v>251</v>
      </c>
      <c r="F306" t="s">
        <v>1765</v>
      </c>
      <c r="G306" t="s">
        <v>38</v>
      </c>
      <c r="H306" t="s">
        <v>28</v>
      </c>
      <c r="I306">
        <v>0.3</v>
      </c>
      <c r="J306">
        <v>0</v>
      </c>
      <c r="K306">
        <v>0.2</v>
      </c>
      <c r="L306">
        <v>0</v>
      </c>
      <c r="M306">
        <v>0.5</v>
      </c>
      <c r="N306">
        <v>0.8</v>
      </c>
      <c r="O306">
        <v>6</v>
      </c>
      <c r="P306">
        <v>2</v>
      </c>
      <c r="Q306">
        <v>3</v>
      </c>
      <c r="R306">
        <v>2</v>
      </c>
      <c r="S306">
        <v>2520</v>
      </c>
      <c r="T306">
        <v>7</v>
      </c>
      <c r="U306" t="s">
        <v>1766</v>
      </c>
      <c r="V306" t="s">
        <v>129</v>
      </c>
      <c r="W306" t="s">
        <v>1767</v>
      </c>
      <c r="X306" t="s">
        <v>131</v>
      </c>
      <c r="Y306" t="s">
        <v>1768</v>
      </c>
      <c r="Z306" s="70">
        <f>I306*'Dynamic Analysis Dashboard'!$B$8*'Dynamic Analysis Dashboard'!$B$9*'Dynamic Analysis Dashboard'!$B$21</f>
        <v>0.20250000000000001</v>
      </c>
      <c r="AA306" s="75">
        <f>J306*'Dynamic Analysis Dashboard'!$B$8*'Dynamic Analysis Dashboard'!$B$9*'Dynamic Analysis Dashboard'!$B$21</f>
        <v>0</v>
      </c>
      <c r="AB306" s="80">
        <f>K306*'Dynamic Analysis Dashboard'!$B$10*'Dynamic Analysis Dashboard'!$B$9*'Dynamic Analysis Dashboard'!$B$21</f>
        <v>0.12000000000000002</v>
      </c>
      <c r="AC306" s="85">
        <f>L306*'Dynamic Analysis Dashboard'!$B$11*'Dynamic Analysis Dashboard'!$B$9*'Dynamic Analysis Dashboard'!$B$21</f>
        <v>0</v>
      </c>
      <c r="AD306" s="120">
        <f t="shared" si="8"/>
        <v>0.32250000000000001</v>
      </c>
      <c r="AE306" s="121">
        <f t="shared" si="9"/>
        <v>0.25800000000000001</v>
      </c>
    </row>
    <row r="307" spans="1:31" hidden="1" x14ac:dyDescent="0.2">
      <c r="A307" t="s">
        <v>91</v>
      </c>
      <c r="B307" t="s">
        <v>164</v>
      </c>
      <c r="C307" t="s">
        <v>1769</v>
      </c>
      <c r="D307" t="s">
        <v>328</v>
      </c>
      <c r="E307" t="s">
        <v>437</v>
      </c>
      <c r="F307" t="s">
        <v>1770</v>
      </c>
      <c r="G307" t="s">
        <v>31</v>
      </c>
      <c r="H307" t="s">
        <v>25</v>
      </c>
      <c r="I307">
        <v>0.1</v>
      </c>
      <c r="J307">
        <v>6.2999999999999998E-6</v>
      </c>
      <c r="K307">
        <v>0</v>
      </c>
      <c r="L307">
        <v>0</v>
      </c>
      <c r="M307">
        <v>6.4000000000000006E-6</v>
      </c>
      <c r="N307">
        <v>0.65</v>
      </c>
      <c r="O307">
        <v>3</v>
      </c>
      <c r="P307">
        <v>2</v>
      </c>
      <c r="Q307">
        <v>3</v>
      </c>
      <c r="R307">
        <v>2</v>
      </c>
      <c r="S307">
        <v>352.5</v>
      </c>
      <c r="T307">
        <v>1</v>
      </c>
      <c r="U307" t="s">
        <v>1771</v>
      </c>
      <c r="V307" t="s">
        <v>1772</v>
      </c>
      <c r="W307" t="s">
        <v>682</v>
      </c>
      <c r="X307" t="s">
        <v>131</v>
      </c>
      <c r="Y307" t="s">
        <v>1773</v>
      </c>
      <c r="Z307" s="70">
        <f>I307*'Dynamic Analysis Dashboard'!$B$8*'Dynamic Analysis Dashboard'!$B$9*'Dynamic Analysis Dashboard'!$B$21</f>
        <v>6.7500000000000004E-2</v>
      </c>
      <c r="AA307" s="75">
        <f>J307*'Dynamic Analysis Dashboard'!$B$8*'Dynamic Analysis Dashboard'!$B$9*'Dynamic Analysis Dashboard'!$B$21</f>
        <v>4.2525000000000004E-6</v>
      </c>
      <c r="AB307" s="80">
        <f>K307*'Dynamic Analysis Dashboard'!$B$10*'Dynamic Analysis Dashboard'!$B$9*'Dynamic Analysis Dashboard'!$B$21</f>
        <v>0</v>
      </c>
      <c r="AC307" s="85">
        <f>L307*'Dynamic Analysis Dashboard'!$B$11*'Dynamic Analysis Dashboard'!$B$9*'Dynamic Analysis Dashboard'!$B$21</f>
        <v>0</v>
      </c>
      <c r="AD307" s="120">
        <f t="shared" si="8"/>
        <v>6.75042525E-2</v>
      </c>
      <c r="AE307" s="121">
        <f t="shared" si="9"/>
        <v>4.3877764125000003E-2</v>
      </c>
    </row>
    <row r="308" spans="1:31" hidden="1" x14ac:dyDescent="0.2">
      <c r="A308" t="s">
        <v>91</v>
      </c>
      <c r="B308" t="s">
        <v>172</v>
      </c>
      <c r="C308" t="s">
        <v>1774</v>
      </c>
      <c r="D308" t="s">
        <v>166</v>
      </c>
      <c r="E308" t="s">
        <v>237</v>
      </c>
      <c r="F308" t="s">
        <v>1775</v>
      </c>
      <c r="G308" t="s">
        <v>38</v>
      </c>
      <c r="H308" t="s">
        <v>33</v>
      </c>
      <c r="I308">
        <v>0.1</v>
      </c>
      <c r="J308">
        <v>0</v>
      </c>
      <c r="K308">
        <v>0</v>
      </c>
      <c r="L308">
        <v>2.2000000000000001E-6</v>
      </c>
      <c r="M308">
        <v>2.3E-6</v>
      </c>
      <c r="N308">
        <v>0.75</v>
      </c>
      <c r="O308">
        <v>9</v>
      </c>
      <c r="P308">
        <v>3</v>
      </c>
      <c r="Q308">
        <v>2</v>
      </c>
      <c r="R308">
        <v>3</v>
      </c>
      <c r="S308">
        <v>3360</v>
      </c>
      <c r="T308">
        <v>9</v>
      </c>
      <c r="U308" t="s">
        <v>1776</v>
      </c>
      <c r="V308" t="s">
        <v>129</v>
      </c>
      <c r="W308" t="s">
        <v>682</v>
      </c>
      <c r="X308" t="s">
        <v>1777</v>
      </c>
      <c r="Y308" t="s">
        <v>1778</v>
      </c>
      <c r="Z308" s="70">
        <f>I308*'Dynamic Analysis Dashboard'!$B$8*'Dynamic Analysis Dashboard'!$B$9*'Dynamic Analysis Dashboard'!$B$21</f>
        <v>6.7500000000000004E-2</v>
      </c>
      <c r="AA308" s="75">
        <f>J308*'Dynamic Analysis Dashboard'!$B$8*'Dynamic Analysis Dashboard'!$B$9*'Dynamic Analysis Dashboard'!$B$21</f>
        <v>0</v>
      </c>
      <c r="AB308" s="80">
        <f>K308*'Dynamic Analysis Dashboard'!$B$10*'Dynamic Analysis Dashboard'!$B$9*'Dynamic Analysis Dashboard'!$B$21</f>
        <v>0</v>
      </c>
      <c r="AC308" s="85">
        <f>L308*'Dynamic Analysis Dashboard'!$B$11*'Dynamic Analysis Dashboard'!$B$9*'Dynamic Analysis Dashboard'!$B$21</f>
        <v>1.4025000000000001E-6</v>
      </c>
      <c r="AD308" s="120">
        <f t="shared" si="8"/>
        <v>6.7501402500000002E-2</v>
      </c>
      <c r="AE308" s="121">
        <f t="shared" si="9"/>
        <v>5.0626051875000001E-2</v>
      </c>
    </row>
    <row r="309" spans="1:31" hidden="1" x14ac:dyDescent="0.2">
      <c r="A309" t="s">
        <v>91</v>
      </c>
      <c r="B309" t="s">
        <v>179</v>
      </c>
      <c r="C309" t="s">
        <v>1779</v>
      </c>
      <c r="D309" t="s">
        <v>315</v>
      </c>
      <c r="E309" t="s">
        <v>1780</v>
      </c>
      <c r="F309" t="s">
        <v>1781</v>
      </c>
      <c r="G309" t="s">
        <v>38</v>
      </c>
      <c r="H309" t="s">
        <v>311</v>
      </c>
      <c r="I309">
        <v>1.1000000000000001E-6</v>
      </c>
      <c r="J309">
        <v>0</v>
      </c>
      <c r="K309">
        <v>0</v>
      </c>
      <c r="L309">
        <v>0</v>
      </c>
      <c r="M309">
        <v>1.1000000000000001E-6</v>
      </c>
      <c r="N309">
        <v>0.7</v>
      </c>
      <c r="O309">
        <v>12</v>
      </c>
      <c r="P309">
        <v>3</v>
      </c>
      <c r="Q309">
        <v>2</v>
      </c>
      <c r="R309">
        <v>3</v>
      </c>
      <c r="S309">
        <v>2479</v>
      </c>
      <c r="T309">
        <v>6</v>
      </c>
      <c r="U309" t="s">
        <v>1782</v>
      </c>
      <c r="V309" t="s">
        <v>129</v>
      </c>
      <c r="W309" t="s">
        <v>682</v>
      </c>
      <c r="X309" t="s">
        <v>131</v>
      </c>
      <c r="Y309" t="s">
        <v>1783</v>
      </c>
      <c r="Z309" s="70">
        <f>I309*'Dynamic Analysis Dashboard'!$B$8*'Dynamic Analysis Dashboard'!$B$9*'Dynamic Analysis Dashboard'!$B$21</f>
        <v>7.4250000000000009E-7</v>
      </c>
      <c r="AA309" s="75">
        <f>J309*'Dynamic Analysis Dashboard'!$B$8*'Dynamic Analysis Dashboard'!$B$9*'Dynamic Analysis Dashboard'!$B$21</f>
        <v>0</v>
      </c>
      <c r="AB309" s="80">
        <f>K309*'Dynamic Analysis Dashboard'!$B$10*'Dynamic Analysis Dashboard'!$B$9*'Dynamic Analysis Dashboard'!$B$21</f>
        <v>0</v>
      </c>
      <c r="AC309" s="85">
        <f>L309*'Dynamic Analysis Dashboard'!$B$11*'Dynamic Analysis Dashboard'!$B$9*'Dynamic Analysis Dashboard'!$B$21</f>
        <v>0</v>
      </c>
      <c r="AD309" s="120">
        <f t="shared" si="8"/>
        <v>7.4250000000000009E-7</v>
      </c>
      <c r="AE309" s="121">
        <f t="shared" si="9"/>
        <v>5.1974999999999998E-7</v>
      </c>
    </row>
    <row r="310" spans="1:31" hidden="1" x14ac:dyDescent="0.2">
      <c r="A310" t="s">
        <v>91</v>
      </c>
      <c r="B310" t="s">
        <v>186</v>
      </c>
      <c r="C310" t="s">
        <v>1784</v>
      </c>
      <c r="D310" t="s">
        <v>328</v>
      </c>
      <c r="E310" t="s">
        <v>329</v>
      </c>
      <c r="F310" t="s">
        <v>1785</v>
      </c>
      <c r="G310" t="s">
        <v>31</v>
      </c>
      <c r="H310" t="s">
        <v>25</v>
      </c>
      <c r="I310">
        <v>0</v>
      </c>
      <c r="J310">
        <v>8.1000000000000004E-6</v>
      </c>
      <c r="K310">
        <v>0</v>
      </c>
      <c r="L310">
        <v>0</v>
      </c>
      <c r="M310">
        <v>8.1000000000000004E-6</v>
      </c>
      <c r="N310">
        <v>0.7</v>
      </c>
      <c r="O310">
        <v>9</v>
      </c>
      <c r="P310">
        <v>3</v>
      </c>
      <c r="Q310">
        <v>3</v>
      </c>
      <c r="R310">
        <v>2</v>
      </c>
      <c r="S310">
        <v>1793.5</v>
      </c>
      <c r="T310">
        <v>5</v>
      </c>
      <c r="U310" t="s">
        <v>318</v>
      </c>
      <c r="V310" t="s">
        <v>1786</v>
      </c>
      <c r="W310" t="s">
        <v>682</v>
      </c>
      <c r="X310" t="s">
        <v>131</v>
      </c>
      <c r="Y310" t="s">
        <v>1787</v>
      </c>
      <c r="Z310" s="70">
        <f>I310*'Dynamic Analysis Dashboard'!$B$8*'Dynamic Analysis Dashboard'!$B$9*'Dynamic Analysis Dashboard'!$B$21</f>
        <v>0</v>
      </c>
      <c r="AA310" s="75">
        <f>J310*'Dynamic Analysis Dashboard'!$B$8*'Dynamic Analysis Dashboard'!$B$9*'Dynamic Analysis Dashboard'!$B$21</f>
        <v>5.4675000000000006E-6</v>
      </c>
      <c r="AB310" s="80">
        <f>K310*'Dynamic Analysis Dashboard'!$B$10*'Dynamic Analysis Dashboard'!$B$9*'Dynamic Analysis Dashboard'!$B$21</f>
        <v>0</v>
      </c>
      <c r="AC310" s="85">
        <f>L310*'Dynamic Analysis Dashboard'!$B$11*'Dynamic Analysis Dashboard'!$B$9*'Dynamic Analysis Dashboard'!$B$21</f>
        <v>0</v>
      </c>
      <c r="AD310" s="120">
        <f t="shared" si="8"/>
        <v>5.4675000000000006E-6</v>
      </c>
      <c r="AE310" s="121">
        <f t="shared" si="9"/>
        <v>3.8272500000000005E-6</v>
      </c>
    </row>
    <row r="311" spans="1:31" hidden="1" x14ac:dyDescent="0.2">
      <c r="A311" t="s">
        <v>91</v>
      </c>
      <c r="B311" t="s">
        <v>194</v>
      </c>
      <c r="C311" t="s">
        <v>1788</v>
      </c>
      <c r="D311" t="s">
        <v>166</v>
      </c>
      <c r="E311" t="s">
        <v>470</v>
      </c>
      <c r="F311" t="s">
        <v>1789</v>
      </c>
      <c r="G311" t="s">
        <v>38</v>
      </c>
      <c r="H311" t="s">
        <v>28</v>
      </c>
      <c r="I311">
        <v>0.1</v>
      </c>
      <c r="J311">
        <v>0</v>
      </c>
      <c r="K311">
        <v>0</v>
      </c>
      <c r="L311">
        <v>1.5E-6</v>
      </c>
      <c r="M311">
        <v>1.6000000000000001E-6</v>
      </c>
      <c r="N311">
        <v>0.75</v>
      </c>
      <c r="O311">
        <v>6</v>
      </c>
      <c r="P311">
        <v>2</v>
      </c>
      <c r="Q311">
        <v>3</v>
      </c>
      <c r="R311">
        <v>2</v>
      </c>
      <c r="S311">
        <v>50220</v>
      </c>
      <c r="T311">
        <v>129</v>
      </c>
      <c r="U311" t="s">
        <v>1790</v>
      </c>
      <c r="V311" t="s">
        <v>129</v>
      </c>
      <c r="W311" t="s">
        <v>682</v>
      </c>
      <c r="X311" t="s">
        <v>1791</v>
      </c>
      <c r="Y311" t="s">
        <v>1792</v>
      </c>
      <c r="Z311" s="70">
        <f>I311*'Dynamic Analysis Dashboard'!$B$8*'Dynamic Analysis Dashboard'!$B$9*'Dynamic Analysis Dashboard'!$B$21</f>
        <v>6.7500000000000004E-2</v>
      </c>
      <c r="AA311" s="75">
        <f>J311*'Dynamic Analysis Dashboard'!$B$8*'Dynamic Analysis Dashboard'!$B$9*'Dynamic Analysis Dashboard'!$B$21</f>
        <v>0</v>
      </c>
      <c r="AB311" s="80">
        <f>K311*'Dynamic Analysis Dashboard'!$B$10*'Dynamic Analysis Dashboard'!$B$9*'Dynamic Analysis Dashboard'!$B$21</f>
        <v>0</v>
      </c>
      <c r="AC311" s="85">
        <f>L311*'Dynamic Analysis Dashboard'!$B$11*'Dynamic Analysis Dashboard'!$B$9*'Dynamic Analysis Dashboard'!$B$21</f>
        <v>9.5624999999999995E-7</v>
      </c>
      <c r="AD311" s="120">
        <f t="shared" si="8"/>
        <v>6.7500956250000008E-2</v>
      </c>
      <c r="AE311" s="121">
        <f t="shared" si="9"/>
        <v>5.0625717187500002E-2</v>
      </c>
    </row>
    <row r="312" spans="1:31" x14ac:dyDescent="0.2">
      <c r="A312" t="s">
        <v>73</v>
      </c>
      <c r="B312" t="s">
        <v>123</v>
      </c>
      <c r="C312" t="s">
        <v>1793</v>
      </c>
      <c r="D312" t="s">
        <v>315</v>
      </c>
      <c r="E312" t="s">
        <v>1794</v>
      </c>
      <c r="F312" t="s">
        <v>145</v>
      </c>
      <c r="G312" t="s">
        <v>24</v>
      </c>
      <c r="H312" t="s">
        <v>207</v>
      </c>
      <c r="I312">
        <v>9.0000000000000002E-6</v>
      </c>
      <c r="J312">
        <v>0</v>
      </c>
      <c r="K312">
        <v>4.0000000000000003E-7</v>
      </c>
      <c r="L312">
        <v>0</v>
      </c>
      <c r="M312">
        <v>9.3999999999999998E-6</v>
      </c>
      <c r="N312">
        <v>0.8</v>
      </c>
      <c r="O312">
        <v>12</v>
      </c>
      <c r="P312">
        <v>4</v>
      </c>
      <c r="Q312">
        <v>2</v>
      </c>
      <c r="R312">
        <v>5</v>
      </c>
      <c r="S312">
        <v>23760</v>
      </c>
      <c r="T312">
        <v>77.599999999999994</v>
      </c>
      <c r="U312" t="s">
        <v>1795</v>
      </c>
      <c r="V312" t="s">
        <v>1796</v>
      </c>
      <c r="W312" t="s">
        <v>1797</v>
      </c>
      <c r="X312" t="s">
        <v>1796</v>
      </c>
      <c r="Y312" t="s">
        <v>1798</v>
      </c>
      <c r="Z312" s="70">
        <f>I312*'Dynamic Analysis Dashboard'!$B$8*'Dynamic Analysis Dashboard'!$B$9*'Dynamic Analysis Dashboard'!$B$21</f>
        <v>6.0750000000000003E-6</v>
      </c>
      <c r="AA312" s="75">
        <f>J312*'Dynamic Analysis Dashboard'!$B$8*'Dynamic Analysis Dashboard'!$B$9*'Dynamic Analysis Dashboard'!$B$21</f>
        <v>0</v>
      </c>
      <c r="AB312" s="80">
        <f>K312*'Dynamic Analysis Dashboard'!$B$10*'Dynamic Analysis Dashboard'!$B$9*'Dynamic Analysis Dashboard'!$B$21</f>
        <v>2.4000000000000003E-7</v>
      </c>
      <c r="AC312" s="85">
        <f>L312*'Dynamic Analysis Dashboard'!$B$11*'Dynamic Analysis Dashboard'!$B$9*'Dynamic Analysis Dashboard'!$B$21</f>
        <v>0</v>
      </c>
      <c r="AD312" s="120">
        <f t="shared" si="8"/>
        <v>6.3150000000000005E-6</v>
      </c>
      <c r="AE312" s="121">
        <f t="shared" si="9"/>
        <v>5.0520000000000009E-6</v>
      </c>
    </row>
    <row r="313" spans="1:31" x14ac:dyDescent="0.2">
      <c r="A313" t="s">
        <v>73</v>
      </c>
      <c r="B313" t="s">
        <v>133</v>
      </c>
      <c r="C313" t="s">
        <v>1799</v>
      </c>
      <c r="D313" t="s">
        <v>287</v>
      </c>
      <c r="E313" t="s">
        <v>288</v>
      </c>
      <c r="F313" t="s">
        <v>1180</v>
      </c>
      <c r="G313" t="s">
        <v>24</v>
      </c>
      <c r="H313" t="s">
        <v>207</v>
      </c>
      <c r="I313">
        <v>1.3E-6</v>
      </c>
      <c r="J313">
        <v>0</v>
      </c>
      <c r="K313">
        <v>2.7999999999999999E-6</v>
      </c>
      <c r="L313">
        <v>0</v>
      </c>
      <c r="M313">
        <v>4.0999999999999997E-6</v>
      </c>
      <c r="N313">
        <v>0.7</v>
      </c>
      <c r="O313">
        <v>9</v>
      </c>
      <c r="P313">
        <v>3</v>
      </c>
      <c r="Q313">
        <v>2</v>
      </c>
      <c r="R313">
        <v>4</v>
      </c>
      <c r="S313">
        <v>8680</v>
      </c>
      <c r="T313">
        <v>25.4</v>
      </c>
      <c r="U313" t="s">
        <v>1800</v>
      </c>
      <c r="V313" t="s">
        <v>1796</v>
      </c>
      <c r="W313" t="s">
        <v>1801</v>
      </c>
      <c r="X313" t="s">
        <v>1796</v>
      </c>
      <c r="Y313" t="s">
        <v>1802</v>
      </c>
      <c r="Z313" s="70">
        <f>I313*'Dynamic Analysis Dashboard'!$B$8*'Dynamic Analysis Dashboard'!$B$9*'Dynamic Analysis Dashboard'!$B$21</f>
        <v>8.7750000000000007E-7</v>
      </c>
      <c r="AA313" s="75">
        <f>J313*'Dynamic Analysis Dashboard'!$B$8*'Dynamic Analysis Dashboard'!$B$9*'Dynamic Analysis Dashboard'!$B$21</f>
        <v>0</v>
      </c>
      <c r="AB313" s="80">
        <f>K313*'Dynamic Analysis Dashboard'!$B$10*'Dynamic Analysis Dashboard'!$B$9*'Dynamic Analysis Dashboard'!$B$21</f>
        <v>1.68E-6</v>
      </c>
      <c r="AC313" s="85">
        <f>L313*'Dynamic Analysis Dashboard'!$B$11*'Dynamic Analysis Dashboard'!$B$9*'Dynamic Analysis Dashboard'!$B$21</f>
        <v>0</v>
      </c>
      <c r="AD313" s="120">
        <f t="shared" si="8"/>
        <v>2.5575000000000001E-6</v>
      </c>
      <c r="AE313" s="121">
        <f t="shared" si="9"/>
        <v>1.7902499999999999E-6</v>
      </c>
    </row>
    <row r="314" spans="1:31" x14ac:dyDescent="0.2">
      <c r="A314" t="s">
        <v>73</v>
      </c>
      <c r="B314" t="s">
        <v>156</v>
      </c>
      <c r="C314" t="s">
        <v>1803</v>
      </c>
      <c r="D314" t="s">
        <v>315</v>
      </c>
      <c r="E314" t="s">
        <v>1804</v>
      </c>
      <c r="F314" t="s">
        <v>145</v>
      </c>
      <c r="G314" t="s">
        <v>24</v>
      </c>
      <c r="H314" t="s">
        <v>207</v>
      </c>
      <c r="I314">
        <v>6.1999999999999999E-6</v>
      </c>
      <c r="J314">
        <v>0</v>
      </c>
      <c r="K314">
        <v>1.3E-6</v>
      </c>
      <c r="L314">
        <v>0</v>
      </c>
      <c r="M314">
        <v>7.5000000000000002E-6</v>
      </c>
      <c r="N314">
        <v>0.75</v>
      </c>
      <c r="O314">
        <v>9</v>
      </c>
      <c r="P314">
        <v>3</v>
      </c>
      <c r="Q314">
        <v>2</v>
      </c>
      <c r="R314">
        <v>4</v>
      </c>
      <c r="S314">
        <v>19320</v>
      </c>
      <c r="T314">
        <v>55.8</v>
      </c>
      <c r="U314" t="s">
        <v>1805</v>
      </c>
      <c r="V314" t="s">
        <v>1796</v>
      </c>
      <c r="W314" t="s">
        <v>1806</v>
      </c>
      <c r="X314" t="s">
        <v>1796</v>
      </c>
      <c r="Y314" t="s">
        <v>1807</v>
      </c>
      <c r="Z314" s="70">
        <f>I314*'Dynamic Analysis Dashboard'!$B$8*'Dynamic Analysis Dashboard'!$B$9*'Dynamic Analysis Dashboard'!$B$21</f>
        <v>4.1849999999999997E-6</v>
      </c>
      <c r="AA314" s="75">
        <f>J314*'Dynamic Analysis Dashboard'!$B$8*'Dynamic Analysis Dashboard'!$B$9*'Dynamic Analysis Dashboard'!$B$21</f>
        <v>0</v>
      </c>
      <c r="AB314" s="80">
        <f>K314*'Dynamic Analysis Dashboard'!$B$10*'Dynamic Analysis Dashboard'!$B$9*'Dynamic Analysis Dashboard'!$B$21</f>
        <v>7.7999999999999994E-7</v>
      </c>
      <c r="AC314" s="85">
        <f>L314*'Dynamic Analysis Dashboard'!$B$11*'Dynamic Analysis Dashboard'!$B$9*'Dynamic Analysis Dashboard'!$B$21</f>
        <v>0</v>
      </c>
      <c r="AD314" s="120">
        <f t="shared" si="8"/>
        <v>4.9649999999999999E-6</v>
      </c>
      <c r="AE314" s="121">
        <f t="shared" si="9"/>
        <v>3.7237499999999997E-6</v>
      </c>
    </row>
    <row r="315" spans="1:31" x14ac:dyDescent="0.2">
      <c r="A315" t="s">
        <v>73</v>
      </c>
      <c r="B315" t="s">
        <v>164</v>
      </c>
      <c r="C315" t="s">
        <v>1808</v>
      </c>
      <c r="D315" t="s">
        <v>315</v>
      </c>
      <c r="E315" t="s">
        <v>841</v>
      </c>
      <c r="F315" t="s">
        <v>330</v>
      </c>
      <c r="G315" t="s">
        <v>24</v>
      </c>
      <c r="H315" t="s">
        <v>216</v>
      </c>
      <c r="I315">
        <v>2.3E-6</v>
      </c>
      <c r="J315">
        <v>0</v>
      </c>
      <c r="K315">
        <v>1.8000000000000001E-6</v>
      </c>
      <c r="L315">
        <v>0</v>
      </c>
      <c r="M315">
        <v>3.9999999999999998E-6</v>
      </c>
      <c r="N315">
        <v>0.7</v>
      </c>
      <c r="O315">
        <v>6</v>
      </c>
      <c r="P315">
        <v>2</v>
      </c>
      <c r="Q315">
        <v>4</v>
      </c>
      <c r="R315">
        <v>2</v>
      </c>
      <c r="S315">
        <v>14520</v>
      </c>
      <c r="T315">
        <v>37.4</v>
      </c>
      <c r="U315" t="s">
        <v>1809</v>
      </c>
      <c r="V315" t="s">
        <v>1796</v>
      </c>
      <c r="W315" t="s">
        <v>1810</v>
      </c>
      <c r="X315" t="s">
        <v>1796</v>
      </c>
      <c r="Y315" t="s">
        <v>1811</v>
      </c>
      <c r="Z315" s="70">
        <f>I315*'Dynamic Analysis Dashboard'!$B$8*'Dynamic Analysis Dashboard'!$B$9*'Dynamic Analysis Dashboard'!$B$21</f>
        <v>1.5525E-6</v>
      </c>
      <c r="AA315" s="75">
        <f>J315*'Dynamic Analysis Dashboard'!$B$8*'Dynamic Analysis Dashboard'!$B$9*'Dynamic Analysis Dashboard'!$B$21</f>
        <v>0</v>
      </c>
      <c r="AB315" s="80">
        <f>K315*'Dynamic Analysis Dashboard'!$B$10*'Dynamic Analysis Dashboard'!$B$9*'Dynamic Analysis Dashboard'!$B$21</f>
        <v>1.0800000000000002E-6</v>
      </c>
      <c r="AC315" s="85">
        <f>L315*'Dynamic Analysis Dashboard'!$B$11*'Dynamic Analysis Dashboard'!$B$9*'Dynamic Analysis Dashboard'!$B$21</f>
        <v>0</v>
      </c>
      <c r="AD315" s="120">
        <f t="shared" si="8"/>
        <v>2.6325000000000002E-6</v>
      </c>
      <c r="AE315" s="121">
        <f t="shared" si="9"/>
        <v>1.8427500000000001E-6</v>
      </c>
    </row>
    <row r="316" spans="1:31" x14ac:dyDescent="0.2">
      <c r="A316" t="s">
        <v>73</v>
      </c>
      <c r="B316" t="s">
        <v>172</v>
      </c>
      <c r="C316" t="s">
        <v>1812</v>
      </c>
      <c r="D316" t="s">
        <v>437</v>
      </c>
      <c r="E316" t="s">
        <v>532</v>
      </c>
      <c r="F316" t="s">
        <v>609</v>
      </c>
      <c r="G316" t="s">
        <v>24</v>
      </c>
      <c r="H316" t="s">
        <v>207</v>
      </c>
      <c r="I316">
        <v>9.0000000000000007E-7</v>
      </c>
      <c r="J316">
        <v>8.1000000000000004E-6</v>
      </c>
      <c r="K316">
        <v>0</v>
      </c>
      <c r="L316">
        <v>0</v>
      </c>
      <c r="M316">
        <v>9.0000000000000002E-6</v>
      </c>
      <c r="N316">
        <v>0.65</v>
      </c>
      <c r="O316">
        <v>9</v>
      </c>
      <c r="P316">
        <v>3</v>
      </c>
      <c r="Q316">
        <v>3</v>
      </c>
      <c r="R316">
        <v>3</v>
      </c>
      <c r="S316">
        <v>4370</v>
      </c>
      <c r="T316">
        <v>12.1</v>
      </c>
      <c r="U316" t="s">
        <v>1813</v>
      </c>
      <c r="V316" t="s">
        <v>1814</v>
      </c>
      <c r="W316" t="s">
        <v>1796</v>
      </c>
      <c r="X316" t="s">
        <v>1796</v>
      </c>
      <c r="Y316" t="s">
        <v>1815</v>
      </c>
      <c r="Z316" s="70">
        <f>I316*'Dynamic Analysis Dashboard'!$B$8*'Dynamic Analysis Dashboard'!$B$9*'Dynamic Analysis Dashboard'!$B$21</f>
        <v>6.0750000000000011E-7</v>
      </c>
      <c r="AA316" s="75">
        <f>J316*'Dynamic Analysis Dashboard'!$B$8*'Dynamic Analysis Dashboard'!$B$9*'Dynamic Analysis Dashboard'!$B$21</f>
        <v>5.4675000000000006E-6</v>
      </c>
      <c r="AB316" s="80">
        <f>K316*'Dynamic Analysis Dashboard'!$B$10*'Dynamic Analysis Dashboard'!$B$9*'Dynamic Analysis Dashboard'!$B$21</f>
        <v>0</v>
      </c>
      <c r="AC316" s="85">
        <f>L316*'Dynamic Analysis Dashboard'!$B$11*'Dynamic Analysis Dashboard'!$B$9*'Dynamic Analysis Dashboard'!$B$21</f>
        <v>0</v>
      </c>
      <c r="AD316" s="120">
        <f t="shared" si="8"/>
        <v>6.0750000000000003E-6</v>
      </c>
      <c r="AE316" s="121">
        <f t="shared" si="9"/>
        <v>3.9487500000000001E-6</v>
      </c>
    </row>
    <row r="317" spans="1:31" hidden="1" x14ac:dyDescent="0.2">
      <c r="A317" t="s">
        <v>73</v>
      </c>
      <c r="B317" t="s">
        <v>141</v>
      </c>
      <c r="C317" t="s">
        <v>1816</v>
      </c>
      <c r="D317" t="s">
        <v>437</v>
      </c>
      <c r="E317" t="s">
        <v>1817</v>
      </c>
      <c r="F317" t="s">
        <v>495</v>
      </c>
      <c r="G317" t="s">
        <v>31</v>
      </c>
      <c r="H317" t="s">
        <v>216</v>
      </c>
      <c r="I317">
        <v>1.3999999999999999E-6</v>
      </c>
      <c r="J317">
        <v>1.63E-5</v>
      </c>
      <c r="K317">
        <v>5.9999999999999997E-7</v>
      </c>
      <c r="L317">
        <v>0</v>
      </c>
      <c r="M317">
        <v>1.8300000000000001E-5</v>
      </c>
      <c r="N317">
        <v>0.75</v>
      </c>
      <c r="O317">
        <v>9</v>
      </c>
      <c r="P317">
        <v>4</v>
      </c>
      <c r="Q317">
        <v>3</v>
      </c>
      <c r="R317">
        <v>4</v>
      </c>
      <c r="S317">
        <v>7560</v>
      </c>
      <c r="T317">
        <v>17.5</v>
      </c>
      <c r="U317" t="s">
        <v>1818</v>
      </c>
      <c r="V317" t="s">
        <v>1819</v>
      </c>
      <c r="W317" t="s">
        <v>1820</v>
      </c>
      <c r="X317" t="s">
        <v>1796</v>
      </c>
      <c r="Y317" t="s">
        <v>1821</v>
      </c>
      <c r="Z317" s="70">
        <f>I317*'Dynamic Analysis Dashboard'!$B$8*'Dynamic Analysis Dashboard'!$B$9*'Dynamic Analysis Dashboard'!$B$21</f>
        <v>9.4500000000000006E-7</v>
      </c>
      <c r="AA317" s="75">
        <f>J317*'Dynamic Analysis Dashboard'!$B$8*'Dynamic Analysis Dashboard'!$B$9*'Dynamic Analysis Dashboard'!$B$21</f>
        <v>1.10025E-5</v>
      </c>
      <c r="AB317" s="80">
        <f>K317*'Dynamic Analysis Dashboard'!$B$10*'Dynamic Analysis Dashboard'!$B$9*'Dynamic Analysis Dashboard'!$B$21</f>
        <v>3.5999999999999994E-7</v>
      </c>
      <c r="AC317" s="85">
        <f>L317*'Dynamic Analysis Dashboard'!$B$11*'Dynamic Analysis Dashboard'!$B$9*'Dynamic Analysis Dashboard'!$B$21</f>
        <v>0</v>
      </c>
      <c r="AD317" s="120">
        <f t="shared" si="8"/>
        <v>1.23075E-5</v>
      </c>
      <c r="AE317" s="121">
        <f t="shared" si="9"/>
        <v>9.2306250000000011E-6</v>
      </c>
    </row>
    <row r="318" spans="1:31" hidden="1" x14ac:dyDescent="0.2">
      <c r="A318" t="s">
        <v>73</v>
      </c>
      <c r="B318" t="s">
        <v>149</v>
      </c>
      <c r="C318" t="s">
        <v>1822</v>
      </c>
      <c r="D318" t="s">
        <v>166</v>
      </c>
      <c r="E318" t="s">
        <v>1661</v>
      </c>
      <c r="F318" t="s">
        <v>338</v>
      </c>
      <c r="G318" t="s">
        <v>31</v>
      </c>
      <c r="H318" t="s">
        <v>216</v>
      </c>
      <c r="I318">
        <v>1.6000000000000001E-6</v>
      </c>
      <c r="J318">
        <v>0</v>
      </c>
      <c r="K318">
        <v>6.9999999999999997E-7</v>
      </c>
      <c r="L318">
        <v>6.7000000000000002E-6</v>
      </c>
      <c r="M318">
        <v>9.0000000000000002E-6</v>
      </c>
      <c r="N318">
        <v>0.8</v>
      </c>
      <c r="O318">
        <v>6</v>
      </c>
      <c r="P318">
        <v>3</v>
      </c>
      <c r="Q318">
        <v>3</v>
      </c>
      <c r="R318">
        <v>3</v>
      </c>
      <c r="S318">
        <v>21780</v>
      </c>
      <c r="T318">
        <v>58.2</v>
      </c>
      <c r="U318" t="s">
        <v>1823</v>
      </c>
      <c r="V318" t="s">
        <v>1796</v>
      </c>
      <c r="W318" t="s">
        <v>1824</v>
      </c>
      <c r="X318" t="s">
        <v>1825</v>
      </c>
      <c r="Y318" t="s">
        <v>1826</v>
      </c>
      <c r="Z318" s="70">
        <f>I318*'Dynamic Analysis Dashboard'!$B$8*'Dynamic Analysis Dashboard'!$B$9*'Dynamic Analysis Dashboard'!$B$21</f>
        <v>1.0800000000000002E-6</v>
      </c>
      <c r="AA318" s="75">
        <f>J318*'Dynamic Analysis Dashboard'!$B$8*'Dynamic Analysis Dashboard'!$B$9*'Dynamic Analysis Dashboard'!$B$21</f>
        <v>0</v>
      </c>
      <c r="AB318" s="80">
        <f>K318*'Dynamic Analysis Dashboard'!$B$10*'Dynamic Analysis Dashboard'!$B$9*'Dynamic Analysis Dashboard'!$B$21</f>
        <v>4.2E-7</v>
      </c>
      <c r="AC318" s="85">
        <f>L318*'Dynamic Analysis Dashboard'!$B$11*'Dynamic Analysis Dashboard'!$B$9*'Dynamic Analysis Dashboard'!$B$21</f>
        <v>4.27125E-6</v>
      </c>
      <c r="AD318" s="120">
        <f t="shared" si="8"/>
        <v>5.77125E-6</v>
      </c>
      <c r="AE318" s="121">
        <f t="shared" si="9"/>
        <v>4.617E-6</v>
      </c>
    </row>
    <row r="319" spans="1:31" hidden="1" x14ac:dyDescent="0.2">
      <c r="A319" t="s">
        <v>73</v>
      </c>
      <c r="B319" t="s">
        <v>179</v>
      </c>
      <c r="C319" t="s">
        <v>1827</v>
      </c>
      <c r="D319" t="s">
        <v>315</v>
      </c>
      <c r="E319" t="s">
        <v>1828</v>
      </c>
      <c r="F319" t="s">
        <v>145</v>
      </c>
      <c r="G319" t="s">
        <v>38</v>
      </c>
      <c r="H319" t="s">
        <v>224</v>
      </c>
      <c r="I319">
        <v>3.4000000000000001E-6</v>
      </c>
      <c r="J319">
        <v>0</v>
      </c>
      <c r="K319">
        <v>9.0000000000000007E-7</v>
      </c>
      <c r="L319">
        <v>1.3999999999999999E-6</v>
      </c>
      <c r="M319">
        <v>3.8999999999999999E-6</v>
      </c>
      <c r="N319">
        <v>0.75</v>
      </c>
      <c r="O319">
        <v>9</v>
      </c>
      <c r="P319">
        <v>3</v>
      </c>
      <c r="Q319">
        <v>3</v>
      </c>
      <c r="R319">
        <v>4</v>
      </c>
      <c r="S319">
        <v>5580</v>
      </c>
      <c r="T319">
        <v>16.600000000000001</v>
      </c>
      <c r="U319" t="s">
        <v>1829</v>
      </c>
      <c r="V319" t="s">
        <v>1796</v>
      </c>
      <c r="W319" t="s">
        <v>1830</v>
      </c>
      <c r="X319" t="s">
        <v>1831</v>
      </c>
      <c r="Y319" t="s">
        <v>1832</v>
      </c>
      <c r="Z319" s="70">
        <f>I319*'Dynamic Analysis Dashboard'!$B$8*'Dynamic Analysis Dashboard'!$B$9*'Dynamic Analysis Dashboard'!$B$21</f>
        <v>2.295E-6</v>
      </c>
      <c r="AA319" s="75">
        <f>J319*'Dynamic Analysis Dashboard'!$B$8*'Dynamic Analysis Dashboard'!$B$9*'Dynamic Analysis Dashboard'!$B$21</f>
        <v>0</v>
      </c>
      <c r="AB319" s="80">
        <f>K319*'Dynamic Analysis Dashboard'!$B$10*'Dynamic Analysis Dashboard'!$B$9*'Dynamic Analysis Dashboard'!$B$21</f>
        <v>5.4000000000000012E-7</v>
      </c>
      <c r="AC319" s="85">
        <f>L319*'Dynamic Analysis Dashboard'!$B$11*'Dynamic Analysis Dashboard'!$B$9*'Dynamic Analysis Dashboard'!$B$21</f>
        <v>8.9249999999999993E-7</v>
      </c>
      <c r="AD319" s="120">
        <f t="shared" si="8"/>
        <v>3.7274999999999999E-6</v>
      </c>
      <c r="AE319" s="121">
        <f t="shared" si="9"/>
        <v>2.795625E-6</v>
      </c>
    </row>
    <row r="320" spans="1:31" hidden="1" x14ac:dyDescent="0.2">
      <c r="A320" t="s">
        <v>73</v>
      </c>
      <c r="B320" t="s">
        <v>186</v>
      </c>
      <c r="C320" t="s">
        <v>1833</v>
      </c>
      <c r="D320" t="s">
        <v>287</v>
      </c>
      <c r="E320" t="s">
        <v>1834</v>
      </c>
      <c r="F320" t="s">
        <v>1835</v>
      </c>
      <c r="G320" t="s">
        <v>38</v>
      </c>
      <c r="H320" t="s">
        <v>224</v>
      </c>
      <c r="I320">
        <v>4.0000000000000003E-7</v>
      </c>
      <c r="J320">
        <v>0</v>
      </c>
      <c r="K320">
        <v>1.6000000000000001E-6</v>
      </c>
      <c r="L320">
        <v>0</v>
      </c>
      <c r="M320">
        <v>1.9999999999999999E-6</v>
      </c>
      <c r="N320">
        <v>0.8</v>
      </c>
      <c r="O320">
        <v>6</v>
      </c>
      <c r="P320">
        <v>2</v>
      </c>
      <c r="Q320">
        <v>4</v>
      </c>
      <c r="R320">
        <v>2</v>
      </c>
      <c r="S320">
        <v>350</v>
      </c>
      <c r="T320">
        <v>0.9</v>
      </c>
      <c r="U320" t="s">
        <v>1836</v>
      </c>
      <c r="V320" t="s">
        <v>1796</v>
      </c>
      <c r="W320" t="s">
        <v>1837</v>
      </c>
      <c r="X320" t="s">
        <v>1796</v>
      </c>
      <c r="Y320" t="s">
        <v>1838</v>
      </c>
      <c r="Z320" s="70">
        <f>I320*'Dynamic Analysis Dashboard'!$B$8*'Dynamic Analysis Dashboard'!$B$9*'Dynamic Analysis Dashboard'!$B$21</f>
        <v>2.7000000000000006E-7</v>
      </c>
      <c r="AA320" s="75">
        <f>J320*'Dynamic Analysis Dashboard'!$B$8*'Dynamic Analysis Dashboard'!$B$9*'Dynamic Analysis Dashboard'!$B$21</f>
        <v>0</v>
      </c>
      <c r="AB320" s="80">
        <f>K320*'Dynamic Analysis Dashboard'!$B$10*'Dynamic Analysis Dashboard'!$B$9*'Dynamic Analysis Dashboard'!$B$21</f>
        <v>9.6000000000000013E-7</v>
      </c>
      <c r="AC320" s="85">
        <f>L320*'Dynamic Analysis Dashboard'!$B$11*'Dynamic Analysis Dashboard'!$B$9*'Dynamic Analysis Dashboard'!$B$21</f>
        <v>0</v>
      </c>
      <c r="AD320" s="120">
        <f t="shared" si="8"/>
        <v>1.2300000000000001E-6</v>
      </c>
      <c r="AE320" s="121">
        <f t="shared" si="9"/>
        <v>9.8400000000000002E-7</v>
      </c>
    </row>
    <row r="321" spans="1:31" hidden="1" x14ac:dyDescent="0.2">
      <c r="A321" t="s">
        <v>73</v>
      </c>
      <c r="B321" t="s">
        <v>194</v>
      </c>
      <c r="C321" t="s">
        <v>1839</v>
      </c>
      <c r="D321" t="s">
        <v>166</v>
      </c>
      <c r="E321" t="s">
        <v>1840</v>
      </c>
      <c r="F321" t="s">
        <v>357</v>
      </c>
      <c r="G321" t="s">
        <v>38</v>
      </c>
      <c r="H321" t="s">
        <v>224</v>
      </c>
      <c r="I321">
        <v>4.6999999999999999E-6</v>
      </c>
      <c r="J321">
        <v>0</v>
      </c>
      <c r="K321">
        <v>8.0000000000000007E-7</v>
      </c>
      <c r="L321">
        <v>0</v>
      </c>
      <c r="M321">
        <v>5.4999999999999999E-6</v>
      </c>
      <c r="N321">
        <v>0.75</v>
      </c>
      <c r="O321">
        <v>12</v>
      </c>
      <c r="P321">
        <v>4</v>
      </c>
      <c r="Q321">
        <v>2</v>
      </c>
      <c r="R321">
        <v>5</v>
      </c>
      <c r="S321">
        <v>24200</v>
      </c>
      <c r="T321">
        <v>66.7</v>
      </c>
      <c r="U321" t="s">
        <v>1841</v>
      </c>
      <c r="V321" t="s">
        <v>1796</v>
      </c>
      <c r="W321" t="s">
        <v>1842</v>
      </c>
      <c r="X321" t="s">
        <v>1796</v>
      </c>
      <c r="Y321" t="s">
        <v>1843</v>
      </c>
      <c r="Z321" s="70">
        <f>I321*'Dynamic Analysis Dashboard'!$B$8*'Dynamic Analysis Dashboard'!$B$9*'Dynamic Analysis Dashboard'!$B$21</f>
        <v>3.1725000000000001E-6</v>
      </c>
      <c r="AA321" s="75">
        <f>J321*'Dynamic Analysis Dashboard'!$B$8*'Dynamic Analysis Dashboard'!$B$9*'Dynamic Analysis Dashboard'!$B$21</f>
        <v>0</v>
      </c>
      <c r="AB321" s="80">
        <f>K321*'Dynamic Analysis Dashboard'!$B$10*'Dynamic Analysis Dashboard'!$B$9*'Dynamic Analysis Dashboard'!$B$21</f>
        <v>4.8000000000000006E-7</v>
      </c>
      <c r="AC321" s="85">
        <f>L321*'Dynamic Analysis Dashboard'!$B$11*'Dynamic Analysis Dashboard'!$B$9*'Dynamic Analysis Dashboard'!$B$21</f>
        <v>0</v>
      </c>
      <c r="AD321" s="120">
        <f t="shared" si="8"/>
        <v>3.6525000000000002E-6</v>
      </c>
      <c r="AE321" s="121">
        <f t="shared" si="9"/>
        <v>2.7393750000000003E-6</v>
      </c>
    </row>
    <row r="322" spans="1:31" x14ac:dyDescent="0.2">
      <c r="A322" t="s">
        <v>58</v>
      </c>
      <c r="B322" t="s">
        <v>133</v>
      </c>
      <c r="C322" t="s">
        <v>1844</v>
      </c>
      <c r="D322" t="s">
        <v>1845</v>
      </c>
      <c r="E322" t="s">
        <v>1846</v>
      </c>
      <c r="F322" t="s">
        <v>324</v>
      </c>
      <c r="G322" t="s">
        <v>24</v>
      </c>
      <c r="H322" t="s">
        <v>28</v>
      </c>
      <c r="I322">
        <v>2.5000000000000002E-6</v>
      </c>
      <c r="J322">
        <v>0</v>
      </c>
      <c r="K322">
        <v>5.4E-6</v>
      </c>
      <c r="L322">
        <v>0</v>
      </c>
      <c r="M322">
        <v>7.9000000000000006E-6</v>
      </c>
      <c r="N322">
        <v>0.65</v>
      </c>
      <c r="O322">
        <v>15</v>
      </c>
      <c r="P322">
        <v>3</v>
      </c>
      <c r="Q322">
        <v>2</v>
      </c>
      <c r="R322">
        <v>4</v>
      </c>
      <c r="S322">
        <v>4125</v>
      </c>
      <c r="T322">
        <v>1.89E-2</v>
      </c>
      <c r="U322" t="s">
        <v>1847</v>
      </c>
      <c r="V322" t="s">
        <v>1135</v>
      </c>
      <c r="W322" t="s">
        <v>1848</v>
      </c>
      <c r="X322" t="s">
        <v>1135</v>
      </c>
      <c r="Y322" t="s">
        <v>1849</v>
      </c>
      <c r="Z322" s="70">
        <f>I322*'Dynamic Analysis Dashboard'!$B$8*'Dynamic Analysis Dashboard'!$B$9*'Dynamic Analysis Dashboard'!$B$21</f>
        <v>1.6874999999999999E-6</v>
      </c>
      <c r="AA322" s="75">
        <f>J322*'Dynamic Analysis Dashboard'!$B$8*'Dynamic Analysis Dashboard'!$B$9*'Dynamic Analysis Dashboard'!$B$21</f>
        <v>0</v>
      </c>
      <c r="AB322" s="80">
        <f>K322*'Dynamic Analysis Dashboard'!$B$10*'Dynamic Analysis Dashboard'!$B$9*'Dynamic Analysis Dashboard'!$B$21</f>
        <v>3.2400000000000003E-6</v>
      </c>
      <c r="AC322" s="85">
        <f>L322*'Dynamic Analysis Dashboard'!$B$11*'Dynamic Analysis Dashboard'!$B$9*'Dynamic Analysis Dashboard'!$B$21</f>
        <v>0</v>
      </c>
      <c r="AD322" s="120">
        <f t="shared" si="8"/>
        <v>4.9274999999999998E-6</v>
      </c>
      <c r="AE322" s="121">
        <f t="shared" si="9"/>
        <v>3.2028749999999998E-6</v>
      </c>
    </row>
    <row r="323" spans="1:31" x14ac:dyDescent="0.2">
      <c r="A323" t="s">
        <v>58</v>
      </c>
      <c r="B323" t="s">
        <v>156</v>
      </c>
      <c r="C323" t="s">
        <v>1850</v>
      </c>
      <c r="D323" t="s">
        <v>287</v>
      </c>
      <c r="E323" t="s">
        <v>1851</v>
      </c>
      <c r="F323" t="s">
        <v>324</v>
      </c>
      <c r="G323" t="s">
        <v>24</v>
      </c>
      <c r="H323" t="s">
        <v>28</v>
      </c>
      <c r="I323">
        <v>7.5999999999999992E-6</v>
      </c>
      <c r="J323">
        <v>0</v>
      </c>
      <c r="K323">
        <v>1.3999999999999999E-6</v>
      </c>
      <c r="L323">
        <v>0</v>
      </c>
      <c r="M323">
        <v>9.0000000000000002E-6</v>
      </c>
      <c r="N323">
        <v>0.75</v>
      </c>
      <c r="O323">
        <v>12</v>
      </c>
      <c r="P323">
        <v>3</v>
      </c>
      <c r="Q323">
        <v>3</v>
      </c>
      <c r="R323">
        <v>3</v>
      </c>
      <c r="S323">
        <v>1540</v>
      </c>
      <c r="T323">
        <v>5.9000000000000007E-3</v>
      </c>
      <c r="U323" t="s">
        <v>1852</v>
      </c>
      <c r="V323" t="s">
        <v>1135</v>
      </c>
      <c r="W323" t="s">
        <v>1853</v>
      </c>
      <c r="X323" t="s">
        <v>1135</v>
      </c>
      <c r="Y323" t="s">
        <v>1854</v>
      </c>
      <c r="Z323" s="70">
        <f>I323*'Dynamic Analysis Dashboard'!$B$8*'Dynamic Analysis Dashboard'!$B$9*'Dynamic Analysis Dashboard'!$B$21</f>
        <v>5.13E-6</v>
      </c>
      <c r="AA323" s="75">
        <f>J323*'Dynamic Analysis Dashboard'!$B$8*'Dynamic Analysis Dashboard'!$B$9*'Dynamic Analysis Dashboard'!$B$21</f>
        <v>0</v>
      </c>
      <c r="AB323" s="80">
        <f>K323*'Dynamic Analysis Dashboard'!$B$10*'Dynamic Analysis Dashboard'!$B$9*'Dynamic Analysis Dashboard'!$B$21</f>
        <v>8.4E-7</v>
      </c>
      <c r="AC323" s="85">
        <f>L323*'Dynamic Analysis Dashboard'!$B$11*'Dynamic Analysis Dashboard'!$B$9*'Dynamic Analysis Dashboard'!$B$21</f>
        <v>0</v>
      </c>
      <c r="AD323" s="120">
        <f t="shared" ref="AD323:AD386" si="10">SUM(Z323:AC323)</f>
        <v>5.9700000000000004E-6</v>
      </c>
      <c r="AE323" s="121">
        <f t="shared" ref="AE323:AE386" si="11">AD323*N323</f>
        <v>4.4775000000000008E-6</v>
      </c>
    </row>
    <row r="324" spans="1:31" x14ac:dyDescent="0.2">
      <c r="A324" t="s">
        <v>58</v>
      </c>
      <c r="B324" t="s">
        <v>164</v>
      </c>
      <c r="C324" t="s">
        <v>1855</v>
      </c>
      <c r="D324" t="s">
        <v>287</v>
      </c>
      <c r="E324" t="s">
        <v>389</v>
      </c>
      <c r="F324" t="s">
        <v>231</v>
      </c>
      <c r="G324" t="s">
        <v>24</v>
      </c>
      <c r="H324" t="s">
        <v>33</v>
      </c>
      <c r="I324">
        <v>3.4999999999999999E-6</v>
      </c>
      <c r="J324">
        <v>0</v>
      </c>
      <c r="K324">
        <v>0</v>
      </c>
      <c r="L324">
        <v>0</v>
      </c>
      <c r="M324">
        <v>3.4999999999999999E-6</v>
      </c>
      <c r="N324">
        <v>0.8</v>
      </c>
      <c r="O324">
        <v>12</v>
      </c>
      <c r="P324">
        <v>3</v>
      </c>
      <c r="Q324">
        <v>2</v>
      </c>
      <c r="R324">
        <v>4</v>
      </c>
      <c r="S324">
        <v>1176</v>
      </c>
      <c r="T324">
        <v>6.0999999999999995E-3</v>
      </c>
      <c r="U324" t="s">
        <v>1856</v>
      </c>
      <c r="V324" t="s">
        <v>1135</v>
      </c>
      <c r="W324" t="s">
        <v>1135</v>
      </c>
      <c r="X324" t="s">
        <v>1135</v>
      </c>
      <c r="Y324" t="s">
        <v>1857</v>
      </c>
      <c r="Z324" s="70">
        <f>I324*'Dynamic Analysis Dashboard'!$B$8*'Dynamic Analysis Dashboard'!$B$9*'Dynamic Analysis Dashboard'!$B$21</f>
        <v>2.3624999999999998E-6</v>
      </c>
      <c r="AA324" s="75">
        <f>J324*'Dynamic Analysis Dashboard'!$B$8*'Dynamic Analysis Dashboard'!$B$9*'Dynamic Analysis Dashboard'!$B$21</f>
        <v>0</v>
      </c>
      <c r="AB324" s="80">
        <f>K324*'Dynamic Analysis Dashboard'!$B$10*'Dynamic Analysis Dashboard'!$B$9*'Dynamic Analysis Dashboard'!$B$21</f>
        <v>0</v>
      </c>
      <c r="AC324" s="85">
        <f>L324*'Dynamic Analysis Dashboard'!$B$11*'Dynamic Analysis Dashboard'!$B$9*'Dynamic Analysis Dashboard'!$B$21</f>
        <v>0</v>
      </c>
      <c r="AD324" s="120">
        <f t="shared" si="10"/>
        <v>2.3624999999999998E-6</v>
      </c>
      <c r="AE324" s="121">
        <f t="shared" si="11"/>
        <v>1.8899999999999999E-6</v>
      </c>
    </row>
    <row r="325" spans="1:31" x14ac:dyDescent="0.2">
      <c r="A325" t="s">
        <v>58</v>
      </c>
      <c r="B325" t="s">
        <v>179</v>
      </c>
      <c r="C325" t="s">
        <v>1858</v>
      </c>
      <c r="D325" t="s">
        <v>196</v>
      </c>
      <c r="E325" t="s">
        <v>1859</v>
      </c>
      <c r="F325" t="s">
        <v>190</v>
      </c>
      <c r="G325" t="s">
        <v>24</v>
      </c>
      <c r="H325" t="s">
        <v>33</v>
      </c>
      <c r="I325">
        <v>1.5E-6</v>
      </c>
      <c r="J325">
        <v>0</v>
      </c>
      <c r="K325">
        <v>0</v>
      </c>
      <c r="L325">
        <v>0</v>
      </c>
      <c r="M325">
        <v>1.5E-6</v>
      </c>
      <c r="N325">
        <v>0.8</v>
      </c>
      <c r="O325">
        <v>9</v>
      </c>
      <c r="P325">
        <v>2.5</v>
      </c>
      <c r="Q325">
        <v>3</v>
      </c>
      <c r="R325">
        <v>2</v>
      </c>
      <c r="S325">
        <v>1606</v>
      </c>
      <c r="T325">
        <v>7.1999999999999998E-3</v>
      </c>
      <c r="U325" t="s">
        <v>1860</v>
      </c>
      <c r="V325" t="s">
        <v>1135</v>
      </c>
      <c r="W325" t="s">
        <v>1135</v>
      </c>
      <c r="X325" t="s">
        <v>1135</v>
      </c>
      <c r="Y325" t="s">
        <v>1861</v>
      </c>
      <c r="Z325" s="70">
        <f>I325*'Dynamic Analysis Dashboard'!$B$8*'Dynamic Analysis Dashboard'!$B$9*'Dynamic Analysis Dashboard'!$B$21</f>
        <v>1.0125E-6</v>
      </c>
      <c r="AA325" s="75">
        <f>J325*'Dynamic Analysis Dashboard'!$B$8*'Dynamic Analysis Dashboard'!$B$9*'Dynamic Analysis Dashboard'!$B$21</f>
        <v>0</v>
      </c>
      <c r="AB325" s="80">
        <f>K325*'Dynamic Analysis Dashboard'!$B$10*'Dynamic Analysis Dashboard'!$B$9*'Dynamic Analysis Dashboard'!$B$21</f>
        <v>0</v>
      </c>
      <c r="AC325" s="85">
        <f>L325*'Dynamic Analysis Dashboard'!$B$11*'Dynamic Analysis Dashboard'!$B$9*'Dynamic Analysis Dashboard'!$B$21</f>
        <v>0</v>
      </c>
      <c r="AD325" s="120">
        <f t="shared" si="10"/>
        <v>1.0125E-6</v>
      </c>
      <c r="AE325" s="121">
        <f t="shared" si="11"/>
        <v>8.1000000000000008E-7</v>
      </c>
    </row>
    <row r="326" spans="1:31" x14ac:dyDescent="0.2">
      <c r="A326" t="s">
        <v>58</v>
      </c>
      <c r="B326" t="s">
        <v>194</v>
      </c>
      <c r="C326" t="s">
        <v>1862</v>
      </c>
      <c r="D326" t="s">
        <v>135</v>
      </c>
      <c r="E326" t="s">
        <v>1863</v>
      </c>
      <c r="F326" t="s">
        <v>324</v>
      </c>
      <c r="G326" t="s">
        <v>24</v>
      </c>
      <c r="H326" t="s">
        <v>311</v>
      </c>
      <c r="I326">
        <v>9.9999999999999995E-7</v>
      </c>
      <c r="J326">
        <v>0</v>
      </c>
      <c r="K326">
        <v>0</v>
      </c>
      <c r="L326">
        <v>0</v>
      </c>
      <c r="M326">
        <v>9.9999999999999995E-7</v>
      </c>
      <c r="N326">
        <v>0.7</v>
      </c>
      <c r="O326">
        <v>9</v>
      </c>
      <c r="P326">
        <v>2.5</v>
      </c>
      <c r="Q326">
        <v>2</v>
      </c>
      <c r="R326">
        <v>3</v>
      </c>
      <c r="S326">
        <v>671.2</v>
      </c>
      <c r="T326">
        <v>3.2000000000000002E-3</v>
      </c>
      <c r="U326" t="s">
        <v>1864</v>
      </c>
      <c r="V326" t="s">
        <v>1135</v>
      </c>
      <c r="W326" t="s">
        <v>1135</v>
      </c>
      <c r="X326" t="s">
        <v>1135</v>
      </c>
      <c r="Y326" t="s">
        <v>1865</v>
      </c>
      <c r="Z326" s="70">
        <f>I326*'Dynamic Analysis Dashboard'!$B$8*'Dynamic Analysis Dashboard'!$B$9*'Dynamic Analysis Dashboard'!$B$21</f>
        <v>6.75E-7</v>
      </c>
      <c r="AA326" s="75">
        <f>J326*'Dynamic Analysis Dashboard'!$B$8*'Dynamic Analysis Dashboard'!$B$9*'Dynamic Analysis Dashboard'!$B$21</f>
        <v>0</v>
      </c>
      <c r="AB326" s="80">
        <f>K326*'Dynamic Analysis Dashboard'!$B$10*'Dynamic Analysis Dashboard'!$B$9*'Dynamic Analysis Dashboard'!$B$21</f>
        <v>0</v>
      </c>
      <c r="AC326" s="85">
        <f>L326*'Dynamic Analysis Dashboard'!$B$11*'Dynamic Analysis Dashboard'!$B$9*'Dynamic Analysis Dashboard'!$B$21</f>
        <v>0</v>
      </c>
      <c r="AD326" s="120">
        <f t="shared" si="10"/>
        <v>6.75E-7</v>
      </c>
      <c r="AE326" s="121">
        <f t="shared" si="11"/>
        <v>4.7249999999999998E-7</v>
      </c>
    </row>
    <row r="327" spans="1:31" hidden="1" x14ac:dyDescent="0.2">
      <c r="A327" t="s">
        <v>58</v>
      </c>
      <c r="B327" t="s">
        <v>141</v>
      </c>
      <c r="C327" t="s">
        <v>1866</v>
      </c>
      <c r="D327" t="s">
        <v>1867</v>
      </c>
      <c r="E327" t="s">
        <v>1868</v>
      </c>
      <c r="F327" t="s">
        <v>259</v>
      </c>
      <c r="G327" t="s">
        <v>31</v>
      </c>
      <c r="H327" t="s">
        <v>25</v>
      </c>
      <c r="I327">
        <v>1.6200000000000001E-5</v>
      </c>
      <c r="J327">
        <v>2.4199999999999999E-5</v>
      </c>
      <c r="K327">
        <v>0</v>
      </c>
      <c r="L327">
        <v>0</v>
      </c>
      <c r="M327">
        <v>4.0399999999999999E-5</v>
      </c>
      <c r="N327">
        <v>0.75</v>
      </c>
      <c r="O327">
        <v>12</v>
      </c>
      <c r="P327">
        <v>3</v>
      </c>
      <c r="Q327">
        <v>2</v>
      </c>
      <c r="R327">
        <v>4</v>
      </c>
      <c r="S327">
        <v>30888</v>
      </c>
      <c r="T327">
        <v>0.1124</v>
      </c>
      <c r="U327" t="s">
        <v>1869</v>
      </c>
      <c r="V327" t="s">
        <v>1870</v>
      </c>
      <c r="W327" t="s">
        <v>1135</v>
      </c>
      <c r="X327" t="s">
        <v>1135</v>
      </c>
      <c r="Y327" t="s">
        <v>1871</v>
      </c>
      <c r="Z327" s="70">
        <f>I327*'Dynamic Analysis Dashboard'!$B$8*'Dynamic Analysis Dashboard'!$B$9*'Dynamic Analysis Dashboard'!$B$21</f>
        <v>1.0935000000000001E-5</v>
      </c>
      <c r="AA327" s="75">
        <f>J327*'Dynamic Analysis Dashboard'!$B$8*'Dynamic Analysis Dashboard'!$B$9*'Dynamic Analysis Dashboard'!$B$21</f>
        <v>1.6334999999999999E-5</v>
      </c>
      <c r="AB327" s="80">
        <f>K327*'Dynamic Analysis Dashboard'!$B$10*'Dynamic Analysis Dashboard'!$B$9*'Dynamic Analysis Dashboard'!$B$21</f>
        <v>0</v>
      </c>
      <c r="AC327" s="85">
        <f>L327*'Dynamic Analysis Dashboard'!$B$11*'Dynamic Analysis Dashboard'!$B$9*'Dynamic Analysis Dashboard'!$B$21</f>
        <v>0</v>
      </c>
      <c r="AD327" s="120">
        <f t="shared" si="10"/>
        <v>2.7270000000000001E-5</v>
      </c>
      <c r="AE327" s="121">
        <f t="shared" si="11"/>
        <v>2.0452500000000001E-5</v>
      </c>
    </row>
    <row r="328" spans="1:31" hidden="1" x14ac:dyDescent="0.2">
      <c r="A328" t="s">
        <v>58</v>
      </c>
      <c r="B328" t="s">
        <v>123</v>
      </c>
      <c r="C328" t="s">
        <v>1872</v>
      </c>
      <c r="D328" t="s">
        <v>1873</v>
      </c>
      <c r="E328" t="s">
        <v>1874</v>
      </c>
      <c r="F328" t="s">
        <v>145</v>
      </c>
      <c r="G328" t="s">
        <v>31</v>
      </c>
      <c r="H328" t="s">
        <v>25</v>
      </c>
      <c r="I328">
        <v>5.0000000000000004E-6</v>
      </c>
      <c r="J328">
        <v>0</v>
      </c>
      <c r="K328">
        <v>0</v>
      </c>
      <c r="L328">
        <v>1.0900000000000001E-5</v>
      </c>
      <c r="M328">
        <v>1.59E-5</v>
      </c>
      <c r="N328">
        <v>0.8</v>
      </c>
      <c r="O328">
        <v>9</v>
      </c>
      <c r="P328">
        <v>2.5</v>
      </c>
      <c r="Q328">
        <v>3</v>
      </c>
      <c r="R328">
        <v>3</v>
      </c>
      <c r="S328">
        <v>18521.599999999999</v>
      </c>
      <c r="T328">
        <v>5.6799999999999996E-2</v>
      </c>
      <c r="U328" t="s">
        <v>1875</v>
      </c>
      <c r="V328" t="s">
        <v>1135</v>
      </c>
      <c r="W328" t="s">
        <v>1135</v>
      </c>
      <c r="X328" t="s">
        <v>1876</v>
      </c>
      <c r="Y328" t="s">
        <v>1877</v>
      </c>
      <c r="Z328" s="70">
        <f>I328*'Dynamic Analysis Dashboard'!$B$8*'Dynamic Analysis Dashboard'!$B$9*'Dynamic Analysis Dashboard'!$B$21</f>
        <v>3.3749999999999999E-6</v>
      </c>
      <c r="AA328" s="75">
        <f>J328*'Dynamic Analysis Dashboard'!$B$8*'Dynamic Analysis Dashboard'!$B$9*'Dynamic Analysis Dashboard'!$B$21</f>
        <v>0</v>
      </c>
      <c r="AB328" s="80">
        <f>K328*'Dynamic Analysis Dashboard'!$B$10*'Dynamic Analysis Dashboard'!$B$9*'Dynamic Analysis Dashboard'!$B$21</f>
        <v>0</v>
      </c>
      <c r="AC328" s="85">
        <f>L328*'Dynamic Analysis Dashboard'!$B$11*'Dynamic Analysis Dashboard'!$B$9*'Dynamic Analysis Dashboard'!$B$21</f>
        <v>6.9487500000000002E-6</v>
      </c>
      <c r="AD328" s="120">
        <f t="shared" si="10"/>
        <v>1.0323750000000001E-5</v>
      </c>
      <c r="AE328" s="121">
        <f t="shared" si="11"/>
        <v>8.2590000000000017E-6</v>
      </c>
    </row>
    <row r="329" spans="1:31" hidden="1" x14ac:dyDescent="0.2">
      <c r="A329" t="s">
        <v>58</v>
      </c>
      <c r="B329" t="s">
        <v>149</v>
      </c>
      <c r="C329" t="s">
        <v>1878</v>
      </c>
      <c r="D329" t="s">
        <v>802</v>
      </c>
      <c r="E329" t="s">
        <v>1879</v>
      </c>
      <c r="F329" t="s">
        <v>145</v>
      </c>
      <c r="G329" t="s">
        <v>31</v>
      </c>
      <c r="H329" t="s">
        <v>25</v>
      </c>
      <c r="I329">
        <v>1.04E-5</v>
      </c>
      <c r="J329">
        <v>0</v>
      </c>
      <c r="K329">
        <v>6.8000000000000001E-6</v>
      </c>
      <c r="L329">
        <v>8.4999999999999999E-6</v>
      </c>
      <c r="M329">
        <v>2.5699999999999998E-5</v>
      </c>
      <c r="N329">
        <v>0.7</v>
      </c>
      <c r="O329">
        <v>12</v>
      </c>
      <c r="P329">
        <v>3</v>
      </c>
      <c r="Q329">
        <v>2</v>
      </c>
      <c r="R329">
        <v>3</v>
      </c>
      <c r="S329">
        <v>70680</v>
      </c>
      <c r="T329">
        <v>0.23230000000000001</v>
      </c>
      <c r="U329" t="s">
        <v>1880</v>
      </c>
      <c r="V329" t="s">
        <v>1135</v>
      </c>
      <c r="W329" t="s">
        <v>1881</v>
      </c>
      <c r="X329" t="s">
        <v>1882</v>
      </c>
      <c r="Y329" t="s">
        <v>1883</v>
      </c>
      <c r="Z329" s="70">
        <f>I329*'Dynamic Analysis Dashboard'!$B$8*'Dynamic Analysis Dashboard'!$B$9*'Dynamic Analysis Dashboard'!$B$21</f>
        <v>7.0200000000000006E-6</v>
      </c>
      <c r="AA329" s="75">
        <f>J329*'Dynamic Analysis Dashboard'!$B$8*'Dynamic Analysis Dashboard'!$B$9*'Dynamic Analysis Dashboard'!$B$21</f>
        <v>0</v>
      </c>
      <c r="AB329" s="80">
        <f>K329*'Dynamic Analysis Dashboard'!$B$10*'Dynamic Analysis Dashboard'!$B$9*'Dynamic Analysis Dashboard'!$B$21</f>
        <v>4.0799999999999999E-6</v>
      </c>
      <c r="AC329" s="85">
        <f>L329*'Dynamic Analysis Dashboard'!$B$11*'Dynamic Analysis Dashboard'!$B$9*'Dynamic Analysis Dashboard'!$B$21</f>
        <v>5.4187499999999996E-6</v>
      </c>
      <c r="AD329" s="120">
        <f t="shared" si="10"/>
        <v>1.6518749999999998E-5</v>
      </c>
      <c r="AE329" s="121">
        <f t="shared" si="11"/>
        <v>1.1563124999999998E-5</v>
      </c>
    </row>
    <row r="330" spans="1:31" hidden="1" x14ac:dyDescent="0.2">
      <c r="A330" t="s">
        <v>58</v>
      </c>
      <c r="B330" t="s">
        <v>172</v>
      </c>
      <c r="C330" t="s">
        <v>1884</v>
      </c>
      <c r="D330" t="s">
        <v>1885</v>
      </c>
      <c r="E330" t="s">
        <v>1886</v>
      </c>
      <c r="F330" t="s">
        <v>127</v>
      </c>
      <c r="G330" t="s">
        <v>31</v>
      </c>
      <c r="H330" t="s">
        <v>28</v>
      </c>
      <c r="I330">
        <v>2.3E-6</v>
      </c>
      <c r="J330">
        <v>4.2999999999999995E-6</v>
      </c>
      <c r="K330">
        <v>0</v>
      </c>
      <c r="L330">
        <v>0</v>
      </c>
      <c r="M330">
        <v>6.5999999999999995E-6</v>
      </c>
      <c r="N330">
        <v>0.7</v>
      </c>
      <c r="O330">
        <v>6</v>
      </c>
      <c r="P330">
        <v>2.5</v>
      </c>
      <c r="Q330">
        <v>3</v>
      </c>
      <c r="R330">
        <v>2</v>
      </c>
      <c r="S330">
        <v>3240</v>
      </c>
      <c r="T330">
        <v>1.1699999999999999E-2</v>
      </c>
      <c r="U330" t="s">
        <v>1887</v>
      </c>
      <c r="V330" t="s">
        <v>1888</v>
      </c>
      <c r="W330" t="s">
        <v>1135</v>
      </c>
      <c r="X330" t="s">
        <v>1135</v>
      </c>
      <c r="Y330" t="s">
        <v>1889</v>
      </c>
      <c r="Z330" s="70">
        <f>I330*'Dynamic Analysis Dashboard'!$B$8*'Dynamic Analysis Dashboard'!$B$9*'Dynamic Analysis Dashboard'!$B$21</f>
        <v>1.5525E-6</v>
      </c>
      <c r="AA330" s="75">
        <f>J330*'Dynamic Analysis Dashboard'!$B$8*'Dynamic Analysis Dashboard'!$B$9*'Dynamic Analysis Dashboard'!$B$21</f>
        <v>2.9024999999999997E-6</v>
      </c>
      <c r="AB330" s="80">
        <f>K330*'Dynamic Analysis Dashboard'!$B$10*'Dynamic Analysis Dashboard'!$B$9*'Dynamic Analysis Dashboard'!$B$21</f>
        <v>0</v>
      </c>
      <c r="AC330" s="85">
        <f>L330*'Dynamic Analysis Dashboard'!$B$11*'Dynamic Analysis Dashboard'!$B$9*'Dynamic Analysis Dashboard'!$B$21</f>
        <v>0</v>
      </c>
      <c r="AD330" s="120">
        <f t="shared" si="10"/>
        <v>4.4549999999999997E-6</v>
      </c>
      <c r="AE330" s="121">
        <f t="shared" si="11"/>
        <v>3.1184999999999994E-6</v>
      </c>
    </row>
    <row r="331" spans="1:31" hidden="1" x14ac:dyDescent="0.2">
      <c r="A331" t="s">
        <v>58</v>
      </c>
      <c r="B331" t="s">
        <v>186</v>
      </c>
      <c r="C331" t="s">
        <v>1890</v>
      </c>
      <c r="D331" t="s">
        <v>166</v>
      </c>
      <c r="E331" t="s">
        <v>1891</v>
      </c>
      <c r="F331" t="s">
        <v>145</v>
      </c>
      <c r="G331" t="s">
        <v>38</v>
      </c>
      <c r="H331" t="s">
        <v>33</v>
      </c>
      <c r="I331">
        <v>3.7999999999999996E-6</v>
      </c>
      <c r="J331">
        <v>0</v>
      </c>
      <c r="K331">
        <v>0</v>
      </c>
      <c r="L331">
        <v>0</v>
      </c>
      <c r="M331">
        <v>3.7999999999999996E-6</v>
      </c>
      <c r="N331">
        <v>0.75</v>
      </c>
      <c r="O331">
        <v>15</v>
      </c>
      <c r="P331">
        <v>3</v>
      </c>
      <c r="Q331">
        <v>2</v>
      </c>
      <c r="R331">
        <v>4</v>
      </c>
      <c r="S331">
        <v>110360</v>
      </c>
      <c r="T331">
        <v>0.35449999999999998</v>
      </c>
      <c r="U331" t="s">
        <v>1892</v>
      </c>
      <c r="V331" t="s">
        <v>1135</v>
      </c>
      <c r="W331" t="s">
        <v>1135</v>
      </c>
      <c r="X331" t="s">
        <v>1135</v>
      </c>
      <c r="Y331" t="s">
        <v>1893</v>
      </c>
      <c r="Z331" s="70">
        <f>I331*'Dynamic Analysis Dashboard'!$B$8*'Dynamic Analysis Dashboard'!$B$9*'Dynamic Analysis Dashboard'!$B$21</f>
        <v>2.565E-6</v>
      </c>
      <c r="AA331" s="75">
        <f>J331*'Dynamic Analysis Dashboard'!$B$8*'Dynamic Analysis Dashboard'!$B$9*'Dynamic Analysis Dashboard'!$B$21</f>
        <v>0</v>
      </c>
      <c r="AB331" s="80">
        <f>K331*'Dynamic Analysis Dashboard'!$B$10*'Dynamic Analysis Dashboard'!$B$9*'Dynamic Analysis Dashboard'!$B$21</f>
        <v>0</v>
      </c>
      <c r="AC331" s="85">
        <f>L331*'Dynamic Analysis Dashboard'!$B$11*'Dynamic Analysis Dashboard'!$B$9*'Dynamic Analysis Dashboard'!$B$21</f>
        <v>0</v>
      </c>
      <c r="AD331" s="120">
        <f t="shared" si="10"/>
        <v>2.565E-6</v>
      </c>
      <c r="AE331" s="121">
        <f t="shared" si="11"/>
        <v>1.92375E-6</v>
      </c>
    </row>
    <row r="332" spans="1:31" x14ac:dyDescent="0.2">
      <c r="A332" t="s">
        <v>62</v>
      </c>
      <c r="B332" t="s">
        <v>141</v>
      </c>
      <c r="C332" t="s">
        <v>1894</v>
      </c>
      <c r="D332" t="s">
        <v>1895</v>
      </c>
      <c r="E332" t="s">
        <v>1896</v>
      </c>
      <c r="F332" t="s">
        <v>609</v>
      </c>
      <c r="G332" t="s">
        <v>24</v>
      </c>
      <c r="H332" t="s">
        <v>28</v>
      </c>
      <c r="I332">
        <v>8.4999999999999999E-6</v>
      </c>
      <c r="J332">
        <v>0</v>
      </c>
      <c r="K332">
        <v>1.8000000000000001E-6</v>
      </c>
      <c r="L332">
        <v>0</v>
      </c>
      <c r="M332">
        <v>1.0300000000000001E-5</v>
      </c>
      <c r="N332">
        <v>0.8</v>
      </c>
      <c r="O332">
        <v>9</v>
      </c>
      <c r="P332">
        <v>3</v>
      </c>
      <c r="Q332">
        <v>2</v>
      </c>
      <c r="R332">
        <v>4</v>
      </c>
      <c r="S332">
        <v>792000</v>
      </c>
      <c r="T332">
        <v>568.79999999999995</v>
      </c>
      <c r="U332" t="s">
        <v>1897</v>
      </c>
      <c r="V332" t="s">
        <v>1898</v>
      </c>
      <c r="W332" t="s">
        <v>1899</v>
      </c>
      <c r="X332" t="s">
        <v>1900</v>
      </c>
      <c r="Y332" t="s">
        <v>1901</v>
      </c>
      <c r="Z332" s="70">
        <f>I332*'Dynamic Analysis Dashboard'!$B$8*'Dynamic Analysis Dashboard'!$B$9*'Dynamic Analysis Dashboard'!$B$21</f>
        <v>5.7374999999999997E-6</v>
      </c>
      <c r="AA332" s="75">
        <f>J332*'Dynamic Analysis Dashboard'!$B$8*'Dynamic Analysis Dashboard'!$B$9*'Dynamic Analysis Dashboard'!$B$21</f>
        <v>0</v>
      </c>
      <c r="AB332" s="80">
        <f>K332*'Dynamic Analysis Dashboard'!$B$10*'Dynamic Analysis Dashboard'!$B$9*'Dynamic Analysis Dashboard'!$B$21</f>
        <v>1.0800000000000002E-6</v>
      </c>
      <c r="AC332" s="85">
        <f>L332*'Dynamic Analysis Dashboard'!$B$11*'Dynamic Analysis Dashboard'!$B$9*'Dynamic Analysis Dashboard'!$B$21</f>
        <v>0</v>
      </c>
      <c r="AD332" s="120">
        <f t="shared" si="10"/>
        <v>6.8175000000000004E-6</v>
      </c>
      <c r="AE332" s="121">
        <f t="shared" si="11"/>
        <v>5.4540000000000006E-6</v>
      </c>
    </row>
    <row r="333" spans="1:31" x14ac:dyDescent="0.2">
      <c r="A333" t="s">
        <v>62</v>
      </c>
      <c r="B333" t="s">
        <v>123</v>
      </c>
      <c r="C333" t="s">
        <v>1902</v>
      </c>
      <c r="D333" t="s">
        <v>1895</v>
      </c>
      <c r="E333" t="s">
        <v>1903</v>
      </c>
      <c r="F333" t="s">
        <v>1904</v>
      </c>
      <c r="G333" t="s">
        <v>24</v>
      </c>
      <c r="H333" t="s">
        <v>25</v>
      </c>
      <c r="I333">
        <v>4.6999999999999999E-6</v>
      </c>
      <c r="J333">
        <v>0</v>
      </c>
      <c r="K333">
        <v>2.3999999999999999E-6</v>
      </c>
      <c r="L333">
        <v>0</v>
      </c>
      <c r="M333">
        <v>7.0999999999999998E-6</v>
      </c>
      <c r="N333">
        <v>0.75</v>
      </c>
      <c r="O333">
        <v>6</v>
      </c>
      <c r="P333">
        <v>3</v>
      </c>
      <c r="Q333">
        <v>3</v>
      </c>
      <c r="R333">
        <v>3</v>
      </c>
      <c r="S333">
        <v>14980</v>
      </c>
      <c r="T333">
        <v>13.2</v>
      </c>
      <c r="U333" t="s">
        <v>1905</v>
      </c>
      <c r="V333" t="s">
        <v>1898</v>
      </c>
      <c r="W333" t="s">
        <v>1906</v>
      </c>
      <c r="X333" t="s">
        <v>1900</v>
      </c>
      <c r="Y333" t="s">
        <v>1907</v>
      </c>
      <c r="Z333" s="70">
        <f>I333*'Dynamic Analysis Dashboard'!$B$8*'Dynamic Analysis Dashboard'!$B$9*'Dynamic Analysis Dashboard'!$B$21</f>
        <v>3.1725000000000001E-6</v>
      </c>
      <c r="AA333" s="75">
        <f>J333*'Dynamic Analysis Dashboard'!$B$8*'Dynamic Analysis Dashboard'!$B$9*'Dynamic Analysis Dashboard'!$B$21</f>
        <v>0</v>
      </c>
      <c r="AB333" s="80">
        <f>K333*'Dynamic Analysis Dashboard'!$B$10*'Dynamic Analysis Dashboard'!$B$9*'Dynamic Analysis Dashboard'!$B$21</f>
        <v>1.4399999999999998E-6</v>
      </c>
      <c r="AC333" s="85">
        <f>L333*'Dynamic Analysis Dashboard'!$B$11*'Dynamic Analysis Dashboard'!$B$9*'Dynamic Analysis Dashboard'!$B$21</f>
        <v>0</v>
      </c>
      <c r="AD333" s="120">
        <f t="shared" si="10"/>
        <v>4.6125000000000003E-6</v>
      </c>
      <c r="AE333" s="121">
        <f t="shared" si="11"/>
        <v>3.4593750000000002E-6</v>
      </c>
    </row>
    <row r="334" spans="1:31" x14ac:dyDescent="0.2">
      <c r="A334" t="s">
        <v>62</v>
      </c>
      <c r="B334" t="s">
        <v>149</v>
      </c>
      <c r="C334" t="s">
        <v>1908</v>
      </c>
      <c r="D334" t="s">
        <v>315</v>
      </c>
      <c r="E334" t="s">
        <v>1909</v>
      </c>
      <c r="F334" t="s">
        <v>289</v>
      </c>
      <c r="G334" t="s">
        <v>24</v>
      </c>
      <c r="H334" t="s">
        <v>28</v>
      </c>
      <c r="I334">
        <v>6.8000000000000001E-6</v>
      </c>
      <c r="J334">
        <v>1.36E-5</v>
      </c>
      <c r="K334">
        <v>0</v>
      </c>
      <c r="L334">
        <v>0</v>
      </c>
      <c r="M334">
        <v>2.0399999999999998E-5</v>
      </c>
      <c r="N334">
        <v>0.75</v>
      </c>
      <c r="O334">
        <v>12</v>
      </c>
      <c r="P334">
        <v>4</v>
      </c>
      <c r="Q334">
        <v>2</v>
      </c>
      <c r="R334">
        <v>5</v>
      </c>
      <c r="S334">
        <v>224000</v>
      </c>
      <c r="T334">
        <v>159.6</v>
      </c>
      <c r="U334" t="s">
        <v>1910</v>
      </c>
      <c r="V334" t="s">
        <v>1911</v>
      </c>
      <c r="W334" t="s">
        <v>1912</v>
      </c>
      <c r="X334" t="s">
        <v>1900</v>
      </c>
      <c r="Y334" t="s">
        <v>1913</v>
      </c>
      <c r="Z334" s="70">
        <f>I334*'Dynamic Analysis Dashboard'!$B$8*'Dynamic Analysis Dashboard'!$B$9*'Dynamic Analysis Dashboard'!$B$21</f>
        <v>4.5900000000000001E-6</v>
      </c>
      <c r="AA334" s="75">
        <f>J334*'Dynamic Analysis Dashboard'!$B$8*'Dynamic Analysis Dashboard'!$B$9*'Dynamic Analysis Dashboard'!$B$21</f>
        <v>9.1800000000000002E-6</v>
      </c>
      <c r="AB334" s="80">
        <f>K334*'Dynamic Analysis Dashboard'!$B$10*'Dynamic Analysis Dashboard'!$B$9*'Dynamic Analysis Dashboard'!$B$21</f>
        <v>0</v>
      </c>
      <c r="AC334" s="85">
        <f>L334*'Dynamic Analysis Dashboard'!$B$11*'Dynamic Analysis Dashboard'!$B$9*'Dynamic Analysis Dashboard'!$B$21</f>
        <v>0</v>
      </c>
      <c r="AD334" s="120">
        <f t="shared" si="10"/>
        <v>1.377E-5</v>
      </c>
      <c r="AE334" s="121">
        <f t="shared" si="11"/>
        <v>1.0327500000000001E-5</v>
      </c>
    </row>
    <row r="335" spans="1:31" x14ac:dyDescent="0.2">
      <c r="A335" t="s">
        <v>62</v>
      </c>
      <c r="B335" t="s">
        <v>133</v>
      </c>
      <c r="C335" t="s">
        <v>1914</v>
      </c>
      <c r="D335" t="s">
        <v>315</v>
      </c>
      <c r="E335" t="s">
        <v>1548</v>
      </c>
      <c r="F335" t="s">
        <v>223</v>
      </c>
      <c r="G335" t="s">
        <v>24</v>
      </c>
      <c r="H335" t="s">
        <v>33</v>
      </c>
      <c r="I335">
        <v>4.6999999999999999E-6</v>
      </c>
      <c r="J335">
        <v>8.1000000000000004E-6</v>
      </c>
      <c r="K335">
        <v>0</v>
      </c>
      <c r="L335">
        <v>0</v>
      </c>
      <c r="M335">
        <v>1.2800000000000001E-5</v>
      </c>
      <c r="N335">
        <v>0.7</v>
      </c>
      <c r="O335">
        <v>12</v>
      </c>
      <c r="P335">
        <v>3</v>
      </c>
      <c r="Q335">
        <v>2</v>
      </c>
      <c r="R335">
        <v>4</v>
      </c>
      <c r="S335">
        <v>619600</v>
      </c>
      <c r="T335">
        <v>449.6</v>
      </c>
      <c r="U335" t="s">
        <v>1915</v>
      </c>
      <c r="V335" t="s">
        <v>1916</v>
      </c>
      <c r="W335" t="s">
        <v>1912</v>
      </c>
      <c r="X335" t="s">
        <v>1900</v>
      </c>
      <c r="Y335" t="s">
        <v>1917</v>
      </c>
      <c r="Z335" s="70">
        <f>I335*'Dynamic Analysis Dashboard'!$B$8*'Dynamic Analysis Dashboard'!$B$9*'Dynamic Analysis Dashboard'!$B$21</f>
        <v>3.1725000000000001E-6</v>
      </c>
      <c r="AA335" s="75">
        <f>J335*'Dynamic Analysis Dashboard'!$B$8*'Dynamic Analysis Dashboard'!$B$9*'Dynamic Analysis Dashboard'!$B$21</f>
        <v>5.4675000000000006E-6</v>
      </c>
      <c r="AB335" s="80">
        <f>K335*'Dynamic Analysis Dashboard'!$B$10*'Dynamic Analysis Dashboard'!$B$9*'Dynamic Analysis Dashboard'!$B$21</f>
        <v>0</v>
      </c>
      <c r="AC335" s="85">
        <f>L335*'Dynamic Analysis Dashboard'!$B$11*'Dynamic Analysis Dashboard'!$B$9*'Dynamic Analysis Dashboard'!$B$21</f>
        <v>0</v>
      </c>
      <c r="AD335" s="120">
        <f t="shared" si="10"/>
        <v>8.6400000000000003E-6</v>
      </c>
      <c r="AE335" s="121">
        <f t="shared" si="11"/>
        <v>6.0479999999999995E-6</v>
      </c>
    </row>
    <row r="336" spans="1:31" x14ac:dyDescent="0.2">
      <c r="A336" t="s">
        <v>62</v>
      </c>
      <c r="B336" t="s">
        <v>164</v>
      </c>
      <c r="C336" t="s">
        <v>1918</v>
      </c>
      <c r="D336" t="s">
        <v>328</v>
      </c>
      <c r="E336" t="s">
        <v>295</v>
      </c>
      <c r="F336" t="s">
        <v>267</v>
      </c>
      <c r="G336" t="s">
        <v>24</v>
      </c>
      <c r="H336" t="s">
        <v>28</v>
      </c>
      <c r="I336">
        <v>3.0000000000000001E-6</v>
      </c>
      <c r="J336">
        <v>9.0000000000000002E-6</v>
      </c>
      <c r="K336">
        <v>0</v>
      </c>
      <c r="L336">
        <v>0</v>
      </c>
      <c r="M336">
        <v>1.2E-5</v>
      </c>
      <c r="N336">
        <v>0.75</v>
      </c>
      <c r="O336">
        <v>9</v>
      </c>
      <c r="P336">
        <v>3</v>
      </c>
      <c r="Q336">
        <v>2</v>
      </c>
      <c r="R336">
        <v>4</v>
      </c>
      <c r="S336">
        <v>93500</v>
      </c>
      <c r="T336">
        <v>78</v>
      </c>
      <c r="U336" t="s">
        <v>1919</v>
      </c>
      <c r="V336" t="s">
        <v>1920</v>
      </c>
      <c r="W336" t="s">
        <v>1912</v>
      </c>
      <c r="X336" t="s">
        <v>1900</v>
      </c>
      <c r="Y336" t="s">
        <v>1921</v>
      </c>
      <c r="Z336" s="70">
        <f>I336*'Dynamic Analysis Dashboard'!$B$8*'Dynamic Analysis Dashboard'!$B$9*'Dynamic Analysis Dashboard'!$B$21</f>
        <v>2.0250000000000001E-6</v>
      </c>
      <c r="AA336" s="75">
        <f>J336*'Dynamic Analysis Dashboard'!$B$8*'Dynamic Analysis Dashboard'!$B$9*'Dynamic Analysis Dashboard'!$B$21</f>
        <v>6.0750000000000003E-6</v>
      </c>
      <c r="AB336" s="80">
        <f>K336*'Dynamic Analysis Dashboard'!$B$10*'Dynamic Analysis Dashboard'!$B$9*'Dynamic Analysis Dashboard'!$B$21</f>
        <v>0</v>
      </c>
      <c r="AC336" s="85">
        <f>L336*'Dynamic Analysis Dashboard'!$B$11*'Dynamic Analysis Dashboard'!$B$9*'Dynamic Analysis Dashboard'!$B$21</f>
        <v>0</v>
      </c>
      <c r="AD336" s="120">
        <f t="shared" si="10"/>
        <v>8.1000000000000004E-6</v>
      </c>
      <c r="AE336" s="121">
        <f t="shared" si="11"/>
        <v>6.0750000000000003E-6</v>
      </c>
    </row>
    <row r="337" spans="1:31" x14ac:dyDescent="0.2">
      <c r="A337" t="s">
        <v>62</v>
      </c>
      <c r="B337" t="s">
        <v>172</v>
      </c>
      <c r="C337" t="s">
        <v>1922</v>
      </c>
      <c r="D337" t="s">
        <v>166</v>
      </c>
      <c r="E337" t="s">
        <v>1923</v>
      </c>
      <c r="F337" t="s">
        <v>267</v>
      </c>
      <c r="G337" t="s">
        <v>24</v>
      </c>
      <c r="H337" t="s">
        <v>28</v>
      </c>
      <c r="I337">
        <v>3.9999999999999998E-6</v>
      </c>
      <c r="J337">
        <v>0</v>
      </c>
      <c r="K337">
        <v>0</v>
      </c>
      <c r="L337">
        <v>6.8000000000000001E-6</v>
      </c>
      <c r="M337">
        <v>1.08E-5</v>
      </c>
      <c r="N337">
        <v>0.8</v>
      </c>
      <c r="O337">
        <v>9</v>
      </c>
      <c r="P337">
        <v>3</v>
      </c>
      <c r="Q337">
        <v>2</v>
      </c>
      <c r="R337">
        <v>4</v>
      </c>
      <c r="S337">
        <v>294000</v>
      </c>
      <c r="T337">
        <v>212.4</v>
      </c>
      <c r="U337" t="s">
        <v>1924</v>
      </c>
      <c r="V337" t="s">
        <v>1898</v>
      </c>
      <c r="W337" t="s">
        <v>1912</v>
      </c>
      <c r="X337" t="s">
        <v>1925</v>
      </c>
      <c r="Y337" t="s">
        <v>1926</v>
      </c>
      <c r="Z337" s="70">
        <f>I337*'Dynamic Analysis Dashboard'!$B$8*'Dynamic Analysis Dashboard'!$B$9*'Dynamic Analysis Dashboard'!$B$21</f>
        <v>2.7E-6</v>
      </c>
      <c r="AA337" s="75">
        <f>J337*'Dynamic Analysis Dashboard'!$B$8*'Dynamic Analysis Dashboard'!$B$9*'Dynamic Analysis Dashboard'!$B$21</f>
        <v>0</v>
      </c>
      <c r="AB337" s="80">
        <f>K337*'Dynamic Analysis Dashboard'!$B$10*'Dynamic Analysis Dashboard'!$B$9*'Dynamic Analysis Dashboard'!$B$21</f>
        <v>0</v>
      </c>
      <c r="AC337" s="85">
        <f>L337*'Dynamic Analysis Dashboard'!$B$11*'Dynamic Analysis Dashboard'!$B$9*'Dynamic Analysis Dashboard'!$B$21</f>
        <v>4.335E-6</v>
      </c>
      <c r="AD337" s="120">
        <f t="shared" si="10"/>
        <v>7.0349999999999996E-6</v>
      </c>
      <c r="AE337" s="121">
        <f t="shared" si="11"/>
        <v>5.6280000000000002E-6</v>
      </c>
    </row>
    <row r="338" spans="1:31" x14ac:dyDescent="0.2">
      <c r="A338" t="s">
        <v>62</v>
      </c>
      <c r="B338" t="s">
        <v>179</v>
      </c>
      <c r="C338" t="s">
        <v>1927</v>
      </c>
      <c r="D338" t="s">
        <v>166</v>
      </c>
      <c r="E338" t="s">
        <v>1928</v>
      </c>
      <c r="F338" t="s">
        <v>198</v>
      </c>
      <c r="G338" t="s">
        <v>24</v>
      </c>
      <c r="H338" t="s">
        <v>25</v>
      </c>
      <c r="I338">
        <v>2.7999999999999999E-6</v>
      </c>
      <c r="J338">
        <v>0</v>
      </c>
      <c r="K338">
        <v>0</v>
      </c>
      <c r="L338">
        <v>4.5000000000000001E-6</v>
      </c>
      <c r="M338">
        <v>7.2999999999999996E-6</v>
      </c>
      <c r="N338">
        <v>0.75</v>
      </c>
      <c r="O338">
        <v>6</v>
      </c>
      <c r="P338">
        <v>3</v>
      </c>
      <c r="Q338">
        <v>3</v>
      </c>
      <c r="R338">
        <v>3</v>
      </c>
      <c r="S338">
        <v>44160</v>
      </c>
      <c r="T338">
        <v>39.6</v>
      </c>
      <c r="U338" t="s">
        <v>1929</v>
      </c>
      <c r="V338" t="s">
        <v>1898</v>
      </c>
      <c r="W338" t="s">
        <v>1912</v>
      </c>
      <c r="X338" t="s">
        <v>1930</v>
      </c>
      <c r="Y338" t="s">
        <v>1931</v>
      </c>
      <c r="Z338" s="70">
        <f>I338*'Dynamic Analysis Dashboard'!$B$8*'Dynamic Analysis Dashboard'!$B$9*'Dynamic Analysis Dashboard'!$B$21</f>
        <v>1.8900000000000001E-6</v>
      </c>
      <c r="AA338" s="75">
        <f>J338*'Dynamic Analysis Dashboard'!$B$8*'Dynamic Analysis Dashboard'!$B$9*'Dynamic Analysis Dashboard'!$B$21</f>
        <v>0</v>
      </c>
      <c r="AB338" s="80">
        <f>K338*'Dynamic Analysis Dashboard'!$B$10*'Dynamic Analysis Dashboard'!$B$9*'Dynamic Analysis Dashboard'!$B$21</f>
        <v>0</v>
      </c>
      <c r="AC338" s="85">
        <f>L338*'Dynamic Analysis Dashboard'!$B$11*'Dynamic Analysis Dashboard'!$B$9*'Dynamic Analysis Dashboard'!$B$21</f>
        <v>2.8687499999999999E-6</v>
      </c>
      <c r="AD338" s="120">
        <f t="shared" si="10"/>
        <v>4.75875E-6</v>
      </c>
      <c r="AE338" s="121">
        <f t="shared" si="11"/>
        <v>3.5690625000000002E-6</v>
      </c>
    </row>
    <row r="339" spans="1:31" x14ac:dyDescent="0.2">
      <c r="A339" t="s">
        <v>62</v>
      </c>
      <c r="B339" t="s">
        <v>186</v>
      </c>
      <c r="C339" t="s">
        <v>1932</v>
      </c>
      <c r="D339" t="s">
        <v>188</v>
      </c>
      <c r="E339" t="s">
        <v>1444</v>
      </c>
      <c r="F339" t="s">
        <v>489</v>
      </c>
      <c r="G339" t="s">
        <v>24</v>
      </c>
      <c r="H339" t="s">
        <v>33</v>
      </c>
      <c r="I339">
        <v>1.77E-5</v>
      </c>
      <c r="J339">
        <v>0</v>
      </c>
      <c r="K339">
        <v>0</v>
      </c>
      <c r="L339">
        <v>0</v>
      </c>
      <c r="M339">
        <v>1.77E-5</v>
      </c>
      <c r="N339">
        <v>0.7</v>
      </c>
      <c r="O339">
        <v>18</v>
      </c>
      <c r="P339">
        <v>3</v>
      </c>
      <c r="Q339">
        <v>1</v>
      </c>
      <c r="R339">
        <v>2</v>
      </c>
      <c r="S339">
        <v>12840</v>
      </c>
      <c r="T339">
        <v>15.6</v>
      </c>
      <c r="U339" t="s">
        <v>1933</v>
      </c>
      <c r="V339" t="s">
        <v>1898</v>
      </c>
      <c r="W339" t="s">
        <v>1912</v>
      </c>
      <c r="X339" t="s">
        <v>1900</v>
      </c>
      <c r="Y339" t="s">
        <v>1934</v>
      </c>
      <c r="Z339" s="70">
        <f>I339*'Dynamic Analysis Dashboard'!$B$8*'Dynamic Analysis Dashboard'!$B$9*'Dynamic Analysis Dashboard'!$B$21</f>
        <v>1.19475E-5</v>
      </c>
      <c r="AA339" s="75">
        <f>J339*'Dynamic Analysis Dashboard'!$B$8*'Dynamic Analysis Dashboard'!$B$9*'Dynamic Analysis Dashboard'!$B$21</f>
        <v>0</v>
      </c>
      <c r="AB339" s="80">
        <f>K339*'Dynamic Analysis Dashboard'!$B$10*'Dynamic Analysis Dashboard'!$B$9*'Dynamic Analysis Dashboard'!$B$21</f>
        <v>0</v>
      </c>
      <c r="AC339" s="85">
        <f>L339*'Dynamic Analysis Dashboard'!$B$11*'Dynamic Analysis Dashboard'!$B$9*'Dynamic Analysis Dashboard'!$B$21</f>
        <v>0</v>
      </c>
      <c r="AD339" s="120">
        <f t="shared" si="10"/>
        <v>1.19475E-5</v>
      </c>
      <c r="AE339" s="121">
        <f t="shared" si="11"/>
        <v>8.3632499999999999E-6</v>
      </c>
    </row>
    <row r="340" spans="1:31" hidden="1" x14ac:dyDescent="0.2">
      <c r="A340" t="s">
        <v>62</v>
      </c>
      <c r="B340" t="s">
        <v>156</v>
      </c>
      <c r="C340" t="s">
        <v>1935</v>
      </c>
      <c r="D340" t="s">
        <v>125</v>
      </c>
      <c r="E340" t="s">
        <v>280</v>
      </c>
      <c r="F340" t="s">
        <v>1414</v>
      </c>
      <c r="G340" t="s">
        <v>31</v>
      </c>
      <c r="H340" t="s">
        <v>25</v>
      </c>
      <c r="I340">
        <v>1.3900000000000001E-5</v>
      </c>
      <c r="J340">
        <v>0</v>
      </c>
      <c r="K340">
        <v>0</v>
      </c>
      <c r="L340">
        <v>0</v>
      </c>
      <c r="M340">
        <v>1.3900000000000001E-5</v>
      </c>
      <c r="N340">
        <v>0.85</v>
      </c>
      <c r="O340">
        <v>6</v>
      </c>
      <c r="P340">
        <v>2</v>
      </c>
      <c r="Q340">
        <v>3</v>
      </c>
      <c r="R340">
        <v>2</v>
      </c>
      <c r="S340">
        <v>77550</v>
      </c>
      <c r="T340">
        <v>59.4</v>
      </c>
      <c r="U340" t="s">
        <v>1936</v>
      </c>
      <c r="V340" t="s">
        <v>1898</v>
      </c>
      <c r="W340" t="s">
        <v>1912</v>
      </c>
      <c r="X340" t="s">
        <v>1900</v>
      </c>
      <c r="Y340" t="s">
        <v>1937</v>
      </c>
      <c r="Z340" s="70">
        <f>I340*'Dynamic Analysis Dashboard'!$B$8*'Dynamic Analysis Dashboard'!$B$9*'Dynamic Analysis Dashboard'!$B$21</f>
        <v>9.3825000000000004E-6</v>
      </c>
      <c r="AA340" s="75">
        <f>J340*'Dynamic Analysis Dashboard'!$B$8*'Dynamic Analysis Dashboard'!$B$9*'Dynamic Analysis Dashboard'!$B$21</f>
        <v>0</v>
      </c>
      <c r="AB340" s="80">
        <f>K340*'Dynamic Analysis Dashboard'!$B$10*'Dynamic Analysis Dashboard'!$B$9*'Dynamic Analysis Dashboard'!$B$21</f>
        <v>0</v>
      </c>
      <c r="AC340" s="85">
        <f>L340*'Dynamic Analysis Dashboard'!$B$11*'Dynamic Analysis Dashboard'!$B$9*'Dynamic Analysis Dashboard'!$B$21</f>
        <v>0</v>
      </c>
      <c r="AD340" s="120">
        <f t="shared" si="10"/>
        <v>9.3825000000000004E-6</v>
      </c>
      <c r="AE340" s="121">
        <f t="shared" si="11"/>
        <v>7.9751249999999993E-6</v>
      </c>
    </row>
    <row r="341" spans="1:31" hidden="1" x14ac:dyDescent="0.2">
      <c r="A341" t="s">
        <v>62</v>
      </c>
      <c r="B341" t="s">
        <v>194</v>
      </c>
      <c r="C341" t="s">
        <v>1938</v>
      </c>
      <c r="D341" t="s">
        <v>1939</v>
      </c>
      <c r="E341" t="s">
        <v>1733</v>
      </c>
      <c r="F341" t="s">
        <v>198</v>
      </c>
      <c r="G341" t="s">
        <v>38</v>
      </c>
      <c r="H341" t="s">
        <v>311</v>
      </c>
      <c r="I341">
        <v>3.2000000000000003E-6</v>
      </c>
      <c r="J341">
        <v>0</v>
      </c>
      <c r="K341">
        <v>1.3E-6</v>
      </c>
      <c r="L341">
        <v>0</v>
      </c>
      <c r="M341">
        <v>4.5000000000000001E-6</v>
      </c>
      <c r="N341">
        <v>0.75</v>
      </c>
      <c r="O341">
        <v>6</v>
      </c>
      <c r="P341">
        <v>3</v>
      </c>
      <c r="Q341">
        <v>3</v>
      </c>
      <c r="R341">
        <v>3</v>
      </c>
      <c r="S341">
        <v>15045</v>
      </c>
      <c r="T341">
        <v>15</v>
      </c>
      <c r="U341" t="s">
        <v>1940</v>
      </c>
      <c r="V341" t="s">
        <v>1898</v>
      </c>
      <c r="W341" t="s">
        <v>1941</v>
      </c>
      <c r="X341" t="s">
        <v>1900</v>
      </c>
      <c r="Y341" t="s">
        <v>1942</v>
      </c>
      <c r="Z341" s="70">
        <f>I341*'Dynamic Analysis Dashboard'!$B$8*'Dynamic Analysis Dashboard'!$B$9*'Dynamic Analysis Dashboard'!$B$21</f>
        <v>2.1600000000000005E-6</v>
      </c>
      <c r="AA341" s="75">
        <f>J341*'Dynamic Analysis Dashboard'!$B$8*'Dynamic Analysis Dashboard'!$B$9*'Dynamic Analysis Dashboard'!$B$21</f>
        <v>0</v>
      </c>
      <c r="AB341" s="80">
        <f>K341*'Dynamic Analysis Dashboard'!$B$10*'Dynamic Analysis Dashboard'!$B$9*'Dynamic Analysis Dashboard'!$B$21</f>
        <v>7.7999999999999994E-7</v>
      </c>
      <c r="AC341" s="85">
        <f>L341*'Dynamic Analysis Dashboard'!$B$11*'Dynamic Analysis Dashboard'!$B$9*'Dynamic Analysis Dashboard'!$B$21</f>
        <v>0</v>
      </c>
      <c r="AD341" s="120">
        <f t="shared" si="10"/>
        <v>2.9400000000000007E-6</v>
      </c>
      <c r="AE341" s="121">
        <f t="shared" si="11"/>
        <v>2.2050000000000005E-6</v>
      </c>
    </row>
    <row r="342" spans="1:31" hidden="1" x14ac:dyDescent="0.2">
      <c r="A342" t="s">
        <v>67</v>
      </c>
      <c r="B342" t="s">
        <v>149</v>
      </c>
      <c r="C342" t="s">
        <v>1943</v>
      </c>
      <c r="D342" t="s">
        <v>158</v>
      </c>
      <c r="E342" t="s">
        <v>1944</v>
      </c>
      <c r="F342" t="s">
        <v>324</v>
      </c>
      <c r="G342" t="s">
        <v>24</v>
      </c>
      <c r="H342" t="s">
        <v>28</v>
      </c>
      <c r="I342">
        <v>0</v>
      </c>
      <c r="J342">
        <v>1.0199999999999999E-5</v>
      </c>
      <c r="K342">
        <v>2.5000000000000002E-6</v>
      </c>
      <c r="L342">
        <v>0</v>
      </c>
      <c r="M342">
        <v>1.2699999999999999E-5</v>
      </c>
      <c r="N342">
        <v>0.75</v>
      </c>
      <c r="O342">
        <v>7</v>
      </c>
      <c r="P342">
        <v>3</v>
      </c>
      <c r="Q342">
        <v>3</v>
      </c>
      <c r="R342">
        <v>3</v>
      </c>
      <c r="S342">
        <v>99840</v>
      </c>
      <c r="T342">
        <v>2.8399999999999998E-2</v>
      </c>
      <c r="U342" t="s">
        <v>339</v>
      </c>
      <c r="V342" t="s">
        <v>1945</v>
      </c>
      <c r="W342" t="s">
        <v>1946</v>
      </c>
      <c r="X342" t="s">
        <v>284</v>
      </c>
      <c r="Y342" t="s">
        <v>1947</v>
      </c>
      <c r="Z342" s="70">
        <f>I342*'Dynamic Analysis Dashboard'!$B$8*'Dynamic Analysis Dashboard'!$B$9*'Dynamic Analysis Dashboard'!$B$21</f>
        <v>0</v>
      </c>
      <c r="AA342" s="75">
        <f>J342*'Dynamic Analysis Dashboard'!$B$8*'Dynamic Analysis Dashboard'!$B$9*'Dynamic Analysis Dashboard'!$B$21</f>
        <v>6.8849999999999993E-6</v>
      </c>
      <c r="AB342" s="80">
        <f>K342*'Dynamic Analysis Dashboard'!$B$10*'Dynamic Analysis Dashboard'!$B$9*'Dynamic Analysis Dashboard'!$B$21</f>
        <v>1.5000000000000002E-6</v>
      </c>
      <c r="AC342" s="85">
        <f>L342*'Dynamic Analysis Dashboard'!$B$11*'Dynamic Analysis Dashboard'!$B$9*'Dynamic Analysis Dashboard'!$B$21</f>
        <v>0</v>
      </c>
      <c r="AD342" s="120">
        <f t="shared" si="10"/>
        <v>8.3850000000000002E-6</v>
      </c>
      <c r="AE342" s="121">
        <f t="shared" si="11"/>
        <v>6.2887499999999997E-6</v>
      </c>
    </row>
    <row r="343" spans="1:31" x14ac:dyDescent="0.2">
      <c r="A343" t="s">
        <v>67</v>
      </c>
      <c r="B343" t="s">
        <v>179</v>
      </c>
      <c r="C343" t="s">
        <v>1948</v>
      </c>
      <c r="D343" t="s">
        <v>135</v>
      </c>
      <c r="E343" t="s">
        <v>1949</v>
      </c>
      <c r="F343" t="s">
        <v>183</v>
      </c>
      <c r="G343" t="s">
        <v>24</v>
      </c>
      <c r="H343" t="s">
        <v>25</v>
      </c>
      <c r="I343">
        <v>1.3999999999999999E-6</v>
      </c>
      <c r="J343">
        <v>8.4999999999999999E-6</v>
      </c>
      <c r="K343">
        <v>0</v>
      </c>
      <c r="L343">
        <v>0</v>
      </c>
      <c r="M343">
        <v>9.9000000000000001E-6</v>
      </c>
      <c r="N343">
        <v>0.7</v>
      </c>
      <c r="O343">
        <v>4</v>
      </c>
      <c r="P343">
        <v>2</v>
      </c>
      <c r="Q343">
        <v>3</v>
      </c>
      <c r="R343">
        <v>2</v>
      </c>
      <c r="S343">
        <v>4575</v>
      </c>
      <c r="T343">
        <v>8.8000000000000005E-3</v>
      </c>
      <c r="U343" t="s">
        <v>1950</v>
      </c>
      <c r="V343" t="s">
        <v>1951</v>
      </c>
      <c r="W343" t="s">
        <v>417</v>
      </c>
      <c r="X343" t="s">
        <v>284</v>
      </c>
      <c r="Y343" t="s">
        <v>1952</v>
      </c>
      <c r="Z343" s="70">
        <f>I343*'Dynamic Analysis Dashboard'!$B$8*'Dynamic Analysis Dashboard'!$B$9*'Dynamic Analysis Dashboard'!$B$21</f>
        <v>9.4500000000000006E-7</v>
      </c>
      <c r="AA343" s="75">
        <f>J343*'Dynamic Analysis Dashboard'!$B$8*'Dynamic Analysis Dashboard'!$B$9*'Dynamic Analysis Dashboard'!$B$21</f>
        <v>5.7374999999999997E-6</v>
      </c>
      <c r="AB343" s="80">
        <f>K343*'Dynamic Analysis Dashboard'!$B$10*'Dynamic Analysis Dashboard'!$B$9*'Dynamic Analysis Dashboard'!$B$21</f>
        <v>0</v>
      </c>
      <c r="AC343" s="85">
        <f>L343*'Dynamic Analysis Dashboard'!$B$11*'Dynamic Analysis Dashboard'!$B$9*'Dynamic Analysis Dashboard'!$B$21</f>
        <v>0</v>
      </c>
      <c r="AD343" s="120">
        <f t="shared" si="10"/>
        <v>6.6825E-6</v>
      </c>
      <c r="AE343" s="121">
        <f t="shared" si="11"/>
        <v>4.6777499999999994E-6</v>
      </c>
    </row>
    <row r="344" spans="1:31" hidden="1" x14ac:dyDescent="0.2">
      <c r="A344" t="s">
        <v>67</v>
      </c>
      <c r="B344" t="s">
        <v>141</v>
      </c>
      <c r="C344" t="s">
        <v>1953</v>
      </c>
      <c r="D344" t="s">
        <v>135</v>
      </c>
      <c r="E344" t="s">
        <v>1954</v>
      </c>
      <c r="F344" t="s">
        <v>198</v>
      </c>
      <c r="G344" t="s">
        <v>38</v>
      </c>
      <c r="H344" t="s">
        <v>28</v>
      </c>
      <c r="I344">
        <v>1.29E-5</v>
      </c>
      <c r="J344">
        <v>0</v>
      </c>
      <c r="K344">
        <v>0</v>
      </c>
      <c r="L344">
        <v>0</v>
      </c>
      <c r="M344">
        <v>1.29E-5</v>
      </c>
      <c r="N344">
        <v>0.85</v>
      </c>
      <c r="O344">
        <v>9</v>
      </c>
      <c r="P344">
        <v>4</v>
      </c>
      <c r="Q344">
        <v>3</v>
      </c>
      <c r="R344">
        <v>4</v>
      </c>
      <c r="S344">
        <v>238700</v>
      </c>
      <c r="T344">
        <v>5.1299999999999998E-2</v>
      </c>
      <c r="U344" t="s">
        <v>1955</v>
      </c>
      <c r="V344" t="s">
        <v>129</v>
      </c>
      <c r="W344" t="s">
        <v>417</v>
      </c>
      <c r="X344" t="s">
        <v>284</v>
      </c>
      <c r="Y344" t="s">
        <v>1956</v>
      </c>
      <c r="Z344" s="70">
        <f>I344*'Dynamic Analysis Dashboard'!$B$8*'Dynamic Analysis Dashboard'!$B$9*'Dynamic Analysis Dashboard'!$B$21</f>
        <v>8.7075000000000009E-6</v>
      </c>
      <c r="AA344" s="75">
        <f>J344*'Dynamic Analysis Dashboard'!$B$8*'Dynamic Analysis Dashboard'!$B$9*'Dynamic Analysis Dashboard'!$B$21</f>
        <v>0</v>
      </c>
      <c r="AB344" s="80">
        <f>K344*'Dynamic Analysis Dashboard'!$B$10*'Dynamic Analysis Dashboard'!$B$9*'Dynamic Analysis Dashboard'!$B$21</f>
        <v>0</v>
      </c>
      <c r="AC344" s="85">
        <f>L344*'Dynamic Analysis Dashboard'!$B$11*'Dynamic Analysis Dashboard'!$B$9*'Dynamic Analysis Dashboard'!$B$21</f>
        <v>0</v>
      </c>
      <c r="AD344" s="120">
        <f t="shared" si="10"/>
        <v>8.7075000000000009E-6</v>
      </c>
      <c r="AE344" s="121">
        <f t="shared" si="11"/>
        <v>7.4013750000000008E-6</v>
      </c>
    </row>
    <row r="345" spans="1:31" hidden="1" x14ac:dyDescent="0.2">
      <c r="A345" t="s">
        <v>67</v>
      </c>
      <c r="B345" t="s">
        <v>123</v>
      </c>
      <c r="C345" t="s">
        <v>1957</v>
      </c>
      <c r="D345" t="s">
        <v>135</v>
      </c>
      <c r="E345" t="s">
        <v>1958</v>
      </c>
      <c r="F345" t="s">
        <v>145</v>
      </c>
      <c r="G345" t="s">
        <v>38</v>
      </c>
      <c r="H345" t="s">
        <v>33</v>
      </c>
      <c r="I345">
        <v>0</v>
      </c>
      <c r="J345">
        <v>4.6600000000000001E-5</v>
      </c>
      <c r="K345">
        <v>0</v>
      </c>
      <c r="L345">
        <v>0</v>
      </c>
      <c r="M345">
        <v>4.6600000000000001E-5</v>
      </c>
      <c r="N345">
        <v>0.7</v>
      </c>
      <c r="O345">
        <v>15</v>
      </c>
      <c r="P345">
        <v>5</v>
      </c>
      <c r="Q345">
        <v>2</v>
      </c>
      <c r="R345">
        <v>5</v>
      </c>
      <c r="S345">
        <v>18864</v>
      </c>
      <c r="T345">
        <v>3.4200000000000001E-2</v>
      </c>
      <c r="U345" t="s">
        <v>339</v>
      </c>
      <c r="V345" t="s">
        <v>1959</v>
      </c>
      <c r="W345" t="s">
        <v>417</v>
      </c>
      <c r="X345" t="s">
        <v>284</v>
      </c>
      <c r="Y345" t="s">
        <v>1960</v>
      </c>
      <c r="Z345" s="70">
        <f>I345*'Dynamic Analysis Dashboard'!$B$8*'Dynamic Analysis Dashboard'!$B$9*'Dynamic Analysis Dashboard'!$B$21</f>
        <v>0</v>
      </c>
      <c r="AA345" s="75">
        <f>J345*'Dynamic Analysis Dashboard'!$B$8*'Dynamic Analysis Dashboard'!$B$9*'Dynamic Analysis Dashboard'!$B$21</f>
        <v>3.1455000000000003E-5</v>
      </c>
      <c r="AB345" s="80">
        <f>K345*'Dynamic Analysis Dashboard'!$B$10*'Dynamic Analysis Dashboard'!$B$9*'Dynamic Analysis Dashboard'!$B$21</f>
        <v>0</v>
      </c>
      <c r="AC345" s="85">
        <f>L345*'Dynamic Analysis Dashboard'!$B$11*'Dynamic Analysis Dashboard'!$B$9*'Dynamic Analysis Dashboard'!$B$21</f>
        <v>0</v>
      </c>
      <c r="AD345" s="120">
        <f t="shared" si="10"/>
        <v>3.1455000000000003E-5</v>
      </c>
      <c r="AE345" s="121">
        <f t="shared" si="11"/>
        <v>2.2018499999999999E-5</v>
      </c>
    </row>
    <row r="346" spans="1:31" hidden="1" x14ac:dyDescent="0.2">
      <c r="A346" t="s">
        <v>67</v>
      </c>
      <c r="B346" t="s">
        <v>133</v>
      </c>
      <c r="C346" t="s">
        <v>1961</v>
      </c>
      <c r="D346" t="s">
        <v>125</v>
      </c>
      <c r="E346" t="s">
        <v>1909</v>
      </c>
      <c r="F346" t="s">
        <v>215</v>
      </c>
      <c r="G346" t="s">
        <v>38</v>
      </c>
      <c r="H346" t="s">
        <v>25</v>
      </c>
      <c r="I346">
        <v>1.9999999999999999E-6</v>
      </c>
      <c r="J346">
        <v>0</v>
      </c>
      <c r="K346">
        <v>0</v>
      </c>
      <c r="L346">
        <v>0</v>
      </c>
      <c r="M346">
        <v>1.9999999999999999E-6</v>
      </c>
      <c r="N346">
        <v>0.9</v>
      </c>
      <c r="O346">
        <v>5</v>
      </c>
      <c r="P346">
        <v>2</v>
      </c>
      <c r="Q346">
        <v>4</v>
      </c>
      <c r="R346">
        <v>2</v>
      </c>
      <c r="S346">
        <v>70125</v>
      </c>
      <c r="T346">
        <v>1.9100000000000002E-2</v>
      </c>
      <c r="U346" t="s">
        <v>1962</v>
      </c>
      <c r="V346" t="s">
        <v>129</v>
      </c>
      <c r="W346" t="s">
        <v>417</v>
      </c>
      <c r="X346" t="s">
        <v>284</v>
      </c>
      <c r="Y346" t="s">
        <v>1963</v>
      </c>
      <c r="Z346" s="70">
        <f>I346*'Dynamic Analysis Dashboard'!$B$8*'Dynamic Analysis Dashboard'!$B$9*'Dynamic Analysis Dashboard'!$B$21</f>
        <v>1.35E-6</v>
      </c>
      <c r="AA346" s="75">
        <f>J346*'Dynamic Analysis Dashboard'!$B$8*'Dynamic Analysis Dashboard'!$B$9*'Dynamic Analysis Dashboard'!$B$21</f>
        <v>0</v>
      </c>
      <c r="AB346" s="80">
        <f>K346*'Dynamic Analysis Dashboard'!$B$10*'Dynamic Analysis Dashboard'!$B$9*'Dynamic Analysis Dashboard'!$B$21</f>
        <v>0</v>
      </c>
      <c r="AC346" s="85">
        <f>L346*'Dynamic Analysis Dashboard'!$B$11*'Dynamic Analysis Dashboard'!$B$9*'Dynamic Analysis Dashboard'!$B$21</f>
        <v>0</v>
      </c>
      <c r="AD346" s="120">
        <f t="shared" si="10"/>
        <v>1.35E-6</v>
      </c>
      <c r="AE346" s="121">
        <f t="shared" si="11"/>
        <v>1.215E-6</v>
      </c>
    </row>
    <row r="347" spans="1:31" hidden="1" x14ac:dyDescent="0.2">
      <c r="A347" t="s">
        <v>67</v>
      </c>
      <c r="B347" t="s">
        <v>156</v>
      </c>
      <c r="C347" t="s">
        <v>1964</v>
      </c>
      <c r="D347" t="s">
        <v>166</v>
      </c>
      <c r="E347" t="s">
        <v>1965</v>
      </c>
      <c r="F347" t="s">
        <v>223</v>
      </c>
      <c r="G347" t="s">
        <v>38</v>
      </c>
      <c r="H347" t="s">
        <v>28</v>
      </c>
      <c r="I347">
        <v>6.2999999999999998E-6</v>
      </c>
      <c r="J347">
        <v>0</v>
      </c>
      <c r="K347">
        <v>0</v>
      </c>
      <c r="L347">
        <v>1.1000000000000001E-6</v>
      </c>
      <c r="M347">
        <v>7.4000000000000003E-6</v>
      </c>
      <c r="N347">
        <v>0.8</v>
      </c>
      <c r="O347">
        <v>8</v>
      </c>
      <c r="P347">
        <v>3</v>
      </c>
      <c r="Q347">
        <v>3</v>
      </c>
      <c r="R347">
        <v>4</v>
      </c>
      <c r="S347">
        <v>780000</v>
      </c>
      <c r="T347">
        <v>0.16839999999999999</v>
      </c>
      <c r="U347" t="s">
        <v>1966</v>
      </c>
      <c r="V347" t="s">
        <v>129</v>
      </c>
      <c r="W347" t="s">
        <v>417</v>
      </c>
      <c r="X347" t="s">
        <v>1967</v>
      </c>
      <c r="Y347" t="s">
        <v>1968</v>
      </c>
      <c r="Z347" s="70">
        <f>I347*'Dynamic Analysis Dashboard'!$B$8*'Dynamic Analysis Dashboard'!$B$9*'Dynamic Analysis Dashboard'!$B$21</f>
        <v>4.2525000000000004E-6</v>
      </c>
      <c r="AA347" s="75">
        <f>J347*'Dynamic Analysis Dashboard'!$B$8*'Dynamic Analysis Dashboard'!$B$9*'Dynamic Analysis Dashboard'!$B$21</f>
        <v>0</v>
      </c>
      <c r="AB347" s="80">
        <f>K347*'Dynamic Analysis Dashboard'!$B$10*'Dynamic Analysis Dashboard'!$B$9*'Dynamic Analysis Dashboard'!$B$21</f>
        <v>0</v>
      </c>
      <c r="AC347" s="85">
        <f>L347*'Dynamic Analysis Dashboard'!$B$11*'Dynamic Analysis Dashboard'!$B$9*'Dynamic Analysis Dashboard'!$B$21</f>
        <v>7.0125000000000006E-7</v>
      </c>
      <c r="AD347" s="120">
        <f t="shared" si="10"/>
        <v>4.9537500000000006E-6</v>
      </c>
      <c r="AE347" s="121">
        <f t="shared" si="11"/>
        <v>3.9630000000000009E-6</v>
      </c>
    </row>
    <row r="348" spans="1:31" hidden="1" x14ac:dyDescent="0.2">
      <c r="A348" t="s">
        <v>67</v>
      </c>
      <c r="B348" t="s">
        <v>164</v>
      </c>
      <c r="C348" t="s">
        <v>1969</v>
      </c>
      <c r="D348" t="s">
        <v>287</v>
      </c>
      <c r="E348" t="s">
        <v>1970</v>
      </c>
      <c r="F348" t="s">
        <v>198</v>
      </c>
      <c r="G348" t="s">
        <v>38</v>
      </c>
      <c r="H348" t="s">
        <v>28</v>
      </c>
      <c r="I348">
        <v>1.8000000000000001E-6</v>
      </c>
      <c r="J348">
        <v>0</v>
      </c>
      <c r="K348">
        <v>1.9999999999999999E-6</v>
      </c>
      <c r="L348">
        <v>0</v>
      </c>
      <c r="M348">
        <v>3.7999999999999996E-6</v>
      </c>
      <c r="N348">
        <v>0.8</v>
      </c>
      <c r="O348">
        <v>6</v>
      </c>
      <c r="P348">
        <v>3</v>
      </c>
      <c r="Q348">
        <v>2</v>
      </c>
      <c r="R348">
        <v>3</v>
      </c>
      <c r="S348">
        <v>82560</v>
      </c>
      <c r="T348">
        <v>2.5399999999999999E-2</v>
      </c>
      <c r="U348" t="s">
        <v>1971</v>
      </c>
      <c r="V348" t="s">
        <v>129</v>
      </c>
      <c r="W348" t="s">
        <v>1972</v>
      </c>
      <c r="X348" t="s">
        <v>284</v>
      </c>
      <c r="Y348" t="s">
        <v>1973</v>
      </c>
      <c r="Z348" s="70">
        <f>I348*'Dynamic Analysis Dashboard'!$B$8*'Dynamic Analysis Dashboard'!$B$9*'Dynamic Analysis Dashboard'!$B$21</f>
        <v>1.2150000000000002E-6</v>
      </c>
      <c r="AA348" s="75">
        <f>J348*'Dynamic Analysis Dashboard'!$B$8*'Dynamic Analysis Dashboard'!$B$9*'Dynamic Analysis Dashboard'!$B$21</f>
        <v>0</v>
      </c>
      <c r="AB348" s="80">
        <f>K348*'Dynamic Analysis Dashboard'!$B$10*'Dynamic Analysis Dashboard'!$B$9*'Dynamic Analysis Dashboard'!$B$21</f>
        <v>1.1999999999999999E-6</v>
      </c>
      <c r="AC348" s="85">
        <f>L348*'Dynamic Analysis Dashboard'!$B$11*'Dynamic Analysis Dashboard'!$B$9*'Dynamic Analysis Dashboard'!$B$21</f>
        <v>0</v>
      </c>
      <c r="AD348" s="120">
        <f t="shared" si="10"/>
        <v>2.4150000000000002E-6</v>
      </c>
      <c r="AE348" s="121">
        <f t="shared" si="11"/>
        <v>1.9320000000000003E-6</v>
      </c>
    </row>
    <row r="349" spans="1:31" hidden="1" x14ac:dyDescent="0.2">
      <c r="A349" t="s">
        <v>67</v>
      </c>
      <c r="B349" t="s">
        <v>172</v>
      </c>
      <c r="C349" t="s">
        <v>1974</v>
      </c>
      <c r="D349" t="s">
        <v>315</v>
      </c>
      <c r="E349" t="s">
        <v>1548</v>
      </c>
      <c r="F349" t="s">
        <v>324</v>
      </c>
      <c r="G349" t="s">
        <v>38</v>
      </c>
      <c r="H349" t="s">
        <v>33</v>
      </c>
      <c r="I349">
        <v>3.4000000000000001E-6</v>
      </c>
      <c r="J349">
        <v>0</v>
      </c>
      <c r="K349">
        <v>0</v>
      </c>
      <c r="L349">
        <v>0</v>
      </c>
      <c r="M349">
        <v>3.4000000000000001E-6</v>
      </c>
      <c r="N349">
        <v>0.75</v>
      </c>
      <c r="O349">
        <v>8</v>
      </c>
      <c r="P349">
        <v>3</v>
      </c>
      <c r="Q349">
        <v>3</v>
      </c>
      <c r="R349">
        <v>3</v>
      </c>
      <c r="S349">
        <v>1808000</v>
      </c>
      <c r="T349">
        <v>0.38900000000000001</v>
      </c>
      <c r="U349" t="s">
        <v>1975</v>
      </c>
      <c r="V349" t="s">
        <v>129</v>
      </c>
      <c r="W349" t="s">
        <v>417</v>
      </c>
      <c r="X349" t="s">
        <v>284</v>
      </c>
      <c r="Y349" t="s">
        <v>1976</v>
      </c>
      <c r="Z349" s="70">
        <f>I349*'Dynamic Analysis Dashboard'!$B$8*'Dynamic Analysis Dashboard'!$B$9*'Dynamic Analysis Dashboard'!$B$21</f>
        <v>2.295E-6</v>
      </c>
      <c r="AA349" s="75">
        <f>J349*'Dynamic Analysis Dashboard'!$B$8*'Dynamic Analysis Dashboard'!$B$9*'Dynamic Analysis Dashboard'!$B$21</f>
        <v>0</v>
      </c>
      <c r="AB349" s="80">
        <f>K349*'Dynamic Analysis Dashboard'!$B$10*'Dynamic Analysis Dashboard'!$B$9*'Dynamic Analysis Dashboard'!$B$21</f>
        <v>0</v>
      </c>
      <c r="AC349" s="85">
        <f>L349*'Dynamic Analysis Dashboard'!$B$11*'Dynamic Analysis Dashboard'!$B$9*'Dynamic Analysis Dashboard'!$B$21</f>
        <v>0</v>
      </c>
      <c r="AD349" s="120">
        <f t="shared" si="10"/>
        <v>2.295E-6</v>
      </c>
      <c r="AE349" s="121">
        <f t="shared" si="11"/>
        <v>1.72125E-6</v>
      </c>
    </row>
    <row r="350" spans="1:31" hidden="1" x14ac:dyDescent="0.2">
      <c r="A350" t="s">
        <v>67</v>
      </c>
      <c r="B350" t="s">
        <v>186</v>
      </c>
      <c r="C350" t="s">
        <v>1977</v>
      </c>
      <c r="D350" t="s">
        <v>287</v>
      </c>
      <c r="E350" t="s">
        <v>1978</v>
      </c>
      <c r="F350" t="s">
        <v>1514</v>
      </c>
      <c r="G350" t="s">
        <v>38</v>
      </c>
      <c r="H350" t="s">
        <v>28</v>
      </c>
      <c r="I350">
        <v>0.5</v>
      </c>
      <c r="J350">
        <v>2.7999999999999999E-6</v>
      </c>
      <c r="K350">
        <v>0</v>
      </c>
      <c r="L350">
        <v>0</v>
      </c>
      <c r="M350">
        <v>3.2999999999999997E-6</v>
      </c>
      <c r="N350">
        <v>0.85</v>
      </c>
      <c r="O350">
        <v>6</v>
      </c>
      <c r="P350">
        <v>3</v>
      </c>
      <c r="Q350">
        <v>2</v>
      </c>
      <c r="R350">
        <v>4</v>
      </c>
      <c r="S350">
        <v>5670</v>
      </c>
      <c r="T350">
        <v>1.09E-2</v>
      </c>
      <c r="U350" t="s">
        <v>1979</v>
      </c>
      <c r="V350" t="s">
        <v>1980</v>
      </c>
      <c r="W350" t="s">
        <v>417</v>
      </c>
      <c r="X350" t="s">
        <v>284</v>
      </c>
      <c r="Y350" t="s">
        <v>1981</v>
      </c>
      <c r="Z350" s="70">
        <f>I350*'Dynamic Analysis Dashboard'!$B$8*'Dynamic Analysis Dashboard'!$B$9*'Dynamic Analysis Dashboard'!$B$21</f>
        <v>0.33750000000000002</v>
      </c>
      <c r="AA350" s="75">
        <f>J350*'Dynamic Analysis Dashboard'!$B$8*'Dynamic Analysis Dashboard'!$B$9*'Dynamic Analysis Dashboard'!$B$21</f>
        <v>1.8900000000000001E-6</v>
      </c>
      <c r="AB350" s="80">
        <f>K350*'Dynamic Analysis Dashboard'!$B$10*'Dynamic Analysis Dashboard'!$B$9*'Dynamic Analysis Dashboard'!$B$21</f>
        <v>0</v>
      </c>
      <c r="AC350" s="85">
        <f>L350*'Dynamic Analysis Dashboard'!$B$11*'Dynamic Analysis Dashboard'!$B$9*'Dynamic Analysis Dashboard'!$B$21</f>
        <v>0</v>
      </c>
      <c r="AD350" s="120">
        <f t="shared" si="10"/>
        <v>0.33750189000000003</v>
      </c>
      <c r="AE350" s="121">
        <f t="shared" si="11"/>
        <v>0.28687660650000002</v>
      </c>
    </row>
    <row r="351" spans="1:31" hidden="1" x14ac:dyDescent="0.2">
      <c r="A351" t="s">
        <v>67</v>
      </c>
      <c r="B351" t="s">
        <v>194</v>
      </c>
      <c r="C351" t="s">
        <v>1982</v>
      </c>
      <c r="D351" t="s">
        <v>315</v>
      </c>
      <c r="E351" t="s">
        <v>1983</v>
      </c>
      <c r="F351" t="s">
        <v>206</v>
      </c>
      <c r="G351" t="s">
        <v>38</v>
      </c>
      <c r="H351" t="s">
        <v>33</v>
      </c>
      <c r="I351">
        <v>0.9</v>
      </c>
      <c r="J351">
        <v>0</v>
      </c>
      <c r="K351">
        <v>3.7999999999999996E-6</v>
      </c>
      <c r="L351">
        <v>0</v>
      </c>
      <c r="M351">
        <v>4.6999999999999999E-6</v>
      </c>
      <c r="N351">
        <v>0.75</v>
      </c>
      <c r="O351">
        <v>10</v>
      </c>
      <c r="P351">
        <v>4</v>
      </c>
      <c r="Q351">
        <v>3</v>
      </c>
      <c r="R351">
        <v>4</v>
      </c>
      <c r="S351">
        <v>3200000</v>
      </c>
      <c r="T351">
        <v>0.68759999999999999</v>
      </c>
      <c r="U351" t="s">
        <v>1984</v>
      </c>
      <c r="V351" t="s">
        <v>129</v>
      </c>
      <c r="W351" t="s">
        <v>1985</v>
      </c>
      <c r="X351" t="s">
        <v>284</v>
      </c>
      <c r="Y351" t="s">
        <v>1986</v>
      </c>
      <c r="Z351" s="70">
        <f>I351*'Dynamic Analysis Dashboard'!$B$8*'Dynamic Analysis Dashboard'!$B$9*'Dynamic Analysis Dashboard'!$B$21</f>
        <v>0.60750000000000004</v>
      </c>
      <c r="AA351" s="75">
        <f>J351*'Dynamic Analysis Dashboard'!$B$8*'Dynamic Analysis Dashboard'!$B$9*'Dynamic Analysis Dashboard'!$B$21</f>
        <v>0</v>
      </c>
      <c r="AB351" s="80">
        <f>K351*'Dynamic Analysis Dashboard'!$B$10*'Dynamic Analysis Dashboard'!$B$9*'Dynamic Analysis Dashboard'!$B$21</f>
        <v>2.2799999999999998E-6</v>
      </c>
      <c r="AC351" s="85">
        <f>L351*'Dynamic Analysis Dashboard'!$B$11*'Dynamic Analysis Dashboard'!$B$9*'Dynamic Analysis Dashboard'!$B$21</f>
        <v>0</v>
      </c>
      <c r="AD351" s="120">
        <f t="shared" si="10"/>
        <v>0.60750228000000006</v>
      </c>
      <c r="AE351" s="121">
        <f t="shared" si="11"/>
        <v>0.45562671000000005</v>
      </c>
    </row>
    <row r="352" spans="1:31" x14ac:dyDescent="0.2">
      <c r="A352" t="s">
        <v>60</v>
      </c>
      <c r="B352" t="s">
        <v>186</v>
      </c>
      <c r="C352" t="s">
        <v>1987</v>
      </c>
      <c r="D352" t="s">
        <v>1988</v>
      </c>
      <c r="E352" t="s">
        <v>841</v>
      </c>
      <c r="F352" t="s">
        <v>330</v>
      </c>
      <c r="G352" t="s">
        <v>24</v>
      </c>
      <c r="H352" t="s">
        <v>28</v>
      </c>
      <c r="I352">
        <v>3.6000000000000003E-6</v>
      </c>
      <c r="J352">
        <v>0</v>
      </c>
      <c r="K352">
        <v>1.8000000000000001E-6</v>
      </c>
      <c r="L352">
        <v>0</v>
      </c>
      <c r="M352">
        <v>5.4E-6</v>
      </c>
      <c r="N352">
        <v>0.8</v>
      </c>
      <c r="O352">
        <v>6</v>
      </c>
      <c r="P352">
        <v>2</v>
      </c>
      <c r="Q352">
        <v>3</v>
      </c>
      <c r="R352">
        <v>3</v>
      </c>
      <c r="S352">
        <v>16560</v>
      </c>
      <c r="T352">
        <v>3.8</v>
      </c>
      <c r="U352" t="s">
        <v>1989</v>
      </c>
      <c r="V352" t="s">
        <v>129</v>
      </c>
      <c r="W352" t="s">
        <v>1990</v>
      </c>
      <c r="X352" t="s">
        <v>131</v>
      </c>
      <c r="Y352" t="s">
        <v>1991</v>
      </c>
      <c r="Z352" s="70">
        <f>I352*'Dynamic Analysis Dashboard'!$B$8*'Dynamic Analysis Dashboard'!$B$9*'Dynamic Analysis Dashboard'!$B$21</f>
        <v>2.4300000000000005E-6</v>
      </c>
      <c r="AA352" s="75">
        <f>J352*'Dynamic Analysis Dashboard'!$B$8*'Dynamic Analysis Dashboard'!$B$9*'Dynamic Analysis Dashboard'!$B$21</f>
        <v>0</v>
      </c>
      <c r="AB352" s="80">
        <f>K352*'Dynamic Analysis Dashboard'!$B$10*'Dynamic Analysis Dashboard'!$B$9*'Dynamic Analysis Dashboard'!$B$21</f>
        <v>1.0800000000000002E-6</v>
      </c>
      <c r="AC352" s="85">
        <f>L352*'Dynamic Analysis Dashboard'!$B$11*'Dynamic Analysis Dashboard'!$B$9*'Dynamic Analysis Dashboard'!$B$21</f>
        <v>0</v>
      </c>
      <c r="AD352" s="120">
        <f t="shared" si="10"/>
        <v>3.5100000000000007E-6</v>
      </c>
      <c r="AE352" s="121">
        <f t="shared" si="11"/>
        <v>2.8080000000000009E-6</v>
      </c>
    </row>
    <row r="353" spans="1:31" hidden="1" x14ac:dyDescent="0.2">
      <c r="A353" t="s">
        <v>60</v>
      </c>
      <c r="B353" t="s">
        <v>141</v>
      </c>
      <c r="C353" t="s">
        <v>1992</v>
      </c>
      <c r="D353" t="s">
        <v>174</v>
      </c>
      <c r="E353" t="s">
        <v>288</v>
      </c>
      <c r="F353" t="s">
        <v>670</v>
      </c>
      <c r="G353" t="s">
        <v>38</v>
      </c>
      <c r="H353" t="s">
        <v>311</v>
      </c>
      <c r="I353">
        <v>1.8000000000000001E-6</v>
      </c>
      <c r="J353">
        <v>0</v>
      </c>
      <c r="K353">
        <v>3.6000000000000003E-6</v>
      </c>
      <c r="L353">
        <v>0</v>
      </c>
      <c r="M353">
        <v>5.4E-6</v>
      </c>
      <c r="N353">
        <v>0.75</v>
      </c>
      <c r="O353">
        <v>12</v>
      </c>
      <c r="P353">
        <v>3</v>
      </c>
      <c r="Q353">
        <v>2</v>
      </c>
      <c r="R353">
        <v>4</v>
      </c>
      <c r="S353">
        <v>21420</v>
      </c>
      <c r="T353">
        <v>4.5999999999999996</v>
      </c>
      <c r="U353" t="s">
        <v>1993</v>
      </c>
      <c r="V353" t="s">
        <v>129</v>
      </c>
      <c r="W353" t="s">
        <v>1994</v>
      </c>
      <c r="X353" t="s">
        <v>131</v>
      </c>
      <c r="Y353" t="s">
        <v>1995</v>
      </c>
      <c r="Z353" s="70">
        <f>I353*'Dynamic Analysis Dashboard'!$B$8*'Dynamic Analysis Dashboard'!$B$9*'Dynamic Analysis Dashboard'!$B$21</f>
        <v>1.2150000000000002E-6</v>
      </c>
      <c r="AA353" s="75">
        <f>J353*'Dynamic Analysis Dashboard'!$B$8*'Dynamic Analysis Dashboard'!$B$9*'Dynamic Analysis Dashboard'!$B$21</f>
        <v>0</v>
      </c>
      <c r="AB353" s="80">
        <f>K353*'Dynamic Analysis Dashboard'!$B$10*'Dynamic Analysis Dashboard'!$B$9*'Dynamic Analysis Dashboard'!$B$21</f>
        <v>2.1600000000000005E-6</v>
      </c>
      <c r="AC353" s="85">
        <f>L353*'Dynamic Analysis Dashboard'!$B$11*'Dynamic Analysis Dashboard'!$B$9*'Dynamic Analysis Dashboard'!$B$21</f>
        <v>0</v>
      </c>
      <c r="AD353" s="120">
        <f t="shared" si="10"/>
        <v>3.3750000000000007E-6</v>
      </c>
      <c r="AE353" s="121">
        <f t="shared" si="11"/>
        <v>2.5312500000000005E-6</v>
      </c>
    </row>
    <row r="354" spans="1:31" hidden="1" x14ac:dyDescent="0.2">
      <c r="A354" t="s">
        <v>60</v>
      </c>
      <c r="B354" t="s">
        <v>123</v>
      </c>
      <c r="C354" t="s">
        <v>1996</v>
      </c>
      <c r="D354" t="s">
        <v>1988</v>
      </c>
      <c r="E354" t="s">
        <v>1333</v>
      </c>
      <c r="F354" t="s">
        <v>206</v>
      </c>
      <c r="G354" t="s">
        <v>38</v>
      </c>
      <c r="H354" t="s">
        <v>28</v>
      </c>
      <c r="I354">
        <v>5.0999999999999995E-6</v>
      </c>
      <c r="J354">
        <v>0</v>
      </c>
      <c r="K354">
        <v>0</v>
      </c>
      <c r="L354">
        <v>2.6000000000000001E-6</v>
      </c>
      <c r="M354">
        <v>7.7000000000000008E-6</v>
      </c>
      <c r="N354">
        <v>0.7</v>
      </c>
      <c r="O354">
        <v>9</v>
      </c>
      <c r="P354">
        <v>3</v>
      </c>
      <c r="Q354">
        <v>3</v>
      </c>
      <c r="R354">
        <v>4</v>
      </c>
      <c r="S354">
        <v>15408</v>
      </c>
      <c r="T354">
        <v>3.1</v>
      </c>
      <c r="U354" t="s">
        <v>1997</v>
      </c>
      <c r="V354" t="s">
        <v>129</v>
      </c>
      <c r="W354" t="s">
        <v>682</v>
      </c>
      <c r="X354" t="s">
        <v>1998</v>
      </c>
      <c r="Y354" t="s">
        <v>1999</v>
      </c>
      <c r="Z354" s="70">
        <f>I354*'Dynamic Analysis Dashboard'!$B$8*'Dynamic Analysis Dashboard'!$B$9*'Dynamic Analysis Dashboard'!$B$21</f>
        <v>3.4424999999999997E-6</v>
      </c>
      <c r="AA354" s="75">
        <f>J354*'Dynamic Analysis Dashboard'!$B$8*'Dynamic Analysis Dashboard'!$B$9*'Dynamic Analysis Dashboard'!$B$21</f>
        <v>0</v>
      </c>
      <c r="AB354" s="80">
        <f>K354*'Dynamic Analysis Dashboard'!$B$10*'Dynamic Analysis Dashboard'!$B$9*'Dynamic Analysis Dashboard'!$B$21</f>
        <v>0</v>
      </c>
      <c r="AC354" s="85">
        <f>L354*'Dynamic Analysis Dashboard'!$B$11*'Dynamic Analysis Dashboard'!$B$9*'Dynamic Analysis Dashboard'!$B$21</f>
        <v>1.6575E-6</v>
      </c>
      <c r="AD354" s="120">
        <f t="shared" si="10"/>
        <v>5.0999999999999995E-6</v>
      </c>
      <c r="AE354" s="121">
        <f t="shared" si="11"/>
        <v>3.5699999999999993E-6</v>
      </c>
    </row>
    <row r="355" spans="1:31" hidden="1" x14ac:dyDescent="0.2">
      <c r="A355" t="s">
        <v>60</v>
      </c>
      <c r="B355" t="s">
        <v>149</v>
      </c>
      <c r="C355" t="s">
        <v>2000</v>
      </c>
      <c r="D355" t="s">
        <v>328</v>
      </c>
      <c r="E355" t="s">
        <v>2001</v>
      </c>
      <c r="F355" t="s">
        <v>338</v>
      </c>
      <c r="G355" t="s">
        <v>31</v>
      </c>
      <c r="H355" t="s">
        <v>25</v>
      </c>
      <c r="I355">
        <v>1.3999999999999999E-6</v>
      </c>
      <c r="J355">
        <v>3.8000000000000002E-5</v>
      </c>
      <c r="K355">
        <v>0</v>
      </c>
      <c r="L355">
        <v>0</v>
      </c>
      <c r="M355">
        <v>3.9399999999999995E-5</v>
      </c>
      <c r="N355">
        <v>0.65</v>
      </c>
      <c r="O355">
        <v>6</v>
      </c>
      <c r="P355">
        <v>2</v>
      </c>
      <c r="Q355">
        <v>2</v>
      </c>
      <c r="R355">
        <v>3</v>
      </c>
      <c r="S355">
        <v>15200</v>
      </c>
      <c r="T355">
        <v>3.4</v>
      </c>
      <c r="U355" t="s">
        <v>2002</v>
      </c>
      <c r="V355" t="s">
        <v>2003</v>
      </c>
      <c r="W355" t="s">
        <v>682</v>
      </c>
      <c r="X355" t="s">
        <v>131</v>
      </c>
      <c r="Y355" t="s">
        <v>2004</v>
      </c>
      <c r="Z355" s="70">
        <f>I355*'Dynamic Analysis Dashboard'!$B$8*'Dynamic Analysis Dashboard'!$B$9*'Dynamic Analysis Dashboard'!$B$21</f>
        <v>9.4500000000000006E-7</v>
      </c>
      <c r="AA355" s="75">
        <f>J355*'Dynamic Analysis Dashboard'!$B$8*'Dynamic Analysis Dashboard'!$B$9*'Dynamic Analysis Dashboard'!$B$21</f>
        <v>2.5650000000000003E-5</v>
      </c>
      <c r="AB355" s="80">
        <f>K355*'Dynamic Analysis Dashboard'!$B$10*'Dynamic Analysis Dashboard'!$B$9*'Dynamic Analysis Dashboard'!$B$21</f>
        <v>0</v>
      </c>
      <c r="AC355" s="85">
        <f>L355*'Dynamic Analysis Dashboard'!$B$11*'Dynamic Analysis Dashboard'!$B$9*'Dynamic Analysis Dashboard'!$B$21</f>
        <v>0</v>
      </c>
      <c r="AD355" s="120">
        <f t="shared" si="10"/>
        <v>2.6595000000000002E-5</v>
      </c>
      <c r="AE355" s="121">
        <f t="shared" si="11"/>
        <v>1.7286750000000002E-5</v>
      </c>
    </row>
    <row r="356" spans="1:31" hidden="1" x14ac:dyDescent="0.2">
      <c r="A356" t="s">
        <v>60</v>
      </c>
      <c r="B356" t="s">
        <v>133</v>
      </c>
      <c r="C356" t="s">
        <v>2005</v>
      </c>
      <c r="D356" t="s">
        <v>125</v>
      </c>
      <c r="E356" t="s">
        <v>709</v>
      </c>
      <c r="F356" t="s">
        <v>1525</v>
      </c>
      <c r="G356" t="s">
        <v>31</v>
      </c>
      <c r="H356" t="s">
        <v>25</v>
      </c>
      <c r="I356">
        <v>3.7999999999999996E-6</v>
      </c>
      <c r="J356">
        <v>6.0000000000000002E-6</v>
      </c>
      <c r="K356">
        <v>0</v>
      </c>
      <c r="L356">
        <v>0</v>
      </c>
      <c r="M356">
        <v>9.800000000000001E-6</v>
      </c>
      <c r="N356">
        <v>0.8</v>
      </c>
      <c r="O356">
        <v>6</v>
      </c>
      <c r="P356">
        <v>2</v>
      </c>
      <c r="Q356">
        <v>3</v>
      </c>
      <c r="R356">
        <v>3</v>
      </c>
      <c r="S356">
        <v>19600</v>
      </c>
      <c r="T356">
        <v>4.7</v>
      </c>
      <c r="U356" t="s">
        <v>2006</v>
      </c>
      <c r="V356" t="s">
        <v>2007</v>
      </c>
      <c r="W356" t="s">
        <v>682</v>
      </c>
      <c r="X356" t="s">
        <v>131</v>
      </c>
      <c r="Y356" t="s">
        <v>2008</v>
      </c>
      <c r="Z356" s="70">
        <f>I356*'Dynamic Analysis Dashboard'!$B$8*'Dynamic Analysis Dashboard'!$B$9*'Dynamic Analysis Dashboard'!$B$21</f>
        <v>2.565E-6</v>
      </c>
      <c r="AA356" s="75">
        <f>J356*'Dynamic Analysis Dashboard'!$B$8*'Dynamic Analysis Dashboard'!$B$9*'Dynamic Analysis Dashboard'!$B$21</f>
        <v>4.0500000000000002E-6</v>
      </c>
      <c r="AB356" s="80">
        <f>K356*'Dynamic Analysis Dashboard'!$B$10*'Dynamic Analysis Dashboard'!$B$9*'Dynamic Analysis Dashboard'!$B$21</f>
        <v>0</v>
      </c>
      <c r="AC356" s="85">
        <f>L356*'Dynamic Analysis Dashboard'!$B$11*'Dynamic Analysis Dashboard'!$B$9*'Dynamic Analysis Dashboard'!$B$21</f>
        <v>0</v>
      </c>
      <c r="AD356" s="120">
        <f t="shared" si="10"/>
        <v>6.6150000000000002E-6</v>
      </c>
      <c r="AE356" s="121">
        <f t="shared" si="11"/>
        <v>5.2920000000000003E-6</v>
      </c>
    </row>
    <row r="357" spans="1:31" hidden="1" x14ac:dyDescent="0.2">
      <c r="A357" t="s">
        <v>60</v>
      </c>
      <c r="B357" t="s">
        <v>156</v>
      </c>
      <c r="C357" t="s">
        <v>2009</v>
      </c>
      <c r="D357" t="s">
        <v>547</v>
      </c>
      <c r="E357" t="s">
        <v>2010</v>
      </c>
      <c r="F357" t="s">
        <v>259</v>
      </c>
      <c r="G357" t="s">
        <v>38</v>
      </c>
      <c r="H357" t="s">
        <v>33</v>
      </c>
      <c r="I357">
        <v>4.2000000000000004E-6</v>
      </c>
      <c r="J357">
        <v>2.02E-5</v>
      </c>
      <c r="K357">
        <v>0</v>
      </c>
      <c r="L357">
        <v>0</v>
      </c>
      <c r="M357">
        <v>2.44E-5</v>
      </c>
      <c r="N357">
        <v>0.6</v>
      </c>
      <c r="O357">
        <v>15</v>
      </c>
      <c r="P357">
        <v>4</v>
      </c>
      <c r="Q357">
        <v>2</v>
      </c>
      <c r="R357">
        <v>4</v>
      </c>
      <c r="S357">
        <v>3330</v>
      </c>
      <c r="T357">
        <v>0.9</v>
      </c>
      <c r="U357" t="s">
        <v>2011</v>
      </c>
      <c r="V357" t="s">
        <v>2012</v>
      </c>
      <c r="W357" t="s">
        <v>682</v>
      </c>
      <c r="X357" t="s">
        <v>131</v>
      </c>
      <c r="Y357" t="s">
        <v>2013</v>
      </c>
      <c r="Z357" s="70">
        <f>I357*'Dynamic Analysis Dashboard'!$B$8*'Dynamic Analysis Dashboard'!$B$9*'Dynamic Analysis Dashboard'!$B$21</f>
        <v>2.8350000000000004E-6</v>
      </c>
      <c r="AA357" s="75">
        <f>J357*'Dynamic Analysis Dashboard'!$B$8*'Dynamic Analysis Dashboard'!$B$9*'Dynamic Analysis Dashboard'!$B$21</f>
        <v>1.3634999999999999E-5</v>
      </c>
      <c r="AB357" s="80">
        <f>K357*'Dynamic Analysis Dashboard'!$B$10*'Dynamic Analysis Dashboard'!$B$9*'Dynamic Analysis Dashboard'!$B$21</f>
        <v>0</v>
      </c>
      <c r="AC357" s="85">
        <f>L357*'Dynamic Analysis Dashboard'!$B$11*'Dynamic Analysis Dashboard'!$B$9*'Dynamic Analysis Dashboard'!$B$21</f>
        <v>0</v>
      </c>
      <c r="AD357" s="120">
        <f t="shared" si="10"/>
        <v>1.647E-5</v>
      </c>
      <c r="AE357" s="121">
        <f t="shared" si="11"/>
        <v>9.8819999999999996E-6</v>
      </c>
    </row>
    <row r="358" spans="1:31" hidden="1" x14ac:dyDescent="0.2">
      <c r="A358" t="s">
        <v>60</v>
      </c>
      <c r="B358" t="s">
        <v>164</v>
      </c>
      <c r="C358" t="s">
        <v>2014</v>
      </c>
      <c r="D358" t="s">
        <v>174</v>
      </c>
      <c r="E358" t="s">
        <v>2015</v>
      </c>
      <c r="F358" t="s">
        <v>223</v>
      </c>
      <c r="G358" t="s">
        <v>38</v>
      </c>
      <c r="H358" t="s">
        <v>33</v>
      </c>
      <c r="I358">
        <v>2.8999999999999998E-6</v>
      </c>
      <c r="J358">
        <v>0</v>
      </c>
      <c r="K358">
        <v>2.3999999999999999E-6</v>
      </c>
      <c r="L358">
        <v>1.7E-6</v>
      </c>
      <c r="M358">
        <v>6.9999999999999999E-6</v>
      </c>
      <c r="N358">
        <v>0.7</v>
      </c>
      <c r="O358">
        <v>12</v>
      </c>
      <c r="P358">
        <v>3</v>
      </c>
      <c r="Q358">
        <v>2</v>
      </c>
      <c r="R358">
        <v>4</v>
      </c>
      <c r="S358">
        <v>13440</v>
      </c>
      <c r="T358">
        <v>3.1</v>
      </c>
      <c r="U358" t="s">
        <v>2016</v>
      </c>
      <c r="V358" t="s">
        <v>129</v>
      </c>
      <c r="W358" t="s">
        <v>2017</v>
      </c>
      <c r="X358" t="s">
        <v>2018</v>
      </c>
      <c r="Y358" t="s">
        <v>2019</v>
      </c>
      <c r="Z358" s="70">
        <f>I358*'Dynamic Analysis Dashboard'!$B$8*'Dynamic Analysis Dashboard'!$B$9*'Dynamic Analysis Dashboard'!$B$21</f>
        <v>1.9574999999999999E-6</v>
      </c>
      <c r="AA358" s="75">
        <f>J358*'Dynamic Analysis Dashboard'!$B$8*'Dynamic Analysis Dashboard'!$B$9*'Dynamic Analysis Dashboard'!$B$21</f>
        <v>0</v>
      </c>
      <c r="AB358" s="80">
        <f>K358*'Dynamic Analysis Dashboard'!$B$10*'Dynamic Analysis Dashboard'!$B$9*'Dynamic Analysis Dashboard'!$B$21</f>
        <v>1.4399999999999998E-6</v>
      </c>
      <c r="AC358" s="85">
        <f>L358*'Dynamic Analysis Dashboard'!$B$11*'Dynamic Analysis Dashboard'!$B$9*'Dynamic Analysis Dashboard'!$B$21</f>
        <v>1.08375E-6</v>
      </c>
      <c r="AD358" s="120">
        <f t="shared" si="10"/>
        <v>4.4812499999999997E-6</v>
      </c>
      <c r="AE358" s="121">
        <f t="shared" si="11"/>
        <v>3.1368749999999995E-6</v>
      </c>
    </row>
    <row r="359" spans="1:31" hidden="1" x14ac:dyDescent="0.2">
      <c r="A359" t="s">
        <v>60</v>
      </c>
      <c r="B359" t="s">
        <v>172</v>
      </c>
      <c r="C359" t="s">
        <v>2020</v>
      </c>
      <c r="D359" t="s">
        <v>547</v>
      </c>
      <c r="E359" t="s">
        <v>819</v>
      </c>
      <c r="F359" t="s">
        <v>198</v>
      </c>
      <c r="G359" t="s">
        <v>31</v>
      </c>
      <c r="H359" t="s">
        <v>25</v>
      </c>
      <c r="I359">
        <v>2.1000000000000002E-6</v>
      </c>
      <c r="J359">
        <v>8.4999999999999999E-6</v>
      </c>
      <c r="K359">
        <v>0</v>
      </c>
      <c r="L359">
        <v>0</v>
      </c>
      <c r="M359">
        <v>1.06E-5</v>
      </c>
      <c r="N359">
        <v>0.55000000000000004</v>
      </c>
      <c r="O359">
        <v>6</v>
      </c>
      <c r="P359">
        <v>2</v>
      </c>
      <c r="Q359">
        <v>1</v>
      </c>
      <c r="R359">
        <v>2</v>
      </c>
      <c r="S359">
        <v>5382</v>
      </c>
      <c r="T359">
        <v>1.8</v>
      </c>
      <c r="U359" t="s">
        <v>2021</v>
      </c>
      <c r="V359" t="s">
        <v>2022</v>
      </c>
      <c r="W359" t="s">
        <v>682</v>
      </c>
      <c r="X359" t="s">
        <v>131</v>
      </c>
      <c r="Y359" t="s">
        <v>2023</v>
      </c>
      <c r="Z359" s="70">
        <f>I359*'Dynamic Analysis Dashboard'!$B$8*'Dynamic Analysis Dashboard'!$B$9*'Dynamic Analysis Dashboard'!$B$21</f>
        <v>1.4175000000000002E-6</v>
      </c>
      <c r="AA359" s="75">
        <f>J359*'Dynamic Analysis Dashboard'!$B$8*'Dynamic Analysis Dashboard'!$B$9*'Dynamic Analysis Dashboard'!$B$21</f>
        <v>5.7374999999999997E-6</v>
      </c>
      <c r="AB359" s="80">
        <f>K359*'Dynamic Analysis Dashboard'!$B$10*'Dynamic Analysis Dashboard'!$B$9*'Dynamic Analysis Dashboard'!$B$21</f>
        <v>0</v>
      </c>
      <c r="AC359" s="85">
        <f>L359*'Dynamic Analysis Dashboard'!$B$11*'Dynamic Analysis Dashboard'!$B$9*'Dynamic Analysis Dashboard'!$B$21</f>
        <v>0</v>
      </c>
      <c r="AD359" s="120">
        <f t="shared" si="10"/>
        <v>7.1550000000000001E-6</v>
      </c>
      <c r="AE359" s="121">
        <f t="shared" si="11"/>
        <v>3.9352500000000001E-6</v>
      </c>
    </row>
    <row r="360" spans="1:31" hidden="1" x14ac:dyDescent="0.2">
      <c r="A360" t="s">
        <v>60</v>
      </c>
      <c r="B360" t="s">
        <v>179</v>
      </c>
      <c r="C360" t="s">
        <v>2024</v>
      </c>
      <c r="D360" t="s">
        <v>595</v>
      </c>
      <c r="E360" t="s">
        <v>680</v>
      </c>
      <c r="F360" t="s">
        <v>145</v>
      </c>
      <c r="G360" t="s">
        <v>38</v>
      </c>
      <c r="H360" t="s">
        <v>28</v>
      </c>
      <c r="I360">
        <v>1.8999999999999998E-6</v>
      </c>
      <c r="J360">
        <v>0</v>
      </c>
      <c r="K360">
        <v>0</v>
      </c>
      <c r="L360">
        <v>3.7999999999999996E-6</v>
      </c>
      <c r="M360">
        <v>5.7000000000000005E-6</v>
      </c>
      <c r="N360">
        <v>0.75</v>
      </c>
      <c r="O360">
        <v>9</v>
      </c>
      <c r="P360">
        <v>3</v>
      </c>
      <c r="Q360">
        <v>3</v>
      </c>
      <c r="R360">
        <v>3</v>
      </c>
      <c r="S360">
        <v>282</v>
      </c>
      <c r="T360">
        <v>0.1</v>
      </c>
      <c r="U360" t="s">
        <v>2025</v>
      </c>
      <c r="V360" t="s">
        <v>129</v>
      </c>
      <c r="W360" t="s">
        <v>682</v>
      </c>
      <c r="X360" t="s">
        <v>2026</v>
      </c>
      <c r="Y360" t="s">
        <v>2027</v>
      </c>
      <c r="Z360" s="70">
        <f>I360*'Dynamic Analysis Dashboard'!$B$8*'Dynamic Analysis Dashboard'!$B$9*'Dynamic Analysis Dashboard'!$B$21</f>
        <v>1.2825E-6</v>
      </c>
      <c r="AA360" s="75">
        <f>J360*'Dynamic Analysis Dashboard'!$B$8*'Dynamic Analysis Dashboard'!$B$9*'Dynamic Analysis Dashboard'!$B$21</f>
        <v>0</v>
      </c>
      <c r="AB360" s="80">
        <f>K360*'Dynamic Analysis Dashboard'!$B$10*'Dynamic Analysis Dashboard'!$B$9*'Dynamic Analysis Dashboard'!$B$21</f>
        <v>0</v>
      </c>
      <c r="AC360" s="85">
        <f>L360*'Dynamic Analysis Dashboard'!$B$11*'Dynamic Analysis Dashboard'!$B$9*'Dynamic Analysis Dashboard'!$B$21</f>
        <v>2.4224999999999997E-6</v>
      </c>
      <c r="AD360" s="120">
        <f t="shared" si="10"/>
        <v>3.7049999999999997E-6</v>
      </c>
      <c r="AE360" s="121">
        <f t="shared" si="11"/>
        <v>2.7787499999999999E-6</v>
      </c>
    </row>
    <row r="361" spans="1:31" hidden="1" x14ac:dyDescent="0.2">
      <c r="A361" t="s">
        <v>60</v>
      </c>
      <c r="B361" t="s">
        <v>194</v>
      </c>
      <c r="C361" t="s">
        <v>2028</v>
      </c>
      <c r="D361" t="s">
        <v>166</v>
      </c>
      <c r="E361" t="s">
        <v>802</v>
      </c>
      <c r="F361" t="s">
        <v>1398</v>
      </c>
      <c r="G361" t="s">
        <v>31</v>
      </c>
      <c r="H361" t="s">
        <v>28</v>
      </c>
      <c r="I361">
        <v>2.6000000000000001E-6</v>
      </c>
      <c r="J361">
        <v>0</v>
      </c>
      <c r="K361">
        <v>0</v>
      </c>
      <c r="L361">
        <v>6.8000000000000001E-6</v>
      </c>
      <c r="M361">
        <v>9.3999999999999998E-6</v>
      </c>
      <c r="N361">
        <v>0.7</v>
      </c>
      <c r="O361">
        <v>6</v>
      </c>
      <c r="P361">
        <v>2</v>
      </c>
      <c r="Q361">
        <v>3</v>
      </c>
      <c r="R361">
        <v>2</v>
      </c>
      <c r="S361">
        <v>43200</v>
      </c>
      <c r="T361">
        <v>9.4</v>
      </c>
      <c r="U361" t="s">
        <v>2029</v>
      </c>
      <c r="V361" t="s">
        <v>129</v>
      </c>
      <c r="W361" t="s">
        <v>682</v>
      </c>
      <c r="X361" t="s">
        <v>2030</v>
      </c>
      <c r="Y361" t="s">
        <v>2031</v>
      </c>
      <c r="Z361" s="70">
        <f>I361*'Dynamic Analysis Dashboard'!$B$8*'Dynamic Analysis Dashboard'!$B$9*'Dynamic Analysis Dashboard'!$B$21</f>
        <v>1.7550000000000001E-6</v>
      </c>
      <c r="AA361" s="75">
        <f>J361*'Dynamic Analysis Dashboard'!$B$8*'Dynamic Analysis Dashboard'!$B$9*'Dynamic Analysis Dashboard'!$B$21</f>
        <v>0</v>
      </c>
      <c r="AB361" s="80">
        <f>K361*'Dynamic Analysis Dashboard'!$B$10*'Dynamic Analysis Dashboard'!$B$9*'Dynamic Analysis Dashboard'!$B$21</f>
        <v>0</v>
      </c>
      <c r="AC361" s="85">
        <f>L361*'Dynamic Analysis Dashboard'!$B$11*'Dynamic Analysis Dashboard'!$B$9*'Dynamic Analysis Dashboard'!$B$21</f>
        <v>4.335E-6</v>
      </c>
      <c r="AD361" s="120">
        <f t="shared" si="10"/>
        <v>6.0900000000000001E-6</v>
      </c>
      <c r="AE361" s="121">
        <f t="shared" si="11"/>
        <v>4.2629999999999997E-6</v>
      </c>
    </row>
    <row r="362" spans="1:31" x14ac:dyDescent="0.2">
      <c r="A362" t="s">
        <v>95</v>
      </c>
      <c r="B362" t="s">
        <v>141</v>
      </c>
      <c r="C362" t="s">
        <v>2032</v>
      </c>
      <c r="D362" t="s">
        <v>437</v>
      </c>
      <c r="E362" t="s">
        <v>532</v>
      </c>
      <c r="F362" t="s">
        <v>1180</v>
      </c>
      <c r="G362" t="s">
        <v>24</v>
      </c>
      <c r="H362" t="s">
        <v>25</v>
      </c>
      <c r="I362">
        <v>4.9000000000000005E-6</v>
      </c>
      <c r="J362">
        <v>3.4000000000000001E-6</v>
      </c>
      <c r="K362">
        <v>0</v>
      </c>
      <c r="L362">
        <v>0</v>
      </c>
      <c r="M362">
        <v>8.3000000000000002E-6</v>
      </c>
      <c r="N362">
        <v>0.75</v>
      </c>
      <c r="O362">
        <v>9</v>
      </c>
      <c r="P362">
        <v>4</v>
      </c>
      <c r="Q362">
        <v>2</v>
      </c>
      <c r="R362">
        <v>4</v>
      </c>
      <c r="S362">
        <v>3600</v>
      </c>
      <c r="T362">
        <v>6.4799999999999996E-2</v>
      </c>
      <c r="U362" t="s">
        <v>2033</v>
      </c>
      <c r="V362" t="s">
        <v>2034</v>
      </c>
      <c r="W362" t="s">
        <v>1135</v>
      </c>
      <c r="X362" t="s">
        <v>1135</v>
      </c>
      <c r="Y362" t="s">
        <v>2035</v>
      </c>
      <c r="Z362" s="70">
        <f>I362*'Dynamic Analysis Dashboard'!$B$8*'Dynamic Analysis Dashboard'!$B$9*'Dynamic Analysis Dashboard'!$B$21</f>
        <v>3.3075000000000009E-6</v>
      </c>
      <c r="AA362" s="75">
        <f>J362*'Dynamic Analysis Dashboard'!$B$8*'Dynamic Analysis Dashboard'!$B$9*'Dynamic Analysis Dashboard'!$B$21</f>
        <v>2.295E-6</v>
      </c>
      <c r="AB362" s="80">
        <f>K362*'Dynamic Analysis Dashboard'!$B$10*'Dynamic Analysis Dashboard'!$B$9*'Dynamic Analysis Dashboard'!$B$21</f>
        <v>0</v>
      </c>
      <c r="AC362" s="85">
        <f>L362*'Dynamic Analysis Dashboard'!$B$11*'Dynamic Analysis Dashboard'!$B$9*'Dynamic Analysis Dashboard'!$B$21</f>
        <v>0</v>
      </c>
      <c r="AD362" s="120">
        <f t="shared" si="10"/>
        <v>5.602500000000001E-6</v>
      </c>
      <c r="AE362" s="121">
        <f t="shared" si="11"/>
        <v>4.2018750000000012E-6</v>
      </c>
    </row>
    <row r="363" spans="1:31" x14ac:dyDescent="0.2">
      <c r="A363" t="s">
        <v>95</v>
      </c>
      <c r="B363" t="s">
        <v>123</v>
      </c>
      <c r="C363" t="s">
        <v>2036</v>
      </c>
      <c r="D363" t="s">
        <v>517</v>
      </c>
      <c r="E363" t="s">
        <v>2037</v>
      </c>
      <c r="F363" t="s">
        <v>395</v>
      </c>
      <c r="G363" t="s">
        <v>24</v>
      </c>
      <c r="H363" t="s">
        <v>25</v>
      </c>
      <c r="I363">
        <v>3.7999999999999996E-6</v>
      </c>
      <c r="J363">
        <v>0</v>
      </c>
      <c r="K363">
        <v>0</v>
      </c>
      <c r="L363">
        <v>0</v>
      </c>
      <c r="M363">
        <v>3.7999999999999996E-6</v>
      </c>
      <c r="N363">
        <v>0.8</v>
      </c>
      <c r="O363">
        <v>8</v>
      </c>
      <c r="P363">
        <v>4</v>
      </c>
      <c r="Q363">
        <v>2</v>
      </c>
      <c r="R363">
        <v>5</v>
      </c>
      <c r="S363">
        <v>4200</v>
      </c>
      <c r="T363">
        <v>2.52E-2</v>
      </c>
      <c r="U363" t="s">
        <v>2038</v>
      </c>
      <c r="V363" t="s">
        <v>1135</v>
      </c>
      <c r="W363" t="s">
        <v>1135</v>
      </c>
      <c r="X363" t="s">
        <v>1135</v>
      </c>
      <c r="Y363" t="s">
        <v>2039</v>
      </c>
      <c r="Z363" s="70">
        <f>I363*'Dynamic Analysis Dashboard'!$B$8*'Dynamic Analysis Dashboard'!$B$9*'Dynamic Analysis Dashboard'!$B$21</f>
        <v>2.565E-6</v>
      </c>
      <c r="AA363" s="75">
        <f>J363*'Dynamic Analysis Dashboard'!$B$8*'Dynamic Analysis Dashboard'!$B$9*'Dynamic Analysis Dashboard'!$B$21</f>
        <v>0</v>
      </c>
      <c r="AB363" s="80">
        <f>K363*'Dynamic Analysis Dashboard'!$B$10*'Dynamic Analysis Dashboard'!$B$9*'Dynamic Analysis Dashboard'!$B$21</f>
        <v>0</v>
      </c>
      <c r="AC363" s="85">
        <f>L363*'Dynamic Analysis Dashboard'!$B$11*'Dynamic Analysis Dashboard'!$B$9*'Dynamic Analysis Dashboard'!$B$21</f>
        <v>0</v>
      </c>
      <c r="AD363" s="120">
        <f t="shared" si="10"/>
        <v>2.565E-6</v>
      </c>
      <c r="AE363" s="121">
        <f t="shared" si="11"/>
        <v>2.052E-6</v>
      </c>
    </row>
    <row r="364" spans="1:31" hidden="1" x14ac:dyDescent="0.2">
      <c r="A364" t="s">
        <v>95</v>
      </c>
      <c r="B364" t="s">
        <v>149</v>
      </c>
      <c r="C364" t="s">
        <v>2040</v>
      </c>
      <c r="D364" t="s">
        <v>2041</v>
      </c>
      <c r="E364" t="s">
        <v>2042</v>
      </c>
      <c r="F364" t="s">
        <v>317</v>
      </c>
      <c r="G364" t="s">
        <v>24</v>
      </c>
      <c r="H364" t="s">
        <v>28</v>
      </c>
      <c r="I364">
        <v>0</v>
      </c>
      <c r="J364">
        <v>0</v>
      </c>
      <c r="K364">
        <v>1.1999999999999999E-6</v>
      </c>
      <c r="L364">
        <v>0</v>
      </c>
      <c r="M364">
        <v>1.1999999999999999E-6</v>
      </c>
      <c r="N364">
        <v>0.7</v>
      </c>
      <c r="O364">
        <v>6</v>
      </c>
      <c r="P364">
        <v>3</v>
      </c>
      <c r="Q364">
        <v>3</v>
      </c>
      <c r="R364">
        <v>3</v>
      </c>
      <c r="S364">
        <v>3720</v>
      </c>
      <c r="T364">
        <v>2.8799999999999999E-2</v>
      </c>
      <c r="U364" t="s">
        <v>1135</v>
      </c>
      <c r="V364" t="s">
        <v>1135</v>
      </c>
      <c r="W364" t="s">
        <v>2043</v>
      </c>
      <c r="X364" t="s">
        <v>1135</v>
      </c>
      <c r="Y364" t="s">
        <v>2044</v>
      </c>
      <c r="Z364" s="70">
        <f>I364*'Dynamic Analysis Dashboard'!$B$8*'Dynamic Analysis Dashboard'!$B$9*'Dynamic Analysis Dashboard'!$B$21</f>
        <v>0</v>
      </c>
      <c r="AA364" s="75">
        <f>J364*'Dynamic Analysis Dashboard'!$B$8*'Dynamic Analysis Dashboard'!$B$9*'Dynamic Analysis Dashboard'!$B$21</f>
        <v>0</v>
      </c>
      <c r="AB364" s="80">
        <f>K364*'Dynamic Analysis Dashboard'!$B$10*'Dynamic Analysis Dashboard'!$B$9*'Dynamic Analysis Dashboard'!$B$21</f>
        <v>7.1999999999999988E-7</v>
      </c>
      <c r="AC364" s="85">
        <f>L364*'Dynamic Analysis Dashboard'!$B$11*'Dynamic Analysis Dashboard'!$B$9*'Dynamic Analysis Dashboard'!$B$21</f>
        <v>0</v>
      </c>
      <c r="AD364" s="120">
        <f t="shared" si="10"/>
        <v>7.1999999999999988E-7</v>
      </c>
      <c r="AE364" s="121">
        <f t="shared" si="11"/>
        <v>5.0399999999999985E-7</v>
      </c>
    </row>
    <row r="365" spans="1:31" x14ac:dyDescent="0.2">
      <c r="A365" t="s">
        <v>95</v>
      </c>
      <c r="B365" t="s">
        <v>133</v>
      </c>
      <c r="C365" t="s">
        <v>2045</v>
      </c>
      <c r="D365" t="s">
        <v>2041</v>
      </c>
      <c r="E365" t="s">
        <v>2046</v>
      </c>
      <c r="F365" t="s">
        <v>183</v>
      </c>
      <c r="G365" t="s">
        <v>24</v>
      </c>
      <c r="H365" t="s">
        <v>28</v>
      </c>
      <c r="I365">
        <v>1.9999999999999999E-6</v>
      </c>
      <c r="J365">
        <v>0</v>
      </c>
      <c r="K365">
        <v>0</v>
      </c>
      <c r="L365">
        <v>9.9999999999999995E-7</v>
      </c>
      <c r="M365">
        <v>3.0000000000000001E-6</v>
      </c>
      <c r="N365">
        <v>0.75</v>
      </c>
      <c r="O365">
        <v>7</v>
      </c>
      <c r="P365">
        <v>3</v>
      </c>
      <c r="Q365">
        <v>3</v>
      </c>
      <c r="R365">
        <v>3</v>
      </c>
      <c r="S365">
        <v>4480</v>
      </c>
      <c r="T365">
        <v>4.0299999999999996E-2</v>
      </c>
      <c r="U365" t="s">
        <v>2047</v>
      </c>
      <c r="V365" t="s">
        <v>1135</v>
      </c>
      <c r="W365" t="s">
        <v>1135</v>
      </c>
      <c r="X365" t="s">
        <v>2048</v>
      </c>
      <c r="Y365" t="s">
        <v>2049</v>
      </c>
      <c r="Z365" s="70">
        <f>I365*'Dynamic Analysis Dashboard'!$B$8*'Dynamic Analysis Dashboard'!$B$9*'Dynamic Analysis Dashboard'!$B$21</f>
        <v>1.35E-6</v>
      </c>
      <c r="AA365" s="75">
        <f>J365*'Dynamic Analysis Dashboard'!$B$8*'Dynamic Analysis Dashboard'!$B$9*'Dynamic Analysis Dashboard'!$B$21</f>
        <v>0</v>
      </c>
      <c r="AB365" s="80">
        <f>K365*'Dynamic Analysis Dashboard'!$B$10*'Dynamic Analysis Dashboard'!$B$9*'Dynamic Analysis Dashboard'!$B$21</f>
        <v>0</v>
      </c>
      <c r="AC365" s="85">
        <f>L365*'Dynamic Analysis Dashboard'!$B$11*'Dynamic Analysis Dashboard'!$B$9*'Dynamic Analysis Dashboard'!$B$21</f>
        <v>6.3749999999999993E-7</v>
      </c>
      <c r="AD365" s="120">
        <f t="shared" si="10"/>
        <v>1.9875E-6</v>
      </c>
      <c r="AE365" s="121">
        <f t="shared" si="11"/>
        <v>1.490625E-6</v>
      </c>
    </row>
    <row r="366" spans="1:31" hidden="1" x14ac:dyDescent="0.2">
      <c r="A366" t="s">
        <v>95</v>
      </c>
      <c r="B366" t="s">
        <v>156</v>
      </c>
      <c r="C366" t="s">
        <v>2050</v>
      </c>
      <c r="D366" t="s">
        <v>437</v>
      </c>
      <c r="E366" t="s">
        <v>819</v>
      </c>
      <c r="F366" t="s">
        <v>324</v>
      </c>
      <c r="G366" t="s">
        <v>24</v>
      </c>
      <c r="H366" t="s">
        <v>25</v>
      </c>
      <c r="I366">
        <v>0</v>
      </c>
      <c r="J366">
        <v>1.1999999999999999E-6</v>
      </c>
      <c r="K366">
        <v>0</v>
      </c>
      <c r="L366">
        <v>0</v>
      </c>
      <c r="M366">
        <v>1.1999999999999999E-6</v>
      </c>
      <c r="N366">
        <v>0.7</v>
      </c>
      <c r="O366">
        <v>5</v>
      </c>
      <c r="P366">
        <v>2</v>
      </c>
      <c r="Q366">
        <v>2</v>
      </c>
      <c r="R366">
        <v>2</v>
      </c>
      <c r="S366">
        <v>540</v>
      </c>
      <c r="T366">
        <v>7.0000000000000001E-3</v>
      </c>
      <c r="U366" t="s">
        <v>1135</v>
      </c>
      <c r="V366" t="s">
        <v>2051</v>
      </c>
      <c r="W366" t="s">
        <v>1135</v>
      </c>
      <c r="X366" t="s">
        <v>1135</v>
      </c>
      <c r="Y366" t="s">
        <v>2052</v>
      </c>
      <c r="Z366" s="70">
        <f>I366*'Dynamic Analysis Dashboard'!$B$8*'Dynamic Analysis Dashboard'!$B$9*'Dynamic Analysis Dashboard'!$B$21</f>
        <v>0</v>
      </c>
      <c r="AA366" s="75">
        <f>J366*'Dynamic Analysis Dashboard'!$B$8*'Dynamic Analysis Dashboard'!$B$9*'Dynamic Analysis Dashboard'!$B$21</f>
        <v>8.1000000000000008E-7</v>
      </c>
      <c r="AB366" s="80">
        <f>K366*'Dynamic Analysis Dashboard'!$B$10*'Dynamic Analysis Dashboard'!$B$9*'Dynamic Analysis Dashboard'!$B$21</f>
        <v>0</v>
      </c>
      <c r="AC366" s="85">
        <f>L366*'Dynamic Analysis Dashboard'!$B$11*'Dynamic Analysis Dashboard'!$B$9*'Dynamic Analysis Dashboard'!$B$21</f>
        <v>0</v>
      </c>
      <c r="AD366" s="120">
        <f t="shared" si="10"/>
        <v>8.1000000000000008E-7</v>
      </c>
      <c r="AE366" s="121">
        <f t="shared" si="11"/>
        <v>5.6700000000000003E-7</v>
      </c>
    </row>
    <row r="367" spans="1:31" x14ac:dyDescent="0.2">
      <c r="A367" t="s">
        <v>95</v>
      </c>
      <c r="B367" t="s">
        <v>164</v>
      </c>
      <c r="C367" t="s">
        <v>2053</v>
      </c>
      <c r="D367" t="s">
        <v>2041</v>
      </c>
      <c r="E367" t="s">
        <v>2054</v>
      </c>
      <c r="F367" t="s">
        <v>231</v>
      </c>
      <c r="G367" t="s">
        <v>24</v>
      </c>
      <c r="H367" t="s">
        <v>28</v>
      </c>
      <c r="I367">
        <v>2.5000000000000002E-6</v>
      </c>
      <c r="J367">
        <v>0</v>
      </c>
      <c r="K367">
        <v>0</v>
      </c>
      <c r="L367">
        <v>0</v>
      </c>
      <c r="M367">
        <v>2.5000000000000002E-6</v>
      </c>
      <c r="N367">
        <v>0.8</v>
      </c>
      <c r="O367">
        <v>6</v>
      </c>
      <c r="P367">
        <v>3</v>
      </c>
      <c r="Q367">
        <v>3</v>
      </c>
      <c r="R367">
        <v>4</v>
      </c>
      <c r="S367">
        <v>3600</v>
      </c>
      <c r="T367">
        <v>2.7E-2</v>
      </c>
      <c r="U367" t="s">
        <v>2055</v>
      </c>
      <c r="V367" t="s">
        <v>1135</v>
      </c>
      <c r="W367" t="s">
        <v>1135</v>
      </c>
      <c r="X367" t="s">
        <v>1135</v>
      </c>
      <c r="Y367" t="s">
        <v>2056</v>
      </c>
      <c r="Z367" s="70">
        <f>I367*'Dynamic Analysis Dashboard'!$B$8*'Dynamic Analysis Dashboard'!$B$9*'Dynamic Analysis Dashboard'!$B$21</f>
        <v>1.6874999999999999E-6</v>
      </c>
      <c r="AA367" s="75">
        <f>J367*'Dynamic Analysis Dashboard'!$B$8*'Dynamic Analysis Dashboard'!$B$9*'Dynamic Analysis Dashboard'!$B$21</f>
        <v>0</v>
      </c>
      <c r="AB367" s="80">
        <f>K367*'Dynamic Analysis Dashboard'!$B$10*'Dynamic Analysis Dashboard'!$B$9*'Dynamic Analysis Dashboard'!$B$21</f>
        <v>0</v>
      </c>
      <c r="AC367" s="85">
        <f>L367*'Dynamic Analysis Dashboard'!$B$11*'Dynamic Analysis Dashboard'!$B$9*'Dynamic Analysis Dashboard'!$B$21</f>
        <v>0</v>
      </c>
      <c r="AD367" s="120">
        <f t="shared" si="10"/>
        <v>1.6874999999999999E-6</v>
      </c>
      <c r="AE367" s="121">
        <f t="shared" si="11"/>
        <v>1.35E-6</v>
      </c>
    </row>
    <row r="368" spans="1:31" hidden="1" x14ac:dyDescent="0.2">
      <c r="A368" t="s">
        <v>95</v>
      </c>
      <c r="B368" t="s">
        <v>172</v>
      </c>
      <c r="C368" t="s">
        <v>2057</v>
      </c>
      <c r="D368" t="s">
        <v>329</v>
      </c>
      <c r="E368" t="s">
        <v>1300</v>
      </c>
      <c r="F368" t="s">
        <v>317</v>
      </c>
      <c r="G368" t="s">
        <v>24</v>
      </c>
      <c r="H368" t="s">
        <v>33</v>
      </c>
      <c r="I368">
        <v>0</v>
      </c>
      <c r="J368">
        <v>1.5E-6</v>
      </c>
      <c r="K368">
        <v>0.8</v>
      </c>
      <c r="L368">
        <v>0</v>
      </c>
      <c r="M368">
        <v>2.3E-6</v>
      </c>
      <c r="N368">
        <v>0.7</v>
      </c>
      <c r="O368">
        <v>7</v>
      </c>
      <c r="P368">
        <v>3</v>
      </c>
      <c r="Q368">
        <v>3</v>
      </c>
      <c r="R368">
        <v>3</v>
      </c>
      <c r="S368">
        <v>1368</v>
      </c>
      <c r="T368">
        <v>1.0800000000000001E-2</v>
      </c>
      <c r="U368" t="s">
        <v>1135</v>
      </c>
      <c r="V368" t="s">
        <v>2058</v>
      </c>
      <c r="W368" t="s">
        <v>2059</v>
      </c>
      <c r="X368" t="s">
        <v>1135</v>
      </c>
      <c r="Y368" t="s">
        <v>2060</v>
      </c>
      <c r="Z368" s="70">
        <f>I368*'Dynamic Analysis Dashboard'!$B$8*'Dynamic Analysis Dashboard'!$B$9*'Dynamic Analysis Dashboard'!$B$21</f>
        <v>0</v>
      </c>
      <c r="AA368" s="75">
        <f>J368*'Dynamic Analysis Dashboard'!$B$8*'Dynamic Analysis Dashboard'!$B$9*'Dynamic Analysis Dashboard'!$B$21</f>
        <v>1.0125E-6</v>
      </c>
      <c r="AB368" s="80">
        <f>K368*'Dynamic Analysis Dashboard'!$B$10*'Dynamic Analysis Dashboard'!$B$9*'Dynamic Analysis Dashboard'!$B$21</f>
        <v>0.48000000000000009</v>
      </c>
      <c r="AC368" s="85">
        <f>L368*'Dynamic Analysis Dashboard'!$B$11*'Dynamic Analysis Dashboard'!$B$9*'Dynamic Analysis Dashboard'!$B$21</f>
        <v>0</v>
      </c>
      <c r="AD368" s="120">
        <f t="shared" si="10"/>
        <v>0.4800010125000001</v>
      </c>
      <c r="AE368" s="121">
        <f t="shared" si="11"/>
        <v>0.33600070875000004</v>
      </c>
    </row>
    <row r="369" spans="1:31" hidden="1" x14ac:dyDescent="0.2">
      <c r="A369" t="s">
        <v>95</v>
      </c>
      <c r="B369" t="s">
        <v>179</v>
      </c>
      <c r="C369" t="s">
        <v>2061</v>
      </c>
      <c r="D369" t="s">
        <v>2062</v>
      </c>
      <c r="E369" t="s">
        <v>2063</v>
      </c>
      <c r="F369" t="s">
        <v>183</v>
      </c>
      <c r="G369" t="s">
        <v>38</v>
      </c>
      <c r="H369" t="s">
        <v>311</v>
      </c>
      <c r="I369">
        <v>0</v>
      </c>
      <c r="J369">
        <v>0.8</v>
      </c>
      <c r="K369">
        <v>0</v>
      </c>
      <c r="L369">
        <v>0</v>
      </c>
      <c r="M369">
        <v>0.8</v>
      </c>
      <c r="N369">
        <v>0.6</v>
      </c>
      <c r="O369">
        <v>10</v>
      </c>
      <c r="P369">
        <v>3</v>
      </c>
      <c r="Q369">
        <v>2</v>
      </c>
      <c r="R369">
        <v>2</v>
      </c>
      <c r="S369">
        <v>680</v>
      </c>
      <c r="T369">
        <v>1.29E-2</v>
      </c>
      <c r="U369" t="s">
        <v>1135</v>
      </c>
      <c r="V369" t="s">
        <v>2064</v>
      </c>
      <c r="W369" t="s">
        <v>1135</v>
      </c>
      <c r="X369" t="s">
        <v>1135</v>
      </c>
      <c r="Y369" t="s">
        <v>2065</v>
      </c>
      <c r="Z369" s="70">
        <f>I369*'Dynamic Analysis Dashboard'!$B$8*'Dynamic Analysis Dashboard'!$B$9*'Dynamic Analysis Dashboard'!$B$21</f>
        <v>0</v>
      </c>
      <c r="AA369" s="75">
        <f>J369*'Dynamic Analysis Dashboard'!$B$8*'Dynamic Analysis Dashboard'!$B$9*'Dynamic Analysis Dashboard'!$B$21</f>
        <v>0.54</v>
      </c>
      <c r="AB369" s="80">
        <f>K369*'Dynamic Analysis Dashboard'!$B$10*'Dynamic Analysis Dashboard'!$B$9*'Dynamic Analysis Dashboard'!$B$21</f>
        <v>0</v>
      </c>
      <c r="AC369" s="85">
        <f>L369*'Dynamic Analysis Dashboard'!$B$11*'Dynamic Analysis Dashboard'!$B$9*'Dynamic Analysis Dashboard'!$B$21</f>
        <v>0</v>
      </c>
      <c r="AD369" s="120">
        <f t="shared" si="10"/>
        <v>0.54</v>
      </c>
      <c r="AE369" s="121">
        <f t="shared" si="11"/>
        <v>0.32400000000000001</v>
      </c>
    </row>
    <row r="370" spans="1:31" hidden="1" x14ac:dyDescent="0.2">
      <c r="A370" t="s">
        <v>95</v>
      </c>
      <c r="B370" t="s">
        <v>186</v>
      </c>
      <c r="C370" t="s">
        <v>2066</v>
      </c>
      <c r="D370" t="s">
        <v>437</v>
      </c>
      <c r="E370" t="s">
        <v>2067</v>
      </c>
      <c r="F370" t="s">
        <v>145</v>
      </c>
      <c r="G370" t="s">
        <v>31</v>
      </c>
      <c r="H370" t="s">
        <v>25</v>
      </c>
      <c r="I370">
        <v>0</v>
      </c>
      <c r="J370">
        <v>3.2999999999999997E-6</v>
      </c>
      <c r="K370">
        <v>0</v>
      </c>
      <c r="L370">
        <v>0</v>
      </c>
      <c r="M370">
        <v>3.2999999999999997E-6</v>
      </c>
      <c r="N370">
        <v>0.75</v>
      </c>
      <c r="O370">
        <v>6</v>
      </c>
      <c r="P370">
        <v>3</v>
      </c>
      <c r="Q370">
        <v>3</v>
      </c>
      <c r="R370">
        <v>3</v>
      </c>
      <c r="S370">
        <v>900</v>
      </c>
      <c r="T370">
        <v>7.1999999999999998E-3</v>
      </c>
      <c r="U370" t="s">
        <v>1135</v>
      </c>
      <c r="V370" t="s">
        <v>2068</v>
      </c>
      <c r="W370" t="s">
        <v>1135</v>
      </c>
      <c r="X370" t="s">
        <v>1135</v>
      </c>
      <c r="Y370" t="s">
        <v>2069</v>
      </c>
      <c r="Z370" s="70">
        <f>I370*'Dynamic Analysis Dashboard'!$B$8*'Dynamic Analysis Dashboard'!$B$9*'Dynamic Analysis Dashboard'!$B$21</f>
        <v>0</v>
      </c>
      <c r="AA370" s="75">
        <f>J370*'Dynamic Analysis Dashboard'!$B$8*'Dynamic Analysis Dashboard'!$B$9*'Dynamic Analysis Dashboard'!$B$21</f>
        <v>2.2274999999999998E-6</v>
      </c>
      <c r="AB370" s="80">
        <f>K370*'Dynamic Analysis Dashboard'!$B$10*'Dynamic Analysis Dashboard'!$B$9*'Dynamic Analysis Dashboard'!$B$21</f>
        <v>0</v>
      </c>
      <c r="AC370" s="85">
        <f>L370*'Dynamic Analysis Dashboard'!$B$11*'Dynamic Analysis Dashboard'!$B$9*'Dynamic Analysis Dashboard'!$B$21</f>
        <v>0</v>
      </c>
      <c r="AD370" s="120">
        <f t="shared" si="10"/>
        <v>2.2274999999999998E-6</v>
      </c>
      <c r="AE370" s="121">
        <f t="shared" si="11"/>
        <v>1.6706249999999998E-6</v>
      </c>
    </row>
    <row r="371" spans="1:31" hidden="1" x14ac:dyDescent="0.2">
      <c r="A371" t="s">
        <v>95</v>
      </c>
      <c r="B371" t="s">
        <v>194</v>
      </c>
      <c r="C371" t="s">
        <v>2070</v>
      </c>
      <c r="D371" t="s">
        <v>2041</v>
      </c>
      <c r="E371" t="s">
        <v>316</v>
      </c>
      <c r="F371" t="s">
        <v>317</v>
      </c>
      <c r="G371" t="s">
        <v>38</v>
      </c>
      <c r="H371" t="s">
        <v>33</v>
      </c>
      <c r="I371">
        <v>0</v>
      </c>
      <c r="J371">
        <v>0</v>
      </c>
      <c r="K371">
        <v>0.9</v>
      </c>
      <c r="L371">
        <v>0</v>
      </c>
      <c r="M371">
        <v>0.9</v>
      </c>
      <c r="N371">
        <v>0.7</v>
      </c>
      <c r="O371">
        <v>7</v>
      </c>
      <c r="P371">
        <v>3</v>
      </c>
      <c r="Q371">
        <v>3</v>
      </c>
      <c r="R371">
        <v>4</v>
      </c>
      <c r="S371">
        <v>2635</v>
      </c>
      <c r="T371">
        <v>1.5900000000000001E-2</v>
      </c>
      <c r="U371" t="s">
        <v>1135</v>
      </c>
      <c r="V371" t="s">
        <v>1135</v>
      </c>
      <c r="W371" t="s">
        <v>2071</v>
      </c>
      <c r="X371" t="s">
        <v>1135</v>
      </c>
      <c r="Y371" t="s">
        <v>2072</v>
      </c>
      <c r="Z371" s="70">
        <f>I371*'Dynamic Analysis Dashboard'!$B$8*'Dynamic Analysis Dashboard'!$B$9*'Dynamic Analysis Dashboard'!$B$21</f>
        <v>0</v>
      </c>
      <c r="AA371" s="75">
        <f>J371*'Dynamic Analysis Dashboard'!$B$8*'Dynamic Analysis Dashboard'!$B$9*'Dynamic Analysis Dashboard'!$B$21</f>
        <v>0</v>
      </c>
      <c r="AB371" s="80">
        <f>K371*'Dynamic Analysis Dashboard'!$B$10*'Dynamic Analysis Dashboard'!$B$9*'Dynamic Analysis Dashboard'!$B$21</f>
        <v>0.54</v>
      </c>
      <c r="AC371" s="85">
        <f>L371*'Dynamic Analysis Dashboard'!$B$11*'Dynamic Analysis Dashboard'!$B$9*'Dynamic Analysis Dashboard'!$B$21</f>
        <v>0</v>
      </c>
      <c r="AD371" s="120">
        <f t="shared" si="10"/>
        <v>0.54</v>
      </c>
      <c r="AE371" s="121">
        <f t="shared" si="11"/>
        <v>0.378</v>
      </c>
    </row>
    <row r="372" spans="1:31" x14ac:dyDescent="0.2">
      <c r="A372" t="s">
        <v>65</v>
      </c>
      <c r="B372" t="s">
        <v>172</v>
      </c>
      <c r="C372" t="s">
        <v>2073</v>
      </c>
      <c r="D372" t="s">
        <v>135</v>
      </c>
      <c r="E372" t="s">
        <v>295</v>
      </c>
      <c r="F372" t="s">
        <v>259</v>
      </c>
      <c r="G372" t="s">
        <v>24</v>
      </c>
      <c r="H372" t="s">
        <v>25</v>
      </c>
      <c r="I372">
        <v>4.7999999999999998E-6</v>
      </c>
      <c r="J372">
        <v>7.9000000000000006E-6</v>
      </c>
      <c r="K372">
        <v>0</v>
      </c>
      <c r="L372">
        <v>0</v>
      </c>
      <c r="M372">
        <v>1.2699999999999999E-5</v>
      </c>
      <c r="N372">
        <v>0.7</v>
      </c>
      <c r="O372">
        <v>9</v>
      </c>
      <c r="P372">
        <v>3</v>
      </c>
      <c r="Q372">
        <v>3</v>
      </c>
      <c r="R372">
        <v>3</v>
      </c>
      <c r="S372">
        <v>13760</v>
      </c>
      <c r="T372">
        <v>0.3024</v>
      </c>
      <c r="U372" t="s">
        <v>2074</v>
      </c>
      <c r="V372" t="s">
        <v>2075</v>
      </c>
      <c r="W372" t="s">
        <v>2076</v>
      </c>
      <c r="X372" t="s">
        <v>2077</v>
      </c>
      <c r="Y372" t="s">
        <v>2078</v>
      </c>
      <c r="Z372" s="70">
        <f>I372*'Dynamic Analysis Dashboard'!$B$8*'Dynamic Analysis Dashboard'!$B$9*'Dynamic Analysis Dashboard'!$B$21</f>
        <v>3.2400000000000003E-6</v>
      </c>
      <c r="AA372" s="75">
        <f>J372*'Dynamic Analysis Dashboard'!$B$8*'Dynamic Analysis Dashboard'!$B$9*'Dynamic Analysis Dashboard'!$B$21</f>
        <v>5.3325000000000002E-6</v>
      </c>
      <c r="AB372" s="80">
        <f>K372*'Dynamic Analysis Dashboard'!$B$10*'Dynamic Analysis Dashboard'!$B$9*'Dynamic Analysis Dashboard'!$B$21</f>
        <v>0</v>
      </c>
      <c r="AC372" s="85">
        <f>L372*'Dynamic Analysis Dashboard'!$B$11*'Dynamic Analysis Dashboard'!$B$9*'Dynamic Analysis Dashboard'!$B$21</f>
        <v>0</v>
      </c>
      <c r="AD372" s="120">
        <f t="shared" si="10"/>
        <v>8.5724999999999997E-6</v>
      </c>
      <c r="AE372" s="121">
        <f t="shared" si="11"/>
        <v>6.0007499999999993E-6</v>
      </c>
    </row>
    <row r="373" spans="1:31" x14ac:dyDescent="0.2">
      <c r="A373" t="s">
        <v>65</v>
      </c>
      <c r="B373" t="s">
        <v>186</v>
      </c>
      <c r="C373" t="s">
        <v>2079</v>
      </c>
      <c r="D373" t="s">
        <v>2080</v>
      </c>
      <c r="E373" t="s">
        <v>2081</v>
      </c>
      <c r="F373" t="s">
        <v>259</v>
      </c>
      <c r="G373" t="s">
        <v>24</v>
      </c>
      <c r="H373" t="s">
        <v>25</v>
      </c>
      <c r="I373">
        <v>3.7999999999999996E-6</v>
      </c>
      <c r="J373">
        <v>0</v>
      </c>
      <c r="K373">
        <v>0</v>
      </c>
      <c r="L373">
        <v>6.1E-6</v>
      </c>
      <c r="M373">
        <v>9.9000000000000001E-6</v>
      </c>
      <c r="N373">
        <v>0.75</v>
      </c>
      <c r="O373">
        <v>9</v>
      </c>
      <c r="P373">
        <v>3</v>
      </c>
      <c r="Q373">
        <v>3</v>
      </c>
      <c r="R373">
        <v>3</v>
      </c>
      <c r="S373">
        <v>51590</v>
      </c>
      <c r="T373">
        <v>1.1000000000000001E-3</v>
      </c>
      <c r="U373" t="s">
        <v>2082</v>
      </c>
      <c r="V373" t="s">
        <v>2083</v>
      </c>
      <c r="W373" t="s">
        <v>2076</v>
      </c>
      <c r="X373" t="s">
        <v>2084</v>
      </c>
      <c r="Y373" t="s">
        <v>2085</v>
      </c>
      <c r="Z373" s="70">
        <f>I373*'Dynamic Analysis Dashboard'!$B$8*'Dynamic Analysis Dashboard'!$B$9*'Dynamic Analysis Dashboard'!$B$21</f>
        <v>2.565E-6</v>
      </c>
      <c r="AA373" s="75">
        <f>J373*'Dynamic Analysis Dashboard'!$B$8*'Dynamic Analysis Dashboard'!$B$9*'Dynamic Analysis Dashboard'!$B$21</f>
        <v>0</v>
      </c>
      <c r="AB373" s="80">
        <f>K373*'Dynamic Analysis Dashboard'!$B$10*'Dynamic Analysis Dashboard'!$B$9*'Dynamic Analysis Dashboard'!$B$21</f>
        <v>0</v>
      </c>
      <c r="AC373" s="85">
        <f>L373*'Dynamic Analysis Dashboard'!$B$11*'Dynamic Analysis Dashboard'!$B$9*'Dynamic Analysis Dashboard'!$B$21</f>
        <v>3.8887499999999998E-6</v>
      </c>
      <c r="AD373" s="120">
        <f t="shared" si="10"/>
        <v>6.4537499999999998E-6</v>
      </c>
      <c r="AE373" s="121">
        <f t="shared" si="11"/>
        <v>4.8403125000000001E-6</v>
      </c>
    </row>
    <row r="374" spans="1:31" hidden="1" x14ac:dyDescent="0.2">
      <c r="A374" t="s">
        <v>65</v>
      </c>
      <c r="B374" t="s">
        <v>141</v>
      </c>
      <c r="C374" t="s">
        <v>2086</v>
      </c>
      <c r="D374" t="s">
        <v>2087</v>
      </c>
      <c r="E374" t="s">
        <v>2088</v>
      </c>
      <c r="F374" t="s">
        <v>495</v>
      </c>
      <c r="G374" t="s">
        <v>38</v>
      </c>
      <c r="H374" t="s">
        <v>33</v>
      </c>
      <c r="I374">
        <v>9.5999999999999996E-6</v>
      </c>
      <c r="J374">
        <v>0</v>
      </c>
      <c r="K374">
        <v>3.8999999999999999E-6</v>
      </c>
      <c r="L374">
        <v>0</v>
      </c>
      <c r="M374">
        <v>1.3499999999999999E-5</v>
      </c>
      <c r="N374">
        <v>0.8</v>
      </c>
      <c r="O374">
        <v>15</v>
      </c>
      <c r="P374">
        <v>4</v>
      </c>
      <c r="Q374">
        <v>2</v>
      </c>
      <c r="R374">
        <v>4</v>
      </c>
      <c r="S374">
        <v>77000</v>
      </c>
      <c r="T374">
        <v>1.6000000000000001E-3</v>
      </c>
      <c r="U374" t="s">
        <v>2089</v>
      </c>
      <c r="V374" t="s">
        <v>2083</v>
      </c>
      <c r="W374" t="s">
        <v>2090</v>
      </c>
      <c r="X374" t="s">
        <v>2077</v>
      </c>
      <c r="Y374" t="s">
        <v>2091</v>
      </c>
      <c r="Z374" s="70">
        <f>I374*'Dynamic Analysis Dashboard'!$B$8*'Dynamic Analysis Dashboard'!$B$9*'Dynamic Analysis Dashboard'!$B$21</f>
        <v>6.4800000000000006E-6</v>
      </c>
      <c r="AA374" s="75">
        <f>J374*'Dynamic Analysis Dashboard'!$B$8*'Dynamic Analysis Dashboard'!$B$9*'Dynamic Analysis Dashboard'!$B$21</f>
        <v>0</v>
      </c>
      <c r="AB374" s="80">
        <f>K374*'Dynamic Analysis Dashboard'!$B$10*'Dynamic Analysis Dashboard'!$B$9*'Dynamic Analysis Dashboard'!$B$21</f>
        <v>2.34E-6</v>
      </c>
      <c r="AC374" s="85">
        <f>L374*'Dynamic Analysis Dashboard'!$B$11*'Dynamic Analysis Dashboard'!$B$9*'Dynamic Analysis Dashboard'!$B$21</f>
        <v>0</v>
      </c>
      <c r="AD374" s="120">
        <f t="shared" si="10"/>
        <v>8.8200000000000003E-6</v>
      </c>
      <c r="AE374" s="121">
        <f t="shared" si="11"/>
        <v>7.0560000000000007E-6</v>
      </c>
    </row>
    <row r="375" spans="1:31" hidden="1" x14ac:dyDescent="0.2">
      <c r="A375" t="s">
        <v>65</v>
      </c>
      <c r="B375" t="s">
        <v>123</v>
      </c>
      <c r="C375" t="s">
        <v>2092</v>
      </c>
      <c r="D375" t="s">
        <v>2087</v>
      </c>
      <c r="E375" t="s">
        <v>1686</v>
      </c>
      <c r="F375" t="s">
        <v>198</v>
      </c>
      <c r="G375" t="s">
        <v>38</v>
      </c>
      <c r="H375" t="s">
        <v>28</v>
      </c>
      <c r="I375">
        <v>4.4000000000000002E-6</v>
      </c>
      <c r="J375">
        <v>0</v>
      </c>
      <c r="K375">
        <v>2.1000000000000002E-6</v>
      </c>
      <c r="L375">
        <v>0</v>
      </c>
      <c r="M375">
        <v>6.4999999999999996E-6</v>
      </c>
      <c r="N375">
        <v>0.75</v>
      </c>
      <c r="O375">
        <v>9</v>
      </c>
      <c r="P375">
        <v>3</v>
      </c>
      <c r="Q375">
        <v>3</v>
      </c>
      <c r="R375">
        <v>3</v>
      </c>
      <c r="S375">
        <v>10246</v>
      </c>
      <c r="T375">
        <v>0.20830000000000001</v>
      </c>
      <c r="U375" t="s">
        <v>2093</v>
      </c>
      <c r="V375" t="s">
        <v>2083</v>
      </c>
      <c r="W375" t="s">
        <v>2094</v>
      </c>
      <c r="X375" t="s">
        <v>2077</v>
      </c>
      <c r="Y375" t="s">
        <v>2095</v>
      </c>
      <c r="Z375" s="70">
        <f>I375*'Dynamic Analysis Dashboard'!$B$8*'Dynamic Analysis Dashboard'!$B$9*'Dynamic Analysis Dashboard'!$B$21</f>
        <v>2.9700000000000004E-6</v>
      </c>
      <c r="AA375" s="75">
        <f>J375*'Dynamic Analysis Dashboard'!$B$8*'Dynamic Analysis Dashboard'!$B$9*'Dynamic Analysis Dashboard'!$B$21</f>
        <v>0</v>
      </c>
      <c r="AB375" s="80">
        <f>K375*'Dynamic Analysis Dashboard'!$B$10*'Dynamic Analysis Dashboard'!$B$9*'Dynamic Analysis Dashboard'!$B$21</f>
        <v>1.2600000000000002E-6</v>
      </c>
      <c r="AC375" s="85">
        <f>L375*'Dynamic Analysis Dashboard'!$B$11*'Dynamic Analysis Dashboard'!$B$9*'Dynamic Analysis Dashboard'!$B$21</f>
        <v>0</v>
      </c>
      <c r="AD375" s="120">
        <f t="shared" si="10"/>
        <v>4.2300000000000002E-6</v>
      </c>
      <c r="AE375" s="121">
        <f t="shared" si="11"/>
        <v>3.1725000000000001E-6</v>
      </c>
    </row>
    <row r="376" spans="1:31" hidden="1" x14ac:dyDescent="0.2">
      <c r="A376" t="s">
        <v>65</v>
      </c>
      <c r="B376" t="s">
        <v>149</v>
      </c>
      <c r="C376" t="s">
        <v>2096</v>
      </c>
      <c r="D376" t="s">
        <v>1542</v>
      </c>
      <c r="E376" t="s">
        <v>2097</v>
      </c>
      <c r="F376" t="s">
        <v>223</v>
      </c>
      <c r="G376" t="s">
        <v>38</v>
      </c>
      <c r="H376" t="s">
        <v>28</v>
      </c>
      <c r="I376">
        <v>1.7800000000000002E-5</v>
      </c>
      <c r="J376">
        <v>0</v>
      </c>
      <c r="K376">
        <v>0</v>
      </c>
      <c r="L376">
        <v>2.7999999999999999E-6</v>
      </c>
      <c r="M376">
        <v>2.0600000000000003E-5</v>
      </c>
      <c r="N376">
        <v>0.75</v>
      </c>
      <c r="O376">
        <v>12</v>
      </c>
      <c r="P376">
        <v>4</v>
      </c>
      <c r="Q376">
        <v>3</v>
      </c>
      <c r="R376">
        <v>4</v>
      </c>
      <c r="S376">
        <v>9498</v>
      </c>
      <c r="T376">
        <v>0.1996</v>
      </c>
      <c r="U376" t="s">
        <v>2098</v>
      </c>
      <c r="V376" t="s">
        <v>2083</v>
      </c>
      <c r="W376" t="s">
        <v>2076</v>
      </c>
      <c r="X376" t="s">
        <v>2099</v>
      </c>
      <c r="Y376" t="s">
        <v>2100</v>
      </c>
      <c r="Z376" s="70">
        <f>I376*'Dynamic Analysis Dashboard'!$B$8*'Dynamic Analysis Dashboard'!$B$9*'Dynamic Analysis Dashboard'!$B$21</f>
        <v>1.2015000000000003E-5</v>
      </c>
      <c r="AA376" s="75">
        <f>J376*'Dynamic Analysis Dashboard'!$B$8*'Dynamic Analysis Dashboard'!$B$9*'Dynamic Analysis Dashboard'!$B$21</f>
        <v>0</v>
      </c>
      <c r="AB376" s="80">
        <f>K376*'Dynamic Analysis Dashboard'!$B$10*'Dynamic Analysis Dashboard'!$B$9*'Dynamic Analysis Dashboard'!$B$21</f>
        <v>0</v>
      </c>
      <c r="AC376" s="85">
        <f>L376*'Dynamic Analysis Dashboard'!$B$11*'Dynamic Analysis Dashboard'!$B$9*'Dynamic Analysis Dashboard'!$B$21</f>
        <v>1.7849999999999999E-6</v>
      </c>
      <c r="AD376" s="120">
        <f t="shared" si="10"/>
        <v>1.3800000000000003E-5</v>
      </c>
      <c r="AE376" s="121">
        <f t="shared" si="11"/>
        <v>1.0350000000000003E-5</v>
      </c>
    </row>
    <row r="377" spans="1:31" hidden="1" x14ac:dyDescent="0.2">
      <c r="A377" t="s">
        <v>65</v>
      </c>
      <c r="B377" t="s">
        <v>133</v>
      </c>
      <c r="C377" t="s">
        <v>2101</v>
      </c>
      <c r="D377" t="s">
        <v>1542</v>
      </c>
      <c r="E377" t="s">
        <v>2102</v>
      </c>
      <c r="F377" t="s">
        <v>259</v>
      </c>
      <c r="G377" t="s">
        <v>38</v>
      </c>
      <c r="H377" t="s">
        <v>33</v>
      </c>
      <c r="I377">
        <v>6.1E-6</v>
      </c>
      <c r="J377">
        <v>0</v>
      </c>
      <c r="K377">
        <v>1.3999999999999999E-6</v>
      </c>
      <c r="L377">
        <v>0</v>
      </c>
      <c r="M377">
        <v>7.5000000000000002E-6</v>
      </c>
      <c r="N377">
        <v>0.7</v>
      </c>
      <c r="O377">
        <v>12</v>
      </c>
      <c r="P377">
        <v>3</v>
      </c>
      <c r="Q377">
        <v>2</v>
      </c>
      <c r="R377">
        <v>4</v>
      </c>
      <c r="S377">
        <v>5270</v>
      </c>
      <c r="T377">
        <v>0.12470000000000001</v>
      </c>
      <c r="U377" t="s">
        <v>2103</v>
      </c>
      <c r="V377" t="s">
        <v>2083</v>
      </c>
      <c r="W377" t="s">
        <v>2104</v>
      </c>
      <c r="X377" t="s">
        <v>2077</v>
      </c>
      <c r="Y377" t="s">
        <v>2105</v>
      </c>
      <c r="Z377" s="70">
        <f>I377*'Dynamic Analysis Dashboard'!$B$8*'Dynamic Analysis Dashboard'!$B$9*'Dynamic Analysis Dashboard'!$B$21</f>
        <v>4.1175E-6</v>
      </c>
      <c r="AA377" s="75">
        <f>J377*'Dynamic Analysis Dashboard'!$B$8*'Dynamic Analysis Dashboard'!$B$9*'Dynamic Analysis Dashboard'!$B$21</f>
        <v>0</v>
      </c>
      <c r="AB377" s="80">
        <f>K377*'Dynamic Analysis Dashboard'!$B$10*'Dynamic Analysis Dashboard'!$B$9*'Dynamic Analysis Dashboard'!$B$21</f>
        <v>8.4E-7</v>
      </c>
      <c r="AC377" s="85">
        <f>L377*'Dynamic Analysis Dashboard'!$B$11*'Dynamic Analysis Dashboard'!$B$9*'Dynamic Analysis Dashboard'!$B$21</f>
        <v>0</v>
      </c>
      <c r="AD377" s="120">
        <f t="shared" si="10"/>
        <v>4.9574999999999995E-6</v>
      </c>
      <c r="AE377" s="121">
        <f t="shared" si="11"/>
        <v>3.4702499999999995E-6</v>
      </c>
    </row>
    <row r="378" spans="1:31" hidden="1" x14ac:dyDescent="0.2">
      <c r="A378" t="s">
        <v>65</v>
      </c>
      <c r="B378" t="s">
        <v>156</v>
      </c>
      <c r="C378" t="s">
        <v>2106</v>
      </c>
      <c r="D378" t="s">
        <v>125</v>
      </c>
      <c r="E378" t="s">
        <v>1580</v>
      </c>
      <c r="F378" t="s">
        <v>1525</v>
      </c>
      <c r="G378" t="s">
        <v>38</v>
      </c>
      <c r="H378" t="s">
        <v>311</v>
      </c>
      <c r="I378">
        <v>8.1999999999999994E-6</v>
      </c>
      <c r="J378">
        <v>0</v>
      </c>
      <c r="K378">
        <v>0</v>
      </c>
      <c r="L378">
        <v>0</v>
      </c>
      <c r="M378">
        <v>8.1999999999999994E-6</v>
      </c>
      <c r="N378">
        <v>0.85</v>
      </c>
      <c r="O378">
        <v>15</v>
      </c>
      <c r="P378">
        <v>4</v>
      </c>
      <c r="Q378">
        <v>3</v>
      </c>
      <c r="R378">
        <v>4</v>
      </c>
      <c r="S378">
        <v>17046.900000000001</v>
      </c>
      <c r="T378">
        <v>0.36919999999999997</v>
      </c>
      <c r="U378" t="s">
        <v>2107</v>
      </c>
      <c r="V378" t="s">
        <v>2083</v>
      </c>
      <c r="W378" t="s">
        <v>2076</v>
      </c>
      <c r="X378" t="s">
        <v>2077</v>
      </c>
      <c r="Y378" t="s">
        <v>2108</v>
      </c>
      <c r="Z378" s="70">
        <f>I378*'Dynamic Analysis Dashboard'!$B$8*'Dynamic Analysis Dashboard'!$B$9*'Dynamic Analysis Dashboard'!$B$21</f>
        <v>5.5349999999999995E-6</v>
      </c>
      <c r="AA378" s="75">
        <f>J378*'Dynamic Analysis Dashboard'!$B$8*'Dynamic Analysis Dashboard'!$B$9*'Dynamic Analysis Dashboard'!$B$21</f>
        <v>0</v>
      </c>
      <c r="AB378" s="80">
        <f>K378*'Dynamic Analysis Dashboard'!$B$10*'Dynamic Analysis Dashboard'!$B$9*'Dynamic Analysis Dashboard'!$B$21</f>
        <v>0</v>
      </c>
      <c r="AC378" s="85">
        <f>L378*'Dynamic Analysis Dashboard'!$B$11*'Dynamic Analysis Dashboard'!$B$9*'Dynamic Analysis Dashboard'!$B$21</f>
        <v>0</v>
      </c>
      <c r="AD378" s="120">
        <f t="shared" si="10"/>
        <v>5.5349999999999995E-6</v>
      </c>
      <c r="AE378" s="121">
        <f t="shared" si="11"/>
        <v>4.7047499999999993E-6</v>
      </c>
    </row>
    <row r="379" spans="1:31" hidden="1" x14ac:dyDescent="0.2">
      <c r="A379" t="s">
        <v>65</v>
      </c>
      <c r="B379" t="s">
        <v>164</v>
      </c>
      <c r="C379" t="s">
        <v>2109</v>
      </c>
      <c r="D379" t="s">
        <v>125</v>
      </c>
      <c r="E379" t="s">
        <v>2110</v>
      </c>
      <c r="F379" t="s">
        <v>1414</v>
      </c>
      <c r="G379" t="s">
        <v>38</v>
      </c>
      <c r="H379" t="s">
        <v>28</v>
      </c>
      <c r="I379">
        <v>3.4000000000000001E-6</v>
      </c>
      <c r="J379">
        <v>0</v>
      </c>
      <c r="K379">
        <v>9.0000000000000007E-7</v>
      </c>
      <c r="L379">
        <v>0</v>
      </c>
      <c r="M379">
        <v>4.2999999999999995E-6</v>
      </c>
      <c r="N379">
        <v>0.75</v>
      </c>
      <c r="O379">
        <v>9</v>
      </c>
      <c r="P379">
        <v>3</v>
      </c>
      <c r="Q379">
        <v>3</v>
      </c>
      <c r="R379">
        <v>3</v>
      </c>
      <c r="S379">
        <v>15638.4</v>
      </c>
      <c r="T379">
        <v>0.33700000000000002</v>
      </c>
      <c r="U379" t="s">
        <v>2111</v>
      </c>
      <c r="V379" t="s">
        <v>2083</v>
      </c>
      <c r="W379" t="s">
        <v>2112</v>
      </c>
      <c r="X379" t="s">
        <v>2077</v>
      </c>
      <c r="Y379" t="s">
        <v>2113</v>
      </c>
      <c r="Z379" s="70">
        <f>I379*'Dynamic Analysis Dashboard'!$B$8*'Dynamic Analysis Dashboard'!$B$9*'Dynamic Analysis Dashboard'!$B$21</f>
        <v>2.295E-6</v>
      </c>
      <c r="AA379" s="75">
        <f>J379*'Dynamic Analysis Dashboard'!$B$8*'Dynamic Analysis Dashboard'!$B$9*'Dynamic Analysis Dashboard'!$B$21</f>
        <v>0</v>
      </c>
      <c r="AB379" s="80">
        <f>K379*'Dynamic Analysis Dashboard'!$B$10*'Dynamic Analysis Dashboard'!$B$9*'Dynamic Analysis Dashboard'!$B$21</f>
        <v>5.4000000000000012E-7</v>
      </c>
      <c r="AC379" s="85">
        <f>L379*'Dynamic Analysis Dashboard'!$B$11*'Dynamic Analysis Dashboard'!$B$9*'Dynamic Analysis Dashboard'!$B$21</f>
        <v>0</v>
      </c>
      <c r="AD379" s="120">
        <f t="shared" si="10"/>
        <v>2.835E-6</v>
      </c>
      <c r="AE379" s="121">
        <f t="shared" si="11"/>
        <v>2.1262500000000002E-6</v>
      </c>
    </row>
    <row r="380" spans="1:31" hidden="1" x14ac:dyDescent="0.2">
      <c r="A380" t="s">
        <v>65</v>
      </c>
      <c r="B380" t="s">
        <v>179</v>
      </c>
      <c r="C380" t="s">
        <v>1535</v>
      </c>
      <c r="D380" t="s">
        <v>135</v>
      </c>
      <c r="E380" t="s">
        <v>334</v>
      </c>
      <c r="F380" t="s">
        <v>267</v>
      </c>
      <c r="G380" t="s">
        <v>38</v>
      </c>
      <c r="H380" t="s">
        <v>33</v>
      </c>
      <c r="I380">
        <v>0</v>
      </c>
      <c r="J380">
        <v>1.2099999999999999E-5</v>
      </c>
      <c r="K380">
        <v>0</v>
      </c>
      <c r="L380">
        <v>0</v>
      </c>
      <c r="M380">
        <v>1.2099999999999999E-5</v>
      </c>
      <c r="N380">
        <v>0.65</v>
      </c>
      <c r="O380">
        <v>15</v>
      </c>
      <c r="P380">
        <v>4</v>
      </c>
      <c r="Q380">
        <v>2</v>
      </c>
      <c r="R380">
        <v>3</v>
      </c>
      <c r="S380">
        <v>27840</v>
      </c>
      <c r="T380">
        <v>0.59620000000000006</v>
      </c>
      <c r="U380" t="s">
        <v>2114</v>
      </c>
      <c r="V380" t="s">
        <v>2115</v>
      </c>
      <c r="W380" t="s">
        <v>2076</v>
      </c>
      <c r="X380" t="s">
        <v>2077</v>
      </c>
      <c r="Y380" t="s">
        <v>2116</v>
      </c>
      <c r="Z380" s="70">
        <f>I380*'Dynamic Analysis Dashboard'!$B$8*'Dynamic Analysis Dashboard'!$B$9*'Dynamic Analysis Dashboard'!$B$21</f>
        <v>0</v>
      </c>
      <c r="AA380" s="75">
        <f>J380*'Dynamic Analysis Dashboard'!$B$8*'Dynamic Analysis Dashboard'!$B$9*'Dynamic Analysis Dashboard'!$B$21</f>
        <v>8.1674999999999993E-6</v>
      </c>
      <c r="AB380" s="80">
        <f>K380*'Dynamic Analysis Dashboard'!$B$10*'Dynamic Analysis Dashboard'!$B$9*'Dynamic Analysis Dashboard'!$B$21</f>
        <v>0</v>
      </c>
      <c r="AC380" s="85">
        <f>L380*'Dynamic Analysis Dashboard'!$B$11*'Dynamic Analysis Dashboard'!$B$9*'Dynamic Analysis Dashboard'!$B$21</f>
        <v>0</v>
      </c>
      <c r="AD380" s="120">
        <f t="shared" si="10"/>
        <v>8.1674999999999993E-6</v>
      </c>
      <c r="AE380" s="121">
        <f t="shared" si="11"/>
        <v>5.3088750000000001E-6</v>
      </c>
    </row>
    <row r="381" spans="1:31" hidden="1" x14ac:dyDescent="0.2">
      <c r="A381" t="s">
        <v>65</v>
      </c>
      <c r="B381" t="s">
        <v>194</v>
      </c>
      <c r="C381" t="s">
        <v>2117</v>
      </c>
      <c r="D381" t="s">
        <v>2118</v>
      </c>
      <c r="E381" t="s">
        <v>2119</v>
      </c>
      <c r="F381" t="s">
        <v>267</v>
      </c>
      <c r="G381" t="s">
        <v>38</v>
      </c>
      <c r="H381" t="s">
        <v>28</v>
      </c>
      <c r="I381">
        <v>9.800000000000001E-6</v>
      </c>
      <c r="J381">
        <v>0</v>
      </c>
      <c r="K381">
        <v>2.7999999999999999E-6</v>
      </c>
      <c r="L381">
        <v>0</v>
      </c>
      <c r="M381">
        <v>1.26E-5</v>
      </c>
      <c r="N381">
        <v>0.7</v>
      </c>
      <c r="O381">
        <v>12</v>
      </c>
      <c r="P381">
        <v>3</v>
      </c>
      <c r="Q381">
        <v>2</v>
      </c>
      <c r="R381">
        <v>3</v>
      </c>
      <c r="S381">
        <v>2520</v>
      </c>
      <c r="T381">
        <v>6.1200000000000004E-2</v>
      </c>
      <c r="U381" t="s">
        <v>2120</v>
      </c>
      <c r="V381" t="s">
        <v>2083</v>
      </c>
      <c r="W381" t="s">
        <v>2121</v>
      </c>
      <c r="X381" t="s">
        <v>2077</v>
      </c>
      <c r="Y381" t="s">
        <v>2122</v>
      </c>
      <c r="Z381" s="70">
        <f>I381*'Dynamic Analysis Dashboard'!$B$8*'Dynamic Analysis Dashboard'!$B$9*'Dynamic Analysis Dashboard'!$B$21</f>
        <v>6.6150000000000019E-6</v>
      </c>
      <c r="AA381" s="75">
        <f>J381*'Dynamic Analysis Dashboard'!$B$8*'Dynamic Analysis Dashboard'!$B$9*'Dynamic Analysis Dashboard'!$B$21</f>
        <v>0</v>
      </c>
      <c r="AB381" s="80">
        <f>K381*'Dynamic Analysis Dashboard'!$B$10*'Dynamic Analysis Dashboard'!$B$9*'Dynamic Analysis Dashboard'!$B$21</f>
        <v>1.68E-6</v>
      </c>
      <c r="AC381" s="85">
        <f>L381*'Dynamic Analysis Dashboard'!$B$11*'Dynamic Analysis Dashboard'!$B$9*'Dynamic Analysis Dashboard'!$B$21</f>
        <v>0</v>
      </c>
      <c r="AD381" s="120">
        <f t="shared" si="10"/>
        <v>8.295000000000001E-6</v>
      </c>
      <c r="AE381" s="121">
        <f t="shared" si="11"/>
        <v>5.8065000000000002E-6</v>
      </c>
    </row>
    <row r="382" spans="1:31" x14ac:dyDescent="0.2">
      <c r="A382" t="s">
        <v>77</v>
      </c>
      <c r="B382" t="s">
        <v>141</v>
      </c>
      <c r="C382" t="s">
        <v>2123</v>
      </c>
      <c r="D382" t="s">
        <v>504</v>
      </c>
      <c r="E382" t="s">
        <v>705</v>
      </c>
      <c r="F382" t="s">
        <v>495</v>
      </c>
      <c r="G382" t="s">
        <v>24</v>
      </c>
      <c r="H382" t="s">
        <v>28</v>
      </c>
      <c r="I382">
        <v>5.0000000000000004E-6</v>
      </c>
      <c r="J382">
        <v>0</v>
      </c>
      <c r="K382">
        <v>1.3999999999999999E-6</v>
      </c>
      <c r="L382">
        <v>0</v>
      </c>
      <c r="M382">
        <v>6.4000000000000006E-6</v>
      </c>
      <c r="N382">
        <v>0.75</v>
      </c>
      <c r="O382">
        <v>9</v>
      </c>
      <c r="P382">
        <v>3</v>
      </c>
      <c r="Q382">
        <v>3</v>
      </c>
      <c r="R382">
        <v>3</v>
      </c>
      <c r="S382">
        <v>1860</v>
      </c>
      <c r="T382">
        <v>4</v>
      </c>
      <c r="U382" t="s">
        <v>2124</v>
      </c>
      <c r="V382" t="s">
        <v>129</v>
      </c>
      <c r="W382" t="s">
        <v>2125</v>
      </c>
      <c r="X382" t="s">
        <v>131</v>
      </c>
      <c r="Y382" t="s">
        <v>2126</v>
      </c>
      <c r="Z382" s="70">
        <f>I382*'Dynamic Analysis Dashboard'!$B$8*'Dynamic Analysis Dashboard'!$B$9*'Dynamic Analysis Dashboard'!$B$21</f>
        <v>3.3749999999999999E-6</v>
      </c>
      <c r="AA382" s="75">
        <f>J382*'Dynamic Analysis Dashboard'!$B$8*'Dynamic Analysis Dashboard'!$B$9*'Dynamic Analysis Dashboard'!$B$21</f>
        <v>0</v>
      </c>
      <c r="AB382" s="80">
        <f>K382*'Dynamic Analysis Dashboard'!$B$10*'Dynamic Analysis Dashboard'!$B$9*'Dynamic Analysis Dashboard'!$B$21</f>
        <v>8.4E-7</v>
      </c>
      <c r="AC382" s="85">
        <f>L382*'Dynamic Analysis Dashboard'!$B$11*'Dynamic Analysis Dashboard'!$B$9*'Dynamic Analysis Dashboard'!$B$21</f>
        <v>0</v>
      </c>
      <c r="AD382" s="120">
        <f t="shared" si="10"/>
        <v>4.2149999999999995E-6</v>
      </c>
      <c r="AE382" s="121">
        <f t="shared" si="11"/>
        <v>3.1612499999999996E-6</v>
      </c>
    </row>
    <row r="383" spans="1:31" x14ac:dyDescent="0.2">
      <c r="A383" t="s">
        <v>77</v>
      </c>
      <c r="B383" t="s">
        <v>123</v>
      </c>
      <c r="C383" t="s">
        <v>2127</v>
      </c>
      <c r="D383" t="s">
        <v>1026</v>
      </c>
      <c r="E383" t="s">
        <v>2128</v>
      </c>
      <c r="F383" t="s">
        <v>357</v>
      </c>
      <c r="G383" t="s">
        <v>24</v>
      </c>
      <c r="H383" t="s">
        <v>28</v>
      </c>
      <c r="I383">
        <v>4.2999999999999995E-6</v>
      </c>
      <c r="J383">
        <v>0</v>
      </c>
      <c r="K383">
        <v>2.7E-6</v>
      </c>
      <c r="L383">
        <v>0</v>
      </c>
      <c r="M383">
        <v>6.9999999999999999E-6</v>
      </c>
      <c r="N383">
        <v>0.7</v>
      </c>
      <c r="O383">
        <v>15</v>
      </c>
      <c r="P383">
        <v>4</v>
      </c>
      <c r="Q383">
        <v>4</v>
      </c>
      <c r="R383">
        <v>4</v>
      </c>
      <c r="S383">
        <v>13640</v>
      </c>
      <c r="T383">
        <v>7.1</v>
      </c>
      <c r="U383" t="s">
        <v>2129</v>
      </c>
      <c r="V383" t="s">
        <v>129</v>
      </c>
      <c r="W383" t="s">
        <v>2130</v>
      </c>
      <c r="X383" t="s">
        <v>131</v>
      </c>
      <c r="Y383" t="s">
        <v>2131</v>
      </c>
      <c r="Z383" s="70">
        <f>I383*'Dynamic Analysis Dashboard'!$B$8*'Dynamic Analysis Dashboard'!$B$9*'Dynamic Analysis Dashboard'!$B$21</f>
        <v>2.9024999999999997E-6</v>
      </c>
      <c r="AA383" s="75">
        <f>J383*'Dynamic Analysis Dashboard'!$B$8*'Dynamic Analysis Dashboard'!$B$9*'Dynamic Analysis Dashboard'!$B$21</f>
        <v>0</v>
      </c>
      <c r="AB383" s="80">
        <f>K383*'Dynamic Analysis Dashboard'!$B$10*'Dynamic Analysis Dashboard'!$B$9*'Dynamic Analysis Dashboard'!$B$21</f>
        <v>1.6200000000000002E-6</v>
      </c>
      <c r="AC383" s="85">
        <f>L383*'Dynamic Analysis Dashboard'!$B$11*'Dynamic Analysis Dashboard'!$B$9*'Dynamic Analysis Dashboard'!$B$21</f>
        <v>0</v>
      </c>
      <c r="AD383" s="120">
        <f t="shared" si="10"/>
        <v>4.5224999999999995E-6</v>
      </c>
      <c r="AE383" s="121">
        <f t="shared" si="11"/>
        <v>3.1657499999999993E-6</v>
      </c>
    </row>
    <row r="384" spans="1:31" x14ac:dyDescent="0.2">
      <c r="A384" t="s">
        <v>77</v>
      </c>
      <c r="B384" t="s">
        <v>164</v>
      </c>
      <c r="C384" t="s">
        <v>2132</v>
      </c>
      <c r="D384" t="s">
        <v>1026</v>
      </c>
      <c r="E384" t="s">
        <v>2133</v>
      </c>
      <c r="F384" t="s">
        <v>374</v>
      </c>
      <c r="G384" t="s">
        <v>24</v>
      </c>
      <c r="H384" t="s">
        <v>33</v>
      </c>
      <c r="I384">
        <v>1.6000000000000001E-6</v>
      </c>
      <c r="J384">
        <v>0</v>
      </c>
      <c r="K384">
        <v>0</v>
      </c>
      <c r="L384">
        <v>0</v>
      </c>
      <c r="M384">
        <v>1.6000000000000001E-6</v>
      </c>
      <c r="N384">
        <v>0.8</v>
      </c>
      <c r="O384">
        <v>7</v>
      </c>
      <c r="P384">
        <v>3</v>
      </c>
      <c r="Q384">
        <v>4</v>
      </c>
      <c r="R384">
        <v>3</v>
      </c>
      <c r="S384">
        <v>3410</v>
      </c>
      <c r="T384">
        <v>2.6</v>
      </c>
      <c r="U384" t="s">
        <v>2134</v>
      </c>
      <c r="V384" t="s">
        <v>129</v>
      </c>
      <c r="W384" t="s">
        <v>788</v>
      </c>
      <c r="X384" t="s">
        <v>131</v>
      </c>
      <c r="Y384" t="s">
        <v>2135</v>
      </c>
      <c r="Z384" s="70">
        <f>I384*'Dynamic Analysis Dashboard'!$B$8*'Dynamic Analysis Dashboard'!$B$9*'Dynamic Analysis Dashboard'!$B$21</f>
        <v>1.0800000000000002E-6</v>
      </c>
      <c r="AA384" s="75">
        <f>J384*'Dynamic Analysis Dashboard'!$B$8*'Dynamic Analysis Dashboard'!$B$9*'Dynamic Analysis Dashboard'!$B$21</f>
        <v>0</v>
      </c>
      <c r="AB384" s="80">
        <f>K384*'Dynamic Analysis Dashboard'!$B$10*'Dynamic Analysis Dashboard'!$B$9*'Dynamic Analysis Dashboard'!$B$21</f>
        <v>0</v>
      </c>
      <c r="AC384" s="85">
        <f>L384*'Dynamic Analysis Dashboard'!$B$11*'Dynamic Analysis Dashboard'!$B$9*'Dynamic Analysis Dashboard'!$B$21</f>
        <v>0</v>
      </c>
      <c r="AD384" s="120">
        <f t="shared" si="10"/>
        <v>1.0800000000000002E-6</v>
      </c>
      <c r="AE384" s="121">
        <f t="shared" si="11"/>
        <v>8.6400000000000022E-7</v>
      </c>
    </row>
    <row r="385" spans="1:31" x14ac:dyDescent="0.2">
      <c r="A385" t="s">
        <v>77</v>
      </c>
      <c r="B385" t="s">
        <v>172</v>
      </c>
      <c r="C385" t="s">
        <v>2136</v>
      </c>
      <c r="D385" t="s">
        <v>481</v>
      </c>
      <c r="E385" t="s">
        <v>709</v>
      </c>
      <c r="F385" t="s">
        <v>1414</v>
      </c>
      <c r="G385" t="s">
        <v>24</v>
      </c>
      <c r="H385" t="s">
        <v>25</v>
      </c>
      <c r="I385">
        <v>1.3E-6</v>
      </c>
      <c r="J385">
        <v>0</v>
      </c>
      <c r="K385">
        <v>0</v>
      </c>
      <c r="L385">
        <v>0</v>
      </c>
      <c r="M385">
        <v>1.3E-6</v>
      </c>
      <c r="N385">
        <v>0.8</v>
      </c>
      <c r="O385">
        <v>6</v>
      </c>
      <c r="P385">
        <v>2</v>
      </c>
      <c r="Q385">
        <v>3</v>
      </c>
      <c r="R385">
        <v>2</v>
      </c>
      <c r="S385">
        <v>2940</v>
      </c>
      <c r="T385">
        <v>2.4</v>
      </c>
      <c r="U385" t="s">
        <v>2137</v>
      </c>
      <c r="V385" t="s">
        <v>129</v>
      </c>
      <c r="W385" t="s">
        <v>788</v>
      </c>
      <c r="X385" t="s">
        <v>131</v>
      </c>
      <c r="Y385" t="s">
        <v>2138</v>
      </c>
      <c r="Z385" s="70">
        <f>I385*'Dynamic Analysis Dashboard'!$B$8*'Dynamic Analysis Dashboard'!$B$9*'Dynamic Analysis Dashboard'!$B$21</f>
        <v>8.7750000000000007E-7</v>
      </c>
      <c r="AA385" s="75">
        <f>J385*'Dynamic Analysis Dashboard'!$B$8*'Dynamic Analysis Dashboard'!$B$9*'Dynamic Analysis Dashboard'!$B$21</f>
        <v>0</v>
      </c>
      <c r="AB385" s="80">
        <f>K385*'Dynamic Analysis Dashboard'!$B$10*'Dynamic Analysis Dashboard'!$B$9*'Dynamic Analysis Dashboard'!$B$21</f>
        <v>0</v>
      </c>
      <c r="AC385" s="85">
        <f>L385*'Dynamic Analysis Dashboard'!$B$11*'Dynamic Analysis Dashboard'!$B$9*'Dynamic Analysis Dashboard'!$B$21</f>
        <v>0</v>
      </c>
      <c r="AD385" s="120">
        <f t="shared" si="10"/>
        <v>8.7750000000000007E-7</v>
      </c>
      <c r="AE385" s="121">
        <f t="shared" si="11"/>
        <v>7.0200000000000012E-7</v>
      </c>
    </row>
    <row r="386" spans="1:31" x14ac:dyDescent="0.2">
      <c r="A386" t="s">
        <v>77</v>
      </c>
      <c r="B386" t="s">
        <v>179</v>
      </c>
      <c r="C386" t="s">
        <v>2139</v>
      </c>
      <c r="D386" t="s">
        <v>1247</v>
      </c>
      <c r="E386" t="s">
        <v>2042</v>
      </c>
      <c r="F386" t="s">
        <v>267</v>
      </c>
      <c r="G386" t="s">
        <v>24</v>
      </c>
      <c r="H386" t="s">
        <v>33</v>
      </c>
      <c r="I386">
        <v>0</v>
      </c>
      <c r="J386">
        <v>0</v>
      </c>
      <c r="K386">
        <v>3.4000000000000001E-6</v>
      </c>
      <c r="L386">
        <v>0</v>
      </c>
      <c r="M386">
        <v>3.4000000000000001E-6</v>
      </c>
      <c r="N386">
        <v>0.7</v>
      </c>
      <c r="O386">
        <v>11</v>
      </c>
      <c r="P386">
        <v>3</v>
      </c>
      <c r="Q386">
        <v>2</v>
      </c>
      <c r="R386">
        <v>3</v>
      </c>
      <c r="S386">
        <v>1176</v>
      </c>
      <c r="T386">
        <v>2</v>
      </c>
      <c r="U386" t="s">
        <v>2140</v>
      </c>
      <c r="V386" t="s">
        <v>129</v>
      </c>
      <c r="W386" t="s">
        <v>2141</v>
      </c>
      <c r="X386" t="s">
        <v>131</v>
      </c>
      <c r="Y386" t="s">
        <v>2142</v>
      </c>
      <c r="Z386" s="70">
        <f>I386*'Dynamic Analysis Dashboard'!$B$8*'Dynamic Analysis Dashboard'!$B$9*'Dynamic Analysis Dashboard'!$B$21</f>
        <v>0</v>
      </c>
      <c r="AA386" s="75">
        <f>J386*'Dynamic Analysis Dashboard'!$B$8*'Dynamic Analysis Dashboard'!$B$9*'Dynamic Analysis Dashboard'!$B$21</f>
        <v>0</v>
      </c>
      <c r="AB386" s="80">
        <f>K386*'Dynamic Analysis Dashboard'!$B$10*'Dynamic Analysis Dashboard'!$B$9*'Dynamic Analysis Dashboard'!$B$21</f>
        <v>2.04E-6</v>
      </c>
      <c r="AC386" s="85">
        <f>L386*'Dynamic Analysis Dashboard'!$B$11*'Dynamic Analysis Dashboard'!$B$9*'Dynamic Analysis Dashboard'!$B$21</f>
        <v>0</v>
      </c>
      <c r="AD386" s="120">
        <f t="shared" si="10"/>
        <v>2.04E-6</v>
      </c>
      <c r="AE386" s="121">
        <f t="shared" si="11"/>
        <v>1.4279999999999999E-6</v>
      </c>
    </row>
    <row r="387" spans="1:31" x14ac:dyDescent="0.2">
      <c r="A387" t="s">
        <v>77</v>
      </c>
      <c r="B387" t="s">
        <v>186</v>
      </c>
      <c r="C387" t="s">
        <v>2143</v>
      </c>
      <c r="D387" t="s">
        <v>166</v>
      </c>
      <c r="E387" t="s">
        <v>2144</v>
      </c>
      <c r="F387" t="s">
        <v>374</v>
      </c>
      <c r="G387" t="s">
        <v>24</v>
      </c>
      <c r="H387" t="s">
        <v>28</v>
      </c>
      <c r="I387">
        <v>4.9999999999999998E-7</v>
      </c>
      <c r="J387">
        <v>0</v>
      </c>
      <c r="K387">
        <v>5.9999999999999997E-7</v>
      </c>
      <c r="L387">
        <v>1.5E-6</v>
      </c>
      <c r="M387">
        <v>2.6000000000000001E-6</v>
      </c>
      <c r="N387">
        <v>0.75</v>
      </c>
      <c r="O387">
        <v>8</v>
      </c>
      <c r="P387">
        <v>3</v>
      </c>
      <c r="Q387">
        <v>4</v>
      </c>
      <c r="R387">
        <v>3</v>
      </c>
      <c r="S387">
        <v>672</v>
      </c>
      <c r="T387">
        <v>1.7</v>
      </c>
      <c r="U387" t="s">
        <v>2145</v>
      </c>
      <c r="V387" t="s">
        <v>129</v>
      </c>
      <c r="W387" t="s">
        <v>2146</v>
      </c>
      <c r="X387" t="s">
        <v>2147</v>
      </c>
      <c r="Y387" t="s">
        <v>2148</v>
      </c>
      <c r="Z387" s="70">
        <f>I387*'Dynamic Analysis Dashboard'!$B$8*'Dynamic Analysis Dashboard'!$B$9*'Dynamic Analysis Dashboard'!$B$21</f>
        <v>3.375E-7</v>
      </c>
      <c r="AA387" s="75">
        <f>J387*'Dynamic Analysis Dashboard'!$B$8*'Dynamic Analysis Dashboard'!$B$9*'Dynamic Analysis Dashboard'!$B$21</f>
        <v>0</v>
      </c>
      <c r="AB387" s="80">
        <f>K387*'Dynamic Analysis Dashboard'!$B$10*'Dynamic Analysis Dashboard'!$B$9*'Dynamic Analysis Dashboard'!$B$21</f>
        <v>3.5999999999999994E-7</v>
      </c>
      <c r="AC387" s="85">
        <f>L387*'Dynamic Analysis Dashboard'!$B$11*'Dynamic Analysis Dashboard'!$B$9*'Dynamic Analysis Dashboard'!$B$21</f>
        <v>9.5624999999999995E-7</v>
      </c>
      <c r="AD387" s="120">
        <f t="shared" ref="AD387:AD450" si="12">SUM(Z387:AC387)</f>
        <v>1.6537499999999998E-6</v>
      </c>
      <c r="AE387" s="121">
        <f t="shared" ref="AE387:AE450" si="13">AD387*N387</f>
        <v>1.2403124999999998E-6</v>
      </c>
    </row>
    <row r="388" spans="1:31" hidden="1" x14ac:dyDescent="0.2">
      <c r="A388" t="s">
        <v>77</v>
      </c>
      <c r="B388" t="s">
        <v>149</v>
      </c>
      <c r="C388" t="s">
        <v>2149</v>
      </c>
      <c r="D388" t="s">
        <v>504</v>
      </c>
      <c r="E388" t="s">
        <v>532</v>
      </c>
      <c r="F388" t="s">
        <v>609</v>
      </c>
      <c r="G388" t="s">
        <v>31</v>
      </c>
      <c r="H388" t="s">
        <v>25</v>
      </c>
      <c r="I388">
        <v>3.4999999999999999E-6</v>
      </c>
      <c r="J388">
        <v>2.1699999999999999E-5</v>
      </c>
      <c r="K388">
        <v>0</v>
      </c>
      <c r="L388">
        <v>0</v>
      </c>
      <c r="M388">
        <v>2.5199999999999999E-5</v>
      </c>
      <c r="N388">
        <v>0.65</v>
      </c>
      <c r="O388">
        <v>10</v>
      </c>
      <c r="P388">
        <v>3</v>
      </c>
      <c r="Q388">
        <v>2</v>
      </c>
      <c r="R388">
        <v>3</v>
      </c>
      <c r="S388">
        <v>600</v>
      </c>
      <c r="T388">
        <v>2</v>
      </c>
      <c r="U388" t="s">
        <v>2150</v>
      </c>
      <c r="V388" t="s">
        <v>2151</v>
      </c>
      <c r="W388" t="s">
        <v>788</v>
      </c>
      <c r="X388" t="s">
        <v>131</v>
      </c>
      <c r="Y388" t="s">
        <v>2152</v>
      </c>
      <c r="Z388" s="70">
        <f>I388*'Dynamic Analysis Dashboard'!$B$8*'Dynamic Analysis Dashboard'!$B$9*'Dynamic Analysis Dashboard'!$B$21</f>
        <v>2.3624999999999998E-6</v>
      </c>
      <c r="AA388" s="75">
        <f>J388*'Dynamic Analysis Dashboard'!$B$8*'Dynamic Analysis Dashboard'!$B$9*'Dynamic Analysis Dashboard'!$B$21</f>
        <v>1.4647500000000002E-5</v>
      </c>
      <c r="AB388" s="80">
        <f>K388*'Dynamic Analysis Dashboard'!$B$10*'Dynamic Analysis Dashboard'!$B$9*'Dynamic Analysis Dashboard'!$B$21</f>
        <v>0</v>
      </c>
      <c r="AC388" s="85">
        <f>L388*'Dynamic Analysis Dashboard'!$B$11*'Dynamic Analysis Dashboard'!$B$9*'Dynamic Analysis Dashboard'!$B$21</f>
        <v>0</v>
      </c>
      <c r="AD388" s="120">
        <f t="shared" si="12"/>
        <v>1.7010000000000001E-5</v>
      </c>
      <c r="AE388" s="121">
        <f t="shared" si="13"/>
        <v>1.1056500000000002E-5</v>
      </c>
    </row>
    <row r="389" spans="1:31" hidden="1" x14ac:dyDescent="0.2">
      <c r="A389" t="s">
        <v>77</v>
      </c>
      <c r="B389" t="s">
        <v>133</v>
      </c>
      <c r="C389" t="s">
        <v>2153</v>
      </c>
      <c r="D389" t="s">
        <v>287</v>
      </c>
      <c r="E389" t="s">
        <v>646</v>
      </c>
      <c r="F389" t="s">
        <v>198</v>
      </c>
      <c r="G389" t="s">
        <v>31</v>
      </c>
      <c r="H389" t="s">
        <v>25</v>
      </c>
      <c r="I389">
        <v>1.8999999999999998E-6</v>
      </c>
      <c r="J389">
        <v>0</v>
      </c>
      <c r="K389">
        <v>3.6000000000000003E-6</v>
      </c>
      <c r="L389">
        <v>3.7999999999999996E-6</v>
      </c>
      <c r="M389">
        <v>9.3000000000000007E-6</v>
      </c>
      <c r="N389">
        <v>0.7</v>
      </c>
      <c r="O389">
        <v>8</v>
      </c>
      <c r="P389">
        <v>3</v>
      </c>
      <c r="Q389">
        <v>3</v>
      </c>
      <c r="R389">
        <v>2</v>
      </c>
      <c r="S389">
        <v>576</v>
      </c>
      <c r="T389">
        <v>1.9</v>
      </c>
      <c r="U389" t="s">
        <v>2154</v>
      </c>
      <c r="V389" t="s">
        <v>129</v>
      </c>
      <c r="W389" t="s">
        <v>2155</v>
      </c>
      <c r="X389" t="s">
        <v>2156</v>
      </c>
      <c r="Y389" t="s">
        <v>2157</v>
      </c>
      <c r="Z389" s="70">
        <f>I389*'Dynamic Analysis Dashboard'!$B$8*'Dynamic Analysis Dashboard'!$B$9*'Dynamic Analysis Dashboard'!$B$21</f>
        <v>1.2825E-6</v>
      </c>
      <c r="AA389" s="75">
        <f>J389*'Dynamic Analysis Dashboard'!$B$8*'Dynamic Analysis Dashboard'!$B$9*'Dynamic Analysis Dashboard'!$B$21</f>
        <v>0</v>
      </c>
      <c r="AB389" s="80">
        <f>K389*'Dynamic Analysis Dashboard'!$B$10*'Dynamic Analysis Dashboard'!$B$9*'Dynamic Analysis Dashboard'!$B$21</f>
        <v>2.1600000000000005E-6</v>
      </c>
      <c r="AC389" s="85">
        <f>L389*'Dynamic Analysis Dashboard'!$B$11*'Dynamic Analysis Dashboard'!$B$9*'Dynamic Analysis Dashboard'!$B$21</f>
        <v>2.4224999999999997E-6</v>
      </c>
      <c r="AD389" s="120">
        <f t="shared" si="12"/>
        <v>5.8650000000000006E-6</v>
      </c>
      <c r="AE389" s="121">
        <f t="shared" si="13"/>
        <v>4.1054999999999999E-6</v>
      </c>
    </row>
    <row r="390" spans="1:31" hidden="1" x14ac:dyDescent="0.2">
      <c r="A390" t="s">
        <v>77</v>
      </c>
      <c r="B390" t="s">
        <v>156</v>
      </c>
      <c r="C390" t="s">
        <v>2158</v>
      </c>
      <c r="D390" t="s">
        <v>595</v>
      </c>
      <c r="E390" t="s">
        <v>431</v>
      </c>
      <c r="F390" t="s">
        <v>374</v>
      </c>
      <c r="G390" t="s">
        <v>38</v>
      </c>
      <c r="H390" t="s">
        <v>311</v>
      </c>
      <c r="I390">
        <v>0</v>
      </c>
      <c r="J390">
        <v>0</v>
      </c>
      <c r="K390">
        <v>9.0000000000000007E-7</v>
      </c>
      <c r="L390">
        <v>1.3E-6</v>
      </c>
      <c r="M390">
        <v>2.2000000000000001E-6</v>
      </c>
      <c r="N390">
        <v>0.75</v>
      </c>
      <c r="O390">
        <v>12</v>
      </c>
      <c r="P390">
        <v>3</v>
      </c>
      <c r="Q390">
        <v>3</v>
      </c>
      <c r="R390">
        <v>4</v>
      </c>
      <c r="S390">
        <v>2940</v>
      </c>
      <c r="T390">
        <v>2.4</v>
      </c>
      <c r="U390" t="s">
        <v>2159</v>
      </c>
      <c r="V390" t="s">
        <v>129</v>
      </c>
      <c r="W390" t="s">
        <v>2160</v>
      </c>
      <c r="X390" t="s">
        <v>2161</v>
      </c>
      <c r="Y390" t="s">
        <v>2162</v>
      </c>
      <c r="Z390" s="70">
        <f>I390*'Dynamic Analysis Dashboard'!$B$8*'Dynamic Analysis Dashboard'!$B$9*'Dynamic Analysis Dashboard'!$B$21</f>
        <v>0</v>
      </c>
      <c r="AA390" s="75">
        <f>J390*'Dynamic Analysis Dashboard'!$B$8*'Dynamic Analysis Dashboard'!$B$9*'Dynamic Analysis Dashboard'!$B$21</f>
        <v>0</v>
      </c>
      <c r="AB390" s="80">
        <f>K390*'Dynamic Analysis Dashboard'!$B$10*'Dynamic Analysis Dashboard'!$B$9*'Dynamic Analysis Dashboard'!$B$21</f>
        <v>5.4000000000000012E-7</v>
      </c>
      <c r="AC390" s="85">
        <f>L390*'Dynamic Analysis Dashboard'!$B$11*'Dynamic Analysis Dashboard'!$B$9*'Dynamic Analysis Dashboard'!$B$21</f>
        <v>8.2875000000000001E-7</v>
      </c>
      <c r="AD390" s="120">
        <f t="shared" si="12"/>
        <v>1.3687500000000002E-6</v>
      </c>
      <c r="AE390" s="121">
        <f t="shared" si="13"/>
        <v>1.0265625000000002E-6</v>
      </c>
    </row>
    <row r="391" spans="1:31" hidden="1" x14ac:dyDescent="0.2">
      <c r="A391" t="s">
        <v>77</v>
      </c>
      <c r="B391" t="s">
        <v>194</v>
      </c>
      <c r="C391" t="s">
        <v>2163</v>
      </c>
      <c r="D391" t="s">
        <v>504</v>
      </c>
      <c r="E391" t="s">
        <v>2164</v>
      </c>
      <c r="F391" t="s">
        <v>2165</v>
      </c>
      <c r="G391" t="s">
        <v>38</v>
      </c>
      <c r="H391" t="s">
        <v>33</v>
      </c>
      <c r="I391">
        <v>3.6000000000000003E-6</v>
      </c>
      <c r="J391">
        <v>0</v>
      </c>
      <c r="K391">
        <v>8.0000000000000007E-7</v>
      </c>
      <c r="L391">
        <v>0</v>
      </c>
      <c r="M391">
        <v>4.4000000000000002E-6</v>
      </c>
      <c r="N391">
        <v>0.7</v>
      </c>
      <c r="O391">
        <v>14</v>
      </c>
      <c r="P391">
        <v>4</v>
      </c>
      <c r="Q391">
        <v>2</v>
      </c>
      <c r="R391">
        <v>4</v>
      </c>
      <c r="S391">
        <v>2240</v>
      </c>
      <c r="T391">
        <v>5.5</v>
      </c>
      <c r="U391" t="s">
        <v>2166</v>
      </c>
      <c r="V391" t="s">
        <v>129</v>
      </c>
      <c r="W391" t="s">
        <v>2167</v>
      </c>
      <c r="X391" t="s">
        <v>131</v>
      </c>
      <c r="Y391" t="s">
        <v>2168</v>
      </c>
      <c r="Z391" s="70">
        <f>I391*'Dynamic Analysis Dashboard'!$B$8*'Dynamic Analysis Dashboard'!$B$9*'Dynamic Analysis Dashboard'!$B$21</f>
        <v>2.4300000000000005E-6</v>
      </c>
      <c r="AA391" s="75">
        <f>J391*'Dynamic Analysis Dashboard'!$B$8*'Dynamic Analysis Dashboard'!$B$9*'Dynamic Analysis Dashboard'!$B$21</f>
        <v>0</v>
      </c>
      <c r="AB391" s="80">
        <f>K391*'Dynamic Analysis Dashboard'!$B$10*'Dynamic Analysis Dashboard'!$B$9*'Dynamic Analysis Dashboard'!$B$21</f>
        <v>4.8000000000000006E-7</v>
      </c>
      <c r="AC391" s="85">
        <f>L391*'Dynamic Analysis Dashboard'!$B$11*'Dynamic Analysis Dashboard'!$B$9*'Dynamic Analysis Dashboard'!$B$21</f>
        <v>0</v>
      </c>
      <c r="AD391" s="120">
        <f t="shared" si="12"/>
        <v>2.9100000000000005E-6</v>
      </c>
      <c r="AE391" s="121">
        <f t="shared" si="13"/>
        <v>2.0370000000000001E-6</v>
      </c>
    </row>
    <row r="392" spans="1:31" x14ac:dyDescent="0.2">
      <c r="A392" t="s">
        <v>87</v>
      </c>
      <c r="B392" t="s">
        <v>141</v>
      </c>
      <c r="C392" t="s">
        <v>2169</v>
      </c>
      <c r="D392" t="s">
        <v>328</v>
      </c>
      <c r="E392" t="s">
        <v>2170</v>
      </c>
      <c r="F392" t="s">
        <v>609</v>
      </c>
      <c r="G392" t="s">
        <v>24</v>
      </c>
      <c r="H392" t="s">
        <v>28</v>
      </c>
      <c r="I392">
        <v>1.8999999999999998E-6</v>
      </c>
      <c r="J392">
        <v>1.15E-5</v>
      </c>
      <c r="K392">
        <v>0</v>
      </c>
      <c r="L392">
        <v>0</v>
      </c>
      <c r="M392">
        <v>1.34E-5</v>
      </c>
      <c r="N392">
        <v>0.85</v>
      </c>
      <c r="O392">
        <v>9</v>
      </c>
      <c r="P392">
        <v>4</v>
      </c>
      <c r="Q392">
        <v>3</v>
      </c>
      <c r="R392">
        <v>4</v>
      </c>
      <c r="S392">
        <v>14100</v>
      </c>
      <c r="T392">
        <v>1E-3</v>
      </c>
      <c r="U392" t="s">
        <v>2171</v>
      </c>
      <c r="V392" t="s">
        <v>2172</v>
      </c>
      <c r="W392" t="s">
        <v>1135</v>
      </c>
      <c r="X392" t="s">
        <v>1135</v>
      </c>
      <c r="Y392" t="s">
        <v>2173</v>
      </c>
      <c r="Z392" s="70">
        <f>I392*'Dynamic Analysis Dashboard'!$B$8*'Dynamic Analysis Dashboard'!$B$9*'Dynamic Analysis Dashboard'!$B$21</f>
        <v>1.2825E-6</v>
      </c>
      <c r="AA392" s="75">
        <f>J392*'Dynamic Analysis Dashboard'!$B$8*'Dynamic Analysis Dashboard'!$B$9*'Dynamic Analysis Dashboard'!$B$21</f>
        <v>7.7625000000000006E-6</v>
      </c>
      <c r="AB392" s="80">
        <f>K392*'Dynamic Analysis Dashboard'!$B$10*'Dynamic Analysis Dashboard'!$B$9*'Dynamic Analysis Dashboard'!$B$21</f>
        <v>0</v>
      </c>
      <c r="AC392" s="85">
        <f>L392*'Dynamic Analysis Dashboard'!$B$11*'Dynamic Analysis Dashboard'!$B$9*'Dynamic Analysis Dashboard'!$B$21</f>
        <v>0</v>
      </c>
      <c r="AD392" s="120">
        <f t="shared" si="12"/>
        <v>9.0450000000000006E-6</v>
      </c>
      <c r="AE392" s="121">
        <f t="shared" si="13"/>
        <v>7.6882500000000005E-6</v>
      </c>
    </row>
    <row r="393" spans="1:31" x14ac:dyDescent="0.2">
      <c r="A393" t="s">
        <v>87</v>
      </c>
      <c r="B393" t="s">
        <v>149</v>
      </c>
      <c r="C393" t="s">
        <v>2174</v>
      </c>
      <c r="D393" t="s">
        <v>595</v>
      </c>
      <c r="E393" t="s">
        <v>680</v>
      </c>
      <c r="F393" t="s">
        <v>324</v>
      </c>
      <c r="G393" t="s">
        <v>24</v>
      </c>
      <c r="H393" t="s">
        <v>33</v>
      </c>
      <c r="I393">
        <v>1.8999999999999998E-6</v>
      </c>
      <c r="J393">
        <v>0</v>
      </c>
      <c r="K393">
        <v>0</v>
      </c>
      <c r="L393">
        <v>6.8000000000000001E-6</v>
      </c>
      <c r="M393">
        <v>8.6999999999999997E-6</v>
      </c>
      <c r="N393">
        <v>0.8</v>
      </c>
      <c r="O393">
        <v>12</v>
      </c>
      <c r="P393">
        <v>4</v>
      </c>
      <c r="Q393">
        <v>2</v>
      </c>
      <c r="R393">
        <v>4</v>
      </c>
      <c r="S393">
        <v>657200</v>
      </c>
      <c r="T393">
        <v>3.7000000000000002E-3</v>
      </c>
      <c r="U393" t="s">
        <v>2175</v>
      </c>
      <c r="V393" t="s">
        <v>1135</v>
      </c>
      <c r="W393" t="s">
        <v>1135</v>
      </c>
      <c r="X393" t="s">
        <v>2176</v>
      </c>
      <c r="Y393" t="s">
        <v>2177</v>
      </c>
      <c r="Z393" s="70">
        <f>I393*'Dynamic Analysis Dashboard'!$B$8*'Dynamic Analysis Dashboard'!$B$9*'Dynamic Analysis Dashboard'!$B$21</f>
        <v>1.2825E-6</v>
      </c>
      <c r="AA393" s="75">
        <f>J393*'Dynamic Analysis Dashboard'!$B$8*'Dynamic Analysis Dashboard'!$B$9*'Dynamic Analysis Dashboard'!$B$21</f>
        <v>0</v>
      </c>
      <c r="AB393" s="80">
        <f>K393*'Dynamic Analysis Dashboard'!$B$10*'Dynamic Analysis Dashboard'!$B$9*'Dynamic Analysis Dashboard'!$B$21</f>
        <v>0</v>
      </c>
      <c r="AC393" s="85">
        <f>L393*'Dynamic Analysis Dashboard'!$B$11*'Dynamic Analysis Dashboard'!$B$9*'Dynamic Analysis Dashboard'!$B$21</f>
        <v>4.335E-6</v>
      </c>
      <c r="AD393" s="120">
        <f t="shared" si="12"/>
        <v>5.6175E-6</v>
      </c>
      <c r="AE393" s="121">
        <f t="shared" si="13"/>
        <v>4.4940000000000005E-6</v>
      </c>
    </row>
    <row r="394" spans="1:31" x14ac:dyDescent="0.2">
      <c r="A394" t="s">
        <v>87</v>
      </c>
      <c r="B394" t="s">
        <v>133</v>
      </c>
      <c r="C394" t="s">
        <v>2178</v>
      </c>
      <c r="D394" t="s">
        <v>1988</v>
      </c>
      <c r="E394" t="s">
        <v>841</v>
      </c>
      <c r="F394" t="s">
        <v>267</v>
      </c>
      <c r="G394" t="s">
        <v>24</v>
      </c>
      <c r="H394" t="s">
        <v>28</v>
      </c>
      <c r="I394">
        <v>1.5E-6</v>
      </c>
      <c r="J394">
        <v>0</v>
      </c>
      <c r="K394">
        <v>1.1000000000000001E-6</v>
      </c>
      <c r="L394">
        <v>0</v>
      </c>
      <c r="M394">
        <v>2.6000000000000001E-6</v>
      </c>
      <c r="N394">
        <v>0.75</v>
      </c>
      <c r="O394">
        <v>8</v>
      </c>
      <c r="P394">
        <v>3</v>
      </c>
      <c r="Q394">
        <v>3</v>
      </c>
      <c r="R394">
        <v>3</v>
      </c>
      <c r="S394">
        <v>9690</v>
      </c>
      <c r="T394">
        <v>2.9999999999999997E-4</v>
      </c>
      <c r="U394" t="s">
        <v>2179</v>
      </c>
      <c r="V394" t="s">
        <v>1135</v>
      </c>
      <c r="W394" t="s">
        <v>2180</v>
      </c>
      <c r="X394" t="s">
        <v>1135</v>
      </c>
      <c r="Y394" t="s">
        <v>2181</v>
      </c>
      <c r="Z394" s="70">
        <f>I394*'Dynamic Analysis Dashboard'!$B$8*'Dynamic Analysis Dashboard'!$B$9*'Dynamic Analysis Dashboard'!$B$21</f>
        <v>1.0125E-6</v>
      </c>
      <c r="AA394" s="75">
        <f>J394*'Dynamic Analysis Dashboard'!$B$8*'Dynamic Analysis Dashboard'!$B$9*'Dynamic Analysis Dashboard'!$B$21</f>
        <v>0</v>
      </c>
      <c r="AB394" s="80">
        <f>K394*'Dynamic Analysis Dashboard'!$B$10*'Dynamic Analysis Dashboard'!$B$9*'Dynamic Analysis Dashboard'!$B$21</f>
        <v>6.6000000000000003E-7</v>
      </c>
      <c r="AC394" s="85">
        <f>L394*'Dynamic Analysis Dashboard'!$B$11*'Dynamic Analysis Dashboard'!$B$9*'Dynamic Analysis Dashboard'!$B$21</f>
        <v>0</v>
      </c>
      <c r="AD394" s="120">
        <f t="shared" si="12"/>
        <v>1.6725000000000001E-6</v>
      </c>
      <c r="AE394" s="121">
        <f t="shared" si="13"/>
        <v>1.2543750000000002E-6</v>
      </c>
    </row>
    <row r="395" spans="1:31" x14ac:dyDescent="0.2">
      <c r="A395" t="s">
        <v>87</v>
      </c>
      <c r="B395" t="s">
        <v>164</v>
      </c>
      <c r="C395" t="s">
        <v>2182</v>
      </c>
      <c r="D395" t="s">
        <v>328</v>
      </c>
      <c r="E395" t="s">
        <v>1949</v>
      </c>
      <c r="F395" t="s">
        <v>183</v>
      </c>
      <c r="G395" t="s">
        <v>24</v>
      </c>
      <c r="H395" t="s">
        <v>28</v>
      </c>
      <c r="I395">
        <v>1.1999999999999999E-6</v>
      </c>
      <c r="J395">
        <v>0</v>
      </c>
      <c r="K395">
        <v>0</v>
      </c>
      <c r="L395">
        <v>0</v>
      </c>
      <c r="M395">
        <v>1.1999999999999999E-6</v>
      </c>
      <c r="N395">
        <v>0.85</v>
      </c>
      <c r="O395">
        <v>7</v>
      </c>
      <c r="P395">
        <v>3</v>
      </c>
      <c r="Q395">
        <v>3</v>
      </c>
      <c r="R395">
        <v>3</v>
      </c>
      <c r="S395">
        <v>17390</v>
      </c>
      <c r="T395">
        <v>2.2000000000000001E-3</v>
      </c>
      <c r="U395" t="s">
        <v>2183</v>
      </c>
      <c r="V395" t="s">
        <v>1135</v>
      </c>
      <c r="W395" t="s">
        <v>1135</v>
      </c>
      <c r="X395" t="s">
        <v>1135</v>
      </c>
      <c r="Y395" t="s">
        <v>2184</v>
      </c>
      <c r="Z395" s="70">
        <f>I395*'Dynamic Analysis Dashboard'!$B$8*'Dynamic Analysis Dashboard'!$B$9*'Dynamic Analysis Dashboard'!$B$21</f>
        <v>8.1000000000000008E-7</v>
      </c>
      <c r="AA395" s="75">
        <f>J395*'Dynamic Analysis Dashboard'!$B$8*'Dynamic Analysis Dashboard'!$B$9*'Dynamic Analysis Dashboard'!$B$21</f>
        <v>0</v>
      </c>
      <c r="AB395" s="80">
        <f>K395*'Dynamic Analysis Dashboard'!$B$10*'Dynamic Analysis Dashboard'!$B$9*'Dynamic Analysis Dashboard'!$B$21</f>
        <v>0</v>
      </c>
      <c r="AC395" s="85">
        <f>L395*'Dynamic Analysis Dashboard'!$B$11*'Dynamic Analysis Dashboard'!$B$9*'Dynamic Analysis Dashboard'!$B$21</f>
        <v>0</v>
      </c>
      <c r="AD395" s="120">
        <f t="shared" si="12"/>
        <v>8.1000000000000008E-7</v>
      </c>
      <c r="AE395" s="121">
        <f t="shared" si="13"/>
        <v>6.8850000000000006E-7</v>
      </c>
    </row>
    <row r="396" spans="1:31" x14ac:dyDescent="0.2">
      <c r="A396" t="s">
        <v>87</v>
      </c>
      <c r="B396" t="s">
        <v>172</v>
      </c>
      <c r="C396" t="s">
        <v>2185</v>
      </c>
      <c r="D396" t="s">
        <v>188</v>
      </c>
      <c r="E396" t="s">
        <v>835</v>
      </c>
      <c r="F396" t="s">
        <v>1414</v>
      </c>
      <c r="G396" t="s">
        <v>24</v>
      </c>
      <c r="H396" t="s">
        <v>28</v>
      </c>
      <c r="I396">
        <v>1.3999999999999999E-6</v>
      </c>
      <c r="J396">
        <v>0</v>
      </c>
      <c r="K396">
        <v>2.9999999999999999E-7</v>
      </c>
      <c r="L396">
        <v>0</v>
      </c>
      <c r="M396">
        <v>1.7E-6</v>
      </c>
      <c r="N396">
        <v>0.8</v>
      </c>
      <c r="O396">
        <v>6</v>
      </c>
      <c r="P396">
        <v>3</v>
      </c>
      <c r="Q396">
        <v>3</v>
      </c>
      <c r="R396">
        <v>2</v>
      </c>
      <c r="S396">
        <v>56280</v>
      </c>
      <c r="T396">
        <v>8.0000000000000004E-4</v>
      </c>
      <c r="U396" t="s">
        <v>2186</v>
      </c>
      <c r="V396" t="s">
        <v>1135</v>
      </c>
      <c r="W396" t="s">
        <v>2187</v>
      </c>
      <c r="X396" t="s">
        <v>1135</v>
      </c>
      <c r="Y396" t="s">
        <v>2188</v>
      </c>
      <c r="Z396" s="70">
        <f>I396*'Dynamic Analysis Dashboard'!$B$8*'Dynamic Analysis Dashboard'!$B$9*'Dynamic Analysis Dashboard'!$B$21</f>
        <v>9.4500000000000006E-7</v>
      </c>
      <c r="AA396" s="75">
        <f>J396*'Dynamic Analysis Dashboard'!$B$8*'Dynamic Analysis Dashboard'!$B$9*'Dynamic Analysis Dashboard'!$B$21</f>
        <v>0</v>
      </c>
      <c r="AB396" s="80">
        <f>K396*'Dynamic Analysis Dashboard'!$B$10*'Dynamic Analysis Dashboard'!$B$9*'Dynamic Analysis Dashboard'!$B$21</f>
        <v>1.7999999999999997E-7</v>
      </c>
      <c r="AC396" s="85">
        <f>L396*'Dynamic Analysis Dashboard'!$B$11*'Dynamic Analysis Dashboard'!$B$9*'Dynamic Analysis Dashboard'!$B$21</f>
        <v>0</v>
      </c>
      <c r="AD396" s="120">
        <f t="shared" si="12"/>
        <v>1.125E-6</v>
      </c>
      <c r="AE396" s="121">
        <f t="shared" si="13"/>
        <v>9.0000000000000007E-7</v>
      </c>
    </row>
    <row r="397" spans="1:31" x14ac:dyDescent="0.2">
      <c r="A397" t="s">
        <v>87</v>
      </c>
      <c r="B397" t="s">
        <v>179</v>
      </c>
      <c r="C397" t="s">
        <v>2189</v>
      </c>
      <c r="D397" t="s">
        <v>166</v>
      </c>
      <c r="E397" t="s">
        <v>802</v>
      </c>
      <c r="F397" t="s">
        <v>145</v>
      </c>
      <c r="G397" t="s">
        <v>24</v>
      </c>
      <c r="H397" t="s">
        <v>28</v>
      </c>
      <c r="I397">
        <v>4.9999999999999998E-7</v>
      </c>
      <c r="J397">
        <v>0</v>
      </c>
      <c r="K397">
        <v>0</v>
      </c>
      <c r="L397">
        <v>2.2000000000000001E-6</v>
      </c>
      <c r="M397">
        <v>2.7E-6</v>
      </c>
      <c r="N397">
        <v>0.85</v>
      </c>
      <c r="O397">
        <v>6</v>
      </c>
      <c r="P397">
        <v>3</v>
      </c>
      <c r="Q397">
        <v>3</v>
      </c>
      <c r="R397">
        <v>3</v>
      </c>
      <c r="S397">
        <v>42120</v>
      </c>
      <c r="T397">
        <v>5.9999999999999995E-4</v>
      </c>
      <c r="U397" t="s">
        <v>2190</v>
      </c>
      <c r="V397" t="s">
        <v>1135</v>
      </c>
      <c r="W397" t="s">
        <v>1135</v>
      </c>
      <c r="X397" t="s">
        <v>2191</v>
      </c>
      <c r="Y397" t="s">
        <v>2192</v>
      </c>
      <c r="Z397" s="70">
        <f>I397*'Dynamic Analysis Dashboard'!$B$8*'Dynamic Analysis Dashboard'!$B$9*'Dynamic Analysis Dashboard'!$B$21</f>
        <v>3.375E-7</v>
      </c>
      <c r="AA397" s="75">
        <f>J397*'Dynamic Analysis Dashboard'!$B$8*'Dynamic Analysis Dashboard'!$B$9*'Dynamic Analysis Dashboard'!$B$21</f>
        <v>0</v>
      </c>
      <c r="AB397" s="80">
        <f>K397*'Dynamic Analysis Dashboard'!$B$10*'Dynamic Analysis Dashboard'!$B$9*'Dynamic Analysis Dashboard'!$B$21</f>
        <v>0</v>
      </c>
      <c r="AC397" s="85">
        <f>L397*'Dynamic Analysis Dashboard'!$B$11*'Dynamic Analysis Dashboard'!$B$9*'Dynamic Analysis Dashboard'!$B$21</f>
        <v>1.4025000000000001E-6</v>
      </c>
      <c r="AD397" s="120">
        <f t="shared" si="12"/>
        <v>1.7400000000000001E-6</v>
      </c>
      <c r="AE397" s="121">
        <f t="shared" si="13"/>
        <v>1.4789999999999999E-6</v>
      </c>
    </row>
    <row r="398" spans="1:31" hidden="1" x14ac:dyDescent="0.2">
      <c r="A398" t="s">
        <v>87</v>
      </c>
      <c r="B398" t="s">
        <v>123</v>
      </c>
      <c r="C398" t="s">
        <v>613</v>
      </c>
      <c r="D398" t="s">
        <v>2193</v>
      </c>
      <c r="E398" t="s">
        <v>2194</v>
      </c>
      <c r="F398" t="s">
        <v>145</v>
      </c>
      <c r="G398" t="s">
        <v>38</v>
      </c>
      <c r="H398" t="s">
        <v>311</v>
      </c>
      <c r="I398">
        <v>3.9999999999999998E-6</v>
      </c>
      <c r="J398">
        <v>0</v>
      </c>
      <c r="K398">
        <v>1.8000000000000001E-6</v>
      </c>
      <c r="L398">
        <v>0</v>
      </c>
      <c r="M398">
        <v>5.7999999999999995E-6</v>
      </c>
      <c r="N398">
        <v>0.75</v>
      </c>
      <c r="O398">
        <v>15</v>
      </c>
      <c r="P398">
        <v>5</v>
      </c>
      <c r="Q398">
        <v>2</v>
      </c>
      <c r="R398">
        <v>5</v>
      </c>
      <c r="S398">
        <v>98280</v>
      </c>
      <c r="T398">
        <v>1.8E-3</v>
      </c>
      <c r="U398" t="s">
        <v>2195</v>
      </c>
      <c r="V398" t="s">
        <v>1135</v>
      </c>
      <c r="W398" t="s">
        <v>2196</v>
      </c>
      <c r="X398" t="s">
        <v>1135</v>
      </c>
      <c r="Y398" t="s">
        <v>2197</v>
      </c>
      <c r="Z398" s="70">
        <f>I398*'Dynamic Analysis Dashboard'!$B$8*'Dynamic Analysis Dashboard'!$B$9*'Dynamic Analysis Dashboard'!$B$21</f>
        <v>2.7E-6</v>
      </c>
      <c r="AA398" s="75">
        <f>J398*'Dynamic Analysis Dashboard'!$B$8*'Dynamic Analysis Dashboard'!$B$9*'Dynamic Analysis Dashboard'!$B$21</f>
        <v>0</v>
      </c>
      <c r="AB398" s="80">
        <f>K398*'Dynamic Analysis Dashboard'!$B$10*'Dynamic Analysis Dashboard'!$B$9*'Dynamic Analysis Dashboard'!$B$21</f>
        <v>1.0800000000000002E-6</v>
      </c>
      <c r="AC398" s="85">
        <f>L398*'Dynamic Analysis Dashboard'!$B$11*'Dynamic Analysis Dashboard'!$B$9*'Dynamic Analysis Dashboard'!$B$21</f>
        <v>0</v>
      </c>
      <c r="AD398" s="120">
        <f t="shared" si="12"/>
        <v>3.7800000000000002E-6</v>
      </c>
      <c r="AE398" s="121">
        <f t="shared" si="13"/>
        <v>2.835E-6</v>
      </c>
    </row>
    <row r="399" spans="1:31" hidden="1" x14ac:dyDescent="0.2">
      <c r="A399" t="s">
        <v>87</v>
      </c>
      <c r="B399" t="s">
        <v>156</v>
      </c>
      <c r="C399" t="s">
        <v>2198</v>
      </c>
      <c r="D399" t="s">
        <v>2193</v>
      </c>
      <c r="E399" t="s">
        <v>2199</v>
      </c>
      <c r="F399" t="s">
        <v>2200</v>
      </c>
      <c r="G399" t="s">
        <v>31</v>
      </c>
      <c r="H399" t="s">
        <v>25</v>
      </c>
      <c r="I399">
        <v>2.3E-6</v>
      </c>
      <c r="J399">
        <v>0</v>
      </c>
      <c r="K399">
        <v>0</v>
      </c>
      <c r="L399">
        <v>0</v>
      </c>
      <c r="M399">
        <v>2.3E-6</v>
      </c>
      <c r="N399">
        <v>0.9</v>
      </c>
      <c r="O399">
        <v>5</v>
      </c>
      <c r="P399">
        <v>2</v>
      </c>
      <c r="Q399">
        <v>4</v>
      </c>
      <c r="R399">
        <v>2</v>
      </c>
      <c r="S399">
        <v>104160</v>
      </c>
      <c r="T399">
        <v>1.1999999999999999E-3</v>
      </c>
      <c r="U399" t="s">
        <v>2201</v>
      </c>
      <c r="V399" t="s">
        <v>1135</v>
      </c>
      <c r="W399" t="s">
        <v>1135</v>
      </c>
      <c r="X399" t="s">
        <v>1135</v>
      </c>
      <c r="Y399" t="s">
        <v>2202</v>
      </c>
      <c r="Z399" s="70">
        <f>I399*'Dynamic Analysis Dashboard'!$B$8*'Dynamic Analysis Dashboard'!$B$9*'Dynamic Analysis Dashboard'!$B$21</f>
        <v>1.5525E-6</v>
      </c>
      <c r="AA399" s="75">
        <f>J399*'Dynamic Analysis Dashboard'!$B$8*'Dynamic Analysis Dashboard'!$B$9*'Dynamic Analysis Dashboard'!$B$21</f>
        <v>0</v>
      </c>
      <c r="AB399" s="80">
        <f>K399*'Dynamic Analysis Dashboard'!$B$10*'Dynamic Analysis Dashboard'!$B$9*'Dynamic Analysis Dashboard'!$B$21</f>
        <v>0</v>
      </c>
      <c r="AC399" s="85">
        <f>L399*'Dynamic Analysis Dashboard'!$B$11*'Dynamic Analysis Dashboard'!$B$9*'Dynamic Analysis Dashboard'!$B$21</f>
        <v>0</v>
      </c>
      <c r="AD399" s="120">
        <f t="shared" si="12"/>
        <v>1.5525E-6</v>
      </c>
      <c r="AE399" s="121">
        <f t="shared" si="13"/>
        <v>1.39725E-6</v>
      </c>
    </row>
    <row r="400" spans="1:31" hidden="1" x14ac:dyDescent="0.2">
      <c r="A400" t="s">
        <v>87</v>
      </c>
      <c r="B400" t="s">
        <v>186</v>
      </c>
      <c r="C400" t="s">
        <v>2203</v>
      </c>
      <c r="D400" t="s">
        <v>196</v>
      </c>
      <c r="E400" t="s">
        <v>1970</v>
      </c>
      <c r="F400" t="s">
        <v>198</v>
      </c>
      <c r="G400" t="s">
        <v>31</v>
      </c>
      <c r="H400" t="s">
        <v>25</v>
      </c>
      <c r="I400">
        <v>8.0000000000000007E-7</v>
      </c>
      <c r="J400">
        <v>0</v>
      </c>
      <c r="K400">
        <v>5.9999999999999997E-7</v>
      </c>
      <c r="L400">
        <v>0</v>
      </c>
      <c r="M400">
        <v>1.3999999999999999E-6</v>
      </c>
      <c r="N400">
        <v>0.8</v>
      </c>
      <c r="O400">
        <v>5</v>
      </c>
      <c r="P400">
        <v>2</v>
      </c>
      <c r="Q400">
        <v>4</v>
      </c>
      <c r="R400">
        <v>2</v>
      </c>
      <c r="S400">
        <v>30660</v>
      </c>
      <c r="T400">
        <v>5.9999999999999995E-4</v>
      </c>
      <c r="U400" t="s">
        <v>2204</v>
      </c>
      <c r="V400" t="s">
        <v>1135</v>
      </c>
      <c r="W400" t="s">
        <v>2205</v>
      </c>
      <c r="X400" t="s">
        <v>1135</v>
      </c>
      <c r="Y400" t="s">
        <v>2206</v>
      </c>
      <c r="Z400" s="70">
        <f>I400*'Dynamic Analysis Dashboard'!$B$8*'Dynamic Analysis Dashboard'!$B$9*'Dynamic Analysis Dashboard'!$B$21</f>
        <v>5.4000000000000012E-7</v>
      </c>
      <c r="AA400" s="75">
        <f>J400*'Dynamic Analysis Dashboard'!$B$8*'Dynamic Analysis Dashboard'!$B$9*'Dynamic Analysis Dashboard'!$B$21</f>
        <v>0</v>
      </c>
      <c r="AB400" s="80">
        <f>K400*'Dynamic Analysis Dashboard'!$B$10*'Dynamic Analysis Dashboard'!$B$9*'Dynamic Analysis Dashboard'!$B$21</f>
        <v>3.5999999999999994E-7</v>
      </c>
      <c r="AC400" s="85">
        <f>L400*'Dynamic Analysis Dashboard'!$B$11*'Dynamic Analysis Dashboard'!$B$9*'Dynamic Analysis Dashboard'!$B$21</f>
        <v>0</v>
      </c>
      <c r="AD400" s="120">
        <f t="shared" si="12"/>
        <v>9.0000000000000007E-7</v>
      </c>
      <c r="AE400" s="121">
        <f t="shared" si="13"/>
        <v>7.2000000000000009E-7</v>
      </c>
    </row>
    <row r="401" spans="1:31" hidden="1" x14ac:dyDescent="0.2">
      <c r="A401" t="s">
        <v>87</v>
      </c>
      <c r="B401" t="s">
        <v>194</v>
      </c>
      <c r="C401" t="s">
        <v>586</v>
      </c>
      <c r="D401" t="s">
        <v>1988</v>
      </c>
      <c r="E401" t="s">
        <v>588</v>
      </c>
      <c r="F401" t="s">
        <v>145</v>
      </c>
      <c r="G401" t="s">
        <v>38</v>
      </c>
      <c r="H401" t="s">
        <v>33</v>
      </c>
      <c r="I401">
        <v>1.1000000000000001E-6</v>
      </c>
      <c r="J401">
        <v>1.8999999999999998E-6</v>
      </c>
      <c r="K401">
        <v>0</v>
      </c>
      <c r="L401">
        <v>0</v>
      </c>
      <c r="M401">
        <v>3.0000000000000001E-6</v>
      </c>
      <c r="N401">
        <v>0.75</v>
      </c>
      <c r="O401">
        <v>10</v>
      </c>
      <c r="P401">
        <v>4</v>
      </c>
      <c r="Q401">
        <v>2</v>
      </c>
      <c r="R401">
        <v>4</v>
      </c>
      <c r="S401">
        <v>10270</v>
      </c>
      <c r="T401">
        <v>2.9999999999999997E-4</v>
      </c>
      <c r="U401" t="s">
        <v>2207</v>
      </c>
      <c r="V401" t="s">
        <v>2208</v>
      </c>
      <c r="W401" t="s">
        <v>1135</v>
      </c>
      <c r="X401" t="s">
        <v>1135</v>
      </c>
      <c r="Y401" t="s">
        <v>2209</v>
      </c>
      <c r="Z401" s="70">
        <f>I401*'Dynamic Analysis Dashboard'!$B$8*'Dynamic Analysis Dashboard'!$B$9*'Dynamic Analysis Dashboard'!$B$21</f>
        <v>7.4250000000000009E-7</v>
      </c>
      <c r="AA401" s="75">
        <f>J401*'Dynamic Analysis Dashboard'!$B$8*'Dynamic Analysis Dashboard'!$B$9*'Dynamic Analysis Dashboard'!$B$21</f>
        <v>1.2825E-6</v>
      </c>
      <c r="AB401" s="80">
        <f>K401*'Dynamic Analysis Dashboard'!$B$10*'Dynamic Analysis Dashboard'!$B$9*'Dynamic Analysis Dashboard'!$B$21</f>
        <v>0</v>
      </c>
      <c r="AC401" s="85">
        <f>L401*'Dynamic Analysis Dashboard'!$B$11*'Dynamic Analysis Dashboard'!$B$9*'Dynamic Analysis Dashboard'!$B$21</f>
        <v>0</v>
      </c>
      <c r="AD401" s="120">
        <f t="shared" si="12"/>
        <v>2.0250000000000001E-6</v>
      </c>
      <c r="AE401" s="121">
        <f t="shared" si="13"/>
        <v>1.5187500000000001E-6</v>
      </c>
    </row>
    <row r="402" spans="1:31" x14ac:dyDescent="0.2">
      <c r="A402" t="s">
        <v>70</v>
      </c>
      <c r="B402" t="s">
        <v>149</v>
      </c>
      <c r="C402" t="s">
        <v>2210</v>
      </c>
      <c r="D402" t="s">
        <v>2211</v>
      </c>
      <c r="E402" t="s">
        <v>2212</v>
      </c>
      <c r="F402" t="s">
        <v>582</v>
      </c>
      <c r="G402" t="s">
        <v>24</v>
      </c>
      <c r="H402" t="s">
        <v>25</v>
      </c>
      <c r="I402">
        <v>1.8999999999999998E-6</v>
      </c>
      <c r="J402">
        <v>0</v>
      </c>
      <c r="K402">
        <v>4.7999999999999998E-6</v>
      </c>
      <c r="L402">
        <v>0</v>
      </c>
      <c r="M402">
        <v>6.7000000000000002E-6</v>
      </c>
      <c r="N402">
        <v>0.8</v>
      </c>
      <c r="O402">
        <v>6</v>
      </c>
      <c r="P402">
        <v>3</v>
      </c>
      <c r="Q402">
        <v>3</v>
      </c>
      <c r="R402">
        <v>2</v>
      </c>
      <c r="S402">
        <v>142500</v>
      </c>
      <c r="T402">
        <v>83</v>
      </c>
      <c r="U402" t="s">
        <v>2213</v>
      </c>
      <c r="V402" t="s">
        <v>2214</v>
      </c>
      <c r="W402" t="s">
        <v>2215</v>
      </c>
      <c r="X402" t="s">
        <v>1189</v>
      </c>
      <c r="Y402" t="s">
        <v>2216</v>
      </c>
      <c r="Z402" s="70">
        <f>I402*'Dynamic Analysis Dashboard'!$B$8*'Dynamic Analysis Dashboard'!$B$9*'Dynamic Analysis Dashboard'!$B$21</f>
        <v>1.2825E-6</v>
      </c>
      <c r="AA402" s="75">
        <f>J402*'Dynamic Analysis Dashboard'!$B$8*'Dynamic Analysis Dashboard'!$B$9*'Dynamic Analysis Dashboard'!$B$21</f>
        <v>0</v>
      </c>
      <c r="AB402" s="80">
        <f>K402*'Dynamic Analysis Dashboard'!$B$10*'Dynamic Analysis Dashboard'!$B$9*'Dynamic Analysis Dashboard'!$B$21</f>
        <v>2.8799999999999995E-6</v>
      </c>
      <c r="AC402" s="85">
        <f>L402*'Dynamic Analysis Dashboard'!$B$11*'Dynamic Analysis Dashboard'!$B$9*'Dynamic Analysis Dashboard'!$B$21</f>
        <v>0</v>
      </c>
      <c r="AD402" s="120">
        <f t="shared" si="12"/>
        <v>4.1624999999999995E-6</v>
      </c>
      <c r="AE402" s="121">
        <f t="shared" si="13"/>
        <v>3.3299999999999999E-6</v>
      </c>
    </row>
    <row r="403" spans="1:31" x14ac:dyDescent="0.2">
      <c r="A403" t="s">
        <v>70</v>
      </c>
      <c r="B403" t="s">
        <v>156</v>
      </c>
      <c r="C403" t="s">
        <v>2217</v>
      </c>
      <c r="D403" t="s">
        <v>481</v>
      </c>
      <c r="E403" t="s">
        <v>1152</v>
      </c>
      <c r="F403" t="s">
        <v>137</v>
      </c>
      <c r="G403" t="s">
        <v>24</v>
      </c>
      <c r="H403" t="s">
        <v>28</v>
      </c>
      <c r="I403">
        <v>1.1000000000000001E-6</v>
      </c>
      <c r="J403">
        <v>5.7000000000000005E-6</v>
      </c>
      <c r="K403">
        <v>0.42</v>
      </c>
      <c r="L403">
        <v>2.3999999999999999E-6</v>
      </c>
      <c r="M403">
        <v>9.5999999999999996E-6</v>
      </c>
      <c r="N403">
        <v>0.8</v>
      </c>
      <c r="O403">
        <v>9</v>
      </c>
      <c r="P403">
        <v>3</v>
      </c>
      <c r="Q403">
        <v>3</v>
      </c>
      <c r="R403">
        <v>3</v>
      </c>
      <c r="S403">
        <v>10370</v>
      </c>
      <c r="T403">
        <v>24</v>
      </c>
      <c r="U403" t="s">
        <v>2218</v>
      </c>
      <c r="V403" t="s">
        <v>2219</v>
      </c>
      <c r="W403" t="s">
        <v>2220</v>
      </c>
      <c r="X403" t="s">
        <v>2221</v>
      </c>
      <c r="Y403" t="s">
        <v>2222</v>
      </c>
      <c r="Z403" s="70">
        <f>I403*'Dynamic Analysis Dashboard'!$B$8*'Dynamic Analysis Dashboard'!$B$9*'Dynamic Analysis Dashboard'!$B$21</f>
        <v>7.4250000000000009E-7</v>
      </c>
      <c r="AA403" s="75">
        <f>J403*'Dynamic Analysis Dashboard'!$B$8*'Dynamic Analysis Dashboard'!$B$9*'Dynamic Analysis Dashboard'!$B$21</f>
        <v>3.8475000000000009E-6</v>
      </c>
      <c r="AB403" s="80">
        <f>K403*'Dynamic Analysis Dashboard'!$B$10*'Dynamic Analysis Dashboard'!$B$9*'Dynamic Analysis Dashboard'!$B$21</f>
        <v>0.252</v>
      </c>
      <c r="AC403" s="85">
        <f>L403*'Dynamic Analysis Dashboard'!$B$11*'Dynamic Analysis Dashboard'!$B$9*'Dynamic Analysis Dashboard'!$B$21</f>
        <v>1.53E-6</v>
      </c>
      <c r="AD403" s="120">
        <f t="shared" si="12"/>
        <v>0.25200612000000006</v>
      </c>
      <c r="AE403" s="121">
        <f t="shared" si="13"/>
        <v>0.20160489600000006</v>
      </c>
    </row>
    <row r="404" spans="1:31" x14ac:dyDescent="0.2">
      <c r="A404" t="s">
        <v>70</v>
      </c>
      <c r="B404" t="s">
        <v>164</v>
      </c>
      <c r="C404" t="s">
        <v>2223</v>
      </c>
      <c r="D404" t="s">
        <v>481</v>
      </c>
      <c r="E404" t="s">
        <v>784</v>
      </c>
      <c r="F404" t="s">
        <v>215</v>
      </c>
      <c r="G404" t="s">
        <v>24</v>
      </c>
      <c r="H404" t="s">
        <v>28</v>
      </c>
      <c r="I404">
        <v>1.3999999999999999E-6</v>
      </c>
      <c r="J404">
        <v>1.8000000000000001E-6</v>
      </c>
      <c r="K404">
        <v>0.57999999999999996</v>
      </c>
      <c r="L404">
        <v>0</v>
      </c>
      <c r="M404">
        <v>3.7999999999999996E-6</v>
      </c>
      <c r="N404">
        <v>0.85</v>
      </c>
      <c r="O404">
        <v>6</v>
      </c>
      <c r="P404">
        <v>2</v>
      </c>
      <c r="Q404">
        <v>4</v>
      </c>
      <c r="R404">
        <v>2</v>
      </c>
      <c r="S404">
        <v>56840</v>
      </c>
      <c r="T404">
        <v>37</v>
      </c>
      <c r="U404" t="s">
        <v>2224</v>
      </c>
      <c r="V404" t="s">
        <v>2225</v>
      </c>
      <c r="W404" t="s">
        <v>2226</v>
      </c>
      <c r="X404" t="s">
        <v>1189</v>
      </c>
      <c r="Y404" t="s">
        <v>2227</v>
      </c>
      <c r="Z404" s="70">
        <f>I404*'Dynamic Analysis Dashboard'!$B$8*'Dynamic Analysis Dashboard'!$B$9*'Dynamic Analysis Dashboard'!$B$21</f>
        <v>9.4500000000000006E-7</v>
      </c>
      <c r="AA404" s="75">
        <f>J404*'Dynamic Analysis Dashboard'!$B$8*'Dynamic Analysis Dashboard'!$B$9*'Dynamic Analysis Dashboard'!$B$21</f>
        <v>1.2150000000000002E-6</v>
      </c>
      <c r="AB404" s="80">
        <f>K404*'Dynamic Analysis Dashboard'!$B$10*'Dynamic Analysis Dashboard'!$B$9*'Dynamic Analysis Dashboard'!$B$21</f>
        <v>0.34799999999999998</v>
      </c>
      <c r="AC404" s="85">
        <f>L404*'Dynamic Analysis Dashboard'!$B$11*'Dynamic Analysis Dashboard'!$B$9*'Dynamic Analysis Dashboard'!$B$21</f>
        <v>0</v>
      </c>
      <c r="AD404" s="120">
        <f t="shared" si="12"/>
        <v>0.34800215999999995</v>
      </c>
      <c r="AE404" s="121">
        <f t="shared" si="13"/>
        <v>0.29580183599999993</v>
      </c>
    </row>
    <row r="405" spans="1:31" x14ac:dyDescent="0.2">
      <c r="A405" t="s">
        <v>70</v>
      </c>
      <c r="B405" t="s">
        <v>179</v>
      </c>
      <c r="C405" t="s">
        <v>2228</v>
      </c>
      <c r="D405" t="s">
        <v>540</v>
      </c>
      <c r="E405" t="s">
        <v>1970</v>
      </c>
      <c r="F405" t="s">
        <v>198</v>
      </c>
      <c r="G405" t="s">
        <v>24</v>
      </c>
      <c r="H405" t="s">
        <v>25</v>
      </c>
      <c r="I405">
        <v>0.34</v>
      </c>
      <c r="J405">
        <v>2.7999999999999999E-6</v>
      </c>
      <c r="K405">
        <v>1.8999999999999998E-6</v>
      </c>
      <c r="L405">
        <v>1.6000000000000001E-6</v>
      </c>
      <c r="M405">
        <v>6.5999999999999995E-6</v>
      </c>
      <c r="N405">
        <v>0.8</v>
      </c>
      <c r="O405">
        <v>6</v>
      </c>
      <c r="P405">
        <v>2</v>
      </c>
      <c r="Q405">
        <v>3</v>
      </c>
      <c r="R405">
        <v>2</v>
      </c>
      <c r="S405">
        <v>20740</v>
      </c>
      <c r="T405">
        <v>31</v>
      </c>
      <c r="U405" t="s">
        <v>2229</v>
      </c>
      <c r="V405" t="s">
        <v>2230</v>
      </c>
      <c r="W405" t="s">
        <v>2231</v>
      </c>
      <c r="X405" t="s">
        <v>2232</v>
      </c>
      <c r="Y405" t="s">
        <v>2233</v>
      </c>
      <c r="Z405" s="70">
        <f>I405*'Dynamic Analysis Dashboard'!$B$8*'Dynamic Analysis Dashboard'!$B$9*'Dynamic Analysis Dashboard'!$B$21</f>
        <v>0.22950000000000004</v>
      </c>
      <c r="AA405" s="75">
        <f>J405*'Dynamic Analysis Dashboard'!$B$8*'Dynamic Analysis Dashboard'!$B$9*'Dynamic Analysis Dashboard'!$B$21</f>
        <v>1.8900000000000001E-6</v>
      </c>
      <c r="AB405" s="80">
        <f>K405*'Dynamic Analysis Dashboard'!$B$10*'Dynamic Analysis Dashboard'!$B$9*'Dynamic Analysis Dashboard'!$B$21</f>
        <v>1.1399999999999999E-6</v>
      </c>
      <c r="AC405" s="85">
        <f>L405*'Dynamic Analysis Dashboard'!$B$11*'Dynamic Analysis Dashboard'!$B$9*'Dynamic Analysis Dashboard'!$B$21</f>
        <v>1.02E-6</v>
      </c>
      <c r="AD405" s="120">
        <f t="shared" si="12"/>
        <v>0.22950405000000004</v>
      </c>
      <c r="AE405" s="121">
        <f t="shared" si="13"/>
        <v>0.18360324000000006</v>
      </c>
    </row>
    <row r="406" spans="1:31" hidden="1" x14ac:dyDescent="0.2">
      <c r="A406" t="s">
        <v>70</v>
      </c>
      <c r="B406" t="s">
        <v>141</v>
      </c>
      <c r="C406" t="s">
        <v>2234</v>
      </c>
      <c r="D406" t="s">
        <v>2235</v>
      </c>
      <c r="E406" t="s">
        <v>2236</v>
      </c>
      <c r="F406" t="s">
        <v>970</v>
      </c>
      <c r="G406" t="s">
        <v>31</v>
      </c>
      <c r="H406" t="s">
        <v>25</v>
      </c>
      <c r="I406">
        <v>3.2000000000000003E-6</v>
      </c>
      <c r="J406">
        <v>1.43E-5</v>
      </c>
      <c r="K406">
        <v>2.7999999999999999E-6</v>
      </c>
      <c r="L406">
        <v>1.8999999999999998E-6</v>
      </c>
      <c r="M406">
        <v>2.2200000000000001E-5</v>
      </c>
      <c r="N406">
        <v>0.85</v>
      </c>
      <c r="O406">
        <v>9</v>
      </c>
      <c r="P406">
        <v>3</v>
      </c>
      <c r="Q406">
        <v>3</v>
      </c>
      <c r="R406">
        <v>3</v>
      </c>
      <c r="S406">
        <v>588750</v>
      </c>
      <c r="T406">
        <v>273</v>
      </c>
      <c r="U406" t="s">
        <v>2237</v>
      </c>
      <c r="V406" t="s">
        <v>2238</v>
      </c>
      <c r="W406" t="s">
        <v>2239</v>
      </c>
      <c r="X406" t="s">
        <v>2240</v>
      </c>
      <c r="Y406" t="s">
        <v>2241</v>
      </c>
      <c r="Z406" s="70">
        <f>I406*'Dynamic Analysis Dashboard'!$B$8*'Dynamic Analysis Dashboard'!$B$9*'Dynamic Analysis Dashboard'!$B$21</f>
        <v>2.1600000000000005E-6</v>
      </c>
      <c r="AA406" s="75">
        <f>J406*'Dynamic Analysis Dashboard'!$B$8*'Dynamic Analysis Dashboard'!$B$9*'Dynamic Analysis Dashboard'!$B$21</f>
        <v>9.6524999999999995E-6</v>
      </c>
      <c r="AB406" s="80">
        <f>K406*'Dynamic Analysis Dashboard'!$B$10*'Dynamic Analysis Dashboard'!$B$9*'Dynamic Analysis Dashboard'!$B$21</f>
        <v>1.68E-6</v>
      </c>
      <c r="AC406" s="85">
        <f>L406*'Dynamic Analysis Dashboard'!$B$11*'Dynamic Analysis Dashboard'!$B$9*'Dynamic Analysis Dashboard'!$B$21</f>
        <v>1.2112499999999998E-6</v>
      </c>
      <c r="AD406" s="120">
        <f t="shared" si="12"/>
        <v>1.470375E-5</v>
      </c>
      <c r="AE406" s="121">
        <f t="shared" si="13"/>
        <v>1.2498187499999999E-5</v>
      </c>
    </row>
    <row r="407" spans="1:31" hidden="1" x14ac:dyDescent="0.2">
      <c r="A407" t="s">
        <v>70</v>
      </c>
      <c r="B407" t="s">
        <v>123</v>
      </c>
      <c r="C407" t="s">
        <v>2242</v>
      </c>
      <c r="D407" t="s">
        <v>2243</v>
      </c>
      <c r="E407" t="s">
        <v>2244</v>
      </c>
      <c r="F407" t="s">
        <v>324</v>
      </c>
      <c r="G407" t="s">
        <v>31</v>
      </c>
      <c r="H407" t="s">
        <v>28</v>
      </c>
      <c r="I407">
        <v>2.1000000000000002E-6</v>
      </c>
      <c r="J407">
        <v>8.4000000000000009E-6</v>
      </c>
      <c r="K407">
        <v>1.45E-5</v>
      </c>
      <c r="L407">
        <v>0.68</v>
      </c>
      <c r="M407">
        <v>2.5699999999999998E-5</v>
      </c>
      <c r="N407">
        <v>0.75</v>
      </c>
      <c r="O407">
        <v>12</v>
      </c>
      <c r="P407">
        <v>4</v>
      </c>
      <c r="Q407">
        <v>2</v>
      </c>
      <c r="R407">
        <v>4</v>
      </c>
      <c r="S407">
        <v>149800</v>
      </c>
      <c r="T407">
        <v>230</v>
      </c>
      <c r="U407" t="s">
        <v>2245</v>
      </c>
      <c r="V407" t="s">
        <v>2246</v>
      </c>
      <c r="W407" t="s">
        <v>2247</v>
      </c>
      <c r="X407" t="s">
        <v>2248</v>
      </c>
      <c r="Y407" t="s">
        <v>2249</v>
      </c>
      <c r="Z407" s="70">
        <f>I407*'Dynamic Analysis Dashboard'!$B$8*'Dynamic Analysis Dashboard'!$B$9*'Dynamic Analysis Dashboard'!$B$21</f>
        <v>1.4175000000000002E-6</v>
      </c>
      <c r="AA407" s="75">
        <f>J407*'Dynamic Analysis Dashboard'!$B$8*'Dynamic Analysis Dashboard'!$B$9*'Dynamic Analysis Dashboard'!$B$21</f>
        <v>5.6700000000000008E-6</v>
      </c>
      <c r="AB407" s="80">
        <f>K407*'Dynamic Analysis Dashboard'!$B$10*'Dynamic Analysis Dashboard'!$B$9*'Dynamic Analysis Dashboard'!$B$21</f>
        <v>8.7000000000000014E-6</v>
      </c>
      <c r="AC407" s="85">
        <f>L407*'Dynamic Analysis Dashboard'!$B$11*'Dynamic Analysis Dashboard'!$B$9*'Dynamic Analysis Dashboard'!$B$21</f>
        <v>0.43350000000000005</v>
      </c>
      <c r="AD407" s="120">
        <f t="shared" si="12"/>
        <v>0.43351578750000003</v>
      </c>
      <c r="AE407" s="121">
        <f t="shared" si="13"/>
        <v>0.32513684062500003</v>
      </c>
    </row>
    <row r="408" spans="1:31" hidden="1" x14ac:dyDescent="0.2">
      <c r="A408" t="s">
        <v>70</v>
      </c>
      <c r="B408" t="s">
        <v>133</v>
      </c>
      <c r="C408" t="s">
        <v>2250</v>
      </c>
      <c r="D408" t="s">
        <v>2211</v>
      </c>
      <c r="E408" t="s">
        <v>717</v>
      </c>
      <c r="F408" t="s">
        <v>609</v>
      </c>
      <c r="G408" t="s">
        <v>38</v>
      </c>
      <c r="H408" t="s">
        <v>33</v>
      </c>
      <c r="I408">
        <v>0.86</v>
      </c>
      <c r="J408">
        <v>0</v>
      </c>
      <c r="K408">
        <v>1.8000000000000001E-6</v>
      </c>
      <c r="L408">
        <v>0</v>
      </c>
      <c r="M408">
        <v>2.7E-6</v>
      </c>
      <c r="N408">
        <v>0.75</v>
      </c>
      <c r="O408">
        <v>6</v>
      </c>
      <c r="P408">
        <v>2</v>
      </c>
      <c r="Q408">
        <v>2</v>
      </c>
      <c r="R408">
        <v>2</v>
      </c>
      <c r="S408">
        <v>5715</v>
      </c>
      <c r="T408">
        <v>9</v>
      </c>
      <c r="U408" t="s">
        <v>2251</v>
      </c>
      <c r="V408" t="s">
        <v>2214</v>
      </c>
      <c r="W408" t="s">
        <v>2252</v>
      </c>
      <c r="X408" t="s">
        <v>1189</v>
      </c>
      <c r="Y408" t="s">
        <v>2253</v>
      </c>
      <c r="Z408" s="70">
        <f>I408*'Dynamic Analysis Dashboard'!$B$8*'Dynamic Analysis Dashboard'!$B$9*'Dynamic Analysis Dashboard'!$B$21</f>
        <v>0.58050000000000002</v>
      </c>
      <c r="AA408" s="75">
        <f>J408*'Dynamic Analysis Dashboard'!$B$8*'Dynamic Analysis Dashboard'!$B$9*'Dynamic Analysis Dashboard'!$B$21</f>
        <v>0</v>
      </c>
      <c r="AB408" s="80">
        <f>K408*'Dynamic Analysis Dashboard'!$B$10*'Dynamic Analysis Dashboard'!$B$9*'Dynamic Analysis Dashboard'!$B$21</f>
        <v>1.0800000000000002E-6</v>
      </c>
      <c r="AC408" s="85">
        <f>L408*'Dynamic Analysis Dashboard'!$B$11*'Dynamic Analysis Dashboard'!$B$9*'Dynamic Analysis Dashboard'!$B$21</f>
        <v>0</v>
      </c>
      <c r="AD408" s="120">
        <f t="shared" si="12"/>
        <v>0.58050108</v>
      </c>
      <c r="AE408" s="121">
        <f t="shared" si="13"/>
        <v>0.43537581000000003</v>
      </c>
    </row>
    <row r="409" spans="1:31" hidden="1" x14ac:dyDescent="0.2">
      <c r="A409" t="s">
        <v>70</v>
      </c>
      <c r="B409" t="s">
        <v>172</v>
      </c>
      <c r="C409" t="s">
        <v>2254</v>
      </c>
      <c r="D409" t="s">
        <v>1357</v>
      </c>
      <c r="E409" t="s">
        <v>1166</v>
      </c>
      <c r="F409" t="s">
        <v>198</v>
      </c>
      <c r="G409" t="s">
        <v>38</v>
      </c>
      <c r="H409" t="s">
        <v>33</v>
      </c>
      <c r="I409">
        <v>0.41</v>
      </c>
      <c r="J409">
        <v>6.1999999999999999E-6</v>
      </c>
      <c r="K409">
        <v>0</v>
      </c>
      <c r="L409">
        <v>1.1000000000000001E-6</v>
      </c>
      <c r="M409">
        <v>7.7000000000000008E-6</v>
      </c>
      <c r="N409">
        <v>0.75</v>
      </c>
      <c r="O409">
        <v>9</v>
      </c>
      <c r="P409">
        <v>3</v>
      </c>
      <c r="Q409">
        <v>2</v>
      </c>
      <c r="R409">
        <v>3</v>
      </c>
      <c r="S409">
        <v>7245</v>
      </c>
      <c r="T409">
        <v>16</v>
      </c>
      <c r="U409" t="s">
        <v>2255</v>
      </c>
      <c r="V409" t="s">
        <v>2256</v>
      </c>
      <c r="W409" t="s">
        <v>2257</v>
      </c>
      <c r="X409" t="s">
        <v>2258</v>
      </c>
      <c r="Y409" t="s">
        <v>2259</v>
      </c>
      <c r="Z409" s="70">
        <f>I409*'Dynamic Analysis Dashboard'!$B$8*'Dynamic Analysis Dashboard'!$B$9*'Dynamic Analysis Dashboard'!$B$21</f>
        <v>0.27675</v>
      </c>
      <c r="AA409" s="75">
        <f>J409*'Dynamic Analysis Dashboard'!$B$8*'Dynamic Analysis Dashboard'!$B$9*'Dynamic Analysis Dashboard'!$B$21</f>
        <v>4.1849999999999997E-6</v>
      </c>
      <c r="AB409" s="80">
        <f>K409*'Dynamic Analysis Dashboard'!$B$10*'Dynamic Analysis Dashboard'!$B$9*'Dynamic Analysis Dashboard'!$B$21</f>
        <v>0</v>
      </c>
      <c r="AC409" s="85">
        <f>L409*'Dynamic Analysis Dashboard'!$B$11*'Dynamic Analysis Dashboard'!$B$9*'Dynamic Analysis Dashboard'!$B$21</f>
        <v>7.0125000000000006E-7</v>
      </c>
      <c r="AD409" s="120">
        <f t="shared" si="12"/>
        <v>0.27675488625</v>
      </c>
      <c r="AE409" s="121">
        <f t="shared" si="13"/>
        <v>0.2075661646875</v>
      </c>
    </row>
    <row r="410" spans="1:31" hidden="1" x14ac:dyDescent="0.2">
      <c r="A410" t="s">
        <v>70</v>
      </c>
      <c r="B410" t="s">
        <v>186</v>
      </c>
      <c r="C410" t="s">
        <v>2260</v>
      </c>
      <c r="D410" t="s">
        <v>166</v>
      </c>
      <c r="E410" t="s">
        <v>564</v>
      </c>
      <c r="F410" t="s">
        <v>374</v>
      </c>
      <c r="G410" t="s">
        <v>38</v>
      </c>
      <c r="H410" t="s">
        <v>311</v>
      </c>
      <c r="I410">
        <v>1.5E-6</v>
      </c>
      <c r="J410">
        <v>0</v>
      </c>
      <c r="K410">
        <v>0.68</v>
      </c>
      <c r="L410">
        <v>0.84</v>
      </c>
      <c r="M410">
        <v>3.0000000000000001E-6</v>
      </c>
      <c r="N410">
        <v>0.75</v>
      </c>
      <c r="O410">
        <v>12</v>
      </c>
      <c r="P410">
        <v>4</v>
      </c>
      <c r="Q410">
        <v>3</v>
      </c>
      <c r="R410">
        <v>4</v>
      </c>
      <c r="S410">
        <v>98050</v>
      </c>
      <c r="T410">
        <v>132</v>
      </c>
      <c r="U410" t="s">
        <v>2261</v>
      </c>
      <c r="V410" t="s">
        <v>2214</v>
      </c>
      <c r="W410" t="s">
        <v>2262</v>
      </c>
      <c r="X410" t="s">
        <v>2263</v>
      </c>
      <c r="Y410" t="s">
        <v>2264</v>
      </c>
      <c r="Z410" s="70">
        <f>I410*'Dynamic Analysis Dashboard'!$B$8*'Dynamic Analysis Dashboard'!$B$9*'Dynamic Analysis Dashboard'!$B$21</f>
        <v>1.0125E-6</v>
      </c>
      <c r="AA410" s="75">
        <f>J410*'Dynamic Analysis Dashboard'!$B$8*'Dynamic Analysis Dashboard'!$B$9*'Dynamic Analysis Dashboard'!$B$21</f>
        <v>0</v>
      </c>
      <c r="AB410" s="80">
        <f>K410*'Dynamic Analysis Dashboard'!$B$10*'Dynamic Analysis Dashboard'!$B$9*'Dynamic Analysis Dashboard'!$B$21</f>
        <v>0.40800000000000003</v>
      </c>
      <c r="AC410" s="85">
        <f>L410*'Dynamic Analysis Dashboard'!$B$11*'Dynamic Analysis Dashboard'!$B$9*'Dynamic Analysis Dashboard'!$B$21</f>
        <v>0.53549999999999998</v>
      </c>
      <c r="AD410" s="120">
        <f t="shared" si="12"/>
        <v>0.94350101250000007</v>
      </c>
      <c r="AE410" s="121">
        <f t="shared" si="13"/>
        <v>0.70762575937500005</v>
      </c>
    </row>
    <row r="411" spans="1:31" hidden="1" x14ac:dyDescent="0.2">
      <c r="A411" t="s">
        <v>70</v>
      </c>
      <c r="B411" t="s">
        <v>194</v>
      </c>
      <c r="C411" t="s">
        <v>2265</v>
      </c>
      <c r="D411" t="s">
        <v>547</v>
      </c>
      <c r="E411" t="s">
        <v>1296</v>
      </c>
      <c r="F411" t="s">
        <v>923</v>
      </c>
      <c r="G411" t="s">
        <v>38</v>
      </c>
      <c r="H411" t="s">
        <v>33</v>
      </c>
      <c r="I411">
        <v>0.93</v>
      </c>
      <c r="J411">
        <v>0</v>
      </c>
      <c r="K411">
        <v>0.42</v>
      </c>
      <c r="L411">
        <v>0</v>
      </c>
      <c r="M411">
        <v>1.3999999999999999E-6</v>
      </c>
      <c r="N411">
        <v>0.7</v>
      </c>
      <c r="O411">
        <v>6</v>
      </c>
      <c r="P411">
        <v>2</v>
      </c>
      <c r="Q411">
        <v>4</v>
      </c>
      <c r="R411">
        <v>2</v>
      </c>
      <c r="S411">
        <v>16800</v>
      </c>
      <c r="T411">
        <v>23</v>
      </c>
      <c r="U411" t="s">
        <v>2266</v>
      </c>
      <c r="V411" t="s">
        <v>2214</v>
      </c>
      <c r="W411" t="s">
        <v>2267</v>
      </c>
      <c r="X411" t="s">
        <v>1189</v>
      </c>
      <c r="Y411" t="s">
        <v>2268</v>
      </c>
      <c r="Z411" s="70">
        <f>I411*'Dynamic Analysis Dashboard'!$B$8*'Dynamic Analysis Dashboard'!$B$9*'Dynamic Analysis Dashboard'!$B$21</f>
        <v>0.62775000000000003</v>
      </c>
      <c r="AA411" s="75">
        <f>J411*'Dynamic Analysis Dashboard'!$B$8*'Dynamic Analysis Dashboard'!$B$9*'Dynamic Analysis Dashboard'!$B$21</f>
        <v>0</v>
      </c>
      <c r="AB411" s="80">
        <f>K411*'Dynamic Analysis Dashboard'!$B$10*'Dynamic Analysis Dashboard'!$B$9*'Dynamic Analysis Dashboard'!$B$21</f>
        <v>0.252</v>
      </c>
      <c r="AC411" s="85">
        <f>L411*'Dynamic Analysis Dashboard'!$B$11*'Dynamic Analysis Dashboard'!$B$9*'Dynamic Analysis Dashboard'!$B$21</f>
        <v>0</v>
      </c>
      <c r="AD411" s="120">
        <f t="shared" si="12"/>
        <v>0.87975000000000003</v>
      </c>
      <c r="AE411" s="121">
        <f t="shared" si="13"/>
        <v>0.61582499999999996</v>
      </c>
    </row>
    <row r="412" spans="1:31" x14ac:dyDescent="0.2">
      <c r="A412" t="s">
        <v>83</v>
      </c>
      <c r="B412" t="s">
        <v>141</v>
      </c>
      <c r="C412" t="s">
        <v>2269</v>
      </c>
      <c r="D412" t="s">
        <v>504</v>
      </c>
      <c r="E412" t="s">
        <v>705</v>
      </c>
      <c r="F412" t="s">
        <v>183</v>
      </c>
      <c r="G412" t="s">
        <v>24</v>
      </c>
      <c r="H412" t="s">
        <v>28</v>
      </c>
      <c r="I412">
        <v>3.1E-6</v>
      </c>
      <c r="J412">
        <v>0</v>
      </c>
      <c r="K412">
        <v>0</v>
      </c>
      <c r="L412">
        <v>0</v>
      </c>
      <c r="M412">
        <v>3.1E-6</v>
      </c>
      <c r="N412">
        <v>0.8</v>
      </c>
      <c r="O412">
        <v>9</v>
      </c>
      <c r="P412">
        <v>4</v>
      </c>
      <c r="Q412">
        <v>2</v>
      </c>
      <c r="R412">
        <v>4</v>
      </c>
      <c r="S412">
        <v>17000</v>
      </c>
      <c r="T412">
        <v>183.6</v>
      </c>
      <c r="U412" t="s">
        <v>2270</v>
      </c>
      <c r="V412" t="s">
        <v>129</v>
      </c>
      <c r="W412" t="s">
        <v>130</v>
      </c>
      <c r="X412" t="s">
        <v>131</v>
      </c>
      <c r="Y412" t="s">
        <v>2271</v>
      </c>
      <c r="Z412" s="70">
        <f>I412*'Dynamic Analysis Dashboard'!$B$8*'Dynamic Analysis Dashboard'!$B$9*'Dynamic Analysis Dashboard'!$B$21</f>
        <v>2.0924999999999999E-6</v>
      </c>
      <c r="AA412" s="75">
        <f>J412*'Dynamic Analysis Dashboard'!$B$8*'Dynamic Analysis Dashboard'!$B$9*'Dynamic Analysis Dashboard'!$B$21</f>
        <v>0</v>
      </c>
      <c r="AB412" s="80">
        <f>K412*'Dynamic Analysis Dashboard'!$B$10*'Dynamic Analysis Dashboard'!$B$9*'Dynamic Analysis Dashboard'!$B$21</f>
        <v>0</v>
      </c>
      <c r="AC412" s="85">
        <f>L412*'Dynamic Analysis Dashboard'!$B$11*'Dynamic Analysis Dashboard'!$B$9*'Dynamic Analysis Dashboard'!$B$21</f>
        <v>0</v>
      </c>
      <c r="AD412" s="120">
        <f t="shared" si="12"/>
        <v>2.0924999999999999E-6</v>
      </c>
      <c r="AE412" s="121">
        <f t="shared" si="13"/>
        <v>1.674E-6</v>
      </c>
    </row>
    <row r="413" spans="1:31" x14ac:dyDescent="0.2">
      <c r="A413" t="s">
        <v>83</v>
      </c>
      <c r="B413" t="s">
        <v>123</v>
      </c>
      <c r="C413" t="s">
        <v>2272</v>
      </c>
      <c r="D413" t="s">
        <v>1496</v>
      </c>
      <c r="E413" t="s">
        <v>1119</v>
      </c>
      <c r="F413" t="s">
        <v>324</v>
      </c>
      <c r="G413" t="s">
        <v>24</v>
      </c>
      <c r="H413" t="s">
        <v>33</v>
      </c>
      <c r="I413">
        <v>1.3999999999999999E-6</v>
      </c>
      <c r="J413">
        <v>0</v>
      </c>
      <c r="K413">
        <v>4.0999999999999997E-6</v>
      </c>
      <c r="L413">
        <v>0</v>
      </c>
      <c r="M413">
        <v>5.4999999999999999E-6</v>
      </c>
      <c r="N413">
        <v>0.7</v>
      </c>
      <c r="O413">
        <v>12</v>
      </c>
      <c r="P413">
        <v>5</v>
      </c>
      <c r="Q413">
        <v>2</v>
      </c>
      <c r="R413">
        <v>5</v>
      </c>
      <c r="S413">
        <v>17360</v>
      </c>
      <c r="T413">
        <v>167.04</v>
      </c>
      <c r="U413" t="s">
        <v>2273</v>
      </c>
      <c r="V413" t="s">
        <v>129</v>
      </c>
      <c r="W413" t="s">
        <v>2274</v>
      </c>
      <c r="X413" t="s">
        <v>131</v>
      </c>
      <c r="Y413" t="s">
        <v>2275</v>
      </c>
      <c r="Z413" s="70">
        <f>I413*'Dynamic Analysis Dashboard'!$B$8*'Dynamic Analysis Dashboard'!$B$9*'Dynamic Analysis Dashboard'!$B$21</f>
        <v>9.4500000000000006E-7</v>
      </c>
      <c r="AA413" s="75">
        <f>J413*'Dynamic Analysis Dashboard'!$B$8*'Dynamic Analysis Dashboard'!$B$9*'Dynamic Analysis Dashboard'!$B$21</f>
        <v>0</v>
      </c>
      <c r="AB413" s="80">
        <f>K413*'Dynamic Analysis Dashboard'!$B$10*'Dynamic Analysis Dashboard'!$B$9*'Dynamic Analysis Dashboard'!$B$21</f>
        <v>2.4600000000000002E-6</v>
      </c>
      <c r="AC413" s="85">
        <f>L413*'Dynamic Analysis Dashboard'!$B$11*'Dynamic Analysis Dashboard'!$B$9*'Dynamic Analysis Dashboard'!$B$21</f>
        <v>0</v>
      </c>
      <c r="AD413" s="120">
        <f t="shared" si="12"/>
        <v>3.4050000000000004E-6</v>
      </c>
      <c r="AE413" s="121">
        <f t="shared" si="13"/>
        <v>2.3835000000000001E-6</v>
      </c>
    </row>
    <row r="414" spans="1:31" x14ac:dyDescent="0.2">
      <c r="A414" t="s">
        <v>83</v>
      </c>
      <c r="B414" t="s">
        <v>133</v>
      </c>
      <c r="C414" t="s">
        <v>2276</v>
      </c>
      <c r="D414" t="s">
        <v>595</v>
      </c>
      <c r="E414" t="s">
        <v>2277</v>
      </c>
      <c r="F414" t="s">
        <v>267</v>
      </c>
      <c r="G414" t="s">
        <v>24</v>
      </c>
      <c r="H414" t="s">
        <v>25</v>
      </c>
      <c r="I414">
        <v>1.9999999999999999E-6</v>
      </c>
      <c r="J414">
        <v>0</v>
      </c>
      <c r="K414">
        <v>0</v>
      </c>
      <c r="L414">
        <v>1.5E-6</v>
      </c>
      <c r="M414">
        <v>3.4999999999999999E-6</v>
      </c>
      <c r="N414">
        <v>0.8</v>
      </c>
      <c r="O414">
        <v>7</v>
      </c>
      <c r="P414">
        <v>3</v>
      </c>
      <c r="Q414">
        <v>2</v>
      </c>
      <c r="R414">
        <v>3</v>
      </c>
      <c r="S414">
        <v>4080</v>
      </c>
      <c r="T414">
        <v>51.84</v>
      </c>
      <c r="U414" t="s">
        <v>2278</v>
      </c>
      <c r="V414" t="s">
        <v>129</v>
      </c>
      <c r="W414" t="s">
        <v>130</v>
      </c>
      <c r="X414" t="s">
        <v>2279</v>
      </c>
      <c r="Y414" t="s">
        <v>2280</v>
      </c>
      <c r="Z414" s="70">
        <f>I414*'Dynamic Analysis Dashboard'!$B$8*'Dynamic Analysis Dashboard'!$B$9*'Dynamic Analysis Dashboard'!$B$21</f>
        <v>1.35E-6</v>
      </c>
      <c r="AA414" s="75">
        <f>J414*'Dynamic Analysis Dashboard'!$B$8*'Dynamic Analysis Dashboard'!$B$9*'Dynamic Analysis Dashboard'!$B$21</f>
        <v>0</v>
      </c>
      <c r="AB414" s="80">
        <f>K414*'Dynamic Analysis Dashboard'!$B$10*'Dynamic Analysis Dashboard'!$B$9*'Dynamic Analysis Dashboard'!$B$21</f>
        <v>0</v>
      </c>
      <c r="AC414" s="85">
        <f>L414*'Dynamic Analysis Dashboard'!$B$11*'Dynamic Analysis Dashboard'!$B$9*'Dynamic Analysis Dashboard'!$B$21</f>
        <v>9.5624999999999995E-7</v>
      </c>
      <c r="AD414" s="120">
        <f t="shared" si="12"/>
        <v>2.3062500000000002E-6</v>
      </c>
      <c r="AE414" s="121">
        <f t="shared" si="13"/>
        <v>1.8450000000000001E-6</v>
      </c>
    </row>
    <row r="415" spans="1:31" x14ac:dyDescent="0.2">
      <c r="A415" t="s">
        <v>83</v>
      </c>
      <c r="B415" t="s">
        <v>156</v>
      </c>
      <c r="C415" t="s">
        <v>2281</v>
      </c>
      <c r="D415" t="s">
        <v>504</v>
      </c>
      <c r="E415" t="s">
        <v>2282</v>
      </c>
      <c r="F415" t="s">
        <v>963</v>
      </c>
      <c r="G415" t="s">
        <v>24</v>
      </c>
      <c r="H415" t="s">
        <v>28</v>
      </c>
      <c r="I415">
        <v>1.1000000000000001E-6</v>
      </c>
      <c r="J415">
        <v>4.5000000000000001E-6</v>
      </c>
      <c r="K415">
        <v>0</v>
      </c>
      <c r="L415">
        <v>0</v>
      </c>
      <c r="M415">
        <v>5.5999999999999997E-6</v>
      </c>
      <c r="N415">
        <v>0.75</v>
      </c>
      <c r="O415">
        <v>8</v>
      </c>
      <c r="P415">
        <v>4</v>
      </c>
      <c r="Q415">
        <v>3</v>
      </c>
      <c r="R415">
        <v>4</v>
      </c>
      <c r="S415">
        <v>3840</v>
      </c>
      <c r="T415">
        <v>43.2</v>
      </c>
      <c r="U415" t="s">
        <v>2283</v>
      </c>
      <c r="V415" t="s">
        <v>2284</v>
      </c>
      <c r="W415" t="s">
        <v>130</v>
      </c>
      <c r="X415" t="s">
        <v>131</v>
      </c>
      <c r="Y415" t="s">
        <v>2285</v>
      </c>
      <c r="Z415" s="70">
        <f>I415*'Dynamic Analysis Dashboard'!$B$8*'Dynamic Analysis Dashboard'!$B$9*'Dynamic Analysis Dashboard'!$B$21</f>
        <v>7.4250000000000009E-7</v>
      </c>
      <c r="AA415" s="75">
        <f>J415*'Dynamic Analysis Dashboard'!$B$8*'Dynamic Analysis Dashboard'!$B$9*'Dynamic Analysis Dashboard'!$B$21</f>
        <v>3.0375000000000001E-6</v>
      </c>
      <c r="AB415" s="80">
        <f>K415*'Dynamic Analysis Dashboard'!$B$10*'Dynamic Analysis Dashboard'!$B$9*'Dynamic Analysis Dashboard'!$B$21</f>
        <v>0</v>
      </c>
      <c r="AC415" s="85">
        <f>L415*'Dynamic Analysis Dashboard'!$B$11*'Dynamic Analysis Dashboard'!$B$9*'Dynamic Analysis Dashboard'!$B$21</f>
        <v>0</v>
      </c>
      <c r="AD415" s="120">
        <f t="shared" si="12"/>
        <v>3.7800000000000002E-6</v>
      </c>
      <c r="AE415" s="121">
        <f t="shared" si="13"/>
        <v>2.835E-6</v>
      </c>
    </row>
    <row r="416" spans="1:31" x14ac:dyDescent="0.2">
      <c r="A416" t="s">
        <v>83</v>
      </c>
      <c r="B416" t="s">
        <v>164</v>
      </c>
      <c r="C416" t="s">
        <v>2286</v>
      </c>
      <c r="D416" t="s">
        <v>595</v>
      </c>
      <c r="E416" t="s">
        <v>2287</v>
      </c>
      <c r="F416" t="s">
        <v>267</v>
      </c>
      <c r="G416" t="s">
        <v>24</v>
      </c>
      <c r="H416" t="s">
        <v>33</v>
      </c>
      <c r="I416">
        <v>2.2000000000000001E-6</v>
      </c>
      <c r="J416">
        <v>0</v>
      </c>
      <c r="K416">
        <v>2.7E-6</v>
      </c>
      <c r="L416">
        <v>0</v>
      </c>
      <c r="M416">
        <v>4.9000000000000005E-6</v>
      </c>
      <c r="N416">
        <v>0.7</v>
      </c>
      <c r="O416">
        <v>9</v>
      </c>
      <c r="P416">
        <v>4</v>
      </c>
      <c r="Q416">
        <v>2</v>
      </c>
      <c r="R416">
        <v>4</v>
      </c>
      <c r="S416">
        <v>10400</v>
      </c>
      <c r="T416">
        <v>109.2</v>
      </c>
      <c r="U416" t="s">
        <v>2288</v>
      </c>
      <c r="V416" t="s">
        <v>129</v>
      </c>
      <c r="W416" t="s">
        <v>2289</v>
      </c>
      <c r="X416" t="s">
        <v>131</v>
      </c>
      <c r="Y416" t="s">
        <v>2290</v>
      </c>
      <c r="Z416" s="70">
        <f>I416*'Dynamic Analysis Dashboard'!$B$8*'Dynamic Analysis Dashboard'!$B$9*'Dynamic Analysis Dashboard'!$B$21</f>
        <v>1.4850000000000002E-6</v>
      </c>
      <c r="AA416" s="75">
        <f>J416*'Dynamic Analysis Dashboard'!$B$8*'Dynamic Analysis Dashboard'!$B$9*'Dynamic Analysis Dashboard'!$B$21</f>
        <v>0</v>
      </c>
      <c r="AB416" s="80">
        <f>K416*'Dynamic Analysis Dashboard'!$B$10*'Dynamic Analysis Dashboard'!$B$9*'Dynamic Analysis Dashboard'!$B$21</f>
        <v>1.6200000000000002E-6</v>
      </c>
      <c r="AC416" s="85">
        <f>L416*'Dynamic Analysis Dashboard'!$B$11*'Dynamic Analysis Dashboard'!$B$9*'Dynamic Analysis Dashboard'!$B$21</f>
        <v>0</v>
      </c>
      <c r="AD416" s="120">
        <f t="shared" si="12"/>
        <v>3.1050000000000003E-6</v>
      </c>
      <c r="AE416" s="121">
        <f t="shared" si="13"/>
        <v>2.1735E-6</v>
      </c>
    </row>
    <row r="417" spans="1:31" x14ac:dyDescent="0.2">
      <c r="A417" t="s">
        <v>83</v>
      </c>
      <c r="B417" t="s">
        <v>172</v>
      </c>
      <c r="C417" t="s">
        <v>2291</v>
      </c>
      <c r="D417" t="s">
        <v>287</v>
      </c>
      <c r="E417" t="s">
        <v>2292</v>
      </c>
      <c r="F417" t="s">
        <v>609</v>
      </c>
      <c r="G417" t="s">
        <v>24</v>
      </c>
      <c r="H417" t="s">
        <v>33</v>
      </c>
      <c r="I417">
        <v>9.0000000000000007E-7</v>
      </c>
      <c r="J417">
        <v>0</v>
      </c>
      <c r="K417">
        <v>3.6000000000000003E-6</v>
      </c>
      <c r="L417">
        <v>0</v>
      </c>
      <c r="M417">
        <v>4.5000000000000001E-6</v>
      </c>
      <c r="N417">
        <v>0.75</v>
      </c>
      <c r="O417">
        <v>10</v>
      </c>
      <c r="P417">
        <v>4</v>
      </c>
      <c r="Q417">
        <v>2</v>
      </c>
      <c r="R417">
        <v>4</v>
      </c>
      <c r="S417">
        <v>3360</v>
      </c>
      <c r="T417">
        <v>50.4</v>
      </c>
      <c r="U417" t="s">
        <v>2293</v>
      </c>
      <c r="V417" t="s">
        <v>129</v>
      </c>
      <c r="W417" t="s">
        <v>2294</v>
      </c>
      <c r="X417" t="s">
        <v>131</v>
      </c>
      <c r="Y417" t="s">
        <v>2295</v>
      </c>
      <c r="Z417" s="70">
        <f>I417*'Dynamic Analysis Dashboard'!$B$8*'Dynamic Analysis Dashboard'!$B$9*'Dynamic Analysis Dashboard'!$B$21</f>
        <v>6.0750000000000011E-7</v>
      </c>
      <c r="AA417" s="75">
        <f>J417*'Dynamic Analysis Dashboard'!$B$8*'Dynamic Analysis Dashboard'!$B$9*'Dynamic Analysis Dashboard'!$B$21</f>
        <v>0</v>
      </c>
      <c r="AB417" s="80">
        <f>K417*'Dynamic Analysis Dashboard'!$B$10*'Dynamic Analysis Dashboard'!$B$9*'Dynamic Analysis Dashboard'!$B$21</f>
        <v>2.1600000000000005E-6</v>
      </c>
      <c r="AC417" s="85">
        <f>L417*'Dynamic Analysis Dashboard'!$B$11*'Dynamic Analysis Dashboard'!$B$9*'Dynamic Analysis Dashboard'!$B$21</f>
        <v>0</v>
      </c>
      <c r="AD417" s="120">
        <f t="shared" si="12"/>
        <v>2.7675000000000006E-6</v>
      </c>
      <c r="AE417" s="121">
        <f t="shared" si="13"/>
        <v>2.0756250000000006E-6</v>
      </c>
    </row>
    <row r="418" spans="1:31" x14ac:dyDescent="0.2">
      <c r="A418" t="s">
        <v>83</v>
      </c>
      <c r="B418" t="s">
        <v>179</v>
      </c>
      <c r="C418" t="s">
        <v>2296</v>
      </c>
      <c r="D418" t="s">
        <v>166</v>
      </c>
      <c r="E418" t="s">
        <v>2297</v>
      </c>
      <c r="F418" t="s">
        <v>330</v>
      </c>
      <c r="G418" t="s">
        <v>24</v>
      </c>
      <c r="H418" t="s">
        <v>28</v>
      </c>
      <c r="I418">
        <v>6.9999999999999997E-7</v>
      </c>
      <c r="J418">
        <v>0</v>
      </c>
      <c r="K418">
        <v>0</v>
      </c>
      <c r="L418">
        <v>1.1999999999999999E-6</v>
      </c>
      <c r="M418">
        <v>1.8999999999999998E-6</v>
      </c>
      <c r="N418">
        <v>0.8</v>
      </c>
      <c r="O418">
        <v>6</v>
      </c>
      <c r="P418">
        <v>3</v>
      </c>
      <c r="Q418">
        <v>3</v>
      </c>
      <c r="R418">
        <v>3</v>
      </c>
      <c r="S418">
        <v>910</v>
      </c>
      <c r="T418">
        <v>14.04</v>
      </c>
      <c r="U418" t="s">
        <v>2298</v>
      </c>
      <c r="V418" t="s">
        <v>129</v>
      </c>
      <c r="W418" t="s">
        <v>130</v>
      </c>
      <c r="X418" t="s">
        <v>2299</v>
      </c>
      <c r="Y418" t="s">
        <v>2300</v>
      </c>
      <c r="Z418" s="70">
        <f>I418*'Dynamic Analysis Dashboard'!$B$8*'Dynamic Analysis Dashboard'!$B$9*'Dynamic Analysis Dashboard'!$B$21</f>
        <v>4.7250000000000003E-7</v>
      </c>
      <c r="AA418" s="75">
        <f>J418*'Dynamic Analysis Dashboard'!$B$8*'Dynamic Analysis Dashboard'!$B$9*'Dynamic Analysis Dashboard'!$B$21</f>
        <v>0</v>
      </c>
      <c r="AB418" s="80">
        <f>K418*'Dynamic Analysis Dashboard'!$B$10*'Dynamic Analysis Dashboard'!$B$9*'Dynamic Analysis Dashboard'!$B$21</f>
        <v>0</v>
      </c>
      <c r="AC418" s="85">
        <f>L418*'Dynamic Analysis Dashboard'!$B$11*'Dynamic Analysis Dashboard'!$B$9*'Dynamic Analysis Dashboard'!$B$21</f>
        <v>7.6499999999999998E-7</v>
      </c>
      <c r="AD418" s="120">
        <f t="shared" si="12"/>
        <v>1.2375E-6</v>
      </c>
      <c r="AE418" s="121">
        <f t="shared" si="13"/>
        <v>9.9000000000000005E-7</v>
      </c>
    </row>
    <row r="419" spans="1:31" x14ac:dyDescent="0.2">
      <c r="A419" t="s">
        <v>83</v>
      </c>
      <c r="B419" t="s">
        <v>186</v>
      </c>
      <c r="C419" t="s">
        <v>2301</v>
      </c>
      <c r="D419" t="s">
        <v>504</v>
      </c>
      <c r="E419" t="s">
        <v>517</v>
      </c>
      <c r="F419" t="s">
        <v>489</v>
      </c>
      <c r="G419" t="s">
        <v>24</v>
      </c>
      <c r="H419" t="s">
        <v>28</v>
      </c>
      <c r="I419">
        <v>1.8000000000000001E-6</v>
      </c>
      <c r="J419">
        <v>0</v>
      </c>
      <c r="K419">
        <v>4.7999999999999998E-6</v>
      </c>
      <c r="L419">
        <v>0</v>
      </c>
      <c r="M419">
        <v>6.5999999999999995E-6</v>
      </c>
      <c r="N419">
        <v>0.65</v>
      </c>
      <c r="O419">
        <v>10</v>
      </c>
      <c r="P419">
        <v>4</v>
      </c>
      <c r="Q419">
        <v>2</v>
      </c>
      <c r="R419">
        <v>3</v>
      </c>
      <c r="S419">
        <v>7280</v>
      </c>
      <c r="T419">
        <v>59.28</v>
      </c>
      <c r="U419" t="s">
        <v>2302</v>
      </c>
      <c r="V419" t="s">
        <v>129</v>
      </c>
      <c r="W419" t="s">
        <v>2303</v>
      </c>
      <c r="X419" t="s">
        <v>131</v>
      </c>
      <c r="Y419" t="s">
        <v>2304</v>
      </c>
      <c r="Z419" s="70">
        <f>I419*'Dynamic Analysis Dashboard'!$B$8*'Dynamic Analysis Dashboard'!$B$9*'Dynamic Analysis Dashboard'!$B$21</f>
        <v>1.2150000000000002E-6</v>
      </c>
      <c r="AA419" s="75">
        <f>J419*'Dynamic Analysis Dashboard'!$B$8*'Dynamic Analysis Dashboard'!$B$9*'Dynamic Analysis Dashboard'!$B$21</f>
        <v>0</v>
      </c>
      <c r="AB419" s="80">
        <f>K419*'Dynamic Analysis Dashboard'!$B$10*'Dynamic Analysis Dashboard'!$B$9*'Dynamic Analysis Dashboard'!$B$21</f>
        <v>2.8799999999999995E-6</v>
      </c>
      <c r="AC419" s="85">
        <f>L419*'Dynamic Analysis Dashboard'!$B$11*'Dynamic Analysis Dashboard'!$B$9*'Dynamic Analysis Dashboard'!$B$21</f>
        <v>0</v>
      </c>
      <c r="AD419" s="120">
        <f t="shared" si="12"/>
        <v>4.0949999999999998E-6</v>
      </c>
      <c r="AE419" s="121">
        <f t="shared" si="13"/>
        <v>2.66175E-6</v>
      </c>
    </row>
    <row r="420" spans="1:31" hidden="1" x14ac:dyDescent="0.2">
      <c r="A420" t="s">
        <v>83</v>
      </c>
      <c r="B420" t="s">
        <v>149</v>
      </c>
      <c r="C420" t="s">
        <v>1179</v>
      </c>
      <c r="D420" t="s">
        <v>328</v>
      </c>
      <c r="E420" t="s">
        <v>1949</v>
      </c>
      <c r="F420" t="s">
        <v>338</v>
      </c>
      <c r="G420" t="s">
        <v>31</v>
      </c>
      <c r="H420" t="s">
        <v>25</v>
      </c>
      <c r="I420">
        <v>1.6000000000000001E-6</v>
      </c>
      <c r="J420">
        <v>1.08E-5</v>
      </c>
      <c r="K420">
        <v>0</v>
      </c>
      <c r="L420">
        <v>0</v>
      </c>
      <c r="M420">
        <v>1.24E-5</v>
      </c>
      <c r="N420">
        <v>0.75</v>
      </c>
      <c r="O420">
        <v>6</v>
      </c>
      <c r="P420">
        <v>3</v>
      </c>
      <c r="Q420">
        <v>3</v>
      </c>
      <c r="R420">
        <v>3</v>
      </c>
      <c r="S420">
        <v>8400</v>
      </c>
      <c r="T420">
        <v>110.88</v>
      </c>
      <c r="U420" t="s">
        <v>2305</v>
      </c>
      <c r="V420" t="s">
        <v>2306</v>
      </c>
      <c r="W420" t="s">
        <v>130</v>
      </c>
      <c r="X420" t="s">
        <v>131</v>
      </c>
      <c r="Y420" t="s">
        <v>2307</v>
      </c>
      <c r="Z420" s="70">
        <f>I420*'Dynamic Analysis Dashboard'!$B$8*'Dynamic Analysis Dashboard'!$B$9*'Dynamic Analysis Dashboard'!$B$21</f>
        <v>1.0800000000000002E-6</v>
      </c>
      <c r="AA420" s="75">
        <f>J420*'Dynamic Analysis Dashboard'!$B$8*'Dynamic Analysis Dashboard'!$B$9*'Dynamic Analysis Dashboard'!$B$21</f>
        <v>7.2899999999999997E-6</v>
      </c>
      <c r="AB420" s="80">
        <f>K420*'Dynamic Analysis Dashboard'!$B$10*'Dynamic Analysis Dashboard'!$B$9*'Dynamic Analysis Dashboard'!$B$21</f>
        <v>0</v>
      </c>
      <c r="AC420" s="85">
        <f>L420*'Dynamic Analysis Dashboard'!$B$11*'Dynamic Analysis Dashboard'!$B$9*'Dynamic Analysis Dashboard'!$B$21</f>
        <v>0</v>
      </c>
      <c r="AD420" s="120">
        <f t="shared" si="12"/>
        <v>8.3699999999999995E-6</v>
      </c>
      <c r="AE420" s="121">
        <f t="shared" si="13"/>
        <v>6.2774999999999996E-6</v>
      </c>
    </row>
    <row r="421" spans="1:31" hidden="1" x14ac:dyDescent="0.2">
      <c r="A421" t="s">
        <v>83</v>
      </c>
      <c r="B421" t="s">
        <v>194</v>
      </c>
      <c r="C421" t="s">
        <v>2308</v>
      </c>
      <c r="D421" t="s">
        <v>125</v>
      </c>
      <c r="E421" t="s">
        <v>709</v>
      </c>
      <c r="F421" t="s">
        <v>127</v>
      </c>
      <c r="G421" t="s">
        <v>31</v>
      </c>
      <c r="H421" t="s">
        <v>25</v>
      </c>
      <c r="I421">
        <v>1.8000000000000001E-6</v>
      </c>
      <c r="J421">
        <v>0</v>
      </c>
      <c r="K421">
        <v>0</v>
      </c>
      <c r="L421">
        <v>0</v>
      </c>
      <c r="M421">
        <v>1.8000000000000001E-6</v>
      </c>
      <c r="N421">
        <v>0.75</v>
      </c>
      <c r="O421">
        <v>5</v>
      </c>
      <c r="P421">
        <v>2</v>
      </c>
      <c r="Q421">
        <v>3</v>
      </c>
      <c r="R421">
        <v>2</v>
      </c>
      <c r="S421">
        <v>3825</v>
      </c>
      <c r="T421">
        <v>34.424999999999997</v>
      </c>
      <c r="U421" t="s">
        <v>2309</v>
      </c>
      <c r="V421" t="s">
        <v>129</v>
      </c>
      <c r="W421" t="s">
        <v>130</v>
      </c>
      <c r="X421" t="s">
        <v>131</v>
      </c>
      <c r="Y421" t="s">
        <v>2310</v>
      </c>
      <c r="Z421" s="70">
        <f>I421*'Dynamic Analysis Dashboard'!$B$8*'Dynamic Analysis Dashboard'!$B$9*'Dynamic Analysis Dashboard'!$B$21</f>
        <v>1.2150000000000002E-6</v>
      </c>
      <c r="AA421" s="75">
        <f>J421*'Dynamic Analysis Dashboard'!$B$8*'Dynamic Analysis Dashboard'!$B$9*'Dynamic Analysis Dashboard'!$B$21</f>
        <v>0</v>
      </c>
      <c r="AB421" s="80">
        <f>K421*'Dynamic Analysis Dashboard'!$B$10*'Dynamic Analysis Dashboard'!$B$9*'Dynamic Analysis Dashboard'!$B$21</f>
        <v>0</v>
      </c>
      <c r="AC421" s="85">
        <f>L421*'Dynamic Analysis Dashboard'!$B$11*'Dynamic Analysis Dashboard'!$B$9*'Dynamic Analysis Dashboard'!$B$21</f>
        <v>0</v>
      </c>
      <c r="AD421" s="120">
        <f t="shared" si="12"/>
        <v>1.2150000000000002E-6</v>
      </c>
      <c r="AE421" s="121">
        <f t="shared" si="13"/>
        <v>9.1125000000000017E-7</v>
      </c>
    </row>
    <row r="422" spans="1:31" hidden="1" x14ac:dyDescent="0.2">
      <c r="A422" t="s">
        <v>26</v>
      </c>
      <c r="B422" t="s">
        <v>141</v>
      </c>
      <c r="C422" t="s">
        <v>27</v>
      </c>
      <c r="D422" t="s">
        <v>2311</v>
      </c>
      <c r="E422" t="s">
        <v>526</v>
      </c>
      <c r="F422" t="s">
        <v>317</v>
      </c>
      <c r="G422" t="s">
        <v>24</v>
      </c>
      <c r="H422" t="s">
        <v>28</v>
      </c>
      <c r="I422">
        <v>0</v>
      </c>
      <c r="J422">
        <v>14.8</v>
      </c>
      <c r="K422">
        <v>0.9</v>
      </c>
      <c r="L422">
        <v>1.7</v>
      </c>
      <c r="M422">
        <v>17.399999999999999</v>
      </c>
      <c r="N422">
        <v>0.75</v>
      </c>
      <c r="O422">
        <v>9</v>
      </c>
      <c r="P422">
        <v>3</v>
      </c>
      <c r="Q422">
        <v>3</v>
      </c>
      <c r="R422">
        <v>3</v>
      </c>
      <c r="S422">
        <v>4291200</v>
      </c>
      <c r="T422">
        <v>586</v>
      </c>
      <c r="U422" t="s">
        <v>318</v>
      </c>
      <c r="V422" t="s">
        <v>2312</v>
      </c>
      <c r="W422" t="s">
        <v>2313</v>
      </c>
      <c r="X422" t="s">
        <v>2314</v>
      </c>
      <c r="Y422" t="s">
        <v>2315</v>
      </c>
      <c r="Z422" s="70">
        <f>I422*'Dynamic Analysis Dashboard'!$B$8*'Dynamic Analysis Dashboard'!$B$9*'Dynamic Analysis Dashboard'!$B$21</f>
        <v>0</v>
      </c>
      <c r="AA422" s="75">
        <f>J422*'Dynamic Analysis Dashboard'!$B$8*'Dynamic Analysis Dashboard'!$B$9*'Dynamic Analysis Dashboard'!$B$21</f>
        <v>9.99</v>
      </c>
      <c r="AB422" s="80">
        <f>K422*'Dynamic Analysis Dashboard'!$B$10*'Dynamic Analysis Dashboard'!$B$9*'Dynamic Analysis Dashboard'!$B$21</f>
        <v>0.54</v>
      </c>
      <c r="AC422" s="85">
        <f>L422*'Dynamic Analysis Dashboard'!$B$11*'Dynamic Analysis Dashboard'!$B$9*'Dynamic Analysis Dashboard'!$B$21</f>
        <v>1.0837499999999998</v>
      </c>
      <c r="AD422" s="120">
        <f t="shared" si="12"/>
        <v>11.613750000000001</v>
      </c>
      <c r="AE422" s="121">
        <f t="shared" si="13"/>
        <v>8.7103125000000006</v>
      </c>
    </row>
    <row r="423" spans="1:31" x14ac:dyDescent="0.2">
      <c r="A423" t="s">
        <v>26</v>
      </c>
      <c r="B423" t="s">
        <v>123</v>
      </c>
      <c r="C423" t="s">
        <v>2316</v>
      </c>
      <c r="D423" t="s">
        <v>2317</v>
      </c>
      <c r="E423" t="s">
        <v>2318</v>
      </c>
      <c r="F423" t="s">
        <v>609</v>
      </c>
      <c r="G423" t="s">
        <v>24</v>
      </c>
      <c r="H423" t="s">
        <v>28</v>
      </c>
      <c r="I423">
        <v>5.0999999999999996</v>
      </c>
      <c r="J423">
        <v>0</v>
      </c>
      <c r="K423">
        <v>2.2999999999999998</v>
      </c>
      <c r="L423">
        <v>0</v>
      </c>
      <c r="M423">
        <v>7.4</v>
      </c>
      <c r="N423">
        <v>0.8</v>
      </c>
      <c r="O423">
        <v>8</v>
      </c>
      <c r="P423">
        <v>3</v>
      </c>
      <c r="Q423">
        <v>2</v>
      </c>
      <c r="R423">
        <v>4</v>
      </c>
      <c r="S423">
        <v>42504</v>
      </c>
      <c r="T423">
        <v>11</v>
      </c>
      <c r="U423" t="s">
        <v>2319</v>
      </c>
      <c r="V423" t="s">
        <v>129</v>
      </c>
      <c r="W423" t="s">
        <v>2320</v>
      </c>
      <c r="X423" t="s">
        <v>131</v>
      </c>
      <c r="Y423" t="s">
        <v>2321</v>
      </c>
      <c r="Z423" s="70">
        <f>I423*'Dynamic Analysis Dashboard'!$B$8*'Dynamic Analysis Dashboard'!$B$9*'Dynamic Analysis Dashboard'!$B$21</f>
        <v>3.4424999999999999</v>
      </c>
      <c r="AA423" s="75">
        <f>J423*'Dynamic Analysis Dashboard'!$B$8*'Dynamic Analysis Dashboard'!$B$9*'Dynamic Analysis Dashboard'!$B$21</f>
        <v>0</v>
      </c>
      <c r="AB423" s="80">
        <f>K423*'Dynamic Analysis Dashboard'!$B$10*'Dynamic Analysis Dashboard'!$B$9*'Dynamic Analysis Dashboard'!$B$21</f>
        <v>1.38</v>
      </c>
      <c r="AC423" s="85">
        <f>L423*'Dynamic Analysis Dashboard'!$B$11*'Dynamic Analysis Dashboard'!$B$9*'Dynamic Analysis Dashboard'!$B$21</f>
        <v>0</v>
      </c>
      <c r="AD423" s="120">
        <f t="shared" si="12"/>
        <v>4.8224999999999998</v>
      </c>
      <c r="AE423" s="121">
        <f t="shared" si="13"/>
        <v>3.8580000000000001</v>
      </c>
    </row>
    <row r="424" spans="1:31" x14ac:dyDescent="0.2">
      <c r="A424" t="s">
        <v>26</v>
      </c>
      <c r="B424" t="s">
        <v>133</v>
      </c>
      <c r="C424" t="s">
        <v>2322</v>
      </c>
      <c r="D424" t="s">
        <v>188</v>
      </c>
      <c r="E424" t="s">
        <v>835</v>
      </c>
      <c r="F424" t="s">
        <v>2323</v>
      </c>
      <c r="G424" t="s">
        <v>24</v>
      </c>
      <c r="H424" t="s">
        <v>25</v>
      </c>
      <c r="I424">
        <v>3.4</v>
      </c>
      <c r="J424">
        <v>1.9</v>
      </c>
      <c r="K424">
        <v>1.1000000000000001</v>
      </c>
      <c r="L424">
        <v>0</v>
      </c>
      <c r="M424">
        <v>6.4</v>
      </c>
      <c r="N424">
        <v>0.75</v>
      </c>
      <c r="O424">
        <v>6</v>
      </c>
      <c r="P424">
        <v>3</v>
      </c>
      <c r="Q424">
        <v>4</v>
      </c>
      <c r="R424">
        <v>2</v>
      </c>
      <c r="S424">
        <v>210000</v>
      </c>
      <c r="T424">
        <v>68</v>
      </c>
      <c r="U424" t="s">
        <v>2324</v>
      </c>
      <c r="V424" t="s">
        <v>2325</v>
      </c>
      <c r="W424" t="s">
        <v>2326</v>
      </c>
      <c r="X424" t="s">
        <v>131</v>
      </c>
      <c r="Y424" t="s">
        <v>2327</v>
      </c>
      <c r="Z424" s="70">
        <f>I424*'Dynamic Analysis Dashboard'!$B$8*'Dynamic Analysis Dashboard'!$B$9*'Dynamic Analysis Dashboard'!$B$21</f>
        <v>2.2949999999999999</v>
      </c>
      <c r="AA424" s="75">
        <f>J424*'Dynamic Analysis Dashboard'!$B$8*'Dynamic Analysis Dashboard'!$B$9*'Dynamic Analysis Dashboard'!$B$21</f>
        <v>1.2825</v>
      </c>
      <c r="AB424" s="80">
        <f>K424*'Dynamic Analysis Dashboard'!$B$10*'Dynamic Analysis Dashboard'!$B$9*'Dynamic Analysis Dashboard'!$B$21</f>
        <v>0.66000000000000014</v>
      </c>
      <c r="AC424" s="85">
        <f>L424*'Dynamic Analysis Dashboard'!$B$11*'Dynamic Analysis Dashboard'!$B$9*'Dynamic Analysis Dashboard'!$B$21</f>
        <v>0</v>
      </c>
      <c r="AD424" s="120">
        <f t="shared" si="12"/>
        <v>4.2374999999999998</v>
      </c>
      <c r="AE424" s="121">
        <f t="shared" si="13"/>
        <v>3.1781249999999996</v>
      </c>
    </row>
    <row r="425" spans="1:31" x14ac:dyDescent="0.2">
      <c r="A425" t="s">
        <v>26</v>
      </c>
      <c r="B425" t="s">
        <v>156</v>
      </c>
      <c r="C425" t="s">
        <v>2328</v>
      </c>
      <c r="D425" t="s">
        <v>125</v>
      </c>
      <c r="E425" t="s">
        <v>2329</v>
      </c>
      <c r="F425" t="s">
        <v>518</v>
      </c>
      <c r="G425" t="s">
        <v>24</v>
      </c>
      <c r="H425" t="s">
        <v>25</v>
      </c>
      <c r="I425">
        <v>2.1</v>
      </c>
      <c r="J425">
        <v>0</v>
      </c>
      <c r="K425">
        <v>0.8</v>
      </c>
      <c r="L425">
        <v>0</v>
      </c>
      <c r="M425">
        <v>2.9</v>
      </c>
      <c r="N425">
        <v>0.8</v>
      </c>
      <c r="O425">
        <v>5</v>
      </c>
      <c r="P425">
        <v>3</v>
      </c>
      <c r="Q425">
        <v>3</v>
      </c>
      <c r="R425">
        <v>3</v>
      </c>
      <c r="S425">
        <v>151700</v>
      </c>
      <c r="T425">
        <v>44</v>
      </c>
      <c r="U425" t="s">
        <v>2330</v>
      </c>
      <c r="V425" t="s">
        <v>129</v>
      </c>
      <c r="W425" t="s">
        <v>2331</v>
      </c>
      <c r="X425" t="s">
        <v>131</v>
      </c>
      <c r="Y425" t="s">
        <v>2332</v>
      </c>
      <c r="Z425" s="70">
        <f>I425*'Dynamic Analysis Dashboard'!$B$8*'Dynamic Analysis Dashboard'!$B$9*'Dynamic Analysis Dashboard'!$B$21</f>
        <v>1.4175</v>
      </c>
      <c r="AA425" s="75">
        <f>J425*'Dynamic Analysis Dashboard'!$B$8*'Dynamic Analysis Dashboard'!$B$9*'Dynamic Analysis Dashboard'!$B$21</f>
        <v>0</v>
      </c>
      <c r="AB425" s="80">
        <f>K425*'Dynamic Analysis Dashboard'!$B$10*'Dynamic Analysis Dashboard'!$B$9*'Dynamic Analysis Dashboard'!$B$21</f>
        <v>0.48000000000000009</v>
      </c>
      <c r="AC425" s="85">
        <f>L425*'Dynamic Analysis Dashboard'!$B$11*'Dynamic Analysis Dashboard'!$B$9*'Dynamic Analysis Dashboard'!$B$21</f>
        <v>0</v>
      </c>
      <c r="AD425" s="120">
        <f t="shared" si="12"/>
        <v>1.8975</v>
      </c>
      <c r="AE425" s="121">
        <f t="shared" si="13"/>
        <v>1.518</v>
      </c>
    </row>
    <row r="426" spans="1:31" hidden="1" x14ac:dyDescent="0.2">
      <c r="A426" t="s">
        <v>26</v>
      </c>
      <c r="B426" t="s">
        <v>164</v>
      </c>
      <c r="C426" t="s">
        <v>36</v>
      </c>
      <c r="D426" t="s">
        <v>2311</v>
      </c>
      <c r="E426" t="s">
        <v>2333</v>
      </c>
      <c r="F426" t="s">
        <v>1398</v>
      </c>
      <c r="G426" t="s">
        <v>24</v>
      </c>
      <c r="H426" t="s">
        <v>28</v>
      </c>
      <c r="I426">
        <v>0</v>
      </c>
      <c r="J426">
        <v>10.199999999999999</v>
      </c>
      <c r="K426">
        <v>0</v>
      </c>
      <c r="L426">
        <v>2.4</v>
      </c>
      <c r="M426">
        <v>12.6</v>
      </c>
      <c r="N426">
        <v>0.7</v>
      </c>
      <c r="O426">
        <v>7</v>
      </c>
      <c r="P426">
        <v>3</v>
      </c>
      <c r="Q426">
        <v>3</v>
      </c>
      <c r="R426">
        <v>3</v>
      </c>
      <c r="S426">
        <v>2125000</v>
      </c>
      <c r="T426">
        <v>232</v>
      </c>
      <c r="U426" t="s">
        <v>318</v>
      </c>
      <c r="V426" t="s">
        <v>2334</v>
      </c>
      <c r="W426" t="s">
        <v>788</v>
      </c>
      <c r="X426" t="s">
        <v>2335</v>
      </c>
      <c r="Y426" t="s">
        <v>2336</v>
      </c>
      <c r="Z426" s="70">
        <f>I426*'Dynamic Analysis Dashboard'!$B$8*'Dynamic Analysis Dashboard'!$B$9*'Dynamic Analysis Dashboard'!$B$21</f>
        <v>0</v>
      </c>
      <c r="AA426" s="75">
        <f>J426*'Dynamic Analysis Dashboard'!$B$8*'Dynamic Analysis Dashboard'!$B$9*'Dynamic Analysis Dashboard'!$B$21</f>
        <v>6.8849999999999998</v>
      </c>
      <c r="AB426" s="80">
        <f>K426*'Dynamic Analysis Dashboard'!$B$10*'Dynamic Analysis Dashboard'!$B$9*'Dynamic Analysis Dashboard'!$B$21</f>
        <v>0</v>
      </c>
      <c r="AC426" s="85">
        <f>L426*'Dynamic Analysis Dashboard'!$B$11*'Dynamic Analysis Dashboard'!$B$9*'Dynamic Analysis Dashboard'!$B$21</f>
        <v>1.53</v>
      </c>
      <c r="AD426" s="120">
        <f t="shared" si="12"/>
        <v>8.4149999999999991</v>
      </c>
      <c r="AE426" s="121">
        <f t="shared" si="13"/>
        <v>5.8904999999999994</v>
      </c>
    </row>
    <row r="427" spans="1:31" x14ac:dyDescent="0.2">
      <c r="A427" t="s">
        <v>26</v>
      </c>
      <c r="B427" t="s">
        <v>172</v>
      </c>
      <c r="C427" t="s">
        <v>2337</v>
      </c>
      <c r="D427" t="s">
        <v>166</v>
      </c>
      <c r="E427" t="s">
        <v>2338</v>
      </c>
      <c r="F427" t="s">
        <v>1514</v>
      </c>
      <c r="G427" t="s">
        <v>24</v>
      </c>
      <c r="H427" t="s">
        <v>25</v>
      </c>
      <c r="I427">
        <v>1.4</v>
      </c>
      <c r="J427">
        <v>0</v>
      </c>
      <c r="K427">
        <v>0.6</v>
      </c>
      <c r="L427">
        <v>5.8</v>
      </c>
      <c r="M427">
        <v>7.8</v>
      </c>
      <c r="N427">
        <v>0.75</v>
      </c>
      <c r="O427">
        <v>6</v>
      </c>
      <c r="P427">
        <v>3</v>
      </c>
      <c r="Q427">
        <v>3</v>
      </c>
      <c r="R427">
        <v>4</v>
      </c>
      <c r="S427">
        <v>91188</v>
      </c>
      <c r="T427">
        <v>18</v>
      </c>
      <c r="U427" t="s">
        <v>2339</v>
      </c>
      <c r="V427" t="s">
        <v>129</v>
      </c>
      <c r="W427" t="s">
        <v>2340</v>
      </c>
      <c r="X427" t="s">
        <v>2341</v>
      </c>
      <c r="Y427" t="s">
        <v>2342</v>
      </c>
      <c r="Z427" s="70">
        <f>I427*'Dynamic Analysis Dashboard'!$B$8*'Dynamic Analysis Dashboard'!$B$9*'Dynamic Analysis Dashboard'!$B$21</f>
        <v>0.94500000000000006</v>
      </c>
      <c r="AA427" s="75">
        <f>J427*'Dynamic Analysis Dashboard'!$B$8*'Dynamic Analysis Dashboard'!$B$9*'Dynamic Analysis Dashboard'!$B$21</f>
        <v>0</v>
      </c>
      <c r="AB427" s="80">
        <f>K427*'Dynamic Analysis Dashboard'!$B$10*'Dynamic Analysis Dashboard'!$B$9*'Dynamic Analysis Dashboard'!$B$21</f>
        <v>0.36</v>
      </c>
      <c r="AC427" s="85">
        <f>L427*'Dynamic Analysis Dashboard'!$B$11*'Dynamic Analysis Dashboard'!$B$9*'Dynamic Analysis Dashboard'!$B$21</f>
        <v>3.6974999999999998</v>
      </c>
      <c r="AD427" s="120">
        <f t="shared" si="12"/>
        <v>5.0024999999999995</v>
      </c>
      <c r="AE427" s="121">
        <f t="shared" si="13"/>
        <v>3.7518749999999996</v>
      </c>
    </row>
    <row r="428" spans="1:31" x14ac:dyDescent="0.2">
      <c r="A428" t="s">
        <v>26</v>
      </c>
      <c r="B428" t="s">
        <v>186</v>
      </c>
      <c r="C428" t="s">
        <v>2343</v>
      </c>
      <c r="D428" t="s">
        <v>181</v>
      </c>
      <c r="E428" t="s">
        <v>2344</v>
      </c>
      <c r="F428" t="s">
        <v>330</v>
      </c>
      <c r="G428" t="s">
        <v>24</v>
      </c>
      <c r="H428" t="s">
        <v>28</v>
      </c>
      <c r="I428">
        <v>2.6</v>
      </c>
      <c r="J428">
        <v>4.8</v>
      </c>
      <c r="K428">
        <v>0.4</v>
      </c>
      <c r="L428">
        <v>0</v>
      </c>
      <c r="M428">
        <v>7.8</v>
      </c>
      <c r="N428">
        <v>0.7</v>
      </c>
      <c r="O428">
        <v>7</v>
      </c>
      <c r="P428">
        <v>3</v>
      </c>
      <c r="Q428">
        <v>3</v>
      </c>
      <c r="R428">
        <v>3</v>
      </c>
      <c r="S428">
        <v>32648</v>
      </c>
      <c r="T428">
        <v>9</v>
      </c>
      <c r="U428" t="s">
        <v>2345</v>
      </c>
      <c r="V428" t="s">
        <v>2346</v>
      </c>
      <c r="W428" t="s">
        <v>2347</v>
      </c>
      <c r="X428" t="s">
        <v>131</v>
      </c>
      <c r="Y428" t="s">
        <v>2348</v>
      </c>
      <c r="Z428" s="70">
        <f>I428*'Dynamic Analysis Dashboard'!$B$8*'Dynamic Analysis Dashboard'!$B$9*'Dynamic Analysis Dashboard'!$B$21</f>
        <v>1.7550000000000003</v>
      </c>
      <c r="AA428" s="75">
        <f>J428*'Dynamic Analysis Dashboard'!$B$8*'Dynamic Analysis Dashboard'!$B$9*'Dynamic Analysis Dashboard'!$B$21</f>
        <v>3.24</v>
      </c>
      <c r="AB428" s="80">
        <f>K428*'Dynamic Analysis Dashboard'!$B$10*'Dynamic Analysis Dashboard'!$B$9*'Dynamic Analysis Dashboard'!$B$21</f>
        <v>0.24000000000000005</v>
      </c>
      <c r="AC428" s="85">
        <f>L428*'Dynamic Analysis Dashboard'!$B$11*'Dynamic Analysis Dashboard'!$B$9*'Dynamic Analysis Dashboard'!$B$21</f>
        <v>0</v>
      </c>
      <c r="AD428" s="120">
        <f t="shared" si="12"/>
        <v>5.2350000000000012</v>
      </c>
      <c r="AE428" s="121">
        <f t="shared" si="13"/>
        <v>3.6645000000000008</v>
      </c>
    </row>
    <row r="429" spans="1:31" hidden="1" x14ac:dyDescent="0.2">
      <c r="A429" t="s">
        <v>26</v>
      </c>
      <c r="B429" t="s">
        <v>149</v>
      </c>
      <c r="C429" t="s">
        <v>37</v>
      </c>
      <c r="D429" t="s">
        <v>2349</v>
      </c>
      <c r="E429" t="s">
        <v>2350</v>
      </c>
      <c r="F429" t="s">
        <v>145</v>
      </c>
      <c r="G429" t="s">
        <v>38</v>
      </c>
      <c r="H429" t="s">
        <v>33</v>
      </c>
      <c r="I429">
        <v>2.8</v>
      </c>
      <c r="J429">
        <v>3.2</v>
      </c>
      <c r="K429">
        <v>1.4</v>
      </c>
      <c r="L429">
        <v>4.2</v>
      </c>
      <c r="M429">
        <v>11.6</v>
      </c>
      <c r="N429">
        <v>0.7</v>
      </c>
      <c r="O429">
        <v>12</v>
      </c>
      <c r="P429">
        <v>4</v>
      </c>
      <c r="Q429">
        <v>2</v>
      </c>
      <c r="R429">
        <v>5</v>
      </c>
      <c r="S429">
        <v>1613472</v>
      </c>
      <c r="T429">
        <v>346</v>
      </c>
      <c r="U429" t="s">
        <v>2351</v>
      </c>
      <c r="V429" t="s">
        <v>2352</v>
      </c>
      <c r="W429" t="s">
        <v>2353</v>
      </c>
      <c r="X429" t="s">
        <v>2354</v>
      </c>
      <c r="Y429" t="s">
        <v>2355</v>
      </c>
      <c r="Z429" s="70">
        <f>I429*'Dynamic Analysis Dashboard'!$B$8*'Dynamic Analysis Dashboard'!$B$9*'Dynamic Analysis Dashboard'!$B$21</f>
        <v>1.8900000000000001</v>
      </c>
      <c r="AA429" s="75">
        <f>J429*'Dynamic Analysis Dashboard'!$B$8*'Dynamic Analysis Dashboard'!$B$9*'Dynamic Analysis Dashboard'!$B$21</f>
        <v>2.16</v>
      </c>
      <c r="AB429" s="80">
        <f>K429*'Dynamic Analysis Dashboard'!$B$10*'Dynamic Analysis Dashboard'!$B$9*'Dynamic Analysis Dashboard'!$B$21</f>
        <v>0.83999999999999986</v>
      </c>
      <c r="AC429" s="85">
        <f>L429*'Dynamic Analysis Dashboard'!$B$11*'Dynamic Analysis Dashboard'!$B$9*'Dynamic Analysis Dashboard'!$B$21</f>
        <v>2.6774999999999998</v>
      </c>
      <c r="AD429" s="120">
        <f t="shared" si="12"/>
        <v>7.5675000000000008</v>
      </c>
      <c r="AE429" s="121">
        <f t="shared" si="13"/>
        <v>5.29725</v>
      </c>
    </row>
    <row r="430" spans="1:31" hidden="1" x14ac:dyDescent="0.2">
      <c r="A430" t="s">
        <v>26</v>
      </c>
      <c r="B430" t="s">
        <v>179</v>
      </c>
      <c r="C430" t="s">
        <v>41</v>
      </c>
      <c r="D430" t="s">
        <v>2356</v>
      </c>
      <c r="E430" t="s">
        <v>2357</v>
      </c>
      <c r="F430" t="s">
        <v>324</v>
      </c>
      <c r="G430" t="s">
        <v>38</v>
      </c>
      <c r="H430" t="s">
        <v>33</v>
      </c>
      <c r="I430">
        <v>0</v>
      </c>
      <c r="J430">
        <v>0</v>
      </c>
      <c r="K430">
        <v>1.9</v>
      </c>
      <c r="L430">
        <v>8.1</v>
      </c>
      <c r="M430">
        <v>10</v>
      </c>
      <c r="N430">
        <v>0.65</v>
      </c>
      <c r="O430">
        <v>10</v>
      </c>
      <c r="P430">
        <v>4</v>
      </c>
      <c r="Q430">
        <v>2</v>
      </c>
      <c r="R430">
        <v>4</v>
      </c>
      <c r="S430">
        <v>3210</v>
      </c>
      <c r="T430">
        <v>2</v>
      </c>
      <c r="U430" t="s">
        <v>318</v>
      </c>
      <c r="V430" t="s">
        <v>2358</v>
      </c>
      <c r="W430" t="s">
        <v>2359</v>
      </c>
      <c r="X430" t="s">
        <v>2360</v>
      </c>
      <c r="Y430" t="s">
        <v>2361</v>
      </c>
      <c r="Z430" s="70">
        <f>I430*'Dynamic Analysis Dashboard'!$B$8*'Dynamic Analysis Dashboard'!$B$9*'Dynamic Analysis Dashboard'!$B$21</f>
        <v>0</v>
      </c>
      <c r="AA430" s="75">
        <f>J430*'Dynamic Analysis Dashboard'!$B$8*'Dynamic Analysis Dashboard'!$B$9*'Dynamic Analysis Dashboard'!$B$21</f>
        <v>0</v>
      </c>
      <c r="AB430" s="80">
        <f>K430*'Dynamic Analysis Dashboard'!$B$10*'Dynamic Analysis Dashboard'!$B$9*'Dynamic Analysis Dashboard'!$B$21</f>
        <v>1.1400000000000001</v>
      </c>
      <c r="AC430" s="85">
        <f>L430*'Dynamic Analysis Dashboard'!$B$11*'Dynamic Analysis Dashboard'!$B$9*'Dynamic Analysis Dashboard'!$B$21</f>
        <v>5.1637500000000003</v>
      </c>
      <c r="AD430" s="120">
        <f t="shared" si="12"/>
        <v>6.3037500000000009</v>
      </c>
      <c r="AE430" s="121">
        <f t="shared" si="13"/>
        <v>4.0974375000000007</v>
      </c>
    </row>
    <row r="431" spans="1:31" hidden="1" x14ac:dyDescent="0.2">
      <c r="A431" t="s">
        <v>26</v>
      </c>
      <c r="B431" t="s">
        <v>194</v>
      </c>
      <c r="C431" t="s">
        <v>2362</v>
      </c>
      <c r="D431" t="s">
        <v>2349</v>
      </c>
      <c r="E431" t="s">
        <v>2363</v>
      </c>
      <c r="F431" t="s">
        <v>206</v>
      </c>
      <c r="G431" t="s">
        <v>38</v>
      </c>
      <c r="H431" t="s">
        <v>33</v>
      </c>
      <c r="I431">
        <v>0.8</v>
      </c>
      <c r="J431">
        <v>5.4</v>
      </c>
      <c r="K431">
        <v>0.5</v>
      </c>
      <c r="L431">
        <v>0</v>
      </c>
      <c r="M431">
        <v>6.7</v>
      </c>
      <c r="N431">
        <v>0.75</v>
      </c>
      <c r="O431">
        <v>9</v>
      </c>
      <c r="P431">
        <v>4</v>
      </c>
      <c r="Q431">
        <v>3</v>
      </c>
      <c r="R431">
        <v>4</v>
      </c>
      <c r="S431">
        <v>3425760</v>
      </c>
      <c r="T431">
        <v>414</v>
      </c>
      <c r="U431" t="s">
        <v>2364</v>
      </c>
      <c r="V431" t="s">
        <v>2365</v>
      </c>
      <c r="W431" t="s">
        <v>2366</v>
      </c>
      <c r="X431" t="s">
        <v>131</v>
      </c>
      <c r="Y431" t="s">
        <v>2367</v>
      </c>
      <c r="Z431" s="70">
        <f>I431*'Dynamic Analysis Dashboard'!$B$8*'Dynamic Analysis Dashboard'!$B$9*'Dynamic Analysis Dashboard'!$B$21</f>
        <v>0.54</v>
      </c>
      <c r="AA431" s="75">
        <f>J431*'Dynamic Analysis Dashboard'!$B$8*'Dynamic Analysis Dashboard'!$B$9*'Dynamic Analysis Dashboard'!$B$21</f>
        <v>3.6450000000000005</v>
      </c>
      <c r="AB431" s="80">
        <f>K431*'Dynamic Analysis Dashboard'!$B$10*'Dynamic Analysis Dashboard'!$B$9*'Dynamic Analysis Dashboard'!$B$21</f>
        <v>0.30000000000000004</v>
      </c>
      <c r="AC431" s="85">
        <f>L431*'Dynamic Analysis Dashboard'!$B$11*'Dynamic Analysis Dashboard'!$B$9*'Dynamic Analysis Dashboard'!$B$21</f>
        <v>0</v>
      </c>
      <c r="AD431" s="120">
        <f t="shared" si="12"/>
        <v>4.4850000000000003</v>
      </c>
      <c r="AE431" s="121">
        <f t="shared" si="13"/>
        <v>3.3637500000000005</v>
      </c>
    </row>
    <row r="432" spans="1:31" x14ac:dyDescent="0.2">
      <c r="A432" t="s">
        <v>22</v>
      </c>
      <c r="B432" t="s">
        <v>141</v>
      </c>
      <c r="C432" t="s">
        <v>2368</v>
      </c>
      <c r="D432" t="s">
        <v>2369</v>
      </c>
      <c r="E432" t="s">
        <v>2370</v>
      </c>
      <c r="F432" t="s">
        <v>2371</v>
      </c>
      <c r="G432" t="s">
        <v>24</v>
      </c>
      <c r="H432" t="s">
        <v>28</v>
      </c>
      <c r="I432">
        <v>0.9</v>
      </c>
      <c r="J432">
        <v>0</v>
      </c>
      <c r="K432">
        <v>0</v>
      </c>
      <c r="L432">
        <v>2.8</v>
      </c>
      <c r="M432">
        <v>3.7</v>
      </c>
      <c r="N432">
        <v>0.8</v>
      </c>
      <c r="O432">
        <v>9</v>
      </c>
      <c r="P432">
        <v>4</v>
      </c>
      <c r="Q432">
        <v>2</v>
      </c>
      <c r="R432">
        <v>4</v>
      </c>
      <c r="S432">
        <v>560</v>
      </c>
      <c r="T432">
        <v>1.008</v>
      </c>
      <c r="U432" t="s">
        <v>2372</v>
      </c>
      <c r="V432" t="s">
        <v>129</v>
      </c>
      <c r="W432" t="s">
        <v>359</v>
      </c>
      <c r="X432" t="s">
        <v>2373</v>
      </c>
      <c r="Y432" t="s">
        <v>2374</v>
      </c>
      <c r="Z432" s="70">
        <f>I432*'Dynamic Analysis Dashboard'!$B$8*'Dynamic Analysis Dashboard'!$B$9*'Dynamic Analysis Dashboard'!$B$21</f>
        <v>0.60750000000000004</v>
      </c>
      <c r="AA432" s="75">
        <f>J432*'Dynamic Analysis Dashboard'!$B$8*'Dynamic Analysis Dashboard'!$B$9*'Dynamic Analysis Dashboard'!$B$21</f>
        <v>0</v>
      </c>
      <c r="AB432" s="80">
        <f>K432*'Dynamic Analysis Dashboard'!$B$10*'Dynamic Analysis Dashboard'!$B$9*'Dynamic Analysis Dashboard'!$B$21</f>
        <v>0</v>
      </c>
      <c r="AC432" s="85">
        <f>L432*'Dynamic Analysis Dashboard'!$B$11*'Dynamic Analysis Dashboard'!$B$9*'Dynamic Analysis Dashboard'!$B$21</f>
        <v>1.7849999999999999</v>
      </c>
      <c r="AD432" s="120">
        <f t="shared" si="12"/>
        <v>2.3925000000000001</v>
      </c>
      <c r="AE432" s="121">
        <f t="shared" si="13"/>
        <v>1.9140000000000001</v>
      </c>
    </row>
    <row r="433" spans="1:31" hidden="1" x14ac:dyDescent="0.2">
      <c r="A433" t="s">
        <v>22</v>
      </c>
      <c r="B433" t="s">
        <v>133</v>
      </c>
      <c r="C433" t="s">
        <v>23</v>
      </c>
      <c r="D433" t="s">
        <v>2375</v>
      </c>
      <c r="E433" t="s">
        <v>2376</v>
      </c>
      <c r="F433" t="s">
        <v>206</v>
      </c>
      <c r="G433" t="s">
        <v>24</v>
      </c>
      <c r="H433" t="s">
        <v>25</v>
      </c>
      <c r="I433">
        <v>0</v>
      </c>
      <c r="J433">
        <v>16.2</v>
      </c>
      <c r="K433">
        <v>16.3</v>
      </c>
      <c r="L433">
        <v>0</v>
      </c>
      <c r="M433">
        <v>32.5</v>
      </c>
      <c r="N433">
        <v>0.65</v>
      </c>
      <c r="O433">
        <v>12</v>
      </c>
      <c r="P433">
        <v>4</v>
      </c>
      <c r="Q433">
        <v>2</v>
      </c>
      <c r="R433">
        <v>4</v>
      </c>
      <c r="S433">
        <v>3060</v>
      </c>
      <c r="T433">
        <v>5.508</v>
      </c>
      <c r="U433" t="s">
        <v>2377</v>
      </c>
      <c r="V433" t="s">
        <v>2378</v>
      </c>
      <c r="W433" t="s">
        <v>2379</v>
      </c>
      <c r="X433" t="s">
        <v>1189</v>
      </c>
      <c r="Y433" t="s">
        <v>2380</v>
      </c>
      <c r="Z433" s="70">
        <f>I433*'Dynamic Analysis Dashboard'!$B$8*'Dynamic Analysis Dashboard'!$B$9*'Dynamic Analysis Dashboard'!$B$21</f>
        <v>0</v>
      </c>
      <c r="AA433" s="75">
        <f>J433*'Dynamic Analysis Dashboard'!$B$8*'Dynamic Analysis Dashboard'!$B$9*'Dynamic Analysis Dashboard'!$B$21</f>
        <v>10.935</v>
      </c>
      <c r="AB433" s="80">
        <f>K433*'Dynamic Analysis Dashboard'!$B$10*'Dynamic Analysis Dashboard'!$B$9*'Dynamic Analysis Dashboard'!$B$21</f>
        <v>9.7800000000000011</v>
      </c>
      <c r="AC433" s="85">
        <f>L433*'Dynamic Analysis Dashboard'!$B$11*'Dynamic Analysis Dashboard'!$B$9*'Dynamic Analysis Dashboard'!$B$21</f>
        <v>0</v>
      </c>
      <c r="AD433" s="120">
        <f t="shared" si="12"/>
        <v>20.715000000000003</v>
      </c>
      <c r="AE433" s="121">
        <f t="shared" si="13"/>
        <v>13.464750000000002</v>
      </c>
    </row>
    <row r="434" spans="1:31" x14ac:dyDescent="0.2">
      <c r="A434" t="s">
        <v>22</v>
      </c>
      <c r="B434" t="s">
        <v>156</v>
      </c>
      <c r="C434" t="s">
        <v>2381</v>
      </c>
      <c r="D434" t="s">
        <v>525</v>
      </c>
      <c r="E434" t="s">
        <v>2382</v>
      </c>
      <c r="F434" t="s">
        <v>773</v>
      </c>
      <c r="G434" t="s">
        <v>24</v>
      </c>
      <c r="H434" t="s">
        <v>28</v>
      </c>
      <c r="I434">
        <v>1.6</v>
      </c>
      <c r="J434">
        <v>0</v>
      </c>
      <c r="K434">
        <v>0.4</v>
      </c>
      <c r="L434">
        <v>0</v>
      </c>
      <c r="M434">
        <v>2</v>
      </c>
      <c r="N434">
        <v>0.8</v>
      </c>
      <c r="O434">
        <v>6</v>
      </c>
      <c r="P434">
        <v>3</v>
      </c>
      <c r="Q434">
        <v>3</v>
      </c>
      <c r="R434">
        <v>3</v>
      </c>
      <c r="S434">
        <v>1278</v>
      </c>
      <c r="T434">
        <v>2.7719999999999998</v>
      </c>
      <c r="U434" t="s">
        <v>2383</v>
      </c>
      <c r="V434" t="s">
        <v>129</v>
      </c>
      <c r="W434" t="s">
        <v>2384</v>
      </c>
      <c r="X434" t="s">
        <v>1189</v>
      </c>
      <c r="Y434" t="s">
        <v>2385</v>
      </c>
      <c r="Z434" s="70">
        <f>I434*'Dynamic Analysis Dashboard'!$B$8*'Dynamic Analysis Dashboard'!$B$9*'Dynamic Analysis Dashboard'!$B$21</f>
        <v>1.08</v>
      </c>
      <c r="AA434" s="75">
        <f>J434*'Dynamic Analysis Dashboard'!$B$8*'Dynamic Analysis Dashboard'!$B$9*'Dynamic Analysis Dashboard'!$B$21</f>
        <v>0</v>
      </c>
      <c r="AB434" s="80">
        <f>K434*'Dynamic Analysis Dashboard'!$B$10*'Dynamic Analysis Dashboard'!$B$9*'Dynamic Analysis Dashboard'!$B$21</f>
        <v>0.24000000000000005</v>
      </c>
      <c r="AC434" s="85">
        <f>L434*'Dynamic Analysis Dashboard'!$B$11*'Dynamic Analysis Dashboard'!$B$9*'Dynamic Analysis Dashboard'!$B$21</f>
        <v>0</v>
      </c>
      <c r="AD434" s="120">
        <f t="shared" si="12"/>
        <v>1.32</v>
      </c>
      <c r="AE434" s="121">
        <f t="shared" si="13"/>
        <v>1.056</v>
      </c>
    </row>
    <row r="435" spans="1:31" x14ac:dyDescent="0.2">
      <c r="A435" t="s">
        <v>22</v>
      </c>
      <c r="B435" t="s">
        <v>172</v>
      </c>
      <c r="C435" t="s">
        <v>2386</v>
      </c>
      <c r="D435" t="s">
        <v>2369</v>
      </c>
      <c r="E435" t="s">
        <v>555</v>
      </c>
      <c r="F435" t="s">
        <v>145</v>
      </c>
      <c r="G435" t="s">
        <v>24</v>
      </c>
      <c r="H435" t="s">
        <v>33</v>
      </c>
      <c r="I435">
        <v>0.7</v>
      </c>
      <c r="J435">
        <v>0</v>
      </c>
      <c r="K435">
        <v>1.8</v>
      </c>
      <c r="L435">
        <v>0</v>
      </c>
      <c r="M435">
        <v>2.5</v>
      </c>
      <c r="N435">
        <v>0.75</v>
      </c>
      <c r="O435">
        <v>9</v>
      </c>
      <c r="P435">
        <v>3</v>
      </c>
      <c r="Q435">
        <v>2</v>
      </c>
      <c r="R435">
        <v>4</v>
      </c>
      <c r="S435">
        <v>10668</v>
      </c>
      <c r="T435">
        <v>18.288</v>
      </c>
      <c r="U435" t="s">
        <v>2387</v>
      </c>
      <c r="V435" t="s">
        <v>129</v>
      </c>
      <c r="W435" t="s">
        <v>2388</v>
      </c>
      <c r="X435" t="s">
        <v>1189</v>
      </c>
      <c r="Y435" t="s">
        <v>2389</v>
      </c>
      <c r="Z435" s="70">
        <f>I435*'Dynamic Analysis Dashboard'!$B$8*'Dynamic Analysis Dashboard'!$B$9*'Dynamic Analysis Dashboard'!$B$21</f>
        <v>0.47250000000000003</v>
      </c>
      <c r="AA435" s="75">
        <f>J435*'Dynamic Analysis Dashboard'!$B$8*'Dynamic Analysis Dashboard'!$B$9*'Dynamic Analysis Dashboard'!$B$21</f>
        <v>0</v>
      </c>
      <c r="AB435" s="80">
        <f>K435*'Dynamic Analysis Dashboard'!$B$10*'Dynamic Analysis Dashboard'!$B$9*'Dynamic Analysis Dashboard'!$B$21</f>
        <v>1.08</v>
      </c>
      <c r="AC435" s="85">
        <f>L435*'Dynamic Analysis Dashboard'!$B$11*'Dynamic Analysis Dashboard'!$B$9*'Dynamic Analysis Dashboard'!$B$21</f>
        <v>0</v>
      </c>
      <c r="AD435" s="120">
        <f t="shared" si="12"/>
        <v>1.5525000000000002</v>
      </c>
      <c r="AE435" s="121">
        <f t="shared" si="13"/>
        <v>1.1643750000000002</v>
      </c>
    </row>
    <row r="436" spans="1:31" x14ac:dyDescent="0.2">
      <c r="A436" t="s">
        <v>22</v>
      </c>
      <c r="B436" t="s">
        <v>186</v>
      </c>
      <c r="C436" t="s">
        <v>2228</v>
      </c>
      <c r="D436" t="s">
        <v>540</v>
      </c>
      <c r="E436" t="s">
        <v>1970</v>
      </c>
      <c r="F436" t="s">
        <v>198</v>
      </c>
      <c r="G436" t="s">
        <v>24</v>
      </c>
      <c r="H436" t="s">
        <v>33</v>
      </c>
      <c r="I436">
        <v>0.2</v>
      </c>
      <c r="J436">
        <v>0</v>
      </c>
      <c r="K436">
        <v>0</v>
      </c>
      <c r="L436">
        <v>1.2</v>
      </c>
      <c r="M436">
        <v>1.4</v>
      </c>
      <c r="N436">
        <v>0.8</v>
      </c>
      <c r="O436">
        <v>6</v>
      </c>
      <c r="P436">
        <v>2</v>
      </c>
      <c r="Q436">
        <v>3</v>
      </c>
      <c r="R436">
        <v>2</v>
      </c>
      <c r="S436">
        <v>98</v>
      </c>
      <c r="T436">
        <v>0.23400000000000001</v>
      </c>
      <c r="U436" t="s">
        <v>2390</v>
      </c>
      <c r="V436" t="s">
        <v>129</v>
      </c>
      <c r="W436" t="s">
        <v>359</v>
      </c>
      <c r="X436" t="s">
        <v>2391</v>
      </c>
      <c r="Y436" t="s">
        <v>2392</v>
      </c>
      <c r="Z436" s="70">
        <f>I436*'Dynamic Analysis Dashboard'!$B$8*'Dynamic Analysis Dashboard'!$B$9*'Dynamic Analysis Dashboard'!$B$21</f>
        <v>0.13500000000000001</v>
      </c>
      <c r="AA436" s="75">
        <f>J436*'Dynamic Analysis Dashboard'!$B$8*'Dynamic Analysis Dashboard'!$B$9*'Dynamic Analysis Dashboard'!$B$21</f>
        <v>0</v>
      </c>
      <c r="AB436" s="80">
        <f>K436*'Dynamic Analysis Dashboard'!$B$10*'Dynamic Analysis Dashboard'!$B$9*'Dynamic Analysis Dashboard'!$B$21</f>
        <v>0</v>
      </c>
      <c r="AC436" s="85">
        <f>L436*'Dynamic Analysis Dashboard'!$B$11*'Dynamic Analysis Dashboard'!$B$9*'Dynamic Analysis Dashboard'!$B$21</f>
        <v>0.76500000000000001</v>
      </c>
      <c r="AD436" s="120">
        <f t="shared" si="12"/>
        <v>0.9</v>
      </c>
      <c r="AE436" s="121">
        <f t="shared" si="13"/>
        <v>0.72000000000000008</v>
      </c>
    </row>
    <row r="437" spans="1:31" x14ac:dyDescent="0.2">
      <c r="A437" t="s">
        <v>22</v>
      </c>
      <c r="B437" t="s">
        <v>194</v>
      </c>
      <c r="C437" t="s">
        <v>2393</v>
      </c>
      <c r="D437" t="s">
        <v>504</v>
      </c>
      <c r="E437" t="s">
        <v>2394</v>
      </c>
      <c r="F437" t="s">
        <v>2395</v>
      </c>
      <c r="G437" t="s">
        <v>24</v>
      </c>
      <c r="H437" t="s">
        <v>33</v>
      </c>
      <c r="I437">
        <v>0.6</v>
      </c>
      <c r="J437">
        <v>0</v>
      </c>
      <c r="K437">
        <v>0</v>
      </c>
      <c r="L437">
        <v>0.9</v>
      </c>
      <c r="M437">
        <v>1.5</v>
      </c>
      <c r="N437">
        <v>0.75</v>
      </c>
      <c r="O437">
        <v>6</v>
      </c>
      <c r="P437">
        <v>3</v>
      </c>
      <c r="Q437">
        <v>2</v>
      </c>
      <c r="R437">
        <v>3</v>
      </c>
      <c r="S437">
        <v>560</v>
      </c>
      <c r="T437">
        <v>1.1759999999999999</v>
      </c>
      <c r="U437" t="s">
        <v>2396</v>
      </c>
      <c r="V437" t="s">
        <v>129</v>
      </c>
      <c r="W437" t="s">
        <v>359</v>
      </c>
      <c r="X437" t="s">
        <v>2397</v>
      </c>
      <c r="Y437" t="s">
        <v>2398</v>
      </c>
      <c r="Z437" s="70">
        <f>I437*'Dynamic Analysis Dashboard'!$B$8*'Dynamic Analysis Dashboard'!$B$9*'Dynamic Analysis Dashboard'!$B$21</f>
        <v>0.40500000000000003</v>
      </c>
      <c r="AA437" s="75">
        <f>J437*'Dynamic Analysis Dashboard'!$B$8*'Dynamic Analysis Dashboard'!$B$9*'Dynamic Analysis Dashboard'!$B$21</f>
        <v>0</v>
      </c>
      <c r="AB437" s="80">
        <f>K437*'Dynamic Analysis Dashboard'!$B$10*'Dynamic Analysis Dashboard'!$B$9*'Dynamic Analysis Dashboard'!$B$21</f>
        <v>0</v>
      </c>
      <c r="AC437" s="85">
        <f>L437*'Dynamic Analysis Dashboard'!$B$11*'Dynamic Analysis Dashboard'!$B$9*'Dynamic Analysis Dashboard'!$B$21</f>
        <v>0.57374999999999998</v>
      </c>
      <c r="AD437" s="120">
        <f t="shared" si="12"/>
        <v>0.97875000000000001</v>
      </c>
      <c r="AE437" s="121">
        <f t="shared" si="13"/>
        <v>0.73406250000000006</v>
      </c>
    </row>
    <row r="438" spans="1:31" hidden="1" x14ac:dyDescent="0.2">
      <c r="A438" t="s">
        <v>22</v>
      </c>
      <c r="B438" t="s">
        <v>123</v>
      </c>
      <c r="C438" t="s">
        <v>2399</v>
      </c>
      <c r="D438" t="s">
        <v>525</v>
      </c>
      <c r="E438" t="s">
        <v>2400</v>
      </c>
      <c r="F438" t="s">
        <v>259</v>
      </c>
      <c r="G438" t="s">
        <v>31</v>
      </c>
      <c r="H438" t="s">
        <v>25</v>
      </c>
      <c r="I438">
        <v>6.6</v>
      </c>
      <c r="J438">
        <v>0</v>
      </c>
      <c r="K438">
        <v>2.4</v>
      </c>
      <c r="L438">
        <v>0</v>
      </c>
      <c r="M438">
        <v>9</v>
      </c>
      <c r="N438">
        <v>0.75</v>
      </c>
      <c r="O438">
        <v>6</v>
      </c>
      <c r="P438">
        <v>3</v>
      </c>
      <c r="Q438">
        <v>3</v>
      </c>
      <c r="R438">
        <v>3</v>
      </c>
      <c r="S438">
        <v>4760</v>
      </c>
      <c r="T438">
        <v>9.7919999999999998</v>
      </c>
      <c r="U438" t="s">
        <v>2401</v>
      </c>
      <c r="V438" t="s">
        <v>129</v>
      </c>
      <c r="W438" t="s">
        <v>2402</v>
      </c>
      <c r="X438" t="s">
        <v>1189</v>
      </c>
      <c r="Y438" t="s">
        <v>2403</v>
      </c>
      <c r="Z438" s="70">
        <f>I438*'Dynamic Analysis Dashboard'!$B$8*'Dynamic Analysis Dashboard'!$B$9*'Dynamic Analysis Dashboard'!$B$21</f>
        <v>4.4550000000000001</v>
      </c>
      <c r="AA438" s="75">
        <f>J438*'Dynamic Analysis Dashboard'!$B$8*'Dynamic Analysis Dashboard'!$B$9*'Dynamic Analysis Dashboard'!$B$21</f>
        <v>0</v>
      </c>
      <c r="AB438" s="80">
        <f>K438*'Dynamic Analysis Dashboard'!$B$10*'Dynamic Analysis Dashboard'!$B$9*'Dynamic Analysis Dashboard'!$B$21</f>
        <v>1.44</v>
      </c>
      <c r="AC438" s="85">
        <f>L438*'Dynamic Analysis Dashboard'!$B$11*'Dynamic Analysis Dashboard'!$B$9*'Dynamic Analysis Dashboard'!$B$21</f>
        <v>0</v>
      </c>
      <c r="AD438" s="120">
        <f t="shared" si="12"/>
        <v>5.8949999999999996</v>
      </c>
      <c r="AE438" s="121">
        <f t="shared" si="13"/>
        <v>4.4212499999999997</v>
      </c>
    </row>
    <row r="439" spans="1:31" hidden="1" x14ac:dyDescent="0.2">
      <c r="A439" t="s">
        <v>22</v>
      </c>
      <c r="B439" t="s">
        <v>149</v>
      </c>
      <c r="C439" t="s">
        <v>2404</v>
      </c>
      <c r="D439" t="s">
        <v>2405</v>
      </c>
      <c r="E439" t="s">
        <v>2406</v>
      </c>
      <c r="F439" t="s">
        <v>1161</v>
      </c>
      <c r="G439" t="s">
        <v>31</v>
      </c>
      <c r="H439" t="s">
        <v>28</v>
      </c>
      <c r="I439">
        <v>2.9</v>
      </c>
      <c r="J439">
        <v>0</v>
      </c>
      <c r="K439">
        <v>0.8</v>
      </c>
      <c r="L439">
        <v>0</v>
      </c>
      <c r="M439">
        <v>3.7</v>
      </c>
      <c r="N439">
        <v>0.7</v>
      </c>
      <c r="O439">
        <v>6</v>
      </c>
      <c r="P439">
        <v>2</v>
      </c>
      <c r="Q439">
        <v>3</v>
      </c>
      <c r="R439">
        <v>2</v>
      </c>
      <c r="S439">
        <v>1944</v>
      </c>
      <c r="T439">
        <v>4.5359999999999996</v>
      </c>
      <c r="U439" t="s">
        <v>2407</v>
      </c>
      <c r="V439" t="s">
        <v>129</v>
      </c>
      <c r="W439" t="s">
        <v>2408</v>
      </c>
      <c r="X439" t="s">
        <v>1189</v>
      </c>
      <c r="Y439" t="s">
        <v>2409</v>
      </c>
      <c r="Z439" s="70">
        <f>I439*'Dynamic Analysis Dashboard'!$B$8*'Dynamic Analysis Dashboard'!$B$9*'Dynamic Analysis Dashboard'!$B$21</f>
        <v>1.9575</v>
      </c>
      <c r="AA439" s="75">
        <f>J439*'Dynamic Analysis Dashboard'!$B$8*'Dynamic Analysis Dashboard'!$B$9*'Dynamic Analysis Dashboard'!$B$21</f>
        <v>0</v>
      </c>
      <c r="AB439" s="80">
        <f>K439*'Dynamic Analysis Dashboard'!$B$10*'Dynamic Analysis Dashboard'!$B$9*'Dynamic Analysis Dashboard'!$B$21</f>
        <v>0.48000000000000009</v>
      </c>
      <c r="AC439" s="85">
        <f>L439*'Dynamic Analysis Dashboard'!$B$11*'Dynamic Analysis Dashboard'!$B$9*'Dynamic Analysis Dashboard'!$B$21</f>
        <v>0</v>
      </c>
      <c r="AD439" s="120">
        <f t="shared" si="12"/>
        <v>2.4375</v>
      </c>
      <c r="AE439" s="121">
        <f t="shared" si="13"/>
        <v>1.7062499999999998</v>
      </c>
    </row>
    <row r="440" spans="1:31" hidden="1" x14ac:dyDescent="0.2">
      <c r="A440" t="s">
        <v>22</v>
      </c>
      <c r="B440" t="s">
        <v>164</v>
      </c>
      <c r="C440" t="s">
        <v>2410</v>
      </c>
      <c r="D440" t="s">
        <v>1001</v>
      </c>
      <c r="E440" t="s">
        <v>2411</v>
      </c>
      <c r="F440" t="s">
        <v>259</v>
      </c>
      <c r="G440" t="s">
        <v>31</v>
      </c>
      <c r="H440" t="s">
        <v>25</v>
      </c>
      <c r="I440">
        <v>0.3</v>
      </c>
      <c r="J440">
        <v>8.5</v>
      </c>
      <c r="K440">
        <v>0</v>
      </c>
      <c r="L440">
        <v>0</v>
      </c>
      <c r="M440">
        <v>8.8000000000000007</v>
      </c>
      <c r="N440">
        <v>0.7</v>
      </c>
      <c r="O440">
        <v>6</v>
      </c>
      <c r="P440">
        <v>3</v>
      </c>
      <c r="Q440">
        <v>2</v>
      </c>
      <c r="R440">
        <v>3</v>
      </c>
      <c r="S440">
        <v>192</v>
      </c>
      <c r="T440">
        <v>0.432</v>
      </c>
      <c r="U440" t="s">
        <v>2412</v>
      </c>
      <c r="V440" t="s">
        <v>2413</v>
      </c>
      <c r="W440" t="s">
        <v>359</v>
      </c>
      <c r="X440" t="s">
        <v>1189</v>
      </c>
      <c r="Y440" t="s">
        <v>2414</v>
      </c>
      <c r="Z440" s="70">
        <f>I440*'Dynamic Analysis Dashboard'!$B$8*'Dynamic Analysis Dashboard'!$B$9*'Dynamic Analysis Dashboard'!$B$21</f>
        <v>0.20250000000000001</v>
      </c>
      <c r="AA440" s="75">
        <f>J440*'Dynamic Analysis Dashboard'!$B$8*'Dynamic Analysis Dashboard'!$B$9*'Dynamic Analysis Dashboard'!$B$21</f>
        <v>5.7375000000000007</v>
      </c>
      <c r="AB440" s="80">
        <f>K440*'Dynamic Analysis Dashboard'!$B$10*'Dynamic Analysis Dashboard'!$B$9*'Dynamic Analysis Dashboard'!$B$21</f>
        <v>0</v>
      </c>
      <c r="AC440" s="85">
        <f>L440*'Dynamic Analysis Dashboard'!$B$11*'Dynamic Analysis Dashboard'!$B$9*'Dynamic Analysis Dashboard'!$B$21</f>
        <v>0</v>
      </c>
      <c r="AD440" s="120">
        <f t="shared" si="12"/>
        <v>5.94</v>
      </c>
      <c r="AE440" s="121">
        <f t="shared" si="13"/>
        <v>4.1580000000000004</v>
      </c>
    </row>
    <row r="441" spans="1:31" hidden="1" x14ac:dyDescent="0.2">
      <c r="A441" t="s">
        <v>22</v>
      </c>
      <c r="B441" t="s">
        <v>179</v>
      </c>
      <c r="C441" t="s">
        <v>2415</v>
      </c>
      <c r="D441" t="s">
        <v>464</v>
      </c>
      <c r="E441" t="s">
        <v>2416</v>
      </c>
      <c r="F441" t="s">
        <v>198</v>
      </c>
      <c r="G441" t="s">
        <v>31</v>
      </c>
      <c r="H441" t="s">
        <v>28</v>
      </c>
      <c r="I441">
        <v>0.5</v>
      </c>
      <c r="J441">
        <v>4.3</v>
      </c>
      <c r="K441">
        <v>0</v>
      </c>
      <c r="L441">
        <v>0</v>
      </c>
      <c r="M441">
        <v>4.8</v>
      </c>
      <c r="N441">
        <v>0.75</v>
      </c>
      <c r="O441">
        <v>6</v>
      </c>
      <c r="P441">
        <v>3</v>
      </c>
      <c r="Q441">
        <v>2</v>
      </c>
      <c r="R441">
        <v>3</v>
      </c>
      <c r="S441">
        <v>336</v>
      </c>
      <c r="T441">
        <v>0.86399999999999999</v>
      </c>
      <c r="U441" t="s">
        <v>2417</v>
      </c>
      <c r="V441" t="s">
        <v>2418</v>
      </c>
      <c r="W441" t="s">
        <v>359</v>
      </c>
      <c r="X441" t="s">
        <v>1189</v>
      </c>
      <c r="Y441" t="s">
        <v>2419</v>
      </c>
      <c r="Z441" s="70">
        <f>I441*'Dynamic Analysis Dashboard'!$B$8*'Dynamic Analysis Dashboard'!$B$9*'Dynamic Analysis Dashboard'!$B$21</f>
        <v>0.33750000000000002</v>
      </c>
      <c r="AA441" s="75">
        <f>J441*'Dynamic Analysis Dashboard'!$B$8*'Dynamic Analysis Dashboard'!$B$9*'Dynamic Analysis Dashboard'!$B$21</f>
        <v>2.9024999999999999</v>
      </c>
      <c r="AB441" s="80">
        <f>K441*'Dynamic Analysis Dashboard'!$B$10*'Dynamic Analysis Dashboard'!$B$9*'Dynamic Analysis Dashboard'!$B$21</f>
        <v>0</v>
      </c>
      <c r="AC441" s="85">
        <f>L441*'Dynamic Analysis Dashboard'!$B$11*'Dynamic Analysis Dashboard'!$B$9*'Dynamic Analysis Dashboard'!$B$21</f>
        <v>0</v>
      </c>
      <c r="AD441" s="120">
        <f t="shared" si="12"/>
        <v>3.2399999999999998</v>
      </c>
      <c r="AE441" s="121">
        <f t="shared" si="13"/>
        <v>2.4299999999999997</v>
      </c>
    </row>
    <row r="442" spans="1:31" x14ac:dyDescent="0.2">
      <c r="A442" t="s">
        <v>80</v>
      </c>
      <c r="B442" t="s">
        <v>141</v>
      </c>
      <c r="C442" t="s">
        <v>2420</v>
      </c>
      <c r="D442" t="s">
        <v>2421</v>
      </c>
      <c r="E442" t="s">
        <v>2422</v>
      </c>
      <c r="F442" t="s">
        <v>609</v>
      </c>
      <c r="G442" t="s">
        <v>24</v>
      </c>
      <c r="H442" t="s">
        <v>28</v>
      </c>
      <c r="I442">
        <v>3.0000000000000001E-6</v>
      </c>
      <c r="J442">
        <v>9.5000000000000005E-6</v>
      </c>
      <c r="K442">
        <v>0</v>
      </c>
      <c r="L442">
        <v>0</v>
      </c>
      <c r="M442">
        <v>1.1800000000000001E-5</v>
      </c>
      <c r="N442">
        <v>0.75</v>
      </c>
      <c r="O442">
        <v>9</v>
      </c>
      <c r="P442">
        <v>3</v>
      </c>
      <c r="Q442">
        <v>2</v>
      </c>
      <c r="R442">
        <v>3</v>
      </c>
      <c r="S442">
        <v>900</v>
      </c>
      <c r="T442">
        <v>1.944</v>
      </c>
      <c r="U442" t="s">
        <v>2423</v>
      </c>
      <c r="V442" t="s">
        <v>2424</v>
      </c>
      <c r="W442" t="s">
        <v>461</v>
      </c>
      <c r="X442" t="s">
        <v>284</v>
      </c>
      <c r="Y442" t="s">
        <v>2425</v>
      </c>
      <c r="Z442" s="70">
        <f>I442*'Dynamic Analysis Dashboard'!$B$8*'Dynamic Analysis Dashboard'!$B$9*'Dynamic Analysis Dashboard'!$B$21</f>
        <v>2.0250000000000001E-6</v>
      </c>
      <c r="AA442" s="75">
        <f>J442*'Dynamic Analysis Dashboard'!$B$8*'Dynamic Analysis Dashboard'!$B$9*'Dynamic Analysis Dashboard'!$B$21</f>
        <v>6.4125000000000009E-6</v>
      </c>
      <c r="AB442" s="80">
        <f>K442*'Dynamic Analysis Dashboard'!$B$10*'Dynamic Analysis Dashboard'!$B$9*'Dynamic Analysis Dashboard'!$B$21</f>
        <v>0</v>
      </c>
      <c r="AC442" s="85">
        <f>L442*'Dynamic Analysis Dashboard'!$B$11*'Dynamic Analysis Dashboard'!$B$9*'Dynamic Analysis Dashboard'!$B$21</f>
        <v>0</v>
      </c>
      <c r="AD442" s="120">
        <f t="shared" si="12"/>
        <v>8.4375000000000018E-6</v>
      </c>
      <c r="AE442" s="121">
        <f t="shared" si="13"/>
        <v>6.3281250000000014E-6</v>
      </c>
    </row>
    <row r="443" spans="1:31" x14ac:dyDescent="0.2">
      <c r="A443" t="s">
        <v>80</v>
      </c>
      <c r="B443" t="s">
        <v>156</v>
      </c>
      <c r="C443" t="s">
        <v>2426</v>
      </c>
      <c r="D443" t="s">
        <v>1265</v>
      </c>
      <c r="E443" t="s">
        <v>1152</v>
      </c>
      <c r="F443" t="s">
        <v>1414</v>
      </c>
      <c r="G443" t="s">
        <v>24</v>
      </c>
      <c r="H443" t="s">
        <v>25</v>
      </c>
      <c r="I443">
        <v>5.7999999999999995E-6</v>
      </c>
      <c r="J443">
        <v>0</v>
      </c>
      <c r="K443">
        <v>2.1000000000000002E-6</v>
      </c>
      <c r="L443">
        <v>0</v>
      </c>
      <c r="M443">
        <v>3.2999999999999997E-6</v>
      </c>
      <c r="N443">
        <v>0.7</v>
      </c>
      <c r="O443">
        <v>6</v>
      </c>
      <c r="P443">
        <v>2</v>
      </c>
      <c r="Q443">
        <v>2</v>
      </c>
      <c r="R443">
        <v>2</v>
      </c>
      <c r="S443">
        <v>1575</v>
      </c>
      <c r="T443">
        <v>3.4020000000000001</v>
      </c>
      <c r="U443" t="s">
        <v>2427</v>
      </c>
      <c r="V443" t="s">
        <v>282</v>
      </c>
      <c r="W443" t="s">
        <v>2428</v>
      </c>
      <c r="X443" t="s">
        <v>284</v>
      </c>
      <c r="Y443" t="s">
        <v>2429</v>
      </c>
      <c r="Z443" s="70">
        <f>I443*'Dynamic Analysis Dashboard'!$B$8*'Dynamic Analysis Dashboard'!$B$9*'Dynamic Analysis Dashboard'!$B$21</f>
        <v>3.9149999999999998E-6</v>
      </c>
      <c r="AA443" s="75">
        <f>J443*'Dynamic Analysis Dashboard'!$B$8*'Dynamic Analysis Dashboard'!$B$9*'Dynamic Analysis Dashboard'!$B$21</f>
        <v>0</v>
      </c>
      <c r="AB443" s="80">
        <f>K443*'Dynamic Analysis Dashboard'!$B$10*'Dynamic Analysis Dashboard'!$B$9*'Dynamic Analysis Dashboard'!$B$21</f>
        <v>1.2600000000000002E-6</v>
      </c>
      <c r="AC443" s="85">
        <f>L443*'Dynamic Analysis Dashboard'!$B$11*'Dynamic Analysis Dashboard'!$B$9*'Dynamic Analysis Dashboard'!$B$21</f>
        <v>0</v>
      </c>
      <c r="AD443" s="120">
        <f t="shared" si="12"/>
        <v>5.1750000000000004E-6</v>
      </c>
      <c r="AE443" s="121">
        <f t="shared" si="13"/>
        <v>3.6225E-6</v>
      </c>
    </row>
    <row r="444" spans="1:31" x14ac:dyDescent="0.2">
      <c r="A444" t="s">
        <v>80</v>
      </c>
      <c r="B444" t="s">
        <v>179</v>
      </c>
      <c r="C444" t="s">
        <v>539</v>
      </c>
      <c r="D444" t="s">
        <v>540</v>
      </c>
      <c r="E444" t="s">
        <v>197</v>
      </c>
      <c r="F444" t="s">
        <v>198</v>
      </c>
      <c r="G444" t="s">
        <v>24</v>
      </c>
      <c r="H444" t="s">
        <v>28</v>
      </c>
      <c r="I444">
        <v>1.3E-6</v>
      </c>
      <c r="J444">
        <v>0</v>
      </c>
      <c r="K444">
        <v>1.8000000000000001E-6</v>
      </c>
      <c r="L444">
        <v>2.1000000000000002E-6</v>
      </c>
      <c r="M444">
        <v>4.5000000000000001E-6</v>
      </c>
      <c r="N444">
        <v>0.7</v>
      </c>
      <c r="O444">
        <v>6</v>
      </c>
      <c r="P444">
        <v>2</v>
      </c>
      <c r="Q444">
        <v>2</v>
      </c>
      <c r="R444">
        <v>2</v>
      </c>
      <c r="S444">
        <v>765</v>
      </c>
      <c r="T444">
        <v>1.6519999999999999</v>
      </c>
      <c r="U444" t="s">
        <v>2430</v>
      </c>
      <c r="V444" t="s">
        <v>282</v>
      </c>
      <c r="W444" t="s">
        <v>2431</v>
      </c>
      <c r="X444" t="s">
        <v>2432</v>
      </c>
      <c r="Y444" t="s">
        <v>2433</v>
      </c>
      <c r="Z444" s="70">
        <f>I444*'Dynamic Analysis Dashboard'!$B$8*'Dynamic Analysis Dashboard'!$B$9*'Dynamic Analysis Dashboard'!$B$21</f>
        <v>8.7750000000000007E-7</v>
      </c>
      <c r="AA444" s="75">
        <f>J444*'Dynamic Analysis Dashboard'!$B$8*'Dynamic Analysis Dashboard'!$B$9*'Dynamic Analysis Dashboard'!$B$21</f>
        <v>0</v>
      </c>
      <c r="AB444" s="80">
        <f>K444*'Dynamic Analysis Dashboard'!$B$10*'Dynamic Analysis Dashboard'!$B$9*'Dynamic Analysis Dashboard'!$B$21</f>
        <v>1.0800000000000002E-6</v>
      </c>
      <c r="AC444" s="85">
        <f>L444*'Dynamic Analysis Dashboard'!$B$11*'Dynamic Analysis Dashboard'!$B$9*'Dynamic Analysis Dashboard'!$B$21</f>
        <v>1.3387500000000001E-6</v>
      </c>
      <c r="AD444" s="120">
        <f t="shared" si="12"/>
        <v>3.2962500000000004E-6</v>
      </c>
      <c r="AE444" s="121">
        <f t="shared" si="13"/>
        <v>2.3073750000000001E-6</v>
      </c>
    </row>
    <row r="445" spans="1:31" hidden="1" x14ac:dyDescent="0.2">
      <c r="A445" t="s">
        <v>80</v>
      </c>
      <c r="B445" t="s">
        <v>194</v>
      </c>
      <c r="C445" t="s">
        <v>2434</v>
      </c>
      <c r="D445" t="s">
        <v>413</v>
      </c>
      <c r="E445" t="s">
        <v>1067</v>
      </c>
      <c r="F445" t="s">
        <v>357</v>
      </c>
      <c r="G445" t="s">
        <v>24</v>
      </c>
      <c r="H445" t="s">
        <v>25</v>
      </c>
      <c r="I445">
        <v>0</v>
      </c>
      <c r="J445">
        <v>8.4999999999999999E-6</v>
      </c>
      <c r="K445">
        <v>4.2999999999999995E-6</v>
      </c>
      <c r="L445">
        <v>0</v>
      </c>
      <c r="M445">
        <v>1.2800000000000001E-5</v>
      </c>
      <c r="N445">
        <v>0.7</v>
      </c>
      <c r="O445">
        <v>9</v>
      </c>
      <c r="P445">
        <v>3</v>
      </c>
      <c r="Q445">
        <v>3</v>
      </c>
      <c r="R445">
        <v>3</v>
      </c>
      <c r="S445">
        <v>1920</v>
      </c>
      <c r="T445">
        <v>4.1470000000000002</v>
      </c>
      <c r="U445" t="s">
        <v>482</v>
      </c>
      <c r="V445" t="s">
        <v>2435</v>
      </c>
      <c r="W445" t="s">
        <v>2436</v>
      </c>
      <c r="X445" t="s">
        <v>284</v>
      </c>
      <c r="Y445" t="s">
        <v>2437</v>
      </c>
      <c r="Z445" s="70">
        <f>I445*'Dynamic Analysis Dashboard'!$B$8*'Dynamic Analysis Dashboard'!$B$9*'Dynamic Analysis Dashboard'!$B$21</f>
        <v>0</v>
      </c>
      <c r="AA445" s="75">
        <f>J445*'Dynamic Analysis Dashboard'!$B$8*'Dynamic Analysis Dashboard'!$B$9*'Dynamic Analysis Dashboard'!$B$21</f>
        <v>5.7374999999999997E-6</v>
      </c>
      <c r="AB445" s="80">
        <f>K445*'Dynamic Analysis Dashboard'!$B$10*'Dynamic Analysis Dashboard'!$B$9*'Dynamic Analysis Dashboard'!$B$21</f>
        <v>2.5799999999999999E-6</v>
      </c>
      <c r="AC445" s="85">
        <f>L445*'Dynamic Analysis Dashboard'!$B$11*'Dynamic Analysis Dashboard'!$B$9*'Dynamic Analysis Dashboard'!$B$21</f>
        <v>0</v>
      </c>
      <c r="AD445" s="120">
        <f t="shared" si="12"/>
        <v>8.3174999999999996E-6</v>
      </c>
      <c r="AE445" s="121">
        <f t="shared" si="13"/>
        <v>5.8222499999999992E-6</v>
      </c>
    </row>
    <row r="446" spans="1:31" hidden="1" x14ac:dyDescent="0.2">
      <c r="A446" t="s">
        <v>80</v>
      </c>
      <c r="B446" t="s">
        <v>123</v>
      </c>
      <c r="C446" t="s">
        <v>2438</v>
      </c>
      <c r="D446" t="s">
        <v>517</v>
      </c>
      <c r="E446" t="s">
        <v>2439</v>
      </c>
      <c r="F446" t="s">
        <v>395</v>
      </c>
      <c r="G446" t="s">
        <v>38</v>
      </c>
      <c r="H446" t="s">
        <v>311</v>
      </c>
      <c r="I446">
        <v>6.9E-6</v>
      </c>
      <c r="J446">
        <v>0</v>
      </c>
      <c r="K446">
        <v>0</v>
      </c>
      <c r="L446">
        <v>0</v>
      </c>
      <c r="M446">
        <v>4.5000000000000001E-6</v>
      </c>
      <c r="N446">
        <v>0.8</v>
      </c>
      <c r="O446">
        <v>15</v>
      </c>
      <c r="P446">
        <v>4</v>
      </c>
      <c r="Q446">
        <v>2</v>
      </c>
      <c r="R446">
        <v>5</v>
      </c>
      <c r="S446">
        <v>38250</v>
      </c>
      <c r="T446">
        <v>8.2620000000000005</v>
      </c>
      <c r="U446" t="s">
        <v>2440</v>
      </c>
      <c r="V446" t="s">
        <v>282</v>
      </c>
      <c r="W446" t="s">
        <v>461</v>
      </c>
      <c r="X446" t="s">
        <v>284</v>
      </c>
      <c r="Y446" t="s">
        <v>2441</v>
      </c>
      <c r="Z446" s="70">
        <f>I446*'Dynamic Analysis Dashboard'!$B$8*'Dynamic Analysis Dashboard'!$B$9*'Dynamic Analysis Dashboard'!$B$21</f>
        <v>4.6574999999999999E-6</v>
      </c>
      <c r="AA446" s="75">
        <f>J446*'Dynamic Analysis Dashboard'!$B$8*'Dynamic Analysis Dashboard'!$B$9*'Dynamic Analysis Dashboard'!$B$21</f>
        <v>0</v>
      </c>
      <c r="AB446" s="80">
        <f>K446*'Dynamic Analysis Dashboard'!$B$10*'Dynamic Analysis Dashboard'!$B$9*'Dynamic Analysis Dashboard'!$B$21</f>
        <v>0</v>
      </c>
      <c r="AC446" s="85">
        <f>L446*'Dynamic Analysis Dashboard'!$B$11*'Dynamic Analysis Dashboard'!$B$9*'Dynamic Analysis Dashboard'!$B$21</f>
        <v>0</v>
      </c>
      <c r="AD446" s="120">
        <f t="shared" si="12"/>
        <v>4.6574999999999999E-6</v>
      </c>
      <c r="AE446" s="121">
        <f t="shared" si="13"/>
        <v>3.726E-6</v>
      </c>
    </row>
    <row r="447" spans="1:31" hidden="1" x14ac:dyDescent="0.2">
      <c r="A447" t="s">
        <v>80</v>
      </c>
      <c r="B447" t="s">
        <v>149</v>
      </c>
      <c r="C447" t="s">
        <v>2442</v>
      </c>
      <c r="D447" t="s">
        <v>413</v>
      </c>
      <c r="E447" t="s">
        <v>266</v>
      </c>
      <c r="F447" t="s">
        <v>259</v>
      </c>
      <c r="G447" t="s">
        <v>38</v>
      </c>
      <c r="H447" t="s">
        <v>33</v>
      </c>
      <c r="I447">
        <v>3.4000000000000001E-6</v>
      </c>
      <c r="J447">
        <v>4.7999999999999998E-6</v>
      </c>
      <c r="K447">
        <v>3.2000000000000003E-6</v>
      </c>
      <c r="L447">
        <v>0</v>
      </c>
      <c r="M447">
        <v>1.01E-5</v>
      </c>
      <c r="N447">
        <v>0.7</v>
      </c>
      <c r="O447">
        <v>12</v>
      </c>
      <c r="P447">
        <v>3</v>
      </c>
      <c r="Q447">
        <v>3</v>
      </c>
      <c r="R447">
        <v>4</v>
      </c>
      <c r="S447">
        <v>4480</v>
      </c>
      <c r="T447">
        <v>9.6760000000000002</v>
      </c>
      <c r="U447" t="s">
        <v>2443</v>
      </c>
      <c r="V447" t="s">
        <v>2444</v>
      </c>
      <c r="W447" t="s">
        <v>2445</v>
      </c>
      <c r="X447" t="s">
        <v>284</v>
      </c>
      <c r="Y447" t="s">
        <v>2446</v>
      </c>
      <c r="Z447" s="70">
        <f>I447*'Dynamic Analysis Dashboard'!$B$8*'Dynamic Analysis Dashboard'!$B$9*'Dynamic Analysis Dashboard'!$B$21</f>
        <v>2.295E-6</v>
      </c>
      <c r="AA447" s="75">
        <f>J447*'Dynamic Analysis Dashboard'!$B$8*'Dynamic Analysis Dashboard'!$B$9*'Dynamic Analysis Dashboard'!$B$21</f>
        <v>3.2400000000000003E-6</v>
      </c>
      <c r="AB447" s="80">
        <f>K447*'Dynamic Analysis Dashboard'!$B$10*'Dynamic Analysis Dashboard'!$B$9*'Dynamic Analysis Dashboard'!$B$21</f>
        <v>1.9200000000000003E-6</v>
      </c>
      <c r="AC447" s="85">
        <f>L447*'Dynamic Analysis Dashboard'!$B$11*'Dynamic Analysis Dashboard'!$B$9*'Dynamic Analysis Dashboard'!$B$21</f>
        <v>0</v>
      </c>
      <c r="AD447" s="120">
        <f t="shared" si="12"/>
        <v>7.4550000000000006E-6</v>
      </c>
      <c r="AE447" s="121">
        <f t="shared" si="13"/>
        <v>5.2185000000000001E-6</v>
      </c>
    </row>
    <row r="448" spans="1:31" hidden="1" x14ac:dyDescent="0.2">
      <c r="A448" t="s">
        <v>80</v>
      </c>
      <c r="B448" t="s">
        <v>133</v>
      </c>
      <c r="C448" t="s">
        <v>2447</v>
      </c>
      <c r="D448" t="s">
        <v>1242</v>
      </c>
      <c r="E448" t="s">
        <v>2448</v>
      </c>
      <c r="F448" t="s">
        <v>330</v>
      </c>
      <c r="G448" t="s">
        <v>38</v>
      </c>
      <c r="H448" t="s">
        <v>311</v>
      </c>
      <c r="I448">
        <v>5.0000000000000004E-6</v>
      </c>
      <c r="J448">
        <v>0</v>
      </c>
      <c r="K448">
        <v>0</v>
      </c>
      <c r="L448">
        <v>1.8000000000000001E-6</v>
      </c>
      <c r="M448">
        <v>3.7000000000000002E-6</v>
      </c>
      <c r="N448">
        <v>0.65</v>
      </c>
      <c r="O448">
        <v>12</v>
      </c>
      <c r="P448">
        <v>3</v>
      </c>
      <c r="Q448">
        <v>2</v>
      </c>
      <c r="R448">
        <v>3</v>
      </c>
      <c r="S448">
        <v>1440</v>
      </c>
      <c r="T448">
        <v>3.11</v>
      </c>
      <c r="U448" t="s">
        <v>2449</v>
      </c>
      <c r="V448" t="s">
        <v>282</v>
      </c>
      <c r="W448" t="s">
        <v>461</v>
      </c>
      <c r="X448" t="s">
        <v>2450</v>
      </c>
      <c r="Y448" t="s">
        <v>2451</v>
      </c>
      <c r="Z448" s="70">
        <f>I448*'Dynamic Analysis Dashboard'!$B$8*'Dynamic Analysis Dashboard'!$B$9*'Dynamic Analysis Dashboard'!$B$21</f>
        <v>3.3749999999999999E-6</v>
      </c>
      <c r="AA448" s="75">
        <f>J448*'Dynamic Analysis Dashboard'!$B$8*'Dynamic Analysis Dashboard'!$B$9*'Dynamic Analysis Dashboard'!$B$21</f>
        <v>0</v>
      </c>
      <c r="AB448" s="80">
        <f>K448*'Dynamic Analysis Dashboard'!$B$10*'Dynamic Analysis Dashboard'!$B$9*'Dynamic Analysis Dashboard'!$B$21</f>
        <v>0</v>
      </c>
      <c r="AC448" s="85">
        <f>L448*'Dynamic Analysis Dashboard'!$B$11*'Dynamic Analysis Dashboard'!$B$9*'Dynamic Analysis Dashboard'!$B$21</f>
        <v>1.1475E-6</v>
      </c>
      <c r="AD448" s="120">
        <f t="shared" si="12"/>
        <v>4.5224999999999995E-6</v>
      </c>
      <c r="AE448" s="121">
        <f t="shared" si="13"/>
        <v>2.9396249999999998E-6</v>
      </c>
    </row>
    <row r="449" spans="1:31" hidden="1" x14ac:dyDescent="0.2">
      <c r="A449" t="s">
        <v>80</v>
      </c>
      <c r="B449" t="s">
        <v>164</v>
      </c>
      <c r="C449" t="s">
        <v>2452</v>
      </c>
      <c r="D449" t="s">
        <v>635</v>
      </c>
      <c r="E449" t="s">
        <v>819</v>
      </c>
      <c r="F449" t="s">
        <v>198</v>
      </c>
      <c r="G449" t="s">
        <v>38</v>
      </c>
      <c r="H449" t="s">
        <v>33</v>
      </c>
      <c r="I449">
        <v>2.3999999999999999E-6</v>
      </c>
      <c r="J449">
        <v>2.5000000000000002E-6</v>
      </c>
      <c r="K449">
        <v>0</v>
      </c>
      <c r="L449">
        <v>0</v>
      </c>
      <c r="M449">
        <v>3.1E-6</v>
      </c>
      <c r="N449">
        <v>0.75</v>
      </c>
      <c r="O449">
        <v>9</v>
      </c>
      <c r="P449">
        <v>3</v>
      </c>
      <c r="Q449">
        <v>3</v>
      </c>
      <c r="R449">
        <v>3</v>
      </c>
      <c r="S449">
        <v>2400</v>
      </c>
      <c r="T449">
        <v>5.1840000000000002</v>
      </c>
      <c r="U449" t="s">
        <v>2453</v>
      </c>
      <c r="V449" t="s">
        <v>2454</v>
      </c>
      <c r="W449" t="s">
        <v>461</v>
      </c>
      <c r="X449" t="s">
        <v>284</v>
      </c>
      <c r="Y449" t="s">
        <v>2455</v>
      </c>
      <c r="Z449" s="70">
        <f>I449*'Dynamic Analysis Dashboard'!$B$8*'Dynamic Analysis Dashboard'!$B$9*'Dynamic Analysis Dashboard'!$B$21</f>
        <v>1.6200000000000002E-6</v>
      </c>
      <c r="AA449" s="75">
        <f>J449*'Dynamic Analysis Dashboard'!$B$8*'Dynamic Analysis Dashboard'!$B$9*'Dynamic Analysis Dashboard'!$B$21</f>
        <v>1.6874999999999999E-6</v>
      </c>
      <c r="AB449" s="80">
        <f>K449*'Dynamic Analysis Dashboard'!$B$10*'Dynamic Analysis Dashboard'!$B$9*'Dynamic Analysis Dashboard'!$B$21</f>
        <v>0</v>
      </c>
      <c r="AC449" s="85">
        <f>L449*'Dynamic Analysis Dashboard'!$B$11*'Dynamic Analysis Dashboard'!$B$9*'Dynamic Analysis Dashboard'!$B$21</f>
        <v>0</v>
      </c>
      <c r="AD449" s="120">
        <f t="shared" si="12"/>
        <v>3.3075000000000001E-6</v>
      </c>
      <c r="AE449" s="121">
        <f t="shared" si="13"/>
        <v>2.4806250000000001E-6</v>
      </c>
    </row>
    <row r="450" spans="1:31" hidden="1" x14ac:dyDescent="0.2">
      <c r="A450" t="s">
        <v>80</v>
      </c>
      <c r="B450" t="s">
        <v>172</v>
      </c>
      <c r="C450" t="s">
        <v>2456</v>
      </c>
      <c r="D450" t="s">
        <v>166</v>
      </c>
      <c r="E450" t="s">
        <v>564</v>
      </c>
      <c r="F450" t="s">
        <v>825</v>
      </c>
      <c r="G450" t="s">
        <v>38</v>
      </c>
      <c r="H450" t="s">
        <v>33</v>
      </c>
      <c r="I450">
        <v>1.7E-6</v>
      </c>
      <c r="J450">
        <v>0</v>
      </c>
      <c r="K450">
        <v>0</v>
      </c>
      <c r="L450">
        <v>2.8999999999999998E-6</v>
      </c>
      <c r="M450">
        <v>1.5E-6</v>
      </c>
      <c r="N450">
        <v>0.8</v>
      </c>
      <c r="O450">
        <v>9</v>
      </c>
      <c r="P450">
        <v>3</v>
      </c>
      <c r="Q450">
        <v>3</v>
      </c>
      <c r="R450">
        <v>3</v>
      </c>
      <c r="S450">
        <v>1472</v>
      </c>
      <c r="T450">
        <v>3.177</v>
      </c>
      <c r="U450" t="s">
        <v>2457</v>
      </c>
      <c r="V450" t="s">
        <v>282</v>
      </c>
      <c r="W450" t="s">
        <v>461</v>
      </c>
      <c r="X450" t="s">
        <v>2458</v>
      </c>
      <c r="Y450" t="s">
        <v>2459</v>
      </c>
      <c r="Z450" s="70">
        <f>I450*'Dynamic Analysis Dashboard'!$B$8*'Dynamic Analysis Dashboard'!$B$9*'Dynamic Analysis Dashboard'!$B$21</f>
        <v>1.1475E-6</v>
      </c>
      <c r="AA450" s="75">
        <f>J450*'Dynamic Analysis Dashboard'!$B$8*'Dynamic Analysis Dashboard'!$B$9*'Dynamic Analysis Dashboard'!$B$21</f>
        <v>0</v>
      </c>
      <c r="AB450" s="80">
        <f>K450*'Dynamic Analysis Dashboard'!$B$10*'Dynamic Analysis Dashboard'!$B$9*'Dynamic Analysis Dashboard'!$B$21</f>
        <v>0</v>
      </c>
      <c r="AC450" s="85">
        <f>L450*'Dynamic Analysis Dashboard'!$B$11*'Dynamic Analysis Dashboard'!$B$9*'Dynamic Analysis Dashboard'!$B$21</f>
        <v>1.8487499999999999E-6</v>
      </c>
      <c r="AD450" s="120">
        <f t="shared" si="12"/>
        <v>2.9962499999999999E-6</v>
      </c>
      <c r="AE450" s="121">
        <f t="shared" si="13"/>
        <v>2.3970000000000001E-6</v>
      </c>
    </row>
    <row r="451" spans="1:31" hidden="1" x14ac:dyDescent="0.2">
      <c r="A451" t="s">
        <v>80</v>
      </c>
      <c r="B451" t="s">
        <v>186</v>
      </c>
      <c r="C451" t="s">
        <v>2460</v>
      </c>
      <c r="D451" t="s">
        <v>315</v>
      </c>
      <c r="E451" t="s">
        <v>2461</v>
      </c>
      <c r="F451" t="s">
        <v>145</v>
      </c>
      <c r="G451" t="s">
        <v>38</v>
      </c>
      <c r="H451" t="s">
        <v>311</v>
      </c>
      <c r="I451">
        <v>0</v>
      </c>
      <c r="J451">
        <v>6.1E-6</v>
      </c>
      <c r="K451">
        <v>0</v>
      </c>
      <c r="L451">
        <v>0</v>
      </c>
      <c r="M451">
        <v>5.4E-6</v>
      </c>
      <c r="N451">
        <v>0.65</v>
      </c>
      <c r="O451">
        <v>15</v>
      </c>
      <c r="P451">
        <v>4</v>
      </c>
      <c r="Q451">
        <v>2</v>
      </c>
      <c r="R451">
        <v>4</v>
      </c>
      <c r="S451">
        <v>2400</v>
      </c>
      <c r="T451">
        <v>5.1840000000000002</v>
      </c>
      <c r="U451" t="s">
        <v>482</v>
      </c>
      <c r="V451" t="s">
        <v>2462</v>
      </c>
      <c r="W451" t="s">
        <v>461</v>
      </c>
      <c r="X451" t="s">
        <v>284</v>
      </c>
      <c r="Y451" t="s">
        <v>2463</v>
      </c>
      <c r="Z451" s="70">
        <f>I451*'Dynamic Analysis Dashboard'!$B$8*'Dynamic Analysis Dashboard'!$B$9*'Dynamic Analysis Dashboard'!$B$21</f>
        <v>0</v>
      </c>
      <c r="AA451" s="75">
        <f>J451*'Dynamic Analysis Dashboard'!$B$8*'Dynamic Analysis Dashboard'!$B$9*'Dynamic Analysis Dashboard'!$B$21</f>
        <v>4.1175E-6</v>
      </c>
      <c r="AB451" s="80">
        <f>K451*'Dynamic Analysis Dashboard'!$B$10*'Dynamic Analysis Dashboard'!$B$9*'Dynamic Analysis Dashboard'!$B$21</f>
        <v>0</v>
      </c>
      <c r="AC451" s="85">
        <f>L451*'Dynamic Analysis Dashboard'!$B$11*'Dynamic Analysis Dashboard'!$B$9*'Dynamic Analysis Dashboard'!$B$21</f>
        <v>0</v>
      </c>
      <c r="AD451" s="120">
        <f t="shared" ref="AD451:AD514" si="14">SUM(Z451:AC451)</f>
        <v>4.1175E-6</v>
      </c>
      <c r="AE451" s="121">
        <f t="shared" ref="AE451:AE514" si="15">AD451*N451</f>
        <v>2.6763750000000003E-6</v>
      </c>
    </row>
    <row r="452" spans="1:31" x14ac:dyDescent="0.2">
      <c r="A452" t="s">
        <v>99</v>
      </c>
      <c r="B452" t="s">
        <v>123</v>
      </c>
      <c r="C452" t="s">
        <v>2308</v>
      </c>
      <c r="D452" t="s">
        <v>125</v>
      </c>
      <c r="E452" t="s">
        <v>709</v>
      </c>
      <c r="F452" t="s">
        <v>127</v>
      </c>
      <c r="G452" t="s">
        <v>24</v>
      </c>
      <c r="H452" t="s">
        <v>28</v>
      </c>
      <c r="I452">
        <v>1.6</v>
      </c>
      <c r="J452">
        <v>0.6</v>
      </c>
      <c r="K452">
        <v>0</v>
      </c>
      <c r="L452">
        <v>0</v>
      </c>
      <c r="M452">
        <v>2.2000000000000002</v>
      </c>
      <c r="N452">
        <v>0.75</v>
      </c>
      <c r="O452">
        <v>9</v>
      </c>
      <c r="P452">
        <v>3</v>
      </c>
      <c r="Q452">
        <v>3</v>
      </c>
      <c r="R452">
        <v>3</v>
      </c>
      <c r="S452">
        <v>44460</v>
      </c>
      <c r="T452">
        <v>247</v>
      </c>
      <c r="U452" t="s">
        <v>2464</v>
      </c>
      <c r="V452" t="s">
        <v>2465</v>
      </c>
      <c r="W452" t="s">
        <v>2466</v>
      </c>
      <c r="X452" t="s">
        <v>284</v>
      </c>
      <c r="Y452" t="s">
        <v>2467</v>
      </c>
      <c r="Z452" s="70">
        <f>I452*'Dynamic Analysis Dashboard'!$B$8*'Dynamic Analysis Dashboard'!$B$9*'Dynamic Analysis Dashboard'!$B$21</f>
        <v>1.08</v>
      </c>
      <c r="AA452" s="75">
        <f>J452*'Dynamic Analysis Dashboard'!$B$8*'Dynamic Analysis Dashboard'!$B$9*'Dynamic Analysis Dashboard'!$B$21</f>
        <v>0.40500000000000003</v>
      </c>
      <c r="AB452" s="80">
        <f>K452*'Dynamic Analysis Dashboard'!$B$10*'Dynamic Analysis Dashboard'!$B$9*'Dynamic Analysis Dashboard'!$B$21</f>
        <v>0</v>
      </c>
      <c r="AC452" s="85">
        <f>L452*'Dynamic Analysis Dashboard'!$B$11*'Dynamic Analysis Dashboard'!$B$9*'Dynamic Analysis Dashboard'!$B$21</f>
        <v>0</v>
      </c>
      <c r="AD452" s="120">
        <f t="shared" si="14"/>
        <v>1.4850000000000001</v>
      </c>
      <c r="AE452" s="121">
        <f t="shared" si="15"/>
        <v>1.11375</v>
      </c>
    </row>
    <row r="453" spans="1:31" hidden="1" x14ac:dyDescent="0.2">
      <c r="A453" t="s">
        <v>99</v>
      </c>
      <c r="B453" t="s">
        <v>156</v>
      </c>
      <c r="C453" t="s">
        <v>2468</v>
      </c>
      <c r="D453" t="s">
        <v>181</v>
      </c>
      <c r="E453" t="s">
        <v>511</v>
      </c>
      <c r="F453" t="s">
        <v>183</v>
      </c>
      <c r="G453" t="s">
        <v>24</v>
      </c>
      <c r="H453" t="s">
        <v>28</v>
      </c>
      <c r="I453">
        <v>0.4</v>
      </c>
      <c r="J453">
        <v>1</v>
      </c>
      <c r="K453">
        <v>0</v>
      </c>
      <c r="L453">
        <v>0</v>
      </c>
      <c r="M453">
        <v>1.4</v>
      </c>
      <c r="N453">
        <v>0.75</v>
      </c>
      <c r="O453">
        <v>6</v>
      </c>
      <c r="P453">
        <v>2</v>
      </c>
      <c r="Q453">
        <v>3</v>
      </c>
      <c r="R453">
        <v>2</v>
      </c>
      <c r="S453">
        <v>2880</v>
      </c>
      <c r="T453">
        <v>31</v>
      </c>
      <c r="U453" t="s">
        <v>339</v>
      </c>
      <c r="V453" t="s">
        <v>2469</v>
      </c>
      <c r="W453" t="s">
        <v>2466</v>
      </c>
      <c r="X453" t="s">
        <v>284</v>
      </c>
      <c r="Y453" t="s">
        <v>2470</v>
      </c>
      <c r="Z453" s="70">
        <f>I453*'Dynamic Analysis Dashboard'!$B$8*'Dynamic Analysis Dashboard'!$B$9*'Dynamic Analysis Dashboard'!$B$21</f>
        <v>0.27</v>
      </c>
      <c r="AA453" s="75">
        <f>J453*'Dynamic Analysis Dashboard'!$B$8*'Dynamic Analysis Dashboard'!$B$9*'Dynamic Analysis Dashboard'!$B$21</f>
        <v>0.67500000000000004</v>
      </c>
      <c r="AB453" s="80">
        <f>K453*'Dynamic Analysis Dashboard'!$B$10*'Dynamic Analysis Dashboard'!$B$9*'Dynamic Analysis Dashboard'!$B$21</f>
        <v>0</v>
      </c>
      <c r="AC453" s="85">
        <f>L453*'Dynamic Analysis Dashboard'!$B$11*'Dynamic Analysis Dashboard'!$B$9*'Dynamic Analysis Dashboard'!$B$21</f>
        <v>0</v>
      </c>
      <c r="AD453" s="120">
        <f t="shared" si="14"/>
        <v>0.94500000000000006</v>
      </c>
      <c r="AE453" s="121">
        <f t="shared" si="15"/>
        <v>0.70874999999999999</v>
      </c>
    </row>
    <row r="454" spans="1:31" hidden="1" x14ac:dyDescent="0.2">
      <c r="A454" t="s">
        <v>99</v>
      </c>
      <c r="B454" t="s">
        <v>141</v>
      </c>
      <c r="C454" t="s">
        <v>2471</v>
      </c>
      <c r="D454" t="s">
        <v>2472</v>
      </c>
      <c r="E454" t="s">
        <v>2473</v>
      </c>
      <c r="F454" t="s">
        <v>1138</v>
      </c>
      <c r="G454" t="s">
        <v>31</v>
      </c>
      <c r="H454" t="s">
        <v>25</v>
      </c>
      <c r="I454">
        <v>3</v>
      </c>
      <c r="J454">
        <v>0.8</v>
      </c>
      <c r="K454">
        <v>0</v>
      </c>
      <c r="L454">
        <v>0</v>
      </c>
      <c r="M454">
        <v>3.8</v>
      </c>
      <c r="N454">
        <v>0.85</v>
      </c>
      <c r="O454">
        <v>6</v>
      </c>
      <c r="P454">
        <v>2</v>
      </c>
      <c r="Q454">
        <v>3</v>
      </c>
      <c r="R454">
        <v>2</v>
      </c>
      <c r="S454">
        <v>15000</v>
      </c>
      <c r="T454">
        <v>90</v>
      </c>
      <c r="U454" t="s">
        <v>2474</v>
      </c>
      <c r="V454" t="s">
        <v>2475</v>
      </c>
      <c r="W454" t="s">
        <v>2466</v>
      </c>
      <c r="X454" t="s">
        <v>284</v>
      </c>
      <c r="Y454" t="s">
        <v>2476</v>
      </c>
      <c r="Z454" s="70">
        <f>I454*'Dynamic Analysis Dashboard'!$B$8*'Dynamic Analysis Dashboard'!$B$9*'Dynamic Analysis Dashboard'!$B$21</f>
        <v>2.0250000000000004</v>
      </c>
      <c r="AA454" s="75">
        <f>J454*'Dynamic Analysis Dashboard'!$B$8*'Dynamic Analysis Dashboard'!$B$9*'Dynamic Analysis Dashboard'!$B$21</f>
        <v>0.54</v>
      </c>
      <c r="AB454" s="80">
        <f>K454*'Dynamic Analysis Dashboard'!$B$10*'Dynamic Analysis Dashboard'!$B$9*'Dynamic Analysis Dashboard'!$B$21</f>
        <v>0</v>
      </c>
      <c r="AC454" s="85">
        <f>L454*'Dynamic Analysis Dashboard'!$B$11*'Dynamic Analysis Dashboard'!$B$9*'Dynamic Analysis Dashboard'!$B$21</f>
        <v>0</v>
      </c>
      <c r="AD454" s="120">
        <f t="shared" si="14"/>
        <v>2.5650000000000004</v>
      </c>
      <c r="AE454" s="121">
        <f t="shared" si="15"/>
        <v>2.1802500000000005</v>
      </c>
    </row>
    <row r="455" spans="1:31" hidden="1" x14ac:dyDescent="0.2">
      <c r="A455" t="s">
        <v>99</v>
      </c>
      <c r="B455" t="s">
        <v>149</v>
      </c>
      <c r="C455" t="s">
        <v>2477</v>
      </c>
      <c r="D455" t="s">
        <v>595</v>
      </c>
      <c r="E455" t="s">
        <v>1076</v>
      </c>
      <c r="F455" t="s">
        <v>324</v>
      </c>
      <c r="G455" t="s">
        <v>38</v>
      </c>
      <c r="H455" t="s">
        <v>33</v>
      </c>
      <c r="I455">
        <v>0.4</v>
      </c>
      <c r="J455">
        <v>1.2</v>
      </c>
      <c r="K455">
        <v>0.2</v>
      </c>
      <c r="L455">
        <v>1.1000000000000001</v>
      </c>
      <c r="M455">
        <v>2.9</v>
      </c>
      <c r="N455">
        <v>0.7</v>
      </c>
      <c r="O455">
        <v>12</v>
      </c>
      <c r="P455">
        <v>4</v>
      </c>
      <c r="Q455">
        <v>2</v>
      </c>
      <c r="R455">
        <v>4</v>
      </c>
      <c r="S455">
        <v>5250</v>
      </c>
      <c r="T455">
        <v>40</v>
      </c>
      <c r="U455" t="s">
        <v>339</v>
      </c>
      <c r="V455" t="s">
        <v>2478</v>
      </c>
      <c r="W455" t="s">
        <v>2479</v>
      </c>
      <c r="X455" t="s">
        <v>2480</v>
      </c>
      <c r="Y455" t="s">
        <v>2481</v>
      </c>
      <c r="Z455" s="70">
        <f>I455*'Dynamic Analysis Dashboard'!$B$8*'Dynamic Analysis Dashboard'!$B$9*'Dynamic Analysis Dashboard'!$B$21</f>
        <v>0.27</v>
      </c>
      <c r="AA455" s="75">
        <f>J455*'Dynamic Analysis Dashboard'!$B$8*'Dynamic Analysis Dashboard'!$B$9*'Dynamic Analysis Dashboard'!$B$21</f>
        <v>0.81</v>
      </c>
      <c r="AB455" s="80">
        <f>K455*'Dynamic Analysis Dashboard'!$B$10*'Dynamic Analysis Dashboard'!$B$9*'Dynamic Analysis Dashboard'!$B$21</f>
        <v>0.12000000000000002</v>
      </c>
      <c r="AC455" s="85">
        <f>L455*'Dynamic Analysis Dashboard'!$B$11*'Dynamic Analysis Dashboard'!$B$9*'Dynamic Analysis Dashboard'!$B$21</f>
        <v>0.70125000000000004</v>
      </c>
      <c r="AD455" s="120">
        <f t="shared" si="14"/>
        <v>1.9012500000000001</v>
      </c>
      <c r="AE455" s="121">
        <f t="shared" si="15"/>
        <v>1.330875</v>
      </c>
    </row>
    <row r="456" spans="1:31" hidden="1" x14ac:dyDescent="0.2">
      <c r="A456" t="s">
        <v>99</v>
      </c>
      <c r="B456" t="s">
        <v>133</v>
      </c>
      <c r="C456" t="s">
        <v>2482</v>
      </c>
      <c r="D456" t="s">
        <v>328</v>
      </c>
      <c r="E456" t="s">
        <v>2483</v>
      </c>
      <c r="F456" t="s">
        <v>495</v>
      </c>
      <c r="G456" t="s">
        <v>38</v>
      </c>
      <c r="H456" t="s">
        <v>28</v>
      </c>
      <c r="I456">
        <v>0.5</v>
      </c>
      <c r="J456">
        <v>1.4</v>
      </c>
      <c r="K456">
        <v>0</v>
      </c>
      <c r="L456">
        <v>0</v>
      </c>
      <c r="M456">
        <v>1.9</v>
      </c>
      <c r="N456">
        <v>0.8</v>
      </c>
      <c r="O456">
        <v>9</v>
      </c>
      <c r="P456">
        <v>3</v>
      </c>
      <c r="Q456">
        <v>3</v>
      </c>
      <c r="R456">
        <v>3</v>
      </c>
      <c r="S456">
        <v>6300</v>
      </c>
      <c r="T456">
        <v>56</v>
      </c>
      <c r="U456" t="s">
        <v>339</v>
      </c>
      <c r="V456" t="s">
        <v>2484</v>
      </c>
      <c r="W456" t="s">
        <v>2466</v>
      </c>
      <c r="X456" t="s">
        <v>284</v>
      </c>
      <c r="Y456" t="s">
        <v>2485</v>
      </c>
      <c r="Z456" s="70">
        <f>I456*'Dynamic Analysis Dashboard'!$B$8*'Dynamic Analysis Dashboard'!$B$9*'Dynamic Analysis Dashboard'!$B$21</f>
        <v>0.33750000000000002</v>
      </c>
      <c r="AA456" s="75">
        <f>J456*'Dynamic Analysis Dashboard'!$B$8*'Dynamic Analysis Dashboard'!$B$9*'Dynamic Analysis Dashboard'!$B$21</f>
        <v>0.94500000000000006</v>
      </c>
      <c r="AB456" s="80">
        <f>K456*'Dynamic Analysis Dashboard'!$B$10*'Dynamic Analysis Dashboard'!$B$9*'Dynamic Analysis Dashboard'!$B$21</f>
        <v>0</v>
      </c>
      <c r="AC456" s="85">
        <f>L456*'Dynamic Analysis Dashboard'!$B$11*'Dynamic Analysis Dashboard'!$B$9*'Dynamic Analysis Dashboard'!$B$21</f>
        <v>0</v>
      </c>
      <c r="AD456" s="120">
        <f t="shared" si="14"/>
        <v>1.2825000000000002</v>
      </c>
      <c r="AE456" s="121">
        <f t="shared" si="15"/>
        <v>1.0260000000000002</v>
      </c>
    </row>
    <row r="457" spans="1:31" hidden="1" x14ac:dyDescent="0.2">
      <c r="A457" t="s">
        <v>99</v>
      </c>
      <c r="B457" t="s">
        <v>164</v>
      </c>
      <c r="C457" t="s">
        <v>2486</v>
      </c>
      <c r="D457" t="s">
        <v>125</v>
      </c>
      <c r="E457" t="s">
        <v>2487</v>
      </c>
      <c r="F457" t="s">
        <v>870</v>
      </c>
      <c r="G457" t="s">
        <v>38</v>
      </c>
      <c r="H457" t="s">
        <v>33</v>
      </c>
      <c r="I457">
        <v>0.3</v>
      </c>
      <c r="J457">
        <v>1.5</v>
      </c>
      <c r="K457">
        <v>0</v>
      </c>
      <c r="L457">
        <v>0</v>
      </c>
      <c r="M457">
        <v>1.8</v>
      </c>
      <c r="N457">
        <v>0.75</v>
      </c>
      <c r="O457">
        <v>9</v>
      </c>
      <c r="P457">
        <v>3</v>
      </c>
      <c r="Q457">
        <v>3</v>
      </c>
      <c r="R457">
        <v>3</v>
      </c>
      <c r="S457">
        <v>28000</v>
      </c>
      <c r="T457">
        <v>168</v>
      </c>
      <c r="U457" t="s">
        <v>339</v>
      </c>
      <c r="V457" t="s">
        <v>2488</v>
      </c>
      <c r="W457" t="s">
        <v>2466</v>
      </c>
      <c r="X457" t="s">
        <v>284</v>
      </c>
      <c r="Y457" t="s">
        <v>2489</v>
      </c>
      <c r="Z457" s="70">
        <f>I457*'Dynamic Analysis Dashboard'!$B$8*'Dynamic Analysis Dashboard'!$B$9*'Dynamic Analysis Dashboard'!$B$21</f>
        <v>0.20250000000000001</v>
      </c>
      <c r="AA457" s="75">
        <f>J457*'Dynamic Analysis Dashboard'!$B$8*'Dynamic Analysis Dashboard'!$B$9*'Dynamic Analysis Dashboard'!$B$21</f>
        <v>1.0125000000000002</v>
      </c>
      <c r="AB457" s="80">
        <f>K457*'Dynamic Analysis Dashboard'!$B$10*'Dynamic Analysis Dashboard'!$B$9*'Dynamic Analysis Dashboard'!$B$21</f>
        <v>0</v>
      </c>
      <c r="AC457" s="85">
        <f>L457*'Dynamic Analysis Dashboard'!$B$11*'Dynamic Analysis Dashboard'!$B$9*'Dynamic Analysis Dashboard'!$B$21</f>
        <v>0</v>
      </c>
      <c r="AD457" s="120">
        <f t="shared" si="14"/>
        <v>1.2150000000000003</v>
      </c>
      <c r="AE457" s="121">
        <f t="shared" si="15"/>
        <v>0.91125000000000023</v>
      </c>
    </row>
    <row r="458" spans="1:31" hidden="1" x14ac:dyDescent="0.2">
      <c r="A458" t="s">
        <v>99</v>
      </c>
      <c r="B458" t="s">
        <v>172</v>
      </c>
      <c r="C458" t="s">
        <v>2490</v>
      </c>
      <c r="D458" t="s">
        <v>315</v>
      </c>
      <c r="E458" t="s">
        <v>2491</v>
      </c>
      <c r="F458" t="s">
        <v>289</v>
      </c>
      <c r="G458" t="s">
        <v>38</v>
      </c>
      <c r="H458" t="s">
        <v>311</v>
      </c>
      <c r="I458">
        <v>0.6</v>
      </c>
      <c r="J458">
        <v>0</v>
      </c>
      <c r="K458">
        <v>0.6</v>
      </c>
      <c r="L458">
        <v>0.4</v>
      </c>
      <c r="M458">
        <v>1.6</v>
      </c>
      <c r="N458">
        <v>0.7</v>
      </c>
      <c r="O458">
        <v>12</v>
      </c>
      <c r="P458">
        <v>4</v>
      </c>
      <c r="Q458">
        <v>2</v>
      </c>
      <c r="R458">
        <v>4</v>
      </c>
      <c r="S458">
        <v>9520</v>
      </c>
      <c r="T458">
        <v>68</v>
      </c>
      <c r="U458" t="s">
        <v>339</v>
      </c>
      <c r="V458" t="s">
        <v>129</v>
      </c>
      <c r="W458" t="s">
        <v>2492</v>
      </c>
      <c r="X458" t="s">
        <v>2493</v>
      </c>
      <c r="Y458" t="s">
        <v>2494</v>
      </c>
      <c r="Z458" s="70">
        <f>I458*'Dynamic Analysis Dashboard'!$B$8*'Dynamic Analysis Dashboard'!$B$9*'Dynamic Analysis Dashboard'!$B$21</f>
        <v>0.40500000000000003</v>
      </c>
      <c r="AA458" s="75">
        <f>J458*'Dynamic Analysis Dashboard'!$B$8*'Dynamic Analysis Dashboard'!$B$9*'Dynamic Analysis Dashboard'!$B$21</f>
        <v>0</v>
      </c>
      <c r="AB458" s="80">
        <f>K458*'Dynamic Analysis Dashboard'!$B$10*'Dynamic Analysis Dashboard'!$B$9*'Dynamic Analysis Dashboard'!$B$21</f>
        <v>0.36</v>
      </c>
      <c r="AC458" s="85">
        <f>L458*'Dynamic Analysis Dashboard'!$B$11*'Dynamic Analysis Dashboard'!$B$9*'Dynamic Analysis Dashboard'!$B$21</f>
        <v>0.255</v>
      </c>
      <c r="AD458" s="120">
        <f t="shared" si="14"/>
        <v>1.02</v>
      </c>
      <c r="AE458" s="121">
        <f t="shared" si="15"/>
        <v>0.71399999999999997</v>
      </c>
    </row>
    <row r="459" spans="1:31" hidden="1" x14ac:dyDescent="0.2">
      <c r="A459" t="s">
        <v>99</v>
      </c>
      <c r="B459" t="s">
        <v>179</v>
      </c>
      <c r="C459" t="s">
        <v>2495</v>
      </c>
      <c r="D459" t="s">
        <v>595</v>
      </c>
      <c r="E459" t="s">
        <v>2496</v>
      </c>
      <c r="F459" t="s">
        <v>324</v>
      </c>
      <c r="G459" t="s">
        <v>38</v>
      </c>
      <c r="H459" t="s">
        <v>33</v>
      </c>
      <c r="I459">
        <v>0.2</v>
      </c>
      <c r="J459">
        <v>0</v>
      </c>
      <c r="K459">
        <v>0.3</v>
      </c>
      <c r="L459">
        <v>0.8</v>
      </c>
      <c r="M459">
        <v>1.3</v>
      </c>
      <c r="N459">
        <v>0.75</v>
      </c>
      <c r="O459">
        <v>8</v>
      </c>
      <c r="P459">
        <v>3</v>
      </c>
      <c r="Q459">
        <v>3</v>
      </c>
      <c r="R459">
        <v>3</v>
      </c>
      <c r="S459">
        <v>2820</v>
      </c>
      <c r="T459">
        <v>29</v>
      </c>
      <c r="U459" t="s">
        <v>339</v>
      </c>
      <c r="V459" t="s">
        <v>129</v>
      </c>
      <c r="W459" t="s">
        <v>2497</v>
      </c>
      <c r="X459" t="s">
        <v>2498</v>
      </c>
      <c r="Y459" t="s">
        <v>2499</v>
      </c>
      <c r="Z459" s="70">
        <f>I459*'Dynamic Analysis Dashboard'!$B$8*'Dynamic Analysis Dashboard'!$B$9*'Dynamic Analysis Dashboard'!$B$21</f>
        <v>0.13500000000000001</v>
      </c>
      <c r="AA459" s="75">
        <f>J459*'Dynamic Analysis Dashboard'!$B$8*'Dynamic Analysis Dashboard'!$B$9*'Dynamic Analysis Dashboard'!$B$21</f>
        <v>0</v>
      </c>
      <c r="AB459" s="80">
        <f>K459*'Dynamic Analysis Dashboard'!$B$10*'Dynamic Analysis Dashboard'!$B$9*'Dynamic Analysis Dashboard'!$B$21</f>
        <v>0.18</v>
      </c>
      <c r="AC459" s="85">
        <f>L459*'Dynamic Analysis Dashboard'!$B$11*'Dynamic Analysis Dashboard'!$B$9*'Dynamic Analysis Dashboard'!$B$21</f>
        <v>0.51</v>
      </c>
      <c r="AD459" s="120">
        <f t="shared" si="14"/>
        <v>0.82499999999999996</v>
      </c>
      <c r="AE459" s="121">
        <f t="shared" si="15"/>
        <v>0.61874999999999991</v>
      </c>
    </row>
    <row r="460" spans="1:31" hidden="1" x14ac:dyDescent="0.2">
      <c r="A460" t="s">
        <v>99</v>
      </c>
      <c r="B460" t="s">
        <v>186</v>
      </c>
      <c r="C460" t="s">
        <v>2500</v>
      </c>
      <c r="D460" t="s">
        <v>166</v>
      </c>
      <c r="E460" t="s">
        <v>334</v>
      </c>
      <c r="F460" t="s">
        <v>395</v>
      </c>
      <c r="G460" t="s">
        <v>38</v>
      </c>
      <c r="H460" t="s">
        <v>33</v>
      </c>
      <c r="I460">
        <v>0.3</v>
      </c>
      <c r="J460">
        <v>1.8</v>
      </c>
      <c r="K460">
        <v>0</v>
      </c>
      <c r="L460">
        <v>0</v>
      </c>
      <c r="M460">
        <v>2.1</v>
      </c>
      <c r="N460">
        <v>0.8</v>
      </c>
      <c r="O460">
        <v>9</v>
      </c>
      <c r="P460">
        <v>3</v>
      </c>
      <c r="Q460">
        <v>2</v>
      </c>
      <c r="R460">
        <v>3</v>
      </c>
      <c r="S460">
        <v>10512</v>
      </c>
      <c r="T460">
        <v>70</v>
      </c>
      <c r="U460" t="s">
        <v>339</v>
      </c>
      <c r="V460" t="s">
        <v>2501</v>
      </c>
      <c r="W460" t="s">
        <v>2466</v>
      </c>
      <c r="X460" t="s">
        <v>284</v>
      </c>
      <c r="Y460" t="s">
        <v>2502</v>
      </c>
      <c r="Z460" s="70">
        <f>I460*'Dynamic Analysis Dashboard'!$B$8*'Dynamic Analysis Dashboard'!$B$9*'Dynamic Analysis Dashboard'!$B$21</f>
        <v>0.20250000000000001</v>
      </c>
      <c r="AA460" s="75">
        <f>J460*'Dynamic Analysis Dashboard'!$B$8*'Dynamic Analysis Dashboard'!$B$9*'Dynamic Analysis Dashboard'!$B$21</f>
        <v>1.2150000000000001</v>
      </c>
      <c r="AB460" s="80">
        <f>K460*'Dynamic Analysis Dashboard'!$B$10*'Dynamic Analysis Dashboard'!$B$9*'Dynamic Analysis Dashboard'!$B$21</f>
        <v>0</v>
      </c>
      <c r="AC460" s="85">
        <f>L460*'Dynamic Analysis Dashboard'!$B$11*'Dynamic Analysis Dashboard'!$B$9*'Dynamic Analysis Dashboard'!$B$21</f>
        <v>0</v>
      </c>
      <c r="AD460" s="120">
        <f t="shared" si="14"/>
        <v>1.4175</v>
      </c>
      <c r="AE460" s="121">
        <f t="shared" si="15"/>
        <v>1.1340000000000001</v>
      </c>
    </row>
    <row r="461" spans="1:31" hidden="1" x14ac:dyDescent="0.2">
      <c r="A461" t="s">
        <v>99</v>
      </c>
      <c r="B461" t="s">
        <v>194</v>
      </c>
      <c r="C461" t="s">
        <v>2503</v>
      </c>
      <c r="D461" t="s">
        <v>328</v>
      </c>
      <c r="E461" t="s">
        <v>1166</v>
      </c>
      <c r="F461" t="s">
        <v>357</v>
      </c>
      <c r="G461" t="s">
        <v>38</v>
      </c>
      <c r="H461" t="s">
        <v>33</v>
      </c>
      <c r="I461">
        <v>0.3</v>
      </c>
      <c r="J461">
        <v>1.1000000000000001</v>
      </c>
      <c r="K461">
        <v>0</v>
      </c>
      <c r="L461">
        <v>0</v>
      </c>
      <c r="M461">
        <v>1.4</v>
      </c>
      <c r="N461">
        <v>0.75</v>
      </c>
      <c r="O461">
        <v>8</v>
      </c>
      <c r="P461">
        <v>3</v>
      </c>
      <c r="Q461">
        <v>3</v>
      </c>
      <c r="R461">
        <v>3</v>
      </c>
      <c r="S461">
        <v>2940</v>
      </c>
      <c r="T461">
        <v>25</v>
      </c>
      <c r="U461" t="s">
        <v>339</v>
      </c>
      <c r="V461" t="s">
        <v>2504</v>
      </c>
      <c r="W461" t="s">
        <v>2466</v>
      </c>
      <c r="X461" t="s">
        <v>284</v>
      </c>
      <c r="Y461" t="s">
        <v>2505</v>
      </c>
      <c r="Z461" s="70">
        <f>I461*'Dynamic Analysis Dashboard'!$B$8*'Dynamic Analysis Dashboard'!$B$9*'Dynamic Analysis Dashboard'!$B$21</f>
        <v>0.20250000000000001</v>
      </c>
      <c r="AA461" s="75">
        <f>J461*'Dynamic Analysis Dashboard'!$B$8*'Dynamic Analysis Dashboard'!$B$9*'Dynamic Analysis Dashboard'!$B$21</f>
        <v>0.74250000000000005</v>
      </c>
      <c r="AB461" s="80">
        <f>K461*'Dynamic Analysis Dashboard'!$B$10*'Dynamic Analysis Dashboard'!$B$9*'Dynamic Analysis Dashboard'!$B$21</f>
        <v>0</v>
      </c>
      <c r="AC461" s="85">
        <f>L461*'Dynamic Analysis Dashboard'!$B$11*'Dynamic Analysis Dashboard'!$B$9*'Dynamic Analysis Dashboard'!$B$21</f>
        <v>0</v>
      </c>
      <c r="AD461" s="120">
        <f t="shared" si="14"/>
        <v>0.94500000000000006</v>
      </c>
      <c r="AE461" s="121">
        <f t="shared" si="15"/>
        <v>0.70874999999999999</v>
      </c>
    </row>
    <row r="462" spans="1:31" x14ac:dyDescent="0.2">
      <c r="A462" t="s">
        <v>34</v>
      </c>
      <c r="B462" t="s">
        <v>123</v>
      </c>
      <c r="C462" t="s">
        <v>2506</v>
      </c>
      <c r="D462" t="s">
        <v>125</v>
      </c>
      <c r="E462" t="s">
        <v>709</v>
      </c>
      <c r="F462" t="s">
        <v>518</v>
      </c>
      <c r="G462" t="s">
        <v>24</v>
      </c>
      <c r="H462" t="s">
        <v>28</v>
      </c>
      <c r="I462">
        <v>1.4</v>
      </c>
      <c r="J462">
        <v>0</v>
      </c>
      <c r="K462">
        <v>0.2</v>
      </c>
      <c r="L462">
        <v>0</v>
      </c>
      <c r="M462">
        <v>1.6</v>
      </c>
      <c r="N462">
        <v>0.85</v>
      </c>
      <c r="O462">
        <v>6</v>
      </c>
      <c r="P462">
        <v>3</v>
      </c>
      <c r="Q462">
        <v>3</v>
      </c>
      <c r="R462">
        <v>3</v>
      </c>
      <c r="S462">
        <v>313500</v>
      </c>
      <c r="T462">
        <v>256</v>
      </c>
      <c r="U462" t="s">
        <v>2507</v>
      </c>
      <c r="V462" t="s">
        <v>129</v>
      </c>
      <c r="W462" t="s">
        <v>2508</v>
      </c>
      <c r="X462" t="s">
        <v>131</v>
      </c>
      <c r="Y462" t="s">
        <v>2509</v>
      </c>
      <c r="Z462" s="70">
        <f>I462*'Dynamic Analysis Dashboard'!$B$8*'Dynamic Analysis Dashboard'!$B$9*'Dynamic Analysis Dashboard'!$B$21</f>
        <v>0.94500000000000006</v>
      </c>
      <c r="AA462" s="75">
        <f>J462*'Dynamic Analysis Dashboard'!$B$8*'Dynamic Analysis Dashboard'!$B$9*'Dynamic Analysis Dashboard'!$B$21</f>
        <v>0</v>
      </c>
      <c r="AB462" s="80">
        <f>K462*'Dynamic Analysis Dashboard'!$B$10*'Dynamic Analysis Dashboard'!$B$9*'Dynamic Analysis Dashboard'!$B$21</f>
        <v>0.12000000000000002</v>
      </c>
      <c r="AC462" s="85">
        <f>L462*'Dynamic Analysis Dashboard'!$B$11*'Dynamic Analysis Dashboard'!$B$9*'Dynamic Analysis Dashboard'!$B$21</f>
        <v>0</v>
      </c>
      <c r="AD462" s="120">
        <f t="shared" si="14"/>
        <v>1.0650000000000002</v>
      </c>
      <c r="AE462" s="121">
        <f t="shared" si="15"/>
        <v>0.90525000000000011</v>
      </c>
    </row>
    <row r="463" spans="1:31" x14ac:dyDescent="0.2">
      <c r="A463" t="s">
        <v>34</v>
      </c>
      <c r="B463" t="s">
        <v>149</v>
      </c>
      <c r="C463" t="s">
        <v>40</v>
      </c>
      <c r="D463" t="s">
        <v>547</v>
      </c>
      <c r="E463" t="s">
        <v>2510</v>
      </c>
      <c r="F463" t="s">
        <v>198</v>
      </c>
      <c r="G463" t="s">
        <v>24</v>
      </c>
      <c r="H463" t="s">
        <v>28</v>
      </c>
      <c r="I463">
        <v>2.2000000000000002</v>
      </c>
      <c r="J463">
        <v>8.5</v>
      </c>
      <c r="K463">
        <v>0</v>
      </c>
      <c r="L463">
        <v>0</v>
      </c>
      <c r="M463">
        <v>10.7</v>
      </c>
      <c r="N463">
        <v>0.7</v>
      </c>
      <c r="O463">
        <v>12</v>
      </c>
      <c r="P463">
        <v>4</v>
      </c>
      <c r="Q463">
        <v>2</v>
      </c>
      <c r="R463">
        <v>4</v>
      </c>
      <c r="S463">
        <v>12000</v>
      </c>
      <c r="T463">
        <v>75</v>
      </c>
      <c r="U463" t="s">
        <v>2511</v>
      </c>
      <c r="V463" t="s">
        <v>2512</v>
      </c>
      <c r="W463" t="s">
        <v>130</v>
      </c>
      <c r="X463" t="s">
        <v>131</v>
      </c>
      <c r="Y463" t="s">
        <v>2513</v>
      </c>
      <c r="Z463" s="70">
        <f>I463*'Dynamic Analysis Dashboard'!$B$8*'Dynamic Analysis Dashboard'!$B$9*'Dynamic Analysis Dashboard'!$B$21</f>
        <v>1.4850000000000001</v>
      </c>
      <c r="AA463" s="75">
        <f>J463*'Dynamic Analysis Dashboard'!$B$8*'Dynamic Analysis Dashboard'!$B$9*'Dynamic Analysis Dashboard'!$B$21</f>
        <v>5.7375000000000007</v>
      </c>
      <c r="AB463" s="80">
        <f>K463*'Dynamic Analysis Dashboard'!$B$10*'Dynamic Analysis Dashboard'!$B$9*'Dynamic Analysis Dashboard'!$B$21</f>
        <v>0</v>
      </c>
      <c r="AC463" s="85">
        <f>L463*'Dynamic Analysis Dashboard'!$B$11*'Dynamic Analysis Dashboard'!$B$9*'Dynamic Analysis Dashboard'!$B$21</f>
        <v>0</v>
      </c>
      <c r="AD463" s="120">
        <f t="shared" si="14"/>
        <v>7.222500000000001</v>
      </c>
      <c r="AE463" s="121">
        <f t="shared" si="15"/>
        <v>5.0557500000000006</v>
      </c>
    </row>
    <row r="464" spans="1:31" x14ac:dyDescent="0.2">
      <c r="A464" t="s">
        <v>34</v>
      </c>
      <c r="B464" t="s">
        <v>156</v>
      </c>
      <c r="C464" t="s">
        <v>35</v>
      </c>
      <c r="D464" t="s">
        <v>595</v>
      </c>
      <c r="E464" t="s">
        <v>680</v>
      </c>
      <c r="F464" t="s">
        <v>324</v>
      </c>
      <c r="G464" t="s">
        <v>24</v>
      </c>
      <c r="H464" t="s">
        <v>28</v>
      </c>
      <c r="I464">
        <v>3.8</v>
      </c>
      <c r="J464">
        <v>0</v>
      </c>
      <c r="K464">
        <v>0</v>
      </c>
      <c r="L464">
        <v>8.9</v>
      </c>
      <c r="M464">
        <v>12.7</v>
      </c>
      <c r="N464">
        <v>0.75</v>
      </c>
      <c r="O464">
        <v>15</v>
      </c>
      <c r="P464">
        <v>5</v>
      </c>
      <c r="Q464">
        <v>2</v>
      </c>
      <c r="R464">
        <v>5</v>
      </c>
      <c r="S464">
        <v>15960</v>
      </c>
      <c r="T464">
        <v>129</v>
      </c>
      <c r="U464" t="s">
        <v>2514</v>
      </c>
      <c r="V464" t="s">
        <v>129</v>
      </c>
      <c r="W464" t="s">
        <v>130</v>
      </c>
      <c r="X464" t="s">
        <v>2515</v>
      </c>
      <c r="Y464" t="s">
        <v>2516</v>
      </c>
      <c r="Z464" s="70">
        <f>I464*'Dynamic Analysis Dashboard'!$B$8*'Dynamic Analysis Dashboard'!$B$9*'Dynamic Analysis Dashboard'!$B$21</f>
        <v>2.5649999999999999</v>
      </c>
      <c r="AA464" s="75">
        <f>J464*'Dynamic Analysis Dashboard'!$B$8*'Dynamic Analysis Dashboard'!$B$9*'Dynamic Analysis Dashboard'!$B$21</f>
        <v>0</v>
      </c>
      <c r="AB464" s="80">
        <f>K464*'Dynamic Analysis Dashboard'!$B$10*'Dynamic Analysis Dashboard'!$B$9*'Dynamic Analysis Dashboard'!$B$21</f>
        <v>0</v>
      </c>
      <c r="AC464" s="85">
        <f>L464*'Dynamic Analysis Dashboard'!$B$11*'Dynamic Analysis Dashboard'!$B$9*'Dynamic Analysis Dashboard'!$B$21</f>
        <v>5.6737500000000001</v>
      </c>
      <c r="AD464" s="120">
        <f t="shared" si="14"/>
        <v>8.2387499999999996</v>
      </c>
      <c r="AE464" s="121">
        <f t="shared" si="15"/>
        <v>6.1790624999999997</v>
      </c>
    </row>
    <row r="465" spans="1:31" x14ac:dyDescent="0.2">
      <c r="A465" t="s">
        <v>34</v>
      </c>
      <c r="B465" t="s">
        <v>164</v>
      </c>
      <c r="C465" t="s">
        <v>2517</v>
      </c>
      <c r="D465" t="s">
        <v>595</v>
      </c>
      <c r="E465" t="s">
        <v>431</v>
      </c>
      <c r="F465" t="s">
        <v>330</v>
      </c>
      <c r="G465" t="s">
        <v>24</v>
      </c>
      <c r="H465" t="s">
        <v>28</v>
      </c>
      <c r="I465">
        <v>0.6</v>
      </c>
      <c r="J465">
        <v>0</v>
      </c>
      <c r="K465">
        <v>0</v>
      </c>
      <c r="L465">
        <v>1.4</v>
      </c>
      <c r="M465">
        <v>2</v>
      </c>
      <c r="N465">
        <v>0.8</v>
      </c>
      <c r="O465">
        <v>6</v>
      </c>
      <c r="P465">
        <v>3</v>
      </c>
      <c r="Q465">
        <v>3</v>
      </c>
      <c r="R465">
        <v>3</v>
      </c>
      <c r="S465">
        <v>6300</v>
      </c>
      <c r="T465">
        <v>42</v>
      </c>
      <c r="U465" t="s">
        <v>2518</v>
      </c>
      <c r="V465" t="s">
        <v>129</v>
      </c>
      <c r="W465" t="s">
        <v>130</v>
      </c>
      <c r="X465" t="s">
        <v>2519</v>
      </c>
      <c r="Y465" t="s">
        <v>2520</v>
      </c>
      <c r="Z465" s="70">
        <f>I465*'Dynamic Analysis Dashboard'!$B$8*'Dynamic Analysis Dashboard'!$B$9*'Dynamic Analysis Dashboard'!$B$21</f>
        <v>0.40500000000000003</v>
      </c>
      <c r="AA465" s="75">
        <f>J465*'Dynamic Analysis Dashboard'!$B$8*'Dynamic Analysis Dashboard'!$B$9*'Dynamic Analysis Dashboard'!$B$21</f>
        <v>0</v>
      </c>
      <c r="AB465" s="80">
        <f>K465*'Dynamic Analysis Dashboard'!$B$10*'Dynamic Analysis Dashboard'!$B$9*'Dynamic Analysis Dashboard'!$B$21</f>
        <v>0</v>
      </c>
      <c r="AC465" s="85">
        <f>L465*'Dynamic Analysis Dashboard'!$B$11*'Dynamic Analysis Dashboard'!$B$9*'Dynamic Analysis Dashboard'!$B$21</f>
        <v>0.89249999999999996</v>
      </c>
      <c r="AD465" s="120">
        <f t="shared" si="14"/>
        <v>1.2974999999999999</v>
      </c>
      <c r="AE465" s="121">
        <f t="shared" si="15"/>
        <v>1.038</v>
      </c>
    </row>
    <row r="466" spans="1:31" x14ac:dyDescent="0.2">
      <c r="A466" t="s">
        <v>34</v>
      </c>
      <c r="B466" t="s">
        <v>179</v>
      </c>
      <c r="C466" t="s">
        <v>2521</v>
      </c>
      <c r="D466" t="s">
        <v>181</v>
      </c>
      <c r="E466" t="s">
        <v>2522</v>
      </c>
      <c r="F466" t="s">
        <v>231</v>
      </c>
      <c r="G466" t="s">
        <v>24</v>
      </c>
      <c r="H466" t="s">
        <v>28</v>
      </c>
      <c r="I466">
        <v>0.4</v>
      </c>
      <c r="J466">
        <v>3.6</v>
      </c>
      <c r="K466">
        <v>0</v>
      </c>
      <c r="L466">
        <v>0</v>
      </c>
      <c r="M466">
        <v>4</v>
      </c>
      <c r="N466">
        <v>0.8</v>
      </c>
      <c r="O466">
        <v>8</v>
      </c>
      <c r="P466">
        <v>3</v>
      </c>
      <c r="Q466">
        <v>3</v>
      </c>
      <c r="R466">
        <v>3</v>
      </c>
      <c r="S466">
        <v>16800</v>
      </c>
      <c r="T466">
        <v>97</v>
      </c>
      <c r="U466" t="s">
        <v>2523</v>
      </c>
      <c r="V466" t="s">
        <v>2524</v>
      </c>
      <c r="W466" t="s">
        <v>130</v>
      </c>
      <c r="X466" t="s">
        <v>131</v>
      </c>
      <c r="Y466" t="s">
        <v>2525</v>
      </c>
      <c r="Z466" s="70">
        <f>I466*'Dynamic Analysis Dashboard'!$B$8*'Dynamic Analysis Dashboard'!$B$9*'Dynamic Analysis Dashboard'!$B$21</f>
        <v>0.27</v>
      </c>
      <c r="AA466" s="75">
        <f>J466*'Dynamic Analysis Dashboard'!$B$8*'Dynamic Analysis Dashboard'!$B$9*'Dynamic Analysis Dashboard'!$B$21</f>
        <v>2.4300000000000002</v>
      </c>
      <c r="AB466" s="80">
        <f>K466*'Dynamic Analysis Dashboard'!$B$10*'Dynamic Analysis Dashboard'!$B$9*'Dynamic Analysis Dashboard'!$B$21</f>
        <v>0</v>
      </c>
      <c r="AC466" s="85">
        <f>L466*'Dynamic Analysis Dashboard'!$B$11*'Dynamic Analysis Dashboard'!$B$9*'Dynamic Analysis Dashboard'!$B$21</f>
        <v>0</v>
      </c>
      <c r="AD466" s="120">
        <f t="shared" si="14"/>
        <v>2.7</v>
      </c>
      <c r="AE466" s="121">
        <f t="shared" si="15"/>
        <v>2.16</v>
      </c>
    </row>
    <row r="467" spans="1:31" x14ac:dyDescent="0.2">
      <c r="A467" t="s">
        <v>34</v>
      </c>
      <c r="B467" t="s">
        <v>194</v>
      </c>
      <c r="C467" t="s">
        <v>2526</v>
      </c>
      <c r="D467" t="s">
        <v>540</v>
      </c>
      <c r="E467" t="s">
        <v>197</v>
      </c>
      <c r="F467" t="s">
        <v>198</v>
      </c>
      <c r="G467" t="s">
        <v>24</v>
      </c>
      <c r="H467" t="s">
        <v>28</v>
      </c>
      <c r="I467">
        <v>1</v>
      </c>
      <c r="J467">
        <v>0</v>
      </c>
      <c r="K467">
        <v>1.1000000000000001</v>
      </c>
      <c r="L467">
        <v>0.4</v>
      </c>
      <c r="M467">
        <v>2.5</v>
      </c>
      <c r="N467">
        <v>0.75</v>
      </c>
      <c r="O467">
        <v>7</v>
      </c>
      <c r="P467">
        <v>3</v>
      </c>
      <c r="Q467">
        <v>3</v>
      </c>
      <c r="R467">
        <v>3</v>
      </c>
      <c r="S467">
        <v>1800</v>
      </c>
      <c r="T467">
        <v>18</v>
      </c>
      <c r="U467" t="s">
        <v>2527</v>
      </c>
      <c r="V467" t="s">
        <v>129</v>
      </c>
      <c r="W467" t="s">
        <v>2528</v>
      </c>
      <c r="X467" t="s">
        <v>2529</v>
      </c>
      <c r="Y467" t="s">
        <v>2530</v>
      </c>
      <c r="Z467" s="70">
        <f>I467*'Dynamic Analysis Dashboard'!$B$8*'Dynamic Analysis Dashboard'!$B$9*'Dynamic Analysis Dashboard'!$B$21</f>
        <v>0.67500000000000004</v>
      </c>
      <c r="AA467" s="75">
        <f>J467*'Dynamic Analysis Dashboard'!$B$8*'Dynamic Analysis Dashboard'!$B$9*'Dynamic Analysis Dashboard'!$B$21</f>
        <v>0</v>
      </c>
      <c r="AB467" s="80">
        <f>K467*'Dynamic Analysis Dashboard'!$B$10*'Dynamic Analysis Dashboard'!$B$9*'Dynamic Analysis Dashboard'!$B$21</f>
        <v>0.66000000000000014</v>
      </c>
      <c r="AC467" s="85">
        <f>L467*'Dynamic Analysis Dashboard'!$B$11*'Dynamic Analysis Dashboard'!$B$9*'Dynamic Analysis Dashboard'!$B$21</f>
        <v>0.255</v>
      </c>
      <c r="AD467" s="120">
        <f t="shared" si="14"/>
        <v>1.5900000000000003</v>
      </c>
      <c r="AE467" s="121">
        <f t="shared" si="15"/>
        <v>1.1925000000000003</v>
      </c>
    </row>
    <row r="468" spans="1:31" hidden="1" x14ac:dyDescent="0.2">
      <c r="A468" t="s">
        <v>34</v>
      </c>
      <c r="B468" t="s">
        <v>141</v>
      </c>
      <c r="C468" t="s">
        <v>2531</v>
      </c>
      <c r="D468" t="s">
        <v>125</v>
      </c>
      <c r="E468" t="s">
        <v>2532</v>
      </c>
      <c r="F468" t="s">
        <v>589</v>
      </c>
      <c r="G468" t="s">
        <v>38</v>
      </c>
      <c r="H468" t="s">
        <v>33</v>
      </c>
      <c r="I468">
        <v>1.6</v>
      </c>
      <c r="J468">
        <v>0</v>
      </c>
      <c r="K468">
        <v>0.28000000000000003</v>
      </c>
      <c r="L468">
        <v>0.85</v>
      </c>
      <c r="M468">
        <v>2.73</v>
      </c>
      <c r="N468">
        <v>0.8</v>
      </c>
      <c r="O468">
        <v>9</v>
      </c>
      <c r="P468">
        <v>4</v>
      </c>
      <c r="Q468">
        <v>2</v>
      </c>
      <c r="R468">
        <v>4</v>
      </c>
      <c r="S468">
        <v>50400</v>
      </c>
      <c r="T468">
        <v>12.6</v>
      </c>
      <c r="U468" t="s">
        <v>2533</v>
      </c>
      <c r="V468" t="s">
        <v>129</v>
      </c>
      <c r="W468" t="s">
        <v>2534</v>
      </c>
      <c r="X468" t="s">
        <v>2535</v>
      </c>
      <c r="Y468" t="s">
        <v>2536</v>
      </c>
      <c r="Z468" s="70">
        <f>I468*'Dynamic Analysis Dashboard'!$B$8*'Dynamic Analysis Dashboard'!$B$9*'Dynamic Analysis Dashboard'!$B$21</f>
        <v>1.08</v>
      </c>
      <c r="AA468" s="75">
        <f>J468*'Dynamic Analysis Dashboard'!$B$8*'Dynamic Analysis Dashboard'!$B$9*'Dynamic Analysis Dashboard'!$B$21</f>
        <v>0</v>
      </c>
      <c r="AB468" s="80">
        <f>K468*'Dynamic Analysis Dashboard'!$B$10*'Dynamic Analysis Dashboard'!$B$9*'Dynamic Analysis Dashboard'!$B$21</f>
        <v>0.16800000000000004</v>
      </c>
      <c r="AC468" s="85">
        <f>L468*'Dynamic Analysis Dashboard'!$B$11*'Dynamic Analysis Dashboard'!$B$9*'Dynamic Analysis Dashboard'!$B$21</f>
        <v>0.54187499999999988</v>
      </c>
      <c r="AD468" s="120">
        <f t="shared" si="14"/>
        <v>1.7898750000000001</v>
      </c>
      <c r="AE468" s="121">
        <f t="shared" si="15"/>
        <v>1.4319000000000002</v>
      </c>
    </row>
    <row r="469" spans="1:31" hidden="1" x14ac:dyDescent="0.2">
      <c r="A469" t="s">
        <v>34</v>
      </c>
      <c r="B469" t="s">
        <v>133</v>
      </c>
      <c r="C469" t="s">
        <v>2537</v>
      </c>
      <c r="D469" t="s">
        <v>547</v>
      </c>
      <c r="E469" t="s">
        <v>1218</v>
      </c>
      <c r="F469" t="s">
        <v>198</v>
      </c>
      <c r="G469" t="s">
        <v>31</v>
      </c>
      <c r="H469" t="s">
        <v>25</v>
      </c>
      <c r="I469">
        <v>1.4</v>
      </c>
      <c r="J469">
        <v>3.2</v>
      </c>
      <c r="K469">
        <v>0</v>
      </c>
      <c r="L469">
        <v>0</v>
      </c>
      <c r="M469">
        <v>4.5999999999999996</v>
      </c>
      <c r="N469">
        <v>0.75</v>
      </c>
      <c r="O469">
        <v>4</v>
      </c>
      <c r="P469">
        <v>2</v>
      </c>
      <c r="Q469">
        <v>3</v>
      </c>
      <c r="R469">
        <v>2</v>
      </c>
      <c r="S469">
        <v>930</v>
      </c>
      <c r="T469">
        <v>23</v>
      </c>
      <c r="U469" t="s">
        <v>2538</v>
      </c>
      <c r="V469" t="s">
        <v>2539</v>
      </c>
      <c r="W469" t="s">
        <v>130</v>
      </c>
      <c r="X469" t="s">
        <v>131</v>
      </c>
      <c r="Y469" t="s">
        <v>2540</v>
      </c>
      <c r="Z469" s="70">
        <f>I469*'Dynamic Analysis Dashboard'!$B$8*'Dynamic Analysis Dashboard'!$B$9*'Dynamic Analysis Dashboard'!$B$21</f>
        <v>0.94500000000000006</v>
      </c>
      <c r="AA469" s="75">
        <f>J469*'Dynamic Analysis Dashboard'!$B$8*'Dynamic Analysis Dashboard'!$B$9*'Dynamic Analysis Dashboard'!$B$21</f>
        <v>2.16</v>
      </c>
      <c r="AB469" s="80">
        <f>K469*'Dynamic Analysis Dashboard'!$B$10*'Dynamic Analysis Dashboard'!$B$9*'Dynamic Analysis Dashboard'!$B$21</f>
        <v>0</v>
      </c>
      <c r="AC469" s="85">
        <f>L469*'Dynamic Analysis Dashboard'!$B$11*'Dynamic Analysis Dashboard'!$B$9*'Dynamic Analysis Dashboard'!$B$21</f>
        <v>0</v>
      </c>
      <c r="AD469" s="120">
        <f t="shared" si="14"/>
        <v>3.1050000000000004</v>
      </c>
      <c r="AE469" s="121">
        <f t="shared" si="15"/>
        <v>2.3287500000000003</v>
      </c>
    </row>
    <row r="470" spans="1:31" hidden="1" x14ac:dyDescent="0.2">
      <c r="A470" t="s">
        <v>34</v>
      </c>
      <c r="B470" t="s">
        <v>172</v>
      </c>
      <c r="C470" t="s">
        <v>2541</v>
      </c>
      <c r="D470" t="s">
        <v>181</v>
      </c>
      <c r="E470" t="s">
        <v>182</v>
      </c>
      <c r="F470" t="s">
        <v>183</v>
      </c>
      <c r="G470" t="s">
        <v>31</v>
      </c>
      <c r="H470" t="s">
        <v>25</v>
      </c>
      <c r="I470">
        <v>0.3</v>
      </c>
      <c r="J470">
        <v>2.8</v>
      </c>
      <c r="K470">
        <v>0</v>
      </c>
      <c r="L470">
        <v>0</v>
      </c>
      <c r="M470">
        <v>3.1</v>
      </c>
      <c r="N470">
        <v>0.75</v>
      </c>
      <c r="O470">
        <v>3</v>
      </c>
      <c r="P470">
        <v>2</v>
      </c>
      <c r="Q470">
        <v>4</v>
      </c>
      <c r="R470">
        <v>1</v>
      </c>
      <c r="S470">
        <v>1620</v>
      </c>
      <c r="T470">
        <v>13</v>
      </c>
      <c r="U470" t="s">
        <v>2542</v>
      </c>
      <c r="V470" t="s">
        <v>2543</v>
      </c>
      <c r="W470" t="s">
        <v>130</v>
      </c>
      <c r="X470" t="s">
        <v>131</v>
      </c>
      <c r="Y470" t="s">
        <v>2544</v>
      </c>
      <c r="Z470" s="70">
        <f>I470*'Dynamic Analysis Dashboard'!$B$8*'Dynamic Analysis Dashboard'!$B$9*'Dynamic Analysis Dashboard'!$B$21</f>
        <v>0.20250000000000001</v>
      </c>
      <c r="AA470" s="75">
        <f>J470*'Dynamic Analysis Dashboard'!$B$8*'Dynamic Analysis Dashboard'!$B$9*'Dynamic Analysis Dashboard'!$B$21</f>
        <v>1.8900000000000001</v>
      </c>
      <c r="AB470" s="80">
        <f>K470*'Dynamic Analysis Dashboard'!$B$10*'Dynamic Analysis Dashboard'!$B$9*'Dynamic Analysis Dashboard'!$B$21</f>
        <v>0</v>
      </c>
      <c r="AC470" s="85">
        <f>L470*'Dynamic Analysis Dashboard'!$B$11*'Dynamic Analysis Dashboard'!$B$9*'Dynamic Analysis Dashboard'!$B$21</f>
        <v>0</v>
      </c>
      <c r="AD470" s="120">
        <f t="shared" si="14"/>
        <v>2.0925000000000002</v>
      </c>
      <c r="AE470" s="121">
        <f t="shared" si="15"/>
        <v>1.5693750000000002</v>
      </c>
    </row>
    <row r="471" spans="1:31" hidden="1" x14ac:dyDescent="0.2">
      <c r="A471" t="s">
        <v>34</v>
      </c>
      <c r="B471" t="s">
        <v>186</v>
      </c>
      <c r="C471" t="s">
        <v>2545</v>
      </c>
      <c r="D471" t="s">
        <v>135</v>
      </c>
      <c r="E471" t="s">
        <v>2546</v>
      </c>
      <c r="F471" t="s">
        <v>183</v>
      </c>
      <c r="G471" t="s">
        <v>31</v>
      </c>
      <c r="H471" t="s">
        <v>25</v>
      </c>
      <c r="I471">
        <v>0.8</v>
      </c>
      <c r="J471">
        <v>1.8</v>
      </c>
      <c r="K471">
        <v>0</v>
      </c>
      <c r="L471">
        <v>0</v>
      </c>
      <c r="M471">
        <v>2.6</v>
      </c>
      <c r="N471">
        <v>0.7</v>
      </c>
      <c r="O471">
        <v>5</v>
      </c>
      <c r="P471">
        <v>2</v>
      </c>
      <c r="Q471">
        <v>4</v>
      </c>
      <c r="R471">
        <v>2</v>
      </c>
      <c r="S471">
        <v>1170</v>
      </c>
      <c r="T471">
        <v>11</v>
      </c>
      <c r="U471" t="s">
        <v>2547</v>
      </c>
      <c r="V471" t="s">
        <v>2548</v>
      </c>
      <c r="W471" t="s">
        <v>130</v>
      </c>
      <c r="X471" t="s">
        <v>131</v>
      </c>
      <c r="Y471" t="s">
        <v>2549</v>
      </c>
      <c r="Z471" s="70">
        <f>I471*'Dynamic Analysis Dashboard'!$B$8*'Dynamic Analysis Dashboard'!$B$9*'Dynamic Analysis Dashboard'!$B$21</f>
        <v>0.54</v>
      </c>
      <c r="AA471" s="75">
        <f>J471*'Dynamic Analysis Dashboard'!$B$8*'Dynamic Analysis Dashboard'!$B$9*'Dynamic Analysis Dashboard'!$B$21</f>
        <v>1.2150000000000001</v>
      </c>
      <c r="AB471" s="80">
        <f>K471*'Dynamic Analysis Dashboard'!$B$10*'Dynamic Analysis Dashboard'!$B$9*'Dynamic Analysis Dashboard'!$B$21</f>
        <v>0</v>
      </c>
      <c r="AC471" s="85">
        <f>L471*'Dynamic Analysis Dashboard'!$B$11*'Dynamic Analysis Dashboard'!$B$9*'Dynamic Analysis Dashboard'!$B$21</f>
        <v>0</v>
      </c>
      <c r="AD471" s="120">
        <f t="shared" si="14"/>
        <v>1.7550000000000001</v>
      </c>
      <c r="AE471" s="121">
        <f t="shared" si="15"/>
        <v>1.2284999999999999</v>
      </c>
    </row>
    <row r="472" spans="1:31" x14ac:dyDescent="0.2">
      <c r="A472" t="s">
        <v>71</v>
      </c>
      <c r="B472" t="s">
        <v>141</v>
      </c>
      <c r="C472" t="s">
        <v>2550</v>
      </c>
      <c r="D472" t="s">
        <v>2551</v>
      </c>
      <c r="E472" t="s">
        <v>2552</v>
      </c>
      <c r="F472" t="s">
        <v>670</v>
      </c>
      <c r="G472" t="s">
        <v>24</v>
      </c>
      <c r="H472" t="s">
        <v>28</v>
      </c>
      <c r="I472">
        <v>4.2999999999999995E-6</v>
      </c>
      <c r="J472">
        <v>4.7999999999999998E-6</v>
      </c>
      <c r="K472">
        <v>0</v>
      </c>
      <c r="L472">
        <v>0</v>
      </c>
      <c r="M472">
        <v>9.0999999999999993E-6</v>
      </c>
      <c r="N472">
        <v>0.75</v>
      </c>
      <c r="O472">
        <v>12</v>
      </c>
      <c r="P472">
        <v>4</v>
      </c>
      <c r="Q472">
        <v>2</v>
      </c>
      <c r="R472">
        <v>4</v>
      </c>
      <c r="S472">
        <v>21060</v>
      </c>
      <c r="T472">
        <v>379</v>
      </c>
      <c r="U472" t="s">
        <v>2553</v>
      </c>
      <c r="V472" t="s">
        <v>2554</v>
      </c>
      <c r="W472" t="s">
        <v>1135</v>
      </c>
      <c r="X472" t="s">
        <v>1135</v>
      </c>
      <c r="Y472" t="s">
        <v>2555</v>
      </c>
      <c r="Z472" s="70">
        <f>I472*'Dynamic Analysis Dashboard'!$B$8*'Dynamic Analysis Dashboard'!$B$9*'Dynamic Analysis Dashboard'!$B$21</f>
        <v>2.9024999999999997E-6</v>
      </c>
      <c r="AA472" s="75">
        <f>J472*'Dynamic Analysis Dashboard'!$B$8*'Dynamic Analysis Dashboard'!$B$9*'Dynamic Analysis Dashboard'!$B$21</f>
        <v>3.2400000000000003E-6</v>
      </c>
      <c r="AB472" s="80">
        <f>K472*'Dynamic Analysis Dashboard'!$B$10*'Dynamic Analysis Dashboard'!$B$9*'Dynamic Analysis Dashboard'!$B$21</f>
        <v>0</v>
      </c>
      <c r="AC472" s="85">
        <f>L472*'Dynamic Analysis Dashboard'!$B$11*'Dynamic Analysis Dashboard'!$B$9*'Dynamic Analysis Dashboard'!$B$21</f>
        <v>0</v>
      </c>
      <c r="AD472" s="120">
        <f t="shared" si="14"/>
        <v>6.1425000000000001E-6</v>
      </c>
      <c r="AE472" s="121">
        <f t="shared" si="15"/>
        <v>4.6068749999999998E-6</v>
      </c>
    </row>
    <row r="473" spans="1:31" x14ac:dyDescent="0.2">
      <c r="A473" t="s">
        <v>71</v>
      </c>
      <c r="B473" t="s">
        <v>149</v>
      </c>
      <c r="C473" t="s">
        <v>2556</v>
      </c>
      <c r="D473" t="s">
        <v>2557</v>
      </c>
      <c r="E473" t="s">
        <v>680</v>
      </c>
      <c r="F473" t="s">
        <v>324</v>
      </c>
      <c r="G473" t="s">
        <v>24</v>
      </c>
      <c r="H473" t="s">
        <v>28</v>
      </c>
      <c r="I473">
        <v>7.4000000000000003E-6</v>
      </c>
      <c r="J473">
        <v>0</v>
      </c>
      <c r="K473">
        <v>0</v>
      </c>
      <c r="L473">
        <v>6.1999999999999999E-6</v>
      </c>
      <c r="M473">
        <v>1.36E-5</v>
      </c>
      <c r="N473">
        <v>0.7</v>
      </c>
      <c r="O473">
        <v>15</v>
      </c>
      <c r="P473">
        <v>4</v>
      </c>
      <c r="Q473">
        <v>2</v>
      </c>
      <c r="R473">
        <v>3</v>
      </c>
      <c r="S473">
        <v>4086</v>
      </c>
      <c r="T473">
        <v>77</v>
      </c>
      <c r="U473" t="s">
        <v>2558</v>
      </c>
      <c r="V473" t="s">
        <v>1135</v>
      </c>
      <c r="W473" t="s">
        <v>1135</v>
      </c>
      <c r="X473" t="s">
        <v>2559</v>
      </c>
      <c r="Y473" t="s">
        <v>2560</v>
      </c>
      <c r="Z473" s="70">
        <f>I473*'Dynamic Analysis Dashboard'!$B$8*'Dynamic Analysis Dashboard'!$B$9*'Dynamic Analysis Dashboard'!$B$21</f>
        <v>4.9950000000000005E-6</v>
      </c>
      <c r="AA473" s="75">
        <f>J473*'Dynamic Analysis Dashboard'!$B$8*'Dynamic Analysis Dashboard'!$B$9*'Dynamic Analysis Dashboard'!$B$21</f>
        <v>0</v>
      </c>
      <c r="AB473" s="80">
        <f>K473*'Dynamic Analysis Dashboard'!$B$10*'Dynamic Analysis Dashboard'!$B$9*'Dynamic Analysis Dashboard'!$B$21</f>
        <v>0</v>
      </c>
      <c r="AC473" s="85">
        <f>L473*'Dynamic Analysis Dashboard'!$B$11*'Dynamic Analysis Dashboard'!$B$9*'Dynamic Analysis Dashboard'!$B$21</f>
        <v>3.9524999999999999E-6</v>
      </c>
      <c r="AD473" s="120">
        <f t="shared" si="14"/>
        <v>8.9475000000000003E-6</v>
      </c>
      <c r="AE473" s="121">
        <f t="shared" si="15"/>
        <v>6.2632499999999997E-6</v>
      </c>
    </row>
    <row r="474" spans="1:31" x14ac:dyDescent="0.2">
      <c r="A474" t="s">
        <v>71</v>
      </c>
      <c r="B474" t="s">
        <v>194</v>
      </c>
      <c r="C474" t="s">
        <v>2561</v>
      </c>
      <c r="D474" t="s">
        <v>481</v>
      </c>
      <c r="E474" t="s">
        <v>709</v>
      </c>
      <c r="F474" t="s">
        <v>518</v>
      </c>
      <c r="G474" t="s">
        <v>24</v>
      </c>
      <c r="H474" t="s">
        <v>311</v>
      </c>
      <c r="I474">
        <v>1.3999999999999999E-6</v>
      </c>
      <c r="J474">
        <v>0</v>
      </c>
      <c r="K474">
        <v>0</v>
      </c>
      <c r="L474">
        <v>0</v>
      </c>
      <c r="M474">
        <v>1.3999999999999999E-6</v>
      </c>
      <c r="N474">
        <v>0.8</v>
      </c>
      <c r="O474">
        <v>6</v>
      </c>
      <c r="P474">
        <v>2</v>
      </c>
      <c r="Q474">
        <v>3</v>
      </c>
      <c r="R474">
        <v>2</v>
      </c>
      <c r="S474">
        <v>21840</v>
      </c>
      <c r="T474">
        <v>392</v>
      </c>
      <c r="U474" t="s">
        <v>2562</v>
      </c>
      <c r="V474" t="s">
        <v>1135</v>
      </c>
      <c r="W474" t="s">
        <v>1135</v>
      </c>
      <c r="X474" t="s">
        <v>1135</v>
      </c>
      <c r="Y474" t="s">
        <v>2563</v>
      </c>
      <c r="Z474" s="70">
        <f>I474*'Dynamic Analysis Dashboard'!$B$8*'Dynamic Analysis Dashboard'!$B$9*'Dynamic Analysis Dashboard'!$B$21</f>
        <v>9.4500000000000006E-7</v>
      </c>
      <c r="AA474" s="75">
        <f>J474*'Dynamic Analysis Dashboard'!$B$8*'Dynamic Analysis Dashboard'!$B$9*'Dynamic Analysis Dashboard'!$B$21</f>
        <v>0</v>
      </c>
      <c r="AB474" s="80">
        <f>K474*'Dynamic Analysis Dashboard'!$B$10*'Dynamic Analysis Dashboard'!$B$9*'Dynamic Analysis Dashboard'!$B$21</f>
        <v>0</v>
      </c>
      <c r="AC474" s="85">
        <f>L474*'Dynamic Analysis Dashboard'!$B$11*'Dynamic Analysis Dashboard'!$B$9*'Dynamic Analysis Dashboard'!$B$21</f>
        <v>0</v>
      </c>
      <c r="AD474" s="120">
        <f t="shared" si="14"/>
        <v>9.4500000000000006E-7</v>
      </c>
      <c r="AE474" s="121">
        <f t="shared" si="15"/>
        <v>7.5600000000000005E-7</v>
      </c>
    </row>
    <row r="475" spans="1:31" hidden="1" x14ac:dyDescent="0.2">
      <c r="A475" t="s">
        <v>71</v>
      </c>
      <c r="B475" t="s">
        <v>123</v>
      </c>
      <c r="C475" t="s">
        <v>2564</v>
      </c>
      <c r="D475" t="s">
        <v>2565</v>
      </c>
      <c r="E475" t="s">
        <v>295</v>
      </c>
      <c r="F475" t="s">
        <v>374</v>
      </c>
      <c r="G475" t="s">
        <v>31</v>
      </c>
      <c r="H475" t="s">
        <v>25</v>
      </c>
      <c r="I475">
        <v>2.5000000000000002E-6</v>
      </c>
      <c r="J475">
        <v>1.42E-5</v>
      </c>
      <c r="K475">
        <v>0</v>
      </c>
      <c r="L475">
        <v>0</v>
      </c>
      <c r="M475">
        <v>1.6699999999999999E-5</v>
      </c>
      <c r="N475">
        <v>0.8</v>
      </c>
      <c r="O475">
        <v>9</v>
      </c>
      <c r="P475">
        <v>3</v>
      </c>
      <c r="Q475">
        <v>3</v>
      </c>
      <c r="R475">
        <v>4</v>
      </c>
      <c r="S475">
        <v>45150</v>
      </c>
      <c r="T475">
        <v>800</v>
      </c>
      <c r="U475" t="s">
        <v>2566</v>
      </c>
      <c r="V475" t="s">
        <v>2567</v>
      </c>
      <c r="W475" t="s">
        <v>1135</v>
      </c>
      <c r="X475" t="s">
        <v>1135</v>
      </c>
      <c r="Y475" t="s">
        <v>2568</v>
      </c>
      <c r="Z475" s="70">
        <f>I475*'Dynamic Analysis Dashboard'!$B$8*'Dynamic Analysis Dashboard'!$B$9*'Dynamic Analysis Dashboard'!$B$21</f>
        <v>1.6874999999999999E-6</v>
      </c>
      <c r="AA475" s="75">
        <f>J475*'Dynamic Analysis Dashboard'!$B$8*'Dynamic Analysis Dashboard'!$B$9*'Dynamic Analysis Dashboard'!$B$21</f>
        <v>9.5850000000000006E-6</v>
      </c>
      <c r="AB475" s="80">
        <f>K475*'Dynamic Analysis Dashboard'!$B$10*'Dynamic Analysis Dashboard'!$B$9*'Dynamic Analysis Dashboard'!$B$21</f>
        <v>0</v>
      </c>
      <c r="AC475" s="85">
        <f>L475*'Dynamic Analysis Dashboard'!$B$11*'Dynamic Analysis Dashboard'!$B$9*'Dynamic Analysis Dashboard'!$B$21</f>
        <v>0</v>
      </c>
      <c r="AD475" s="120">
        <f t="shared" si="14"/>
        <v>1.1272500000000001E-5</v>
      </c>
      <c r="AE475" s="121">
        <f t="shared" si="15"/>
        <v>9.0180000000000007E-6</v>
      </c>
    </row>
    <row r="476" spans="1:31" hidden="1" x14ac:dyDescent="0.2">
      <c r="A476" t="s">
        <v>71</v>
      </c>
      <c r="B476" t="s">
        <v>133</v>
      </c>
      <c r="C476" t="s">
        <v>2569</v>
      </c>
      <c r="D476" t="s">
        <v>2557</v>
      </c>
      <c r="E476" t="s">
        <v>2570</v>
      </c>
      <c r="F476" t="s">
        <v>223</v>
      </c>
      <c r="G476" t="s">
        <v>38</v>
      </c>
      <c r="H476" t="s">
        <v>33</v>
      </c>
      <c r="I476">
        <v>1.8000000000000001E-6</v>
      </c>
      <c r="J476">
        <v>0</v>
      </c>
      <c r="K476">
        <v>0.96</v>
      </c>
      <c r="L476">
        <v>0</v>
      </c>
      <c r="M476">
        <v>2.7E-6</v>
      </c>
      <c r="N476">
        <v>0.75</v>
      </c>
      <c r="O476">
        <v>12</v>
      </c>
      <c r="P476">
        <v>3</v>
      </c>
      <c r="Q476">
        <v>2</v>
      </c>
      <c r="R476">
        <v>3</v>
      </c>
      <c r="S476">
        <v>5270</v>
      </c>
      <c r="T476">
        <v>100</v>
      </c>
      <c r="U476" t="s">
        <v>2571</v>
      </c>
      <c r="V476" t="s">
        <v>1135</v>
      </c>
      <c r="W476" t="s">
        <v>2572</v>
      </c>
      <c r="X476" t="s">
        <v>1135</v>
      </c>
      <c r="Y476" t="s">
        <v>2573</v>
      </c>
      <c r="Z476" s="70">
        <f>I476*'Dynamic Analysis Dashboard'!$B$8*'Dynamic Analysis Dashboard'!$B$9*'Dynamic Analysis Dashboard'!$B$21</f>
        <v>1.2150000000000002E-6</v>
      </c>
      <c r="AA476" s="75">
        <f>J476*'Dynamic Analysis Dashboard'!$B$8*'Dynamic Analysis Dashboard'!$B$9*'Dynamic Analysis Dashboard'!$B$21</f>
        <v>0</v>
      </c>
      <c r="AB476" s="80">
        <f>K476*'Dynamic Analysis Dashboard'!$B$10*'Dynamic Analysis Dashboard'!$B$9*'Dynamic Analysis Dashboard'!$B$21</f>
        <v>0.57600000000000007</v>
      </c>
      <c r="AC476" s="85">
        <f>L476*'Dynamic Analysis Dashboard'!$B$11*'Dynamic Analysis Dashboard'!$B$9*'Dynamic Analysis Dashboard'!$B$21</f>
        <v>0</v>
      </c>
      <c r="AD476" s="120">
        <f t="shared" si="14"/>
        <v>0.57600121500000012</v>
      </c>
      <c r="AE476" s="121">
        <f t="shared" si="15"/>
        <v>0.43200091125000006</v>
      </c>
    </row>
    <row r="477" spans="1:31" hidden="1" x14ac:dyDescent="0.2">
      <c r="A477" t="s">
        <v>71</v>
      </c>
      <c r="B477" t="s">
        <v>156</v>
      </c>
      <c r="C477" t="s">
        <v>2574</v>
      </c>
      <c r="D477" t="s">
        <v>540</v>
      </c>
      <c r="E477" t="s">
        <v>1686</v>
      </c>
      <c r="F477" t="s">
        <v>533</v>
      </c>
      <c r="G477" t="s">
        <v>31</v>
      </c>
      <c r="H477" t="s">
        <v>25</v>
      </c>
      <c r="I477">
        <v>5.4999999999999999E-6</v>
      </c>
      <c r="J477">
        <v>0</v>
      </c>
      <c r="K477">
        <v>0</v>
      </c>
      <c r="L477">
        <v>0</v>
      </c>
      <c r="M477">
        <v>5.4999999999999999E-6</v>
      </c>
      <c r="N477">
        <v>0.8</v>
      </c>
      <c r="O477">
        <v>6</v>
      </c>
      <c r="P477">
        <v>2</v>
      </c>
      <c r="Q477">
        <v>3</v>
      </c>
      <c r="R477">
        <v>2</v>
      </c>
      <c r="S477">
        <v>10350</v>
      </c>
      <c r="T477">
        <v>198</v>
      </c>
      <c r="U477" t="s">
        <v>2575</v>
      </c>
      <c r="V477" t="s">
        <v>1135</v>
      </c>
      <c r="W477" t="s">
        <v>1135</v>
      </c>
      <c r="X477" t="s">
        <v>1135</v>
      </c>
      <c r="Y477" t="s">
        <v>2576</v>
      </c>
      <c r="Z477" s="70">
        <f>I477*'Dynamic Analysis Dashboard'!$B$8*'Dynamic Analysis Dashboard'!$B$9*'Dynamic Analysis Dashboard'!$B$21</f>
        <v>3.7125E-6</v>
      </c>
      <c r="AA477" s="75">
        <f>J477*'Dynamic Analysis Dashboard'!$B$8*'Dynamic Analysis Dashboard'!$B$9*'Dynamic Analysis Dashboard'!$B$21</f>
        <v>0</v>
      </c>
      <c r="AB477" s="80">
        <f>K477*'Dynamic Analysis Dashboard'!$B$10*'Dynamic Analysis Dashboard'!$B$9*'Dynamic Analysis Dashboard'!$B$21</f>
        <v>0</v>
      </c>
      <c r="AC477" s="85">
        <f>L477*'Dynamic Analysis Dashboard'!$B$11*'Dynamic Analysis Dashboard'!$B$9*'Dynamic Analysis Dashboard'!$B$21</f>
        <v>0</v>
      </c>
      <c r="AD477" s="120">
        <f t="shared" si="14"/>
        <v>3.7125E-6</v>
      </c>
      <c r="AE477" s="121">
        <f t="shared" si="15"/>
        <v>2.9700000000000004E-6</v>
      </c>
    </row>
    <row r="478" spans="1:31" hidden="1" x14ac:dyDescent="0.2">
      <c r="A478" t="s">
        <v>71</v>
      </c>
      <c r="B478" t="s">
        <v>164</v>
      </c>
      <c r="C478" t="s">
        <v>2577</v>
      </c>
      <c r="D478" t="s">
        <v>2565</v>
      </c>
      <c r="E478" t="s">
        <v>2487</v>
      </c>
      <c r="F478" t="s">
        <v>870</v>
      </c>
      <c r="G478" t="s">
        <v>31</v>
      </c>
      <c r="H478" t="s">
        <v>25</v>
      </c>
      <c r="I478">
        <v>0</v>
      </c>
      <c r="J478">
        <v>1.6800000000000002E-5</v>
      </c>
      <c r="K478">
        <v>0</v>
      </c>
      <c r="L478">
        <v>0</v>
      </c>
      <c r="M478">
        <v>1.6800000000000002E-5</v>
      </c>
      <c r="N478">
        <v>0.75</v>
      </c>
      <c r="O478">
        <v>9</v>
      </c>
      <c r="P478">
        <v>3</v>
      </c>
      <c r="Q478">
        <v>3</v>
      </c>
      <c r="R478">
        <v>3</v>
      </c>
      <c r="S478">
        <v>20160</v>
      </c>
      <c r="T478">
        <v>356</v>
      </c>
      <c r="U478" t="s">
        <v>1135</v>
      </c>
      <c r="V478" t="s">
        <v>2578</v>
      </c>
      <c r="W478" t="s">
        <v>1135</v>
      </c>
      <c r="X478" t="s">
        <v>1135</v>
      </c>
      <c r="Y478" t="s">
        <v>2579</v>
      </c>
      <c r="Z478" s="70">
        <f>I478*'Dynamic Analysis Dashboard'!$B$8*'Dynamic Analysis Dashboard'!$B$9*'Dynamic Analysis Dashboard'!$B$21</f>
        <v>0</v>
      </c>
      <c r="AA478" s="75">
        <f>J478*'Dynamic Analysis Dashboard'!$B$8*'Dynamic Analysis Dashboard'!$B$9*'Dynamic Analysis Dashboard'!$B$21</f>
        <v>1.1340000000000002E-5</v>
      </c>
      <c r="AB478" s="80">
        <f>K478*'Dynamic Analysis Dashboard'!$B$10*'Dynamic Analysis Dashboard'!$B$9*'Dynamic Analysis Dashboard'!$B$21</f>
        <v>0</v>
      </c>
      <c r="AC478" s="85">
        <f>L478*'Dynamic Analysis Dashboard'!$B$11*'Dynamic Analysis Dashboard'!$B$9*'Dynamic Analysis Dashboard'!$B$21</f>
        <v>0</v>
      </c>
      <c r="AD478" s="120">
        <f t="shared" si="14"/>
        <v>1.1340000000000002E-5</v>
      </c>
      <c r="AE478" s="121">
        <f t="shared" si="15"/>
        <v>8.5050000000000007E-6</v>
      </c>
    </row>
    <row r="479" spans="1:31" hidden="1" x14ac:dyDescent="0.2">
      <c r="A479" t="s">
        <v>71</v>
      </c>
      <c r="B479" t="s">
        <v>172</v>
      </c>
      <c r="C479" t="s">
        <v>2580</v>
      </c>
      <c r="D479" t="s">
        <v>1633</v>
      </c>
      <c r="E479" t="s">
        <v>1970</v>
      </c>
      <c r="F479" t="s">
        <v>198</v>
      </c>
      <c r="G479" t="s">
        <v>31</v>
      </c>
      <c r="H479" t="s">
        <v>28</v>
      </c>
      <c r="I479">
        <v>2.7E-6</v>
      </c>
      <c r="J479">
        <v>0</v>
      </c>
      <c r="K479">
        <v>0</v>
      </c>
      <c r="L479">
        <v>3.1E-6</v>
      </c>
      <c r="M479">
        <v>5.7999999999999995E-6</v>
      </c>
      <c r="N479">
        <v>0.8</v>
      </c>
      <c r="O479">
        <v>6</v>
      </c>
      <c r="P479">
        <v>2</v>
      </c>
      <c r="Q479">
        <v>3</v>
      </c>
      <c r="R479">
        <v>2</v>
      </c>
      <c r="S479">
        <v>8400</v>
      </c>
      <c r="T479">
        <v>161</v>
      </c>
      <c r="U479" t="s">
        <v>2581</v>
      </c>
      <c r="V479" t="s">
        <v>1135</v>
      </c>
      <c r="W479" t="s">
        <v>1135</v>
      </c>
      <c r="X479" t="s">
        <v>2582</v>
      </c>
      <c r="Y479" t="s">
        <v>2583</v>
      </c>
      <c r="Z479" s="70">
        <f>I479*'Dynamic Analysis Dashboard'!$B$8*'Dynamic Analysis Dashboard'!$B$9*'Dynamic Analysis Dashboard'!$B$21</f>
        <v>1.8224999999999999E-6</v>
      </c>
      <c r="AA479" s="75">
        <f>J479*'Dynamic Analysis Dashboard'!$B$8*'Dynamic Analysis Dashboard'!$B$9*'Dynamic Analysis Dashboard'!$B$21</f>
        <v>0</v>
      </c>
      <c r="AB479" s="80">
        <f>K479*'Dynamic Analysis Dashboard'!$B$10*'Dynamic Analysis Dashboard'!$B$9*'Dynamic Analysis Dashboard'!$B$21</f>
        <v>0</v>
      </c>
      <c r="AC479" s="85">
        <f>L479*'Dynamic Analysis Dashboard'!$B$11*'Dynamic Analysis Dashboard'!$B$9*'Dynamic Analysis Dashboard'!$B$21</f>
        <v>1.9762499999999999E-6</v>
      </c>
      <c r="AD479" s="120">
        <f t="shared" si="14"/>
        <v>3.7987499999999998E-6</v>
      </c>
      <c r="AE479" s="121">
        <f t="shared" si="15"/>
        <v>3.039E-6</v>
      </c>
    </row>
    <row r="480" spans="1:31" hidden="1" x14ac:dyDescent="0.2">
      <c r="A480" t="s">
        <v>71</v>
      </c>
      <c r="B480" t="s">
        <v>179</v>
      </c>
      <c r="C480" t="s">
        <v>2584</v>
      </c>
      <c r="D480" t="s">
        <v>2585</v>
      </c>
      <c r="E480" t="s">
        <v>2586</v>
      </c>
      <c r="F480" t="s">
        <v>324</v>
      </c>
      <c r="G480" t="s">
        <v>38</v>
      </c>
      <c r="H480" t="s">
        <v>33</v>
      </c>
      <c r="I480">
        <v>1.1999999999999999E-6</v>
      </c>
      <c r="J480">
        <v>0</v>
      </c>
      <c r="K480">
        <v>0.72</v>
      </c>
      <c r="L480">
        <v>0</v>
      </c>
      <c r="M480">
        <v>1.8999999999999998E-6</v>
      </c>
      <c r="N480">
        <v>0.75</v>
      </c>
      <c r="O480">
        <v>9</v>
      </c>
      <c r="P480">
        <v>3</v>
      </c>
      <c r="Q480">
        <v>3</v>
      </c>
      <c r="R480">
        <v>3</v>
      </c>
      <c r="S480">
        <v>47250</v>
      </c>
      <c r="T480">
        <v>838</v>
      </c>
      <c r="U480" t="s">
        <v>2587</v>
      </c>
      <c r="V480" t="s">
        <v>1135</v>
      </c>
      <c r="W480" t="s">
        <v>2588</v>
      </c>
      <c r="X480" t="s">
        <v>1135</v>
      </c>
      <c r="Y480" t="s">
        <v>2589</v>
      </c>
      <c r="Z480" s="70">
        <f>I480*'Dynamic Analysis Dashboard'!$B$8*'Dynamic Analysis Dashboard'!$B$9*'Dynamic Analysis Dashboard'!$B$21</f>
        <v>8.1000000000000008E-7</v>
      </c>
      <c r="AA480" s="75">
        <f>J480*'Dynamic Analysis Dashboard'!$B$8*'Dynamic Analysis Dashboard'!$B$9*'Dynamic Analysis Dashboard'!$B$21</f>
        <v>0</v>
      </c>
      <c r="AB480" s="80">
        <f>K480*'Dynamic Analysis Dashboard'!$B$10*'Dynamic Analysis Dashboard'!$B$9*'Dynamic Analysis Dashboard'!$B$21</f>
        <v>0.43199999999999994</v>
      </c>
      <c r="AC480" s="85">
        <f>L480*'Dynamic Analysis Dashboard'!$B$11*'Dynamic Analysis Dashboard'!$B$9*'Dynamic Analysis Dashboard'!$B$21</f>
        <v>0</v>
      </c>
      <c r="AD480" s="120">
        <f t="shared" si="14"/>
        <v>0.43200080999999996</v>
      </c>
      <c r="AE480" s="121">
        <f t="shared" si="15"/>
        <v>0.32400060749999998</v>
      </c>
    </row>
    <row r="481" spans="1:31" hidden="1" x14ac:dyDescent="0.2">
      <c r="A481" t="s">
        <v>71</v>
      </c>
      <c r="B481" t="s">
        <v>186</v>
      </c>
      <c r="C481" t="s">
        <v>2590</v>
      </c>
      <c r="D481" t="s">
        <v>2557</v>
      </c>
      <c r="E481" t="s">
        <v>2591</v>
      </c>
      <c r="F481" t="s">
        <v>145</v>
      </c>
      <c r="G481" t="s">
        <v>38</v>
      </c>
      <c r="H481" t="s">
        <v>33</v>
      </c>
      <c r="I481">
        <v>9.9999999999999995E-7</v>
      </c>
      <c r="J481">
        <v>0</v>
      </c>
      <c r="K481">
        <v>0</v>
      </c>
      <c r="L481">
        <v>2.7999999999999999E-6</v>
      </c>
      <c r="M481">
        <v>3.7999999999999996E-6</v>
      </c>
      <c r="N481">
        <v>0.75</v>
      </c>
      <c r="O481">
        <v>12</v>
      </c>
      <c r="P481">
        <v>4</v>
      </c>
      <c r="Q481">
        <v>2</v>
      </c>
      <c r="R481">
        <v>4</v>
      </c>
      <c r="S481">
        <v>12744</v>
      </c>
      <c r="T481">
        <v>234</v>
      </c>
      <c r="U481" t="s">
        <v>2592</v>
      </c>
      <c r="V481" t="s">
        <v>1135</v>
      </c>
      <c r="W481" t="s">
        <v>1135</v>
      </c>
      <c r="X481" t="s">
        <v>2593</v>
      </c>
      <c r="Y481" t="s">
        <v>2594</v>
      </c>
      <c r="Z481" s="70">
        <f>I481*'Dynamic Analysis Dashboard'!$B$8*'Dynamic Analysis Dashboard'!$B$9*'Dynamic Analysis Dashboard'!$B$21</f>
        <v>6.75E-7</v>
      </c>
      <c r="AA481" s="75">
        <f>J481*'Dynamic Analysis Dashboard'!$B$8*'Dynamic Analysis Dashboard'!$B$9*'Dynamic Analysis Dashboard'!$B$21</f>
        <v>0</v>
      </c>
      <c r="AB481" s="80">
        <f>K481*'Dynamic Analysis Dashboard'!$B$10*'Dynamic Analysis Dashboard'!$B$9*'Dynamic Analysis Dashboard'!$B$21</f>
        <v>0</v>
      </c>
      <c r="AC481" s="85">
        <f>L481*'Dynamic Analysis Dashboard'!$B$11*'Dynamic Analysis Dashboard'!$B$9*'Dynamic Analysis Dashboard'!$B$21</f>
        <v>1.7849999999999999E-6</v>
      </c>
      <c r="AD481" s="120">
        <f t="shared" si="14"/>
        <v>2.4599999999999997E-6</v>
      </c>
      <c r="AE481" s="121">
        <f t="shared" si="15"/>
        <v>1.8449999999999997E-6</v>
      </c>
    </row>
    <row r="482" spans="1:31" x14ac:dyDescent="0.2">
      <c r="A482" t="s">
        <v>68</v>
      </c>
      <c r="B482" t="s">
        <v>149</v>
      </c>
      <c r="C482" t="s">
        <v>2595</v>
      </c>
      <c r="D482" t="s">
        <v>504</v>
      </c>
      <c r="E482" t="s">
        <v>2596</v>
      </c>
      <c r="F482" t="s">
        <v>310</v>
      </c>
      <c r="G482" t="s">
        <v>24</v>
      </c>
      <c r="H482" t="s">
        <v>224</v>
      </c>
      <c r="I482">
        <v>3.7999999999999996E-6</v>
      </c>
      <c r="J482">
        <v>0</v>
      </c>
      <c r="K482">
        <v>1.1000000000000001E-6</v>
      </c>
      <c r="L482">
        <v>4.2000000000000004E-6</v>
      </c>
      <c r="M482">
        <v>9.0999999999999993E-6</v>
      </c>
      <c r="N482">
        <v>0.75</v>
      </c>
      <c r="O482">
        <v>10</v>
      </c>
      <c r="P482">
        <v>4</v>
      </c>
      <c r="Q482">
        <v>3</v>
      </c>
      <c r="R482">
        <v>5</v>
      </c>
      <c r="S482">
        <v>2800</v>
      </c>
      <c r="T482">
        <v>2.2000000000000002</v>
      </c>
      <c r="U482" t="s">
        <v>2597</v>
      </c>
      <c r="V482" t="s">
        <v>129</v>
      </c>
      <c r="W482" t="s">
        <v>2598</v>
      </c>
      <c r="X482" t="s">
        <v>2599</v>
      </c>
      <c r="Y482" t="s">
        <v>2600</v>
      </c>
      <c r="Z482" s="70">
        <f>I482*'Dynamic Analysis Dashboard'!$B$8*'Dynamic Analysis Dashboard'!$B$9*'Dynamic Analysis Dashboard'!$B$21</f>
        <v>2.565E-6</v>
      </c>
      <c r="AA482" s="75">
        <f>J482*'Dynamic Analysis Dashboard'!$B$8*'Dynamic Analysis Dashboard'!$B$9*'Dynamic Analysis Dashboard'!$B$21</f>
        <v>0</v>
      </c>
      <c r="AB482" s="80">
        <f>K482*'Dynamic Analysis Dashboard'!$B$10*'Dynamic Analysis Dashboard'!$B$9*'Dynamic Analysis Dashboard'!$B$21</f>
        <v>6.6000000000000003E-7</v>
      </c>
      <c r="AC482" s="85">
        <f>L482*'Dynamic Analysis Dashboard'!$B$11*'Dynamic Analysis Dashboard'!$B$9*'Dynamic Analysis Dashboard'!$B$21</f>
        <v>2.6775000000000002E-6</v>
      </c>
      <c r="AD482" s="120">
        <f t="shared" si="14"/>
        <v>5.9024999999999998E-6</v>
      </c>
      <c r="AE482" s="121">
        <f t="shared" si="15"/>
        <v>4.4268749999999999E-6</v>
      </c>
    </row>
    <row r="483" spans="1:31" x14ac:dyDescent="0.2">
      <c r="A483" t="s">
        <v>68</v>
      </c>
      <c r="B483" t="s">
        <v>172</v>
      </c>
      <c r="C483" t="s">
        <v>2601</v>
      </c>
      <c r="D483" t="s">
        <v>2602</v>
      </c>
      <c r="E483" t="s">
        <v>2603</v>
      </c>
      <c r="F483" t="s">
        <v>259</v>
      </c>
      <c r="G483" t="s">
        <v>24</v>
      </c>
      <c r="H483" t="s">
        <v>207</v>
      </c>
      <c r="I483">
        <v>2.1000000000000002E-6</v>
      </c>
      <c r="J483">
        <v>0</v>
      </c>
      <c r="K483">
        <v>2.7E-6</v>
      </c>
      <c r="L483">
        <v>0</v>
      </c>
      <c r="M483">
        <v>4.7999999999999998E-6</v>
      </c>
      <c r="N483">
        <v>0.7</v>
      </c>
      <c r="O483">
        <v>6</v>
      </c>
      <c r="P483">
        <v>2</v>
      </c>
      <c r="Q483">
        <v>3</v>
      </c>
      <c r="R483">
        <v>2</v>
      </c>
      <c r="S483">
        <v>253</v>
      </c>
      <c r="T483">
        <v>0.4</v>
      </c>
      <c r="U483" t="s">
        <v>2604</v>
      </c>
      <c r="V483" t="s">
        <v>129</v>
      </c>
      <c r="W483" t="s">
        <v>2605</v>
      </c>
      <c r="X483" t="s">
        <v>131</v>
      </c>
      <c r="Y483" t="s">
        <v>2606</v>
      </c>
      <c r="Z483" s="70">
        <f>I483*'Dynamic Analysis Dashboard'!$B$8*'Dynamic Analysis Dashboard'!$B$9*'Dynamic Analysis Dashboard'!$B$21</f>
        <v>1.4175000000000002E-6</v>
      </c>
      <c r="AA483" s="75">
        <f>J483*'Dynamic Analysis Dashboard'!$B$8*'Dynamic Analysis Dashboard'!$B$9*'Dynamic Analysis Dashboard'!$B$21</f>
        <v>0</v>
      </c>
      <c r="AB483" s="80">
        <f>K483*'Dynamic Analysis Dashboard'!$B$10*'Dynamic Analysis Dashboard'!$B$9*'Dynamic Analysis Dashboard'!$B$21</f>
        <v>1.6200000000000002E-6</v>
      </c>
      <c r="AC483" s="85">
        <f>L483*'Dynamic Analysis Dashboard'!$B$11*'Dynamic Analysis Dashboard'!$B$9*'Dynamic Analysis Dashboard'!$B$21</f>
        <v>0</v>
      </c>
      <c r="AD483" s="120">
        <f t="shared" si="14"/>
        <v>3.0375000000000001E-6</v>
      </c>
      <c r="AE483" s="121">
        <f t="shared" si="15"/>
        <v>2.1262499999999998E-6</v>
      </c>
    </row>
    <row r="484" spans="1:31" x14ac:dyDescent="0.2">
      <c r="A484" t="s">
        <v>68</v>
      </c>
      <c r="B484" t="s">
        <v>179</v>
      </c>
      <c r="C484" t="s">
        <v>2607</v>
      </c>
      <c r="D484" t="s">
        <v>125</v>
      </c>
      <c r="E484" t="s">
        <v>2608</v>
      </c>
      <c r="F484" t="s">
        <v>2609</v>
      </c>
      <c r="G484" t="s">
        <v>24</v>
      </c>
      <c r="H484" t="s">
        <v>224</v>
      </c>
      <c r="I484">
        <v>1.3E-6</v>
      </c>
      <c r="J484">
        <v>0</v>
      </c>
      <c r="K484">
        <v>0</v>
      </c>
      <c r="L484">
        <v>0</v>
      </c>
      <c r="M484">
        <v>1.3E-6</v>
      </c>
      <c r="N484">
        <v>0.85</v>
      </c>
      <c r="O484">
        <v>5</v>
      </c>
      <c r="P484">
        <v>2</v>
      </c>
      <c r="Q484">
        <v>4</v>
      </c>
      <c r="R484">
        <v>3</v>
      </c>
      <c r="S484">
        <v>16800</v>
      </c>
      <c r="T484">
        <v>3.6</v>
      </c>
      <c r="U484" t="s">
        <v>2610</v>
      </c>
      <c r="V484" t="s">
        <v>129</v>
      </c>
      <c r="W484" t="s">
        <v>591</v>
      </c>
      <c r="X484" t="s">
        <v>131</v>
      </c>
      <c r="Y484" t="s">
        <v>2611</v>
      </c>
      <c r="Z484" s="70">
        <f>I484*'Dynamic Analysis Dashboard'!$B$8*'Dynamic Analysis Dashboard'!$B$9*'Dynamic Analysis Dashboard'!$B$21</f>
        <v>8.7750000000000007E-7</v>
      </c>
      <c r="AA484" s="75">
        <f>J484*'Dynamic Analysis Dashboard'!$B$8*'Dynamic Analysis Dashboard'!$B$9*'Dynamic Analysis Dashboard'!$B$21</f>
        <v>0</v>
      </c>
      <c r="AB484" s="80">
        <f>K484*'Dynamic Analysis Dashboard'!$B$10*'Dynamic Analysis Dashboard'!$B$9*'Dynamic Analysis Dashboard'!$B$21</f>
        <v>0</v>
      </c>
      <c r="AC484" s="85">
        <f>L484*'Dynamic Analysis Dashboard'!$B$11*'Dynamic Analysis Dashboard'!$B$9*'Dynamic Analysis Dashboard'!$B$21</f>
        <v>0</v>
      </c>
      <c r="AD484" s="120">
        <f t="shared" si="14"/>
        <v>8.7750000000000007E-7</v>
      </c>
      <c r="AE484" s="121">
        <f t="shared" si="15"/>
        <v>7.4587500000000008E-7</v>
      </c>
    </row>
    <row r="485" spans="1:31" x14ac:dyDescent="0.2">
      <c r="A485" t="s">
        <v>68</v>
      </c>
      <c r="B485" t="s">
        <v>186</v>
      </c>
      <c r="C485" t="s">
        <v>2612</v>
      </c>
      <c r="D485" t="s">
        <v>166</v>
      </c>
      <c r="E485" t="s">
        <v>1970</v>
      </c>
      <c r="F485" t="s">
        <v>198</v>
      </c>
      <c r="G485" t="s">
        <v>24</v>
      </c>
      <c r="H485" t="s">
        <v>207</v>
      </c>
      <c r="I485">
        <v>1.1000000000000001E-6</v>
      </c>
      <c r="J485">
        <v>0</v>
      </c>
      <c r="K485">
        <v>3.2000000000000003E-6</v>
      </c>
      <c r="L485">
        <v>0</v>
      </c>
      <c r="M485">
        <v>4.2999999999999995E-6</v>
      </c>
      <c r="N485">
        <v>0.75</v>
      </c>
      <c r="O485">
        <v>4</v>
      </c>
      <c r="P485">
        <v>2</v>
      </c>
      <c r="Q485">
        <v>4</v>
      </c>
      <c r="R485">
        <v>2</v>
      </c>
      <c r="S485">
        <v>616</v>
      </c>
      <c r="T485">
        <v>1.2</v>
      </c>
      <c r="U485" t="s">
        <v>2613</v>
      </c>
      <c r="V485" t="s">
        <v>129</v>
      </c>
      <c r="W485" t="s">
        <v>2614</v>
      </c>
      <c r="X485" t="s">
        <v>131</v>
      </c>
      <c r="Y485" t="s">
        <v>2615</v>
      </c>
      <c r="Z485" s="70">
        <f>I485*'Dynamic Analysis Dashboard'!$B$8*'Dynamic Analysis Dashboard'!$B$9*'Dynamic Analysis Dashboard'!$B$21</f>
        <v>7.4250000000000009E-7</v>
      </c>
      <c r="AA485" s="75">
        <f>J485*'Dynamic Analysis Dashboard'!$B$8*'Dynamic Analysis Dashboard'!$B$9*'Dynamic Analysis Dashboard'!$B$21</f>
        <v>0</v>
      </c>
      <c r="AB485" s="80">
        <f>K485*'Dynamic Analysis Dashboard'!$B$10*'Dynamic Analysis Dashboard'!$B$9*'Dynamic Analysis Dashboard'!$B$21</f>
        <v>1.9200000000000003E-6</v>
      </c>
      <c r="AC485" s="85">
        <f>L485*'Dynamic Analysis Dashboard'!$B$11*'Dynamic Analysis Dashboard'!$B$9*'Dynamic Analysis Dashboard'!$B$21</f>
        <v>0</v>
      </c>
      <c r="AD485" s="120">
        <f t="shared" si="14"/>
        <v>2.6625000000000003E-6</v>
      </c>
      <c r="AE485" s="121">
        <f t="shared" si="15"/>
        <v>1.9968750000000003E-6</v>
      </c>
    </row>
    <row r="486" spans="1:31" hidden="1" x14ac:dyDescent="0.2">
      <c r="A486" t="s">
        <v>68</v>
      </c>
      <c r="B486" t="s">
        <v>141</v>
      </c>
      <c r="C486" t="s">
        <v>2616</v>
      </c>
      <c r="D486" t="s">
        <v>174</v>
      </c>
      <c r="E486" t="s">
        <v>2617</v>
      </c>
      <c r="F486" t="s">
        <v>495</v>
      </c>
      <c r="G486" t="s">
        <v>31</v>
      </c>
      <c r="H486" t="s">
        <v>207</v>
      </c>
      <c r="I486">
        <v>7.2999999999999996E-6</v>
      </c>
      <c r="J486">
        <v>3.2000000000000003E-6</v>
      </c>
      <c r="K486">
        <v>1.3999999999999999E-6</v>
      </c>
      <c r="L486">
        <v>0</v>
      </c>
      <c r="M486">
        <v>1.19E-5</v>
      </c>
      <c r="N486">
        <v>0.8</v>
      </c>
      <c r="O486">
        <v>8</v>
      </c>
      <c r="P486">
        <v>3</v>
      </c>
      <c r="Q486">
        <v>3</v>
      </c>
      <c r="R486">
        <v>4</v>
      </c>
      <c r="S486">
        <v>1400</v>
      </c>
      <c r="T486">
        <v>2</v>
      </c>
      <c r="U486" t="s">
        <v>2618</v>
      </c>
      <c r="V486" t="s">
        <v>2619</v>
      </c>
      <c r="W486" t="s">
        <v>2620</v>
      </c>
      <c r="X486" t="s">
        <v>131</v>
      </c>
      <c r="Y486" t="s">
        <v>2621</v>
      </c>
      <c r="Z486" s="70">
        <f>I486*'Dynamic Analysis Dashboard'!$B$8*'Dynamic Analysis Dashboard'!$B$9*'Dynamic Analysis Dashboard'!$B$21</f>
        <v>4.9274999999999998E-6</v>
      </c>
      <c r="AA486" s="75">
        <f>J486*'Dynamic Analysis Dashboard'!$B$8*'Dynamic Analysis Dashboard'!$B$9*'Dynamic Analysis Dashboard'!$B$21</f>
        <v>2.1600000000000005E-6</v>
      </c>
      <c r="AB486" s="80">
        <f>K486*'Dynamic Analysis Dashboard'!$B$10*'Dynamic Analysis Dashboard'!$B$9*'Dynamic Analysis Dashboard'!$B$21</f>
        <v>8.4E-7</v>
      </c>
      <c r="AC486" s="85">
        <f>L486*'Dynamic Analysis Dashboard'!$B$11*'Dynamic Analysis Dashboard'!$B$9*'Dynamic Analysis Dashboard'!$B$21</f>
        <v>0</v>
      </c>
      <c r="AD486" s="120">
        <f t="shared" si="14"/>
        <v>7.9274999999999999E-6</v>
      </c>
      <c r="AE486" s="121">
        <f t="shared" si="15"/>
        <v>6.3420000000000004E-6</v>
      </c>
    </row>
    <row r="487" spans="1:31" hidden="1" x14ac:dyDescent="0.2">
      <c r="A487" t="s">
        <v>68</v>
      </c>
      <c r="B487" t="s">
        <v>123</v>
      </c>
      <c r="C487" t="s">
        <v>2622</v>
      </c>
      <c r="D487" t="s">
        <v>595</v>
      </c>
      <c r="E487" t="s">
        <v>2623</v>
      </c>
      <c r="F487" t="s">
        <v>357</v>
      </c>
      <c r="G487" t="s">
        <v>31</v>
      </c>
      <c r="H487" t="s">
        <v>207</v>
      </c>
      <c r="I487">
        <v>4.7999999999999998E-6</v>
      </c>
      <c r="J487">
        <v>0</v>
      </c>
      <c r="K487">
        <v>0</v>
      </c>
      <c r="L487">
        <v>1.0300000000000001E-5</v>
      </c>
      <c r="M487">
        <v>1.5099999999999999E-5</v>
      </c>
      <c r="N487">
        <v>0.75</v>
      </c>
      <c r="O487">
        <v>12</v>
      </c>
      <c r="P487">
        <v>4</v>
      </c>
      <c r="Q487">
        <v>2</v>
      </c>
      <c r="R487">
        <v>4</v>
      </c>
      <c r="S487">
        <v>30800</v>
      </c>
      <c r="T487">
        <v>6.4</v>
      </c>
      <c r="U487" t="s">
        <v>2624</v>
      </c>
      <c r="V487" t="s">
        <v>129</v>
      </c>
      <c r="W487" t="s">
        <v>591</v>
      </c>
      <c r="X487" t="s">
        <v>2625</v>
      </c>
      <c r="Y487" t="s">
        <v>2626</v>
      </c>
      <c r="Z487" s="70">
        <f>I487*'Dynamic Analysis Dashboard'!$B$8*'Dynamic Analysis Dashboard'!$B$9*'Dynamic Analysis Dashboard'!$B$21</f>
        <v>3.2400000000000003E-6</v>
      </c>
      <c r="AA487" s="75">
        <f>J487*'Dynamic Analysis Dashboard'!$B$8*'Dynamic Analysis Dashboard'!$B$9*'Dynamic Analysis Dashboard'!$B$21</f>
        <v>0</v>
      </c>
      <c r="AB487" s="80">
        <f>K487*'Dynamic Analysis Dashboard'!$B$10*'Dynamic Analysis Dashboard'!$B$9*'Dynamic Analysis Dashboard'!$B$21</f>
        <v>0</v>
      </c>
      <c r="AC487" s="85">
        <f>L487*'Dynamic Analysis Dashboard'!$B$11*'Dynamic Analysis Dashboard'!$B$9*'Dynamic Analysis Dashboard'!$B$21</f>
        <v>6.5662500000000017E-6</v>
      </c>
      <c r="AD487" s="120">
        <f t="shared" si="14"/>
        <v>9.8062500000000012E-6</v>
      </c>
      <c r="AE487" s="121">
        <f t="shared" si="15"/>
        <v>7.3546875000000009E-6</v>
      </c>
    </row>
    <row r="488" spans="1:31" hidden="1" x14ac:dyDescent="0.2">
      <c r="A488" t="s">
        <v>68</v>
      </c>
      <c r="B488" t="s">
        <v>133</v>
      </c>
      <c r="C488" t="s">
        <v>2627</v>
      </c>
      <c r="D488" t="s">
        <v>1617</v>
      </c>
      <c r="E488" t="s">
        <v>1021</v>
      </c>
      <c r="F488" t="s">
        <v>338</v>
      </c>
      <c r="G488" t="s">
        <v>31</v>
      </c>
      <c r="H488" t="s">
        <v>216</v>
      </c>
      <c r="I488">
        <v>6.7000000000000002E-6</v>
      </c>
      <c r="J488">
        <v>1.9300000000000002E-5</v>
      </c>
      <c r="K488">
        <v>0</v>
      </c>
      <c r="L488">
        <v>0</v>
      </c>
      <c r="M488">
        <v>2.5999999999999998E-5</v>
      </c>
      <c r="N488">
        <v>0.7</v>
      </c>
      <c r="O488">
        <v>6</v>
      </c>
      <c r="P488">
        <v>3</v>
      </c>
      <c r="Q488">
        <v>2</v>
      </c>
      <c r="R488">
        <v>3</v>
      </c>
      <c r="S488">
        <v>1120</v>
      </c>
      <c r="T488">
        <v>5.4</v>
      </c>
      <c r="U488" t="s">
        <v>2628</v>
      </c>
      <c r="V488" t="s">
        <v>2629</v>
      </c>
      <c r="W488" t="s">
        <v>591</v>
      </c>
      <c r="X488" t="s">
        <v>131</v>
      </c>
      <c r="Y488" t="s">
        <v>2630</v>
      </c>
      <c r="Z488" s="70">
        <f>I488*'Dynamic Analysis Dashboard'!$B$8*'Dynamic Analysis Dashboard'!$B$9*'Dynamic Analysis Dashboard'!$B$21</f>
        <v>4.5225000000000003E-6</v>
      </c>
      <c r="AA488" s="75">
        <f>J488*'Dynamic Analysis Dashboard'!$B$8*'Dynamic Analysis Dashboard'!$B$9*'Dynamic Analysis Dashboard'!$B$21</f>
        <v>1.30275E-5</v>
      </c>
      <c r="AB488" s="80">
        <f>K488*'Dynamic Analysis Dashboard'!$B$10*'Dynamic Analysis Dashboard'!$B$9*'Dynamic Analysis Dashboard'!$B$21</f>
        <v>0</v>
      </c>
      <c r="AC488" s="85">
        <f>L488*'Dynamic Analysis Dashboard'!$B$11*'Dynamic Analysis Dashboard'!$B$9*'Dynamic Analysis Dashboard'!$B$21</f>
        <v>0</v>
      </c>
      <c r="AD488" s="120">
        <f t="shared" si="14"/>
        <v>1.755E-5</v>
      </c>
      <c r="AE488" s="121">
        <f t="shared" si="15"/>
        <v>1.2284999999999998E-5</v>
      </c>
    </row>
    <row r="489" spans="1:31" hidden="1" x14ac:dyDescent="0.2">
      <c r="A489" t="s">
        <v>68</v>
      </c>
      <c r="B489" t="s">
        <v>156</v>
      </c>
      <c r="C489" t="s">
        <v>2631</v>
      </c>
      <c r="D489" t="s">
        <v>287</v>
      </c>
      <c r="E489" t="s">
        <v>1903</v>
      </c>
      <c r="F489" t="s">
        <v>198</v>
      </c>
      <c r="G489" t="s">
        <v>31</v>
      </c>
      <c r="H489" t="s">
        <v>216</v>
      </c>
      <c r="I489">
        <v>1.7E-6</v>
      </c>
      <c r="J489">
        <v>0</v>
      </c>
      <c r="K489">
        <v>4.7999999999999998E-6</v>
      </c>
      <c r="L489">
        <v>0</v>
      </c>
      <c r="M489">
        <v>6.4999999999999996E-6</v>
      </c>
      <c r="N489">
        <v>0.75</v>
      </c>
      <c r="O489">
        <v>5</v>
      </c>
      <c r="P489">
        <v>2</v>
      </c>
      <c r="Q489">
        <v>3</v>
      </c>
      <c r="R489">
        <v>2</v>
      </c>
      <c r="S489">
        <v>3000</v>
      </c>
      <c r="T489">
        <v>2.9</v>
      </c>
      <c r="U489" t="s">
        <v>2632</v>
      </c>
      <c r="V489" t="s">
        <v>129</v>
      </c>
      <c r="W489" t="s">
        <v>2633</v>
      </c>
      <c r="X489" t="s">
        <v>131</v>
      </c>
      <c r="Y489" t="s">
        <v>2634</v>
      </c>
      <c r="Z489" s="70">
        <f>I489*'Dynamic Analysis Dashboard'!$B$8*'Dynamic Analysis Dashboard'!$B$9*'Dynamic Analysis Dashboard'!$B$21</f>
        <v>1.1475E-6</v>
      </c>
      <c r="AA489" s="75">
        <f>J489*'Dynamic Analysis Dashboard'!$B$8*'Dynamic Analysis Dashboard'!$B$9*'Dynamic Analysis Dashboard'!$B$21</f>
        <v>0</v>
      </c>
      <c r="AB489" s="80">
        <f>K489*'Dynamic Analysis Dashboard'!$B$10*'Dynamic Analysis Dashboard'!$B$9*'Dynamic Analysis Dashboard'!$B$21</f>
        <v>2.8799999999999995E-6</v>
      </c>
      <c r="AC489" s="85">
        <f>L489*'Dynamic Analysis Dashboard'!$B$11*'Dynamic Analysis Dashboard'!$B$9*'Dynamic Analysis Dashboard'!$B$21</f>
        <v>0</v>
      </c>
      <c r="AD489" s="120">
        <f t="shared" si="14"/>
        <v>4.0275E-6</v>
      </c>
      <c r="AE489" s="121">
        <f t="shared" si="15"/>
        <v>3.020625E-6</v>
      </c>
    </row>
    <row r="490" spans="1:31" hidden="1" x14ac:dyDescent="0.2">
      <c r="A490" t="s">
        <v>68</v>
      </c>
      <c r="B490" t="s">
        <v>164</v>
      </c>
      <c r="C490" t="s">
        <v>2635</v>
      </c>
      <c r="D490" t="s">
        <v>1617</v>
      </c>
      <c r="E490" t="s">
        <v>2636</v>
      </c>
      <c r="F490" t="s">
        <v>267</v>
      </c>
      <c r="G490" t="s">
        <v>31</v>
      </c>
      <c r="H490" t="s">
        <v>216</v>
      </c>
      <c r="I490">
        <v>2.3999999999999999E-6</v>
      </c>
      <c r="J490">
        <v>8.1000000000000004E-6</v>
      </c>
      <c r="K490">
        <v>1.8000000000000001E-6</v>
      </c>
      <c r="L490">
        <v>0</v>
      </c>
      <c r="M490">
        <v>1.2300000000000001E-5</v>
      </c>
      <c r="N490">
        <v>0.75</v>
      </c>
      <c r="O490">
        <v>8</v>
      </c>
      <c r="P490">
        <v>3</v>
      </c>
      <c r="Q490">
        <v>2</v>
      </c>
      <c r="R490">
        <v>4</v>
      </c>
      <c r="S490">
        <v>4420</v>
      </c>
      <c r="T490">
        <v>2.8</v>
      </c>
      <c r="U490" t="s">
        <v>2637</v>
      </c>
      <c r="V490" t="s">
        <v>2638</v>
      </c>
      <c r="W490" t="s">
        <v>2639</v>
      </c>
      <c r="X490" t="s">
        <v>131</v>
      </c>
      <c r="Y490" t="s">
        <v>2640</v>
      </c>
      <c r="Z490" s="70">
        <f>I490*'Dynamic Analysis Dashboard'!$B$8*'Dynamic Analysis Dashboard'!$B$9*'Dynamic Analysis Dashboard'!$B$21</f>
        <v>1.6200000000000002E-6</v>
      </c>
      <c r="AA490" s="75">
        <f>J490*'Dynamic Analysis Dashboard'!$B$8*'Dynamic Analysis Dashboard'!$B$9*'Dynamic Analysis Dashboard'!$B$21</f>
        <v>5.4675000000000006E-6</v>
      </c>
      <c r="AB490" s="80">
        <f>K490*'Dynamic Analysis Dashboard'!$B$10*'Dynamic Analysis Dashboard'!$B$9*'Dynamic Analysis Dashboard'!$B$21</f>
        <v>1.0800000000000002E-6</v>
      </c>
      <c r="AC490" s="85">
        <f>L490*'Dynamic Analysis Dashboard'!$B$11*'Dynamic Analysis Dashboard'!$B$9*'Dynamic Analysis Dashboard'!$B$21</f>
        <v>0</v>
      </c>
      <c r="AD490" s="120">
        <f t="shared" si="14"/>
        <v>8.167500000000001E-6</v>
      </c>
      <c r="AE490" s="121">
        <f t="shared" si="15"/>
        <v>6.1256250000000012E-6</v>
      </c>
    </row>
    <row r="491" spans="1:31" hidden="1" x14ac:dyDescent="0.2">
      <c r="A491" t="s">
        <v>68</v>
      </c>
      <c r="B491" t="s">
        <v>194</v>
      </c>
      <c r="C491" t="s">
        <v>2641</v>
      </c>
      <c r="D491" t="s">
        <v>504</v>
      </c>
      <c r="E491" t="s">
        <v>705</v>
      </c>
      <c r="F491" t="s">
        <v>622</v>
      </c>
      <c r="G491" t="s">
        <v>38</v>
      </c>
      <c r="H491" t="s">
        <v>268</v>
      </c>
      <c r="I491">
        <v>3.4000000000000001E-6</v>
      </c>
      <c r="J491">
        <v>0</v>
      </c>
      <c r="K491">
        <v>9.0000000000000007E-7</v>
      </c>
      <c r="L491">
        <v>0</v>
      </c>
      <c r="M491">
        <v>4.2999999999999995E-6</v>
      </c>
      <c r="N491">
        <v>0.8</v>
      </c>
      <c r="O491">
        <v>10</v>
      </c>
      <c r="P491">
        <v>4</v>
      </c>
      <c r="Q491">
        <v>2</v>
      </c>
      <c r="R491">
        <v>5</v>
      </c>
      <c r="S491">
        <v>8400</v>
      </c>
      <c r="T491">
        <v>2.5</v>
      </c>
      <c r="U491" t="s">
        <v>2642</v>
      </c>
      <c r="V491" t="s">
        <v>129</v>
      </c>
      <c r="W491" t="s">
        <v>2643</v>
      </c>
      <c r="X491" t="s">
        <v>131</v>
      </c>
      <c r="Y491" t="s">
        <v>2644</v>
      </c>
      <c r="Z491" s="70">
        <f>I491*'Dynamic Analysis Dashboard'!$B$8*'Dynamic Analysis Dashboard'!$B$9*'Dynamic Analysis Dashboard'!$B$21</f>
        <v>2.295E-6</v>
      </c>
      <c r="AA491" s="75">
        <f>J491*'Dynamic Analysis Dashboard'!$B$8*'Dynamic Analysis Dashboard'!$B$9*'Dynamic Analysis Dashboard'!$B$21</f>
        <v>0</v>
      </c>
      <c r="AB491" s="80">
        <f>K491*'Dynamic Analysis Dashboard'!$B$10*'Dynamic Analysis Dashboard'!$B$9*'Dynamic Analysis Dashboard'!$B$21</f>
        <v>5.4000000000000012E-7</v>
      </c>
      <c r="AC491" s="85">
        <f>L491*'Dynamic Analysis Dashboard'!$B$11*'Dynamic Analysis Dashboard'!$B$9*'Dynamic Analysis Dashboard'!$B$21</f>
        <v>0</v>
      </c>
      <c r="AD491" s="120">
        <f t="shared" si="14"/>
        <v>2.835E-6</v>
      </c>
      <c r="AE491" s="121">
        <f t="shared" si="15"/>
        <v>2.2680000000000001E-6</v>
      </c>
    </row>
    <row r="492" spans="1:31" x14ac:dyDescent="0.2">
      <c r="A492" t="s">
        <v>90</v>
      </c>
      <c r="B492" t="s">
        <v>123</v>
      </c>
      <c r="C492" t="s">
        <v>2645</v>
      </c>
      <c r="D492" t="s">
        <v>2646</v>
      </c>
      <c r="E492" t="s">
        <v>2647</v>
      </c>
      <c r="F492" t="s">
        <v>259</v>
      </c>
      <c r="G492" t="s">
        <v>24</v>
      </c>
      <c r="H492" t="s">
        <v>33</v>
      </c>
      <c r="I492">
        <v>1.5E-6</v>
      </c>
      <c r="J492">
        <v>3.4999999999999999E-6</v>
      </c>
      <c r="K492">
        <v>0</v>
      </c>
      <c r="L492">
        <v>0</v>
      </c>
      <c r="M492">
        <v>5.0000000000000004E-6</v>
      </c>
      <c r="N492">
        <v>0.7</v>
      </c>
      <c r="O492">
        <v>9</v>
      </c>
      <c r="P492">
        <v>3</v>
      </c>
      <c r="Q492">
        <v>3</v>
      </c>
      <c r="R492">
        <v>3</v>
      </c>
      <c r="S492">
        <v>44800</v>
      </c>
      <c r="T492">
        <v>8.8000000000000005E-3</v>
      </c>
      <c r="U492" t="s">
        <v>2648</v>
      </c>
      <c r="V492" t="s">
        <v>2649</v>
      </c>
      <c r="W492" t="s">
        <v>788</v>
      </c>
      <c r="X492" t="s">
        <v>131</v>
      </c>
      <c r="Y492" t="s">
        <v>2650</v>
      </c>
      <c r="Z492" s="70">
        <f>I492*'Dynamic Analysis Dashboard'!$B$8*'Dynamic Analysis Dashboard'!$B$9*'Dynamic Analysis Dashboard'!$B$21</f>
        <v>1.0125E-6</v>
      </c>
      <c r="AA492" s="75">
        <f>J492*'Dynamic Analysis Dashboard'!$B$8*'Dynamic Analysis Dashboard'!$B$9*'Dynamic Analysis Dashboard'!$B$21</f>
        <v>2.3624999999999998E-6</v>
      </c>
      <c r="AB492" s="80">
        <f>K492*'Dynamic Analysis Dashboard'!$B$10*'Dynamic Analysis Dashboard'!$B$9*'Dynamic Analysis Dashboard'!$B$21</f>
        <v>0</v>
      </c>
      <c r="AC492" s="85">
        <f>L492*'Dynamic Analysis Dashboard'!$B$11*'Dynamic Analysis Dashboard'!$B$9*'Dynamic Analysis Dashboard'!$B$21</f>
        <v>0</v>
      </c>
      <c r="AD492" s="120">
        <f t="shared" si="14"/>
        <v>3.3749999999999999E-6</v>
      </c>
      <c r="AE492" s="121">
        <f t="shared" si="15"/>
        <v>2.3624999999999998E-6</v>
      </c>
    </row>
    <row r="493" spans="1:31" hidden="1" x14ac:dyDescent="0.2">
      <c r="A493" t="s">
        <v>90</v>
      </c>
      <c r="B493" t="s">
        <v>156</v>
      </c>
      <c r="C493" t="s">
        <v>2651</v>
      </c>
      <c r="D493" t="s">
        <v>595</v>
      </c>
      <c r="E493" t="s">
        <v>680</v>
      </c>
      <c r="F493" t="s">
        <v>324</v>
      </c>
      <c r="G493" t="s">
        <v>24</v>
      </c>
      <c r="H493" t="s">
        <v>33</v>
      </c>
      <c r="I493">
        <v>0</v>
      </c>
      <c r="J493">
        <v>0</v>
      </c>
      <c r="K493">
        <v>0</v>
      </c>
      <c r="L493">
        <v>6.1E-6</v>
      </c>
      <c r="M493">
        <v>6.1E-6</v>
      </c>
      <c r="N493">
        <v>0.7</v>
      </c>
      <c r="O493">
        <v>12</v>
      </c>
      <c r="P493">
        <v>3</v>
      </c>
      <c r="Q493">
        <v>2</v>
      </c>
      <c r="R493">
        <v>3</v>
      </c>
      <c r="S493">
        <v>960</v>
      </c>
      <c r="T493">
        <v>400</v>
      </c>
      <c r="U493" t="s">
        <v>1009</v>
      </c>
      <c r="V493" t="s">
        <v>129</v>
      </c>
      <c r="W493" t="s">
        <v>788</v>
      </c>
      <c r="X493" t="s">
        <v>2652</v>
      </c>
      <c r="Y493" t="s">
        <v>2653</v>
      </c>
      <c r="Z493" s="70">
        <f>I493*'Dynamic Analysis Dashboard'!$B$8*'Dynamic Analysis Dashboard'!$B$9*'Dynamic Analysis Dashboard'!$B$21</f>
        <v>0</v>
      </c>
      <c r="AA493" s="75">
        <f>J493*'Dynamic Analysis Dashboard'!$B$8*'Dynamic Analysis Dashboard'!$B$9*'Dynamic Analysis Dashboard'!$B$21</f>
        <v>0</v>
      </c>
      <c r="AB493" s="80">
        <f>K493*'Dynamic Analysis Dashboard'!$B$10*'Dynamic Analysis Dashboard'!$B$9*'Dynamic Analysis Dashboard'!$B$21</f>
        <v>0</v>
      </c>
      <c r="AC493" s="85">
        <f>L493*'Dynamic Analysis Dashboard'!$B$11*'Dynamic Analysis Dashboard'!$B$9*'Dynamic Analysis Dashboard'!$B$21</f>
        <v>3.8887499999999998E-6</v>
      </c>
      <c r="AD493" s="120">
        <f t="shared" si="14"/>
        <v>3.8887499999999998E-6</v>
      </c>
      <c r="AE493" s="121">
        <f t="shared" si="15"/>
        <v>2.7221249999999998E-6</v>
      </c>
    </row>
    <row r="494" spans="1:31" x14ac:dyDescent="0.2">
      <c r="A494" t="s">
        <v>90</v>
      </c>
      <c r="B494" t="s">
        <v>164</v>
      </c>
      <c r="C494" t="s">
        <v>2654</v>
      </c>
      <c r="D494" t="s">
        <v>125</v>
      </c>
      <c r="E494" t="s">
        <v>709</v>
      </c>
      <c r="F494" t="s">
        <v>489</v>
      </c>
      <c r="G494" t="s">
        <v>24</v>
      </c>
      <c r="H494" t="s">
        <v>28</v>
      </c>
      <c r="I494">
        <v>0.9</v>
      </c>
      <c r="J494">
        <v>0</v>
      </c>
      <c r="K494">
        <v>0</v>
      </c>
      <c r="L494">
        <v>0</v>
      </c>
      <c r="M494">
        <v>0.9</v>
      </c>
      <c r="N494">
        <v>0.8</v>
      </c>
      <c r="O494">
        <v>6</v>
      </c>
      <c r="P494">
        <v>2</v>
      </c>
      <c r="Q494">
        <v>3</v>
      </c>
      <c r="R494">
        <v>2</v>
      </c>
      <c r="S494">
        <v>10640</v>
      </c>
      <c r="T494">
        <v>1.9E-3</v>
      </c>
      <c r="U494" t="s">
        <v>2655</v>
      </c>
      <c r="V494" t="s">
        <v>129</v>
      </c>
      <c r="W494" t="s">
        <v>788</v>
      </c>
      <c r="X494" t="s">
        <v>131</v>
      </c>
      <c r="Y494" t="s">
        <v>2656</v>
      </c>
      <c r="Z494" s="70">
        <f>I494*'Dynamic Analysis Dashboard'!$B$8*'Dynamic Analysis Dashboard'!$B$9*'Dynamic Analysis Dashboard'!$B$21</f>
        <v>0.60750000000000004</v>
      </c>
      <c r="AA494" s="75">
        <f>J494*'Dynamic Analysis Dashboard'!$B$8*'Dynamic Analysis Dashboard'!$B$9*'Dynamic Analysis Dashboard'!$B$21</f>
        <v>0</v>
      </c>
      <c r="AB494" s="80">
        <f>K494*'Dynamic Analysis Dashboard'!$B$10*'Dynamic Analysis Dashboard'!$B$9*'Dynamic Analysis Dashboard'!$B$21</f>
        <v>0</v>
      </c>
      <c r="AC494" s="85">
        <f>L494*'Dynamic Analysis Dashboard'!$B$11*'Dynamic Analysis Dashboard'!$B$9*'Dynamic Analysis Dashboard'!$B$21</f>
        <v>0</v>
      </c>
      <c r="AD494" s="120">
        <f t="shared" si="14"/>
        <v>0.60750000000000004</v>
      </c>
      <c r="AE494" s="121">
        <f t="shared" si="15"/>
        <v>0.48600000000000004</v>
      </c>
    </row>
    <row r="495" spans="1:31" hidden="1" x14ac:dyDescent="0.2">
      <c r="A495" t="s">
        <v>90</v>
      </c>
      <c r="B495" t="s">
        <v>141</v>
      </c>
      <c r="C495" t="s">
        <v>2657</v>
      </c>
      <c r="D495" t="s">
        <v>1103</v>
      </c>
      <c r="E495" t="s">
        <v>2658</v>
      </c>
      <c r="F495" t="s">
        <v>609</v>
      </c>
      <c r="G495" t="s">
        <v>31</v>
      </c>
      <c r="H495" t="s">
        <v>28</v>
      </c>
      <c r="I495">
        <v>1.8000000000000001E-6</v>
      </c>
      <c r="J495">
        <v>5.4E-6</v>
      </c>
      <c r="K495">
        <v>0</v>
      </c>
      <c r="L495">
        <v>0</v>
      </c>
      <c r="M495">
        <v>7.2000000000000005E-6</v>
      </c>
      <c r="N495">
        <v>0.75</v>
      </c>
      <c r="O495">
        <v>12</v>
      </c>
      <c r="P495">
        <v>4</v>
      </c>
      <c r="Q495">
        <v>2</v>
      </c>
      <c r="R495">
        <v>4</v>
      </c>
      <c r="S495">
        <v>10800</v>
      </c>
      <c r="T495">
        <v>3.5999999999999999E-3</v>
      </c>
      <c r="U495" t="s">
        <v>2659</v>
      </c>
      <c r="V495" t="s">
        <v>2660</v>
      </c>
      <c r="W495" t="s">
        <v>788</v>
      </c>
      <c r="X495" t="s">
        <v>131</v>
      </c>
      <c r="Y495" t="s">
        <v>2661</v>
      </c>
      <c r="Z495" s="70">
        <f>I495*'Dynamic Analysis Dashboard'!$B$8*'Dynamic Analysis Dashboard'!$B$9*'Dynamic Analysis Dashboard'!$B$21</f>
        <v>1.2150000000000002E-6</v>
      </c>
      <c r="AA495" s="75">
        <f>J495*'Dynamic Analysis Dashboard'!$B$8*'Dynamic Analysis Dashboard'!$B$9*'Dynamic Analysis Dashboard'!$B$21</f>
        <v>3.6449999999999998E-6</v>
      </c>
      <c r="AB495" s="80">
        <f>K495*'Dynamic Analysis Dashboard'!$B$10*'Dynamic Analysis Dashboard'!$B$9*'Dynamic Analysis Dashboard'!$B$21</f>
        <v>0</v>
      </c>
      <c r="AC495" s="85">
        <f>L495*'Dynamic Analysis Dashboard'!$B$11*'Dynamic Analysis Dashboard'!$B$9*'Dynamic Analysis Dashboard'!$B$21</f>
        <v>0</v>
      </c>
      <c r="AD495" s="120">
        <f t="shared" si="14"/>
        <v>4.8600000000000001E-6</v>
      </c>
      <c r="AE495" s="121">
        <f t="shared" si="15"/>
        <v>3.6449999999999998E-6</v>
      </c>
    </row>
    <row r="496" spans="1:31" hidden="1" x14ac:dyDescent="0.2">
      <c r="A496" t="s">
        <v>90</v>
      </c>
      <c r="B496" t="s">
        <v>149</v>
      </c>
      <c r="C496" t="s">
        <v>2662</v>
      </c>
      <c r="D496" t="s">
        <v>1988</v>
      </c>
      <c r="E496" t="s">
        <v>174</v>
      </c>
      <c r="F496" t="s">
        <v>231</v>
      </c>
      <c r="G496" t="s">
        <v>31</v>
      </c>
      <c r="H496" t="s">
        <v>25</v>
      </c>
      <c r="I496">
        <v>3.4999999999999999E-6</v>
      </c>
      <c r="J496">
        <v>0</v>
      </c>
      <c r="K496">
        <v>2.1000000000000002E-6</v>
      </c>
      <c r="L496">
        <v>2.1000000000000002E-6</v>
      </c>
      <c r="M496">
        <v>7.7000000000000008E-6</v>
      </c>
      <c r="N496">
        <v>0.8</v>
      </c>
      <c r="O496">
        <v>12</v>
      </c>
      <c r="P496">
        <v>3</v>
      </c>
      <c r="Q496">
        <v>2</v>
      </c>
      <c r="R496">
        <v>4</v>
      </c>
      <c r="S496">
        <v>2585</v>
      </c>
      <c r="T496">
        <v>1.1000000000000001E-3</v>
      </c>
      <c r="U496" t="s">
        <v>2663</v>
      </c>
      <c r="V496" t="s">
        <v>129</v>
      </c>
      <c r="W496" t="s">
        <v>2664</v>
      </c>
      <c r="X496" t="s">
        <v>2665</v>
      </c>
      <c r="Y496" t="s">
        <v>2666</v>
      </c>
      <c r="Z496" s="70">
        <f>I496*'Dynamic Analysis Dashboard'!$B$8*'Dynamic Analysis Dashboard'!$B$9*'Dynamic Analysis Dashboard'!$B$21</f>
        <v>2.3624999999999998E-6</v>
      </c>
      <c r="AA496" s="75">
        <f>J496*'Dynamic Analysis Dashboard'!$B$8*'Dynamic Analysis Dashboard'!$B$9*'Dynamic Analysis Dashboard'!$B$21</f>
        <v>0</v>
      </c>
      <c r="AB496" s="80">
        <f>K496*'Dynamic Analysis Dashboard'!$B$10*'Dynamic Analysis Dashboard'!$B$9*'Dynamic Analysis Dashboard'!$B$21</f>
        <v>1.2600000000000002E-6</v>
      </c>
      <c r="AC496" s="85">
        <f>L496*'Dynamic Analysis Dashboard'!$B$11*'Dynamic Analysis Dashboard'!$B$9*'Dynamic Analysis Dashboard'!$B$21</f>
        <v>1.3387500000000001E-6</v>
      </c>
      <c r="AD496" s="120">
        <f t="shared" si="14"/>
        <v>4.9612500000000001E-6</v>
      </c>
      <c r="AE496" s="121">
        <f t="shared" si="15"/>
        <v>3.9690000000000005E-6</v>
      </c>
    </row>
    <row r="497" spans="1:31" hidden="1" x14ac:dyDescent="0.2">
      <c r="A497" t="s">
        <v>90</v>
      </c>
      <c r="B497" t="s">
        <v>133</v>
      </c>
      <c r="C497" t="s">
        <v>2667</v>
      </c>
      <c r="D497" t="s">
        <v>1103</v>
      </c>
      <c r="E497" t="s">
        <v>796</v>
      </c>
      <c r="F497" t="s">
        <v>609</v>
      </c>
      <c r="G497" t="s">
        <v>31</v>
      </c>
      <c r="H497" t="s">
        <v>25</v>
      </c>
      <c r="I497">
        <v>6.2999999999999998E-6</v>
      </c>
      <c r="J497">
        <v>0</v>
      </c>
      <c r="K497">
        <v>1.3E-6</v>
      </c>
      <c r="L497">
        <v>0</v>
      </c>
      <c r="M497">
        <v>7.5999999999999992E-6</v>
      </c>
      <c r="N497">
        <v>0.75</v>
      </c>
      <c r="O497">
        <v>9</v>
      </c>
      <c r="P497">
        <v>3</v>
      </c>
      <c r="Q497">
        <v>3</v>
      </c>
      <c r="R497">
        <v>3</v>
      </c>
      <c r="S497">
        <v>4950</v>
      </c>
      <c r="T497">
        <v>1.9E-3</v>
      </c>
      <c r="U497" t="s">
        <v>2668</v>
      </c>
      <c r="V497" t="s">
        <v>129</v>
      </c>
      <c r="W497" t="s">
        <v>2669</v>
      </c>
      <c r="X497" t="s">
        <v>131</v>
      </c>
      <c r="Y497" t="s">
        <v>2670</v>
      </c>
      <c r="Z497" s="70">
        <f>I497*'Dynamic Analysis Dashboard'!$B$8*'Dynamic Analysis Dashboard'!$B$9*'Dynamic Analysis Dashboard'!$B$21</f>
        <v>4.2525000000000004E-6</v>
      </c>
      <c r="AA497" s="75">
        <f>J497*'Dynamic Analysis Dashboard'!$B$8*'Dynamic Analysis Dashboard'!$B$9*'Dynamic Analysis Dashboard'!$B$21</f>
        <v>0</v>
      </c>
      <c r="AB497" s="80">
        <f>K497*'Dynamic Analysis Dashboard'!$B$10*'Dynamic Analysis Dashboard'!$B$9*'Dynamic Analysis Dashboard'!$B$21</f>
        <v>7.7999999999999994E-7</v>
      </c>
      <c r="AC497" s="85">
        <f>L497*'Dynamic Analysis Dashboard'!$B$11*'Dynamic Analysis Dashboard'!$B$9*'Dynamic Analysis Dashboard'!$B$21</f>
        <v>0</v>
      </c>
      <c r="AD497" s="120">
        <f t="shared" si="14"/>
        <v>5.0325000000000005E-6</v>
      </c>
      <c r="AE497" s="121">
        <f t="shared" si="15"/>
        <v>3.7743750000000006E-6</v>
      </c>
    </row>
    <row r="498" spans="1:31" hidden="1" x14ac:dyDescent="0.2">
      <c r="A498" t="s">
        <v>90</v>
      </c>
      <c r="B498" t="s">
        <v>172</v>
      </c>
      <c r="C498" t="s">
        <v>2671</v>
      </c>
      <c r="D498" t="s">
        <v>2672</v>
      </c>
      <c r="E498" t="s">
        <v>2673</v>
      </c>
      <c r="F498" t="s">
        <v>609</v>
      </c>
      <c r="G498" t="s">
        <v>38</v>
      </c>
      <c r="H498" t="s">
        <v>311</v>
      </c>
      <c r="I498">
        <v>1.3E-6</v>
      </c>
      <c r="J498">
        <v>0</v>
      </c>
      <c r="K498">
        <v>0</v>
      </c>
      <c r="L498">
        <v>0</v>
      </c>
      <c r="M498">
        <v>1.3E-6</v>
      </c>
      <c r="N498">
        <v>0.75</v>
      </c>
      <c r="O498">
        <v>6</v>
      </c>
      <c r="P498">
        <v>2</v>
      </c>
      <c r="Q498">
        <v>4</v>
      </c>
      <c r="R498">
        <v>2</v>
      </c>
      <c r="S498">
        <v>536</v>
      </c>
      <c r="T498">
        <v>300</v>
      </c>
      <c r="U498" t="s">
        <v>2674</v>
      </c>
      <c r="V498" t="s">
        <v>129</v>
      </c>
      <c r="W498" t="s">
        <v>788</v>
      </c>
      <c r="X498" t="s">
        <v>131</v>
      </c>
      <c r="Y498" t="s">
        <v>2675</v>
      </c>
      <c r="Z498" s="70">
        <f>I498*'Dynamic Analysis Dashboard'!$B$8*'Dynamic Analysis Dashboard'!$B$9*'Dynamic Analysis Dashboard'!$B$21</f>
        <v>8.7750000000000007E-7</v>
      </c>
      <c r="AA498" s="75">
        <f>J498*'Dynamic Analysis Dashboard'!$B$8*'Dynamic Analysis Dashboard'!$B$9*'Dynamic Analysis Dashboard'!$B$21</f>
        <v>0</v>
      </c>
      <c r="AB498" s="80">
        <f>K498*'Dynamic Analysis Dashboard'!$B$10*'Dynamic Analysis Dashboard'!$B$9*'Dynamic Analysis Dashboard'!$B$21</f>
        <v>0</v>
      </c>
      <c r="AC498" s="85">
        <f>L498*'Dynamic Analysis Dashboard'!$B$11*'Dynamic Analysis Dashboard'!$B$9*'Dynamic Analysis Dashboard'!$B$21</f>
        <v>0</v>
      </c>
      <c r="AD498" s="120">
        <f t="shared" si="14"/>
        <v>8.7750000000000007E-7</v>
      </c>
      <c r="AE498" s="121">
        <f t="shared" si="15"/>
        <v>6.5812500000000005E-7</v>
      </c>
    </row>
    <row r="499" spans="1:31" hidden="1" x14ac:dyDescent="0.2">
      <c r="A499" t="s">
        <v>90</v>
      </c>
      <c r="B499" t="s">
        <v>179</v>
      </c>
      <c r="C499" t="s">
        <v>2676</v>
      </c>
      <c r="D499" t="s">
        <v>1988</v>
      </c>
      <c r="E499" t="s">
        <v>2677</v>
      </c>
      <c r="F499" t="s">
        <v>223</v>
      </c>
      <c r="G499" t="s">
        <v>38</v>
      </c>
      <c r="H499" t="s">
        <v>311</v>
      </c>
      <c r="I499">
        <v>0.5</v>
      </c>
      <c r="J499">
        <v>0</v>
      </c>
      <c r="K499">
        <v>1.9999999999999999E-6</v>
      </c>
      <c r="L499">
        <v>0</v>
      </c>
      <c r="M499">
        <v>2.5000000000000002E-6</v>
      </c>
      <c r="N499">
        <v>0.8</v>
      </c>
      <c r="O499">
        <v>12</v>
      </c>
      <c r="P499">
        <v>3</v>
      </c>
      <c r="Q499">
        <v>2</v>
      </c>
      <c r="R499">
        <v>4</v>
      </c>
      <c r="S499">
        <v>1100</v>
      </c>
      <c r="T499">
        <v>500</v>
      </c>
      <c r="U499" t="s">
        <v>2678</v>
      </c>
      <c r="V499" t="s">
        <v>129</v>
      </c>
      <c r="W499" t="s">
        <v>2679</v>
      </c>
      <c r="X499" t="s">
        <v>131</v>
      </c>
      <c r="Y499" t="s">
        <v>2680</v>
      </c>
      <c r="Z499" s="70">
        <f>I499*'Dynamic Analysis Dashboard'!$B$8*'Dynamic Analysis Dashboard'!$B$9*'Dynamic Analysis Dashboard'!$B$21</f>
        <v>0.33750000000000002</v>
      </c>
      <c r="AA499" s="75">
        <f>J499*'Dynamic Analysis Dashboard'!$B$8*'Dynamic Analysis Dashboard'!$B$9*'Dynamic Analysis Dashboard'!$B$21</f>
        <v>0</v>
      </c>
      <c r="AB499" s="80">
        <f>K499*'Dynamic Analysis Dashboard'!$B$10*'Dynamic Analysis Dashboard'!$B$9*'Dynamic Analysis Dashboard'!$B$21</f>
        <v>1.1999999999999999E-6</v>
      </c>
      <c r="AC499" s="85">
        <f>L499*'Dynamic Analysis Dashboard'!$B$11*'Dynamic Analysis Dashboard'!$B$9*'Dynamic Analysis Dashboard'!$B$21</f>
        <v>0</v>
      </c>
      <c r="AD499" s="120">
        <f t="shared" si="14"/>
        <v>0.3375012</v>
      </c>
      <c r="AE499" s="121">
        <f t="shared" si="15"/>
        <v>0.27000096000000001</v>
      </c>
    </row>
    <row r="500" spans="1:31" hidden="1" x14ac:dyDescent="0.2">
      <c r="A500" t="s">
        <v>90</v>
      </c>
      <c r="B500" t="s">
        <v>186</v>
      </c>
      <c r="C500" t="s">
        <v>2681</v>
      </c>
      <c r="D500" t="s">
        <v>166</v>
      </c>
      <c r="E500" t="s">
        <v>2682</v>
      </c>
      <c r="F500" t="s">
        <v>267</v>
      </c>
      <c r="G500" t="s">
        <v>38</v>
      </c>
      <c r="H500" t="s">
        <v>311</v>
      </c>
      <c r="I500">
        <v>0</v>
      </c>
      <c r="J500">
        <v>0</v>
      </c>
      <c r="K500">
        <v>0.4</v>
      </c>
      <c r="L500">
        <v>0</v>
      </c>
      <c r="M500">
        <v>0.4</v>
      </c>
      <c r="N500">
        <v>0.75</v>
      </c>
      <c r="O500">
        <v>9</v>
      </c>
      <c r="P500">
        <v>2</v>
      </c>
      <c r="Q500">
        <v>3</v>
      </c>
      <c r="R500">
        <v>2</v>
      </c>
      <c r="S500">
        <v>1800</v>
      </c>
      <c r="T500">
        <v>600</v>
      </c>
      <c r="U500" t="s">
        <v>1009</v>
      </c>
      <c r="V500" t="s">
        <v>129</v>
      </c>
      <c r="W500" t="s">
        <v>2683</v>
      </c>
      <c r="X500" t="s">
        <v>131</v>
      </c>
      <c r="Y500" t="s">
        <v>2684</v>
      </c>
      <c r="Z500" s="70">
        <f>I500*'Dynamic Analysis Dashboard'!$B$8*'Dynamic Analysis Dashboard'!$B$9*'Dynamic Analysis Dashboard'!$B$21</f>
        <v>0</v>
      </c>
      <c r="AA500" s="75">
        <f>J500*'Dynamic Analysis Dashboard'!$B$8*'Dynamic Analysis Dashboard'!$B$9*'Dynamic Analysis Dashboard'!$B$21</f>
        <v>0</v>
      </c>
      <c r="AB500" s="80">
        <f>K500*'Dynamic Analysis Dashboard'!$B$10*'Dynamic Analysis Dashboard'!$B$9*'Dynamic Analysis Dashboard'!$B$21</f>
        <v>0.24000000000000005</v>
      </c>
      <c r="AC500" s="85">
        <f>L500*'Dynamic Analysis Dashboard'!$B$11*'Dynamic Analysis Dashboard'!$B$9*'Dynamic Analysis Dashboard'!$B$21</f>
        <v>0</v>
      </c>
      <c r="AD500" s="120">
        <f t="shared" si="14"/>
        <v>0.24000000000000005</v>
      </c>
      <c r="AE500" s="121">
        <f t="shared" si="15"/>
        <v>0.18000000000000005</v>
      </c>
    </row>
    <row r="501" spans="1:31" hidden="1" x14ac:dyDescent="0.2">
      <c r="A501" t="s">
        <v>90</v>
      </c>
      <c r="B501" t="s">
        <v>194</v>
      </c>
      <c r="C501" t="s">
        <v>2685</v>
      </c>
      <c r="D501" t="s">
        <v>188</v>
      </c>
      <c r="E501" t="s">
        <v>2686</v>
      </c>
      <c r="F501" t="s">
        <v>259</v>
      </c>
      <c r="G501" t="s">
        <v>38</v>
      </c>
      <c r="H501" t="s">
        <v>311</v>
      </c>
      <c r="I501">
        <v>0.2</v>
      </c>
      <c r="J501">
        <v>0</v>
      </c>
      <c r="K501">
        <v>0</v>
      </c>
      <c r="L501">
        <v>0</v>
      </c>
      <c r="M501">
        <v>0.2</v>
      </c>
      <c r="N501">
        <v>0.7</v>
      </c>
      <c r="O501">
        <v>6</v>
      </c>
      <c r="P501">
        <v>1</v>
      </c>
      <c r="Q501">
        <v>4</v>
      </c>
      <c r="R501">
        <v>1</v>
      </c>
      <c r="S501">
        <v>150</v>
      </c>
      <c r="T501">
        <v>100</v>
      </c>
      <c r="U501" t="s">
        <v>2687</v>
      </c>
      <c r="V501" t="s">
        <v>129</v>
      </c>
      <c r="W501" t="s">
        <v>788</v>
      </c>
      <c r="X501" t="s">
        <v>131</v>
      </c>
      <c r="Y501" t="s">
        <v>2688</v>
      </c>
      <c r="Z501" s="70">
        <f>I501*'Dynamic Analysis Dashboard'!$B$8*'Dynamic Analysis Dashboard'!$B$9*'Dynamic Analysis Dashboard'!$B$21</f>
        <v>0.13500000000000001</v>
      </c>
      <c r="AA501" s="75">
        <f>J501*'Dynamic Analysis Dashboard'!$B$8*'Dynamic Analysis Dashboard'!$B$9*'Dynamic Analysis Dashboard'!$B$21</f>
        <v>0</v>
      </c>
      <c r="AB501" s="80">
        <f>K501*'Dynamic Analysis Dashboard'!$B$10*'Dynamic Analysis Dashboard'!$B$9*'Dynamic Analysis Dashboard'!$B$21</f>
        <v>0</v>
      </c>
      <c r="AC501" s="85">
        <f>L501*'Dynamic Analysis Dashboard'!$B$11*'Dynamic Analysis Dashboard'!$B$9*'Dynamic Analysis Dashboard'!$B$21</f>
        <v>0</v>
      </c>
      <c r="AD501" s="120">
        <f t="shared" si="14"/>
        <v>0.13500000000000001</v>
      </c>
      <c r="AE501" s="121">
        <f t="shared" si="15"/>
        <v>9.4500000000000001E-2</v>
      </c>
    </row>
    <row r="502" spans="1:31" hidden="1" x14ac:dyDescent="0.2">
      <c r="A502" t="s">
        <v>96</v>
      </c>
      <c r="B502" t="s">
        <v>149</v>
      </c>
      <c r="C502" t="s">
        <v>2689</v>
      </c>
      <c r="D502" t="s">
        <v>135</v>
      </c>
      <c r="E502" t="s">
        <v>2690</v>
      </c>
      <c r="F502" t="s">
        <v>518</v>
      </c>
      <c r="G502" t="s">
        <v>24</v>
      </c>
      <c r="H502" t="s">
        <v>25</v>
      </c>
      <c r="I502">
        <v>0</v>
      </c>
      <c r="J502">
        <v>3.7999999999999996E-6</v>
      </c>
      <c r="K502">
        <v>0</v>
      </c>
      <c r="L502">
        <v>0</v>
      </c>
      <c r="M502">
        <v>3.7999999999999996E-6</v>
      </c>
      <c r="N502">
        <v>0.75</v>
      </c>
      <c r="O502">
        <v>6</v>
      </c>
      <c r="P502">
        <v>3</v>
      </c>
      <c r="Q502">
        <v>3</v>
      </c>
      <c r="R502">
        <v>2</v>
      </c>
      <c r="S502">
        <v>13920</v>
      </c>
      <c r="T502">
        <v>1.1999999999999999E-3</v>
      </c>
      <c r="U502" t="s">
        <v>2691</v>
      </c>
      <c r="V502" t="s">
        <v>2692</v>
      </c>
      <c r="W502" t="s">
        <v>130</v>
      </c>
      <c r="X502" t="s">
        <v>131</v>
      </c>
      <c r="Y502" t="s">
        <v>2693</v>
      </c>
      <c r="Z502" s="70">
        <f>I502*'Dynamic Analysis Dashboard'!$B$8*'Dynamic Analysis Dashboard'!$B$9*'Dynamic Analysis Dashboard'!$B$21</f>
        <v>0</v>
      </c>
      <c r="AA502" s="75">
        <f>J502*'Dynamic Analysis Dashboard'!$B$8*'Dynamic Analysis Dashboard'!$B$9*'Dynamic Analysis Dashboard'!$B$21</f>
        <v>2.565E-6</v>
      </c>
      <c r="AB502" s="80">
        <f>K502*'Dynamic Analysis Dashboard'!$B$10*'Dynamic Analysis Dashboard'!$B$9*'Dynamic Analysis Dashboard'!$B$21</f>
        <v>0</v>
      </c>
      <c r="AC502" s="85">
        <f>L502*'Dynamic Analysis Dashboard'!$B$11*'Dynamic Analysis Dashboard'!$B$9*'Dynamic Analysis Dashboard'!$B$21</f>
        <v>0</v>
      </c>
      <c r="AD502" s="120">
        <f t="shared" si="14"/>
        <v>2.565E-6</v>
      </c>
      <c r="AE502" s="121">
        <f t="shared" si="15"/>
        <v>1.92375E-6</v>
      </c>
    </row>
    <row r="503" spans="1:31" x14ac:dyDescent="0.2">
      <c r="A503" t="s">
        <v>96</v>
      </c>
      <c r="B503" t="s">
        <v>156</v>
      </c>
      <c r="C503" t="s">
        <v>2694</v>
      </c>
      <c r="D503" t="s">
        <v>135</v>
      </c>
      <c r="E503" t="s">
        <v>295</v>
      </c>
      <c r="F503" t="s">
        <v>231</v>
      </c>
      <c r="G503" t="s">
        <v>24</v>
      </c>
      <c r="H503" t="s">
        <v>25</v>
      </c>
      <c r="I503">
        <v>0.3</v>
      </c>
      <c r="J503">
        <v>2.1000000000000002E-6</v>
      </c>
      <c r="K503">
        <v>0</v>
      </c>
      <c r="L503">
        <v>0</v>
      </c>
      <c r="M503">
        <v>2.3999999999999999E-6</v>
      </c>
      <c r="N503">
        <v>0.75</v>
      </c>
      <c r="O503">
        <v>6</v>
      </c>
      <c r="P503">
        <v>2</v>
      </c>
      <c r="Q503">
        <v>4</v>
      </c>
      <c r="R503">
        <v>3</v>
      </c>
      <c r="S503">
        <v>1767</v>
      </c>
      <c r="T503">
        <v>200</v>
      </c>
      <c r="U503" t="s">
        <v>2695</v>
      </c>
      <c r="V503" t="s">
        <v>2696</v>
      </c>
      <c r="W503" t="s">
        <v>130</v>
      </c>
      <c r="X503" t="s">
        <v>131</v>
      </c>
      <c r="Y503" t="s">
        <v>2697</v>
      </c>
      <c r="Z503" s="70">
        <f>I503*'Dynamic Analysis Dashboard'!$B$8*'Dynamic Analysis Dashboard'!$B$9*'Dynamic Analysis Dashboard'!$B$21</f>
        <v>0.20250000000000001</v>
      </c>
      <c r="AA503" s="75">
        <f>J503*'Dynamic Analysis Dashboard'!$B$8*'Dynamic Analysis Dashboard'!$B$9*'Dynamic Analysis Dashboard'!$B$21</f>
        <v>1.4175000000000002E-6</v>
      </c>
      <c r="AB503" s="80">
        <f>K503*'Dynamic Analysis Dashboard'!$B$10*'Dynamic Analysis Dashboard'!$B$9*'Dynamic Analysis Dashboard'!$B$21</f>
        <v>0</v>
      </c>
      <c r="AC503" s="85">
        <f>L503*'Dynamic Analysis Dashboard'!$B$11*'Dynamic Analysis Dashboard'!$B$9*'Dynamic Analysis Dashboard'!$B$21</f>
        <v>0</v>
      </c>
      <c r="AD503" s="120">
        <f t="shared" si="14"/>
        <v>0.2025014175</v>
      </c>
      <c r="AE503" s="121">
        <f t="shared" si="15"/>
        <v>0.15187606312500002</v>
      </c>
    </row>
    <row r="504" spans="1:31" hidden="1" x14ac:dyDescent="0.2">
      <c r="A504" t="s">
        <v>96</v>
      </c>
      <c r="B504" t="s">
        <v>141</v>
      </c>
      <c r="C504" t="s">
        <v>2698</v>
      </c>
      <c r="D504" t="s">
        <v>125</v>
      </c>
      <c r="E504" t="s">
        <v>709</v>
      </c>
      <c r="F504" t="s">
        <v>518</v>
      </c>
      <c r="G504" t="s">
        <v>38</v>
      </c>
      <c r="H504" t="s">
        <v>28</v>
      </c>
      <c r="I504">
        <v>1.8999999999999998E-6</v>
      </c>
      <c r="J504">
        <v>0</v>
      </c>
      <c r="K504">
        <v>0</v>
      </c>
      <c r="L504">
        <v>0</v>
      </c>
      <c r="M504">
        <v>1.8999999999999998E-6</v>
      </c>
      <c r="N504">
        <v>0.8</v>
      </c>
      <c r="O504">
        <v>9</v>
      </c>
      <c r="P504">
        <v>3</v>
      </c>
      <c r="Q504">
        <v>3</v>
      </c>
      <c r="R504">
        <v>3</v>
      </c>
      <c r="S504">
        <v>23040</v>
      </c>
      <c r="T504">
        <v>1.9E-3</v>
      </c>
      <c r="U504" t="s">
        <v>2699</v>
      </c>
      <c r="V504" t="s">
        <v>129</v>
      </c>
      <c r="W504" t="s">
        <v>130</v>
      </c>
      <c r="X504" t="s">
        <v>131</v>
      </c>
      <c r="Y504" t="s">
        <v>2700</v>
      </c>
      <c r="Z504" s="70">
        <f>I504*'Dynamic Analysis Dashboard'!$B$8*'Dynamic Analysis Dashboard'!$B$9*'Dynamic Analysis Dashboard'!$B$21</f>
        <v>1.2825E-6</v>
      </c>
      <c r="AA504" s="75">
        <f>J504*'Dynamic Analysis Dashboard'!$B$8*'Dynamic Analysis Dashboard'!$B$9*'Dynamic Analysis Dashboard'!$B$21</f>
        <v>0</v>
      </c>
      <c r="AB504" s="80">
        <f>K504*'Dynamic Analysis Dashboard'!$B$10*'Dynamic Analysis Dashboard'!$B$9*'Dynamic Analysis Dashboard'!$B$21</f>
        <v>0</v>
      </c>
      <c r="AC504" s="85">
        <f>L504*'Dynamic Analysis Dashboard'!$B$11*'Dynamic Analysis Dashboard'!$B$9*'Dynamic Analysis Dashboard'!$B$21</f>
        <v>0</v>
      </c>
      <c r="AD504" s="120">
        <f t="shared" si="14"/>
        <v>1.2825E-6</v>
      </c>
      <c r="AE504" s="121">
        <f t="shared" si="15"/>
        <v>1.026E-6</v>
      </c>
    </row>
    <row r="505" spans="1:31" hidden="1" x14ac:dyDescent="0.2">
      <c r="A505" t="s">
        <v>96</v>
      </c>
      <c r="B505" t="s">
        <v>123</v>
      </c>
      <c r="C505" t="s">
        <v>2701</v>
      </c>
      <c r="D505" t="s">
        <v>464</v>
      </c>
      <c r="E505" t="s">
        <v>1072</v>
      </c>
      <c r="F505" t="s">
        <v>145</v>
      </c>
      <c r="G505" t="s">
        <v>38</v>
      </c>
      <c r="H505" t="s">
        <v>311</v>
      </c>
      <c r="I505">
        <v>0.9</v>
      </c>
      <c r="J505">
        <v>0</v>
      </c>
      <c r="K505">
        <v>0</v>
      </c>
      <c r="L505">
        <v>0</v>
      </c>
      <c r="M505">
        <v>0.9</v>
      </c>
      <c r="N505">
        <v>0.75</v>
      </c>
      <c r="O505">
        <v>12</v>
      </c>
      <c r="P505">
        <v>4</v>
      </c>
      <c r="Q505">
        <v>2</v>
      </c>
      <c r="R505">
        <v>4</v>
      </c>
      <c r="S505">
        <v>7200</v>
      </c>
      <c r="T505">
        <v>500</v>
      </c>
      <c r="U505" t="s">
        <v>2702</v>
      </c>
      <c r="V505" t="s">
        <v>129</v>
      </c>
      <c r="W505" t="s">
        <v>130</v>
      </c>
      <c r="X505" t="s">
        <v>131</v>
      </c>
      <c r="Y505" t="s">
        <v>2703</v>
      </c>
      <c r="Z505" s="70">
        <f>I505*'Dynamic Analysis Dashboard'!$B$8*'Dynamic Analysis Dashboard'!$B$9*'Dynamic Analysis Dashboard'!$B$21</f>
        <v>0.60750000000000004</v>
      </c>
      <c r="AA505" s="75">
        <f>J505*'Dynamic Analysis Dashboard'!$B$8*'Dynamic Analysis Dashboard'!$B$9*'Dynamic Analysis Dashboard'!$B$21</f>
        <v>0</v>
      </c>
      <c r="AB505" s="80">
        <f>K505*'Dynamic Analysis Dashboard'!$B$10*'Dynamic Analysis Dashboard'!$B$9*'Dynamic Analysis Dashboard'!$B$21</f>
        <v>0</v>
      </c>
      <c r="AC505" s="85">
        <f>L505*'Dynamic Analysis Dashboard'!$B$11*'Dynamic Analysis Dashboard'!$B$9*'Dynamic Analysis Dashboard'!$B$21</f>
        <v>0</v>
      </c>
      <c r="AD505" s="120">
        <f t="shared" si="14"/>
        <v>0.60750000000000004</v>
      </c>
      <c r="AE505" s="121">
        <f t="shared" si="15"/>
        <v>0.45562500000000006</v>
      </c>
    </row>
    <row r="506" spans="1:31" hidden="1" x14ac:dyDescent="0.2">
      <c r="A506" t="s">
        <v>96</v>
      </c>
      <c r="B506" t="s">
        <v>133</v>
      </c>
      <c r="C506" t="s">
        <v>2704</v>
      </c>
      <c r="D506" t="s">
        <v>1438</v>
      </c>
      <c r="E506" t="s">
        <v>2705</v>
      </c>
      <c r="F506" t="s">
        <v>622</v>
      </c>
      <c r="G506" t="s">
        <v>38</v>
      </c>
      <c r="H506" t="s">
        <v>28</v>
      </c>
      <c r="I506">
        <v>0.5</v>
      </c>
      <c r="J506">
        <v>0</v>
      </c>
      <c r="K506">
        <v>1.8999999999999998E-6</v>
      </c>
      <c r="L506">
        <v>0</v>
      </c>
      <c r="M506">
        <v>2.3999999999999999E-6</v>
      </c>
      <c r="N506">
        <v>0.7</v>
      </c>
      <c r="O506">
        <v>9</v>
      </c>
      <c r="P506">
        <v>3</v>
      </c>
      <c r="Q506">
        <v>2</v>
      </c>
      <c r="R506">
        <v>3</v>
      </c>
      <c r="S506">
        <v>9600</v>
      </c>
      <c r="T506">
        <v>700</v>
      </c>
      <c r="U506" t="s">
        <v>2706</v>
      </c>
      <c r="V506" t="s">
        <v>129</v>
      </c>
      <c r="W506" t="s">
        <v>2707</v>
      </c>
      <c r="X506" t="s">
        <v>131</v>
      </c>
      <c r="Y506" t="s">
        <v>2708</v>
      </c>
      <c r="Z506" s="70">
        <f>I506*'Dynamic Analysis Dashboard'!$B$8*'Dynamic Analysis Dashboard'!$B$9*'Dynamic Analysis Dashboard'!$B$21</f>
        <v>0.33750000000000002</v>
      </c>
      <c r="AA506" s="75">
        <f>J506*'Dynamic Analysis Dashboard'!$B$8*'Dynamic Analysis Dashboard'!$B$9*'Dynamic Analysis Dashboard'!$B$21</f>
        <v>0</v>
      </c>
      <c r="AB506" s="80">
        <f>K506*'Dynamic Analysis Dashboard'!$B$10*'Dynamic Analysis Dashboard'!$B$9*'Dynamic Analysis Dashboard'!$B$21</f>
        <v>1.1399999999999999E-6</v>
      </c>
      <c r="AC506" s="85">
        <f>L506*'Dynamic Analysis Dashboard'!$B$11*'Dynamic Analysis Dashboard'!$B$9*'Dynamic Analysis Dashboard'!$B$21</f>
        <v>0</v>
      </c>
      <c r="AD506" s="120">
        <f t="shared" si="14"/>
        <v>0.33750114000000003</v>
      </c>
      <c r="AE506" s="121">
        <f t="shared" si="15"/>
        <v>0.23625079800000001</v>
      </c>
    </row>
    <row r="507" spans="1:31" hidden="1" x14ac:dyDescent="0.2">
      <c r="A507" t="s">
        <v>96</v>
      </c>
      <c r="B507" t="s">
        <v>164</v>
      </c>
      <c r="C507" t="s">
        <v>2709</v>
      </c>
      <c r="D507" t="s">
        <v>595</v>
      </c>
      <c r="E507" t="s">
        <v>680</v>
      </c>
      <c r="F507" t="s">
        <v>145</v>
      </c>
      <c r="G507" t="s">
        <v>38</v>
      </c>
      <c r="H507" t="s">
        <v>33</v>
      </c>
      <c r="I507">
        <v>0.2</v>
      </c>
      <c r="J507">
        <v>0</v>
      </c>
      <c r="K507">
        <v>0</v>
      </c>
      <c r="L507">
        <v>3.2000000000000003E-6</v>
      </c>
      <c r="M507">
        <v>3.4000000000000001E-6</v>
      </c>
      <c r="N507">
        <v>0.7</v>
      </c>
      <c r="O507">
        <v>12</v>
      </c>
      <c r="P507">
        <v>4</v>
      </c>
      <c r="Q507">
        <v>3</v>
      </c>
      <c r="R507">
        <v>4</v>
      </c>
      <c r="S507">
        <v>1920</v>
      </c>
      <c r="T507">
        <v>200</v>
      </c>
      <c r="U507" t="s">
        <v>2710</v>
      </c>
      <c r="V507" t="s">
        <v>129</v>
      </c>
      <c r="W507" t="s">
        <v>130</v>
      </c>
      <c r="X507" t="s">
        <v>2711</v>
      </c>
      <c r="Y507" t="s">
        <v>2712</v>
      </c>
      <c r="Z507" s="70">
        <f>I507*'Dynamic Analysis Dashboard'!$B$8*'Dynamic Analysis Dashboard'!$B$9*'Dynamic Analysis Dashboard'!$B$21</f>
        <v>0.13500000000000001</v>
      </c>
      <c r="AA507" s="75">
        <f>J507*'Dynamic Analysis Dashboard'!$B$8*'Dynamic Analysis Dashboard'!$B$9*'Dynamic Analysis Dashboard'!$B$21</f>
        <v>0</v>
      </c>
      <c r="AB507" s="80">
        <f>K507*'Dynamic Analysis Dashboard'!$B$10*'Dynamic Analysis Dashboard'!$B$9*'Dynamic Analysis Dashboard'!$B$21</f>
        <v>0</v>
      </c>
      <c r="AC507" s="85">
        <f>L507*'Dynamic Analysis Dashboard'!$B$11*'Dynamic Analysis Dashboard'!$B$9*'Dynamic Analysis Dashboard'!$B$21</f>
        <v>2.04E-6</v>
      </c>
      <c r="AD507" s="120">
        <f t="shared" si="14"/>
        <v>0.13500204000000002</v>
      </c>
      <c r="AE507" s="121">
        <f t="shared" si="15"/>
        <v>9.4501428000000012E-2</v>
      </c>
    </row>
    <row r="508" spans="1:31" hidden="1" x14ac:dyDescent="0.2">
      <c r="A508" t="s">
        <v>96</v>
      </c>
      <c r="B508" t="s">
        <v>172</v>
      </c>
      <c r="C508" t="s">
        <v>2713</v>
      </c>
      <c r="D508" t="s">
        <v>166</v>
      </c>
      <c r="E508" t="s">
        <v>2714</v>
      </c>
      <c r="F508" t="s">
        <v>206</v>
      </c>
      <c r="G508" t="s">
        <v>38</v>
      </c>
      <c r="H508" t="s">
        <v>28</v>
      </c>
      <c r="I508">
        <v>0.2</v>
      </c>
      <c r="J508">
        <v>0</v>
      </c>
      <c r="K508">
        <v>0</v>
      </c>
      <c r="L508">
        <v>2.3999999999999999E-6</v>
      </c>
      <c r="M508">
        <v>2.6000000000000001E-6</v>
      </c>
      <c r="N508">
        <v>0.75</v>
      </c>
      <c r="O508">
        <v>9</v>
      </c>
      <c r="P508">
        <v>3</v>
      </c>
      <c r="Q508">
        <v>4</v>
      </c>
      <c r="R508">
        <v>3</v>
      </c>
      <c r="S508">
        <v>2800</v>
      </c>
      <c r="T508">
        <v>300</v>
      </c>
      <c r="U508" t="s">
        <v>2715</v>
      </c>
      <c r="V508" t="s">
        <v>129</v>
      </c>
      <c r="W508" t="s">
        <v>130</v>
      </c>
      <c r="X508" t="s">
        <v>2716</v>
      </c>
      <c r="Y508" t="s">
        <v>2717</v>
      </c>
      <c r="Z508" s="70">
        <f>I508*'Dynamic Analysis Dashboard'!$B$8*'Dynamic Analysis Dashboard'!$B$9*'Dynamic Analysis Dashboard'!$B$21</f>
        <v>0.13500000000000001</v>
      </c>
      <c r="AA508" s="75">
        <f>J508*'Dynamic Analysis Dashboard'!$B$8*'Dynamic Analysis Dashboard'!$B$9*'Dynamic Analysis Dashboard'!$B$21</f>
        <v>0</v>
      </c>
      <c r="AB508" s="80">
        <f>K508*'Dynamic Analysis Dashboard'!$B$10*'Dynamic Analysis Dashboard'!$B$9*'Dynamic Analysis Dashboard'!$B$21</f>
        <v>0</v>
      </c>
      <c r="AC508" s="85">
        <f>L508*'Dynamic Analysis Dashboard'!$B$11*'Dynamic Analysis Dashboard'!$B$9*'Dynamic Analysis Dashboard'!$B$21</f>
        <v>1.53E-6</v>
      </c>
      <c r="AD508" s="120">
        <f t="shared" si="14"/>
        <v>0.13500153000000001</v>
      </c>
      <c r="AE508" s="121">
        <f t="shared" si="15"/>
        <v>0.1012511475</v>
      </c>
    </row>
    <row r="509" spans="1:31" hidden="1" x14ac:dyDescent="0.2">
      <c r="A509" t="s">
        <v>96</v>
      </c>
      <c r="B509" t="s">
        <v>179</v>
      </c>
      <c r="C509" t="s">
        <v>2718</v>
      </c>
      <c r="D509" t="s">
        <v>464</v>
      </c>
      <c r="E509" t="s">
        <v>2719</v>
      </c>
      <c r="F509" t="s">
        <v>1180</v>
      </c>
      <c r="G509" t="s">
        <v>38</v>
      </c>
      <c r="H509" t="s">
        <v>33</v>
      </c>
      <c r="I509">
        <v>0.4</v>
      </c>
      <c r="J509">
        <v>4.6999999999999999E-6</v>
      </c>
      <c r="K509">
        <v>0</v>
      </c>
      <c r="L509">
        <v>0</v>
      </c>
      <c r="M509">
        <v>5.0999999999999995E-6</v>
      </c>
      <c r="N509">
        <v>0.7</v>
      </c>
      <c r="O509">
        <v>12</v>
      </c>
      <c r="P509">
        <v>4</v>
      </c>
      <c r="Q509">
        <v>3</v>
      </c>
      <c r="R509">
        <v>4</v>
      </c>
      <c r="S509">
        <v>800</v>
      </c>
      <c r="T509">
        <v>200</v>
      </c>
      <c r="U509" t="s">
        <v>2720</v>
      </c>
      <c r="V509" t="s">
        <v>2721</v>
      </c>
      <c r="W509" t="s">
        <v>130</v>
      </c>
      <c r="X509" t="s">
        <v>131</v>
      </c>
      <c r="Y509" t="s">
        <v>2722</v>
      </c>
      <c r="Z509" s="70">
        <f>I509*'Dynamic Analysis Dashboard'!$B$8*'Dynamic Analysis Dashboard'!$B$9*'Dynamic Analysis Dashboard'!$B$21</f>
        <v>0.27</v>
      </c>
      <c r="AA509" s="75">
        <f>J509*'Dynamic Analysis Dashboard'!$B$8*'Dynamic Analysis Dashboard'!$B$9*'Dynamic Analysis Dashboard'!$B$21</f>
        <v>3.1725000000000001E-6</v>
      </c>
      <c r="AB509" s="80">
        <f>K509*'Dynamic Analysis Dashboard'!$B$10*'Dynamic Analysis Dashboard'!$B$9*'Dynamic Analysis Dashboard'!$B$21</f>
        <v>0</v>
      </c>
      <c r="AC509" s="85">
        <f>L509*'Dynamic Analysis Dashboard'!$B$11*'Dynamic Analysis Dashboard'!$B$9*'Dynamic Analysis Dashboard'!$B$21</f>
        <v>0</v>
      </c>
      <c r="AD509" s="120">
        <f t="shared" si="14"/>
        <v>0.2700031725</v>
      </c>
      <c r="AE509" s="121">
        <f t="shared" si="15"/>
        <v>0.18900222074999998</v>
      </c>
    </row>
    <row r="510" spans="1:31" hidden="1" x14ac:dyDescent="0.2">
      <c r="A510" t="s">
        <v>96</v>
      </c>
      <c r="B510" t="s">
        <v>186</v>
      </c>
      <c r="C510" t="s">
        <v>2723</v>
      </c>
      <c r="D510" t="s">
        <v>1438</v>
      </c>
      <c r="E510" t="s">
        <v>2292</v>
      </c>
      <c r="F510" t="s">
        <v>533</v>
      </c>
      <c r="G510" t="s">
        <v>38</v>
      </c>
      <c r="H510" t="s">
        <v>33</v>
      </c>
      <c r="I510">
        <v>0.4</v>
      </c>
      <c r="J510">
        <v>0</v>
      </c>
      <c r="K510">
        <v>1.1999999999999999E-6</v>
      </c>
      <c r="L510">
        <v>0</v>
      </c>
      <c r="M510">
        <v>1.6000000000000001E-6</v>
      </c>
      <c r="N510">
        <v>0.75</v>
      </c>
      <c r="O510">
        <v>9</v>
      </c>
      <c r="P510">
        <v>3</v>
      </c>
      <c r="Q510">
        <v>2</v>
      </c>
      <c r="R510">
        <v>3</v>
      </c>
      <c r="S510">
        <v>2176</v>
      </c>
      <c r="T510">
        <v>300</v>
      </c>
      <c r="U510" t="s">
        <v>2724</v>
      </c>
      <c r="V510" t="s">
        <v>129</v>
      </c>
      <c r="W510" t="s">
        <v>2725</v>
      </c>
      <c r="X510" t="s">
        <v>131</v>
      </c>
      <c r="Y510" t="s">
        <v>2726</v>
      </c>
      <c r="Z510" s="70">
        <f>I510*'Dynamic Analysis Dashboard'!$B$8*'Dynamic Analysis Dashboard'!$B$9*'Dynamic Analysis Dashboard'!$B$21</f>
        <v>0.27</v>
      </c>
      <c r="AA510" s="75">
        <f>J510*'Dynamic Analysis Dashboard'!$B$8*'Dynamic Analysis Dashboard'!$B$9*'Dynamic Analysis Dashboard'!$B$21</f>
        <v>0</v>
      </c>
      <c r="AB510" s="80">
        <f>K510*'Dynamic Analysis Dashboard'!$B$10*'Dynamic Analysis Dashboard'!$B$9*'Dynamic Analysis Dashboard'!$B$21</f>
        <v>7.1999999999999988E-7</v>
      </c>
      <c r="AC510" s="85">
        <f>L510*'Dynamic Analysis Dashboard'!$B$11*'Dynamic Analysis Dashboard'!$B$9*'Dynamic Analysis Dashboard'!$B$21</f>
        <v>0</v>
      </c>
      <c r="AD510" s="120">
        <f t="shared" si="14"/>
        <v>0.27000072000000003</v>
      </c>
      <c r="AE510" s="121">
        <f t="shared" si="15"/>
        <v>0.20250054000000001</v>
      </c>
    </row>
    <row r="511" spans="1:31" hidden="1" x14ac:dyDescent="0.2">
      <c r="A511" t="s">
        <v>96</v>
      </c>
      <c r="B511" t="s">
        <v>194</v>
      </c>
      <c r="C511" t="s">
        <v>2727</v>
      </c>
      <c r="D511" t="s">
        <v>188</v>
      </c>
      <c r="E511" t="s">
        <v>2728</v>
      </c>
      <c r="F511" t="s">
        <v>2729</v>
      </c>
      <c r="G511" t="s">
        <v>38</v>
      </c>
      <c r="H511" t="s">
        <v>311</v>
      </c>
      <c r="I511">
        <v>0.5</v>
      </c>
      <c r="J511">
        <v>0</v>
      </c>
      <c r="K511">
        <v>0</v>
      </c>
      <c r="L511">
        <v>0</v>
      </c>
      <c r="M511">
        <v>0.5</v>
      </c>
      <c r="N511">
        <v>0.8</v>
      </c>
      <c r="O511">
        <v>9</v>
      </c>
      <c r="P511">
        <v>3</v>
      </c>
      <c r="Q511">
        <v>3</v>
      </c>
      <c r="R511">
        <v>2</v>
      </c>
      <c r="S511">
        <v>10080</v>
      </c>
      <c r="T511">
        <v>800</v>
      </c>
      <c r="U511" t="s">
        <v>2730</v>
      </c>
      <c r="V511" t="s">
        <v>129</v>
      </c>
      <c r="W511" t="s">
        <v>130</v>
      </c>
      <c r="X511" t="s">
        <v>131</v>
      </c>
      <c r="Y511" t="s">
        <v>2731</v>
      </c>
      <c r="Z511" s="70">
        <f>I511*'Dynamic Analysis Dashboard'!$B$8*'Dynamic Analysis Dashboard'!$B$9*'Dynamic Analysis Dashboard'!$B$21</f>
        <v>0.33750000000000002</v>
      </c>
      <c r="AA511" s="75">
        <f>J511*'Dynamic Analysis Dashboard'!$B$8*'Dynamic Analysis Dashboard'!$B$9*'Dynamic Analysis Dashboard'!$B$21</f>
        <v>0</v>
      </c>
      <c r="AB511" s="80">
        <f>K511*'Dynamic Analysis Dashboard'!$B$10*'Dynamic Analysis Dashboard'!$B$9*'Dynamic Analysis Dashboard'!$B$21</f>
        <v>0</v>
      </c>
      <c r="AC511" s="85">
        <f>L511*'Dynamic Analysis Dashboard'!$B$11*'Dynamic Analysis Dashboard'!$B$9*'Dynamic Analysis Dashboard'!$B$21</f>
        <v>0</v>
      </c>
      <c r="AD511" s="120">
        <f t="shared" si="14"/>
        <v>0.33750000000000002</v>
      </c>
      <c r="AE511" s="121">
        <f t="shared" si="15"/>
        <v>0.27</v>
      </c>
    </row>
    <row r="512" spans="1:31" x14ac:dyDescent="0.2">
      <c r="A512" t="s">
        <v>86</v>
      </c>
      <c r="B512" t="s">
        <v>141</v>
      </c>
      <c r="C512" t="s">
        <v>2732</v>
      </c>
      <c r="D512" t="s">
        <v>1357</v>
      </c>
      <c r="E512" t="s">
        <v>2733</v>
      </c>
      <c r="F512" t="s">
        <v>518</v>
      </c>
      <c r="G512" t="s">
        <v>24</v>
      </c>
      <c r="H512" t="s">
        <v>28</v>
      </c>
      <c r="I512">
        <v>2.7E-6</v>
      </c>
      <c r="J512">
        <v>0</v>
      </c>
      <c r="K512">
        <v>0</v>
      </c>
      <c r="L512">
        <v>0</v>
      </c>
      <c r="M512">
        <v>2.7E-6</v>
      </c>
      <c r="N512">
        <v>0.8</v>
      </c>
      <c r="O512">
        <v>6</v>
      </c>
      <c r="P512">
        <v>3</v>
      </c>
      <c r="Q512">
        <v>3</v>
      </c>
      <c r="R512">
        <v>2</v>
      </c>
      <c r="S512">
        <v>56000</v>
      </c>
      <c r="T512">
        <v>1.8E-3</v>
      </c>
      <c r="U512" t="s">
        <v>2734</v>
      </c>
      <c r="V512" t="s">
        <v>2214</v>
      </c>
      <c r="W512" t="s">
        <v>2735</v>
      </c>
      <c r="X512" t="s">
        <v>2736</v>
      </c>
      <c r="Y512" t="s">
        <v>2737</v>
      </c>
      <c r="Z512" s="70">
        <f>I512*'Dynamic Analysis Dashboard'!$B$8*'Dynamic Analysis Dashboard'!$B$9*'Dynamic Analysis Dashboard'!$B$21</f>
        <v>1.8224999999999999E-6</v>
      </c>
      <c r="AA512" s="75">
        <f>J512*'Dynamic Analysis Dashboard'!$B$8*'Dynamic Analysis Dashboard'!$B$9*'Dynamic Analysis Dashboard'!$B$21</f>
        <v>0</v>
      </c>
      <c r="AB512" s="80">
        <f>K512*'Dynamic Analysis Dashboard'!$B$10*'Dynamic Analysis Dashboard'!$B$9*'Dynamic Analysis Dashboard'!$B$21</f>
        <v>0</v>
      </c>
      <c r="AC512" s="85">
        <f>L512*'Dynamic Analysis Dashboard'!$B$11*'Dynamic Analysis Dashboard'!$B$9*'Dynamic Analysis Dashboard'!$B$21</f>
        <v>0</v>
      </c>
      <c r="AD512" s="120">
        <f t="shared" si="14"/>
        <v>1.8224999999999999E-6</v>
      </c>
      <c r="AE512" s="121">
        <f t="shared" si="15"/>
        <v>1.4580000000000001E-6</v>
      </c>
    </row>
    <row r="513" spans="1:31" x14ac:dyDescent="0.2">
      <c r="A513" t="s">
        <v>86</v>
      </c>
      <c r="B513" t="s">
        <v>123</v>
      </c>
      <c r="C513" t="s">
        <v>2738</v>
      </c>
      <c r="D513" t="s">
        <v>595</v>
      </c>
      <c r="E513" t="s">
        <v>680</v>
      </c>
      <c r="F513" t="s">
        <v>324</v>
      </c>
      <c r="G513" t="s">
        <v>24</v>
      </c>
      <c r="H513" t="s">
        <v>28</v>
      </c>
      <c r="I513">
        <v>9.5000000000000005E-6</v>
      </c>
      <c r="J513">
        <v>0</v>
      </c>
      <c r="K513">
        <v>0</v>
      </c>
      <c r="L513">
        <v>7.9999999999999996E-6</v>
      </c>
      <c r="M513">
        <v>1.7499999999999998E-5</v>
      </c>
      <c r="N513">
        <v>0.7</v>
      </c>
      <c r="O513">
        <v>12</v>
      </c>
      <c r="P513">
        <v>4</v>
      </c>
      <c r="Q513">
        <v>2</v>
      </c>
      <c r="R513">
        <v>4</v>
      </c>
      <c r="S513">
        <v>87500</v>
      </c>
      <c r="T513">
        <v>3.0999999999999999E-3</v>
      </c>
      <c r="U513" t="s">
        <v>2739</v>
      </c>
      <c r="V513" t="s">
        <v>2214</v>
      </c>
      <c r="W513" t="s">
        <v>2735</v>
      </c>
      <c r="X513" t="s">
        <v>2740</v>
      </c>
      <c r="Y513" t="s">
        <v>2741</v>
      </c>
      <c r="Z513" s="70">
        <f>I513*'Dynamic Analysis Dashboard'!$B$8*'Dynamic Analysis Dashboard'!$B$9*'Dynamic Analysis Dashboard'!$B$21</f>
        <v>6.4125000000000009E-6</v>
      </c>
      <c r="AA513" s="75">
        <f>J513*'Dynamic Analysis Dashboard'!$B$8*'Dynamic Analysis Dashboard'!$B$9*'Dynamic Analysis Dashboard'!$B$21</f>
        <v>0</v>
      </c>
      <c r="AB513" s="80">
        <f>K513*'Dynamic Analysis Dashboard'!$B$10*'Dynamic Analysis Dashboard'!$B$9*'Dynamic Analysis Dashboard'!$B$21</f>
        <v>0</v>
      </c>
      <c r="AC513" s="85">
        <f>L513*'Dynamic Analysis Dashboard'!$B$11*'Dynamic Analysis Dashboard'!$B$9*'Dynamic Analysis Dashboard'!$B$21</f>
        <v>5.0999999999999995E-6</v>
      </c>
      <c r="AD513" s="120">
        <f t="shared" si="14"/>
        <v>1.15125E-5</v>
      </c>
      <c r="AE513" s="121">
        <f t="shared" si="15"/>
        <v>8.0587499999999997E-6</v>
      </c>
    </row>
    <row r="514" spans="1:31" x14ac:dyDescent="0.2">
      <c r="A514" t="s">
        <v>86</v>
      </c>
      <c r="B514" t="s">
        <v>133</v>
      </c>
      <c r="C514" t="s">
        <v>2742</v>
      </c>
      <c r="D514" t="s">
        <v>1357</v>
      </c>
      <c r="E514" t="s">
        <v>2743</v>
      </c>
      <c r="F514" t="s">
        <v>439</v>
      </c>
      <c r="G514" t="s">
        <v>24</v>
      </c>
      <c r="H514" t="s">
        <v>28</v>
      </c>
      <c r="I514">
        <v>0.4</v>
      </c>
      <c r="J514">
        <v>4.2999999999999995E-6</v>
      </c>
      <c r="K514">
        <v>0</v>
      </c>
      <c r="L514">
        <v>0</v>
      </c>
      <c r="M514">
        <v>4.6999999999999999E-6</v>
      </c>
      <c r="N514">
        <v>0.75</v>
      </c>
      <c r="O514">
        <v>9</v>
      </c>
      <c r="P514">
        <v>3</v>
      </c>
      <c r="Q514">
        <v>3</v>
      </c>
      <c r="R514">
        <v>3</v>
      </c>
      <c r="S514">
        <v>60000</v>
      </c>
      <c r="T514">
        <v>2E-3</v>
      </c>
      <c r="U514" t="s">
        <v>2744</v>
      </c>
      <c r="V514" t="s">
        <v>2745</v>
      </c>
      <c r="W514" t="s">
        <v>2735</v>
      </c>
      <c r="X514" t="s">
        <v>2736</v>
      </c>
      <c r="Y514" t="s">
        <v>2746</v>
      </c>
      <c r="Z514" s="70">
        <f>I514*'Dynamic Analysis Dashboard'!$B$8*'Dynamic Analysis Dashboard'!$B$9*'Dynamic Analysis Dashboard'!$B$21</f>
        <v>0.27</v>
      </c>
      <c r="AA514" s="75">
        <f>J514*'Dynamic Analysis Dashboard'!$B$8*'Dynamic Analysis Dashboard'!$B$9*'Dynamic Analysis Dashboard'!$B$21</f>
        <v>2.9024999999999997E-6</v>
      </c>
      <c r="AB514" s="80">
        <f>K514*'Dynamic Analysis Dashboard'!$B$10*'Dynamic Analysis Dashboard'!$B$9*'Dynamic Analysis Dashboard'!$B$21</f>
        <v>0</v>
      </c>
      <c r="AC514" s="85">
        <f>L514*'Dynamic Analysis Dashboard'!$B$11*'Dynamic Analysis Dashboard'!$B$9*'Dynamic Analysis Dashboard'!$B$21</f>
        <v>0</v>
      </c>
      <c r="AD514" s="120">
        <f t="shared" si="14"/>
        <v>0.27000290250000003</v>
      </c>
      <c r="AE514" s="121">
        <f t="shared" si="15"/>
        <v>0.20250217687500002</v>
      </c>
    </row>
    <row r="515" spans="1:31" x14ac:dyDescent="0.2">
      <c r="A515" t="s">
        <v>86</v>
      </c>
      <c r="B515" t="s">
        <v>156</v>
      </c>
      <c r="C515" t="s">
        <v>2747</v>
      </c>
      <c r="D515" t="s">
        <v>547</v>
      </c>
      <c r="E515" t="s">
        <v>635</v>
      </c>
      <c r="F515" t="s">
        <v>198</v>
      </c>
      <c r="G515" t="s">
        <v>24</v>
      </c>
      <c r="H515" t="s">
        <v>25</v>
      </c>
      <c r="I515">
        <v>0.3</v>
      </c>
      <c r="J515">
        <v>2.5000000000000002E-6</v>
      </c>
      <c r="K515">
        <v>0.7</v>
      </c>
      <c r="L515">
        <v>0</v>
      </c>
      <c r="M515">
        <v>3.4999999999999999E-6</v>
      </c>
      <c r="N515">
        <v>0.65</v>
      </c>
      <c r="O515">
        <v>6</v>
      </c>
      <c r="P515">
        <v>2</v>
      </c>
      <c r="Q515">
        <v>4</v>
      </c>
      <c r="R515">
        <v>2</v>
      </c>
      <c r="S515">
        <v>6960</v>
      </c>
      <c r="T515">
        <v>300</v>
      </c>
      <c r="U515" t="s">
        <v>2748</v>
      </c>
      <c r="V515" t="s">
        <v>2749</v>
      </c>
      <c r="W515" t="s">
        <v>2750</v>
      </c>
      <c r="X515" t="s">
        <v>2736</v>
      </c>
      <c r="Y515" t="s">
        <v>2751</v>
      </c>
      <c r="Z515" s="70">
        <f>I515*'Dynamic Analysis Dashboard'!$B$8*'Dynamic Analysis Dashboard'!$B$9*'Dynamic Analysis Dashboard'!$B$21</f>
        <v>0.20250000000000001</v>
      </c>
      <c r="AA515" s="75">
        <f>J515*'Dynamic Analysis Dashboard'!$B$8*'Dynamic Analysis Dashboard'!$B$9*'Dynamic Analysis Dashboard'!$B$21</f>
        <v>1.6874999999999999E-6</v>
      </c>
      <c r="AB515" s="80">
        <f>K515*'Dynamic Analysis Dashboard'!$B$10*'Dynamic Analysis Dashboard'!$B$9*'Dynamic Analysis Dashboard'!$B$21</f>
        <v>0.41999999999999993</v>
      </c>
      <c r="AC515" s="85">
        <f>L515*'Dynamic Analysis Dashboard'!$B$11*'Dynamic Analysis Dashboard'!$B$9*'Dynamic Analysis Dashboard'!$B$21</f>
        <v>0</v>
      </c>
      <c r="AD515" s="120">
        <f t="shared" ref="AD515:AD541" si="16">SUM(Z515:AC515)</f>
        <v>0.62250168750000001</v>
      </c>
      <c r="AE515" s="121">
        <f t="shared" ref="AE515:AE541" si="17">AD515*N515</f>
        <v>0.40462609687500001</v>
      </c>
    </row>
    <row r="516" spans="1:31" x14ac:dyDescent="0.2">
      <c r="A516" t="s">
        <v>86</v>
      </c>
      <c r="B516" t="s">
        <v>164</v>
      </c>
      <c r="C516" t="s">
        <v>2752</v>
      </c>
      <c r="D516" t="s">
        <v>540</v>
      </c>
      <c r="E516" t="s">
        <v>197</v>
      </c>
      <c r="F516" t="s">
        <v>609</v>
      </c>
      <c r="G516" t="s">
        <v>24</v>
      </c>
      <c r="H516" t="s">
        <v>28</v>
      </c>
      <c r="I516">
        <v>9.9999999999999995E-7</v>
      </c>
      <c r="J516">
        <v>0</v>
      </c>
      <c r="K516">
        <v>0</v>
      </c>
      <c r="L516">
        <v>0.7</v>
      </c>
      <c r="M516">
        <v>1.7E-6</v>
      </c>
      <c r="N516">
        <v>0.8</v>
      </c>
      <c r="O516">
        <v>6</v>
      </c>
      <c r="P516">
        <v>2</v>
      </c>
      <c r="Q516">
        <v>3</v>
      </c>
      <c r="R516">
        <v>2</v>
      </c>
      <c r="S516">
        <v>525</v>
      </c>
      <c r="T516">
        <v>100</v>
      </c>
      <c r="U516" t="s">
        <v>2753</v>
      </c>
      <c r="V516" t="s">
        <v>2214</v>
      </c>
      <c r="W516" t="s">
        <v>2735</v>
      </c>
      <c r="X516" t="s">
        <v>2754</v>
      </c>
      <c r="Y516" t="s">
        <v>2755</v>
      </c>
      <c r="Z516" s="70">
        <f>I516*'Dynamic Analysis Dashboard'!$B$8*'Dynamic Analysis Dashboard'!$B$9*'Dynamic Analysis Dashboard'!$B$21</f>
        <v>6.75E-7</v>
      </c>
      <c r="AA516" s="75">
        <f>J516*'Dynamic Analysis Dashboard'!$B$8*'Dynamic Analysis Dashboard'!$B$9*'Dynamic Analysis Dashboard'!$B$21</f>
        <v>0</v>
      </c>
      <c r="AB516" s="80">
        <f>K516*'Dynamic Analysis Dashboard'!$B$10*'Dynamic Analysis Dashboard'!$B$9*'Dynamic Analysis Dashboard'!$B$21</f>
        <v>0</v>
      </c>
      <c r="AC516" s="85">
        <f>L516*'Dynamic Analysis Dashboard'!$B$11*'Dynamic Analysis Dashboard'!$B$9*'Dynamic Analysis Dashboard'!$B$21</f>
        <v>0.44624999999999998</v>
      </c>
      <c r="AD516" s="120">
        <f t="shared" si="16"/>
        <v>0.44625067499999999</v>
      </c>
      <c r="AE516" s="121">
        <f t="shared" si="17"/>
        <v>0.35700054000000003</v>
      </c>
    </row>
    <row r="517" spans="1:31" x14ac:dyDescent="0.2">
      <c r="A517" t="s">
        <v>86</v>
      </c>
      <c r="B517" t="s">
        <v>172</v>
      </c>
      <c r="C517" t="s">
        <v>2756</v>
      </c>
      <c r="D517" t="s">
        <v>166</v>
      </c>
      <c r="E517" t="s">
        <v>1677</v>
      </c>
      <c r="F517" t="s">
        <v>231</v>
      </c>
      <c r="G517" t="s">
        <v>24</v>
      </c>
      <c r="H517" t="s">
        <v>25</v>
      </c>
      <c r="I517">
        <v>0.2</v>
      </c>
      <c r="J517">
        <v>0</v>
      </c>
      <c r="K517">
        <v>0</v>
      </c>
      <c r="L517">
        <v>7.5999999999999992E-6</v>
      </c>
      <c r="M517">
        <v>7.7999999999999999E-6</v>
      </c>
      <c r="N517">
        <v>0.75</v>
      </c>
      <c r="O517">
        <v>9</v>
      </c>
      <c r="P517">
        <v>3</v>
      </c>
      <c r="Q517">
        <v>2</v>
      </c>
      <c r="R517">
        <v>3</v>
      </c>
      <c r="S517">
        <v>12000</v>
      </c>
      <c r="T517">
        <v>500</v>
      </c>
      <c r="U517" t="s">
        <v>2757</v>
      </c>
      <c r="V517" t="s">
        <v>2214</v>
      </c>
      <c r="W517" t="s">
        <v>2735</v>
      </c>
      <c r="X517" t="s">
        <v>2758</v>
      </c>
      <c r="Y517" t="s">
        <v>2759</v>
      </c>
      <c r="Z517" s="70">
        <f>I517*'Dynamic Analysis Dashboard'!$B$8*'Dynamic Analysis Dashboard'!$B$9*'Dynamic Analysis Dashboard'!$B$21</f>
        <v>0.13500000000000001</v>
      </c>
      <c r="AA517" s="75">
        <f>J517*'Dynamic Analysis Dashboard'!$B$8*'Dynamic Analysis Dashboard'!$B$9*'Dynamic Analysis Dashboard'!$B$21</f>
        <v>0</v>
      </c>
      <c r="AB517" s="80">
        <f>K517*'Dynamic Analysis Dashboard'!$B$10*'Dynamic Analysis Dashboard'!$B$9*'Dynamic Analysis Dashboard'!$B$21</f>
        <v>0</v>
      </c>
      <c r="AC517" s="85">
        <f>L517*'Dynamic Analysis Dashboard'!$B$11*'Dynamic Analysis Dashboard'!$B$9*'Dynamic Analysis Dashboard'!$B$21</f>
        <v>4.8449999999999994E-6</v>
      </c>
      <c r="AD517" s="120">
        <f t="shared" si="16"/>
        <v>0.13500484500000001</v>
      </c>
      <c r="AE517" s="121">
        <f t="shared" si="17"/>
        <v>0.10125363375000002</v>
      </c>
    </row>
    <row r="518" spans="1:31" x14ac:dyDescent="0.2">
      <c r="A518" t="s">
        <v>86</v>
      </c>
      <c r="B518" t="s">
        <v>179</v>
      </c>
      <c r="C518" t="s">
        <v>2654</v>
      </c>
      <c r="D518" t="s">
        <v>125</v>
      </c>
      <c r="E518" t="s">
        <v>709</v>
      </c>
      <c r="F518" t="s">
        <v>127</v>
      </c>
      <c r="G518" t="s">
        <v>24</v>
      </c>
      <c r="H518" t="s">
        <v>28</v>
      </c>
      <c r="I518">
        <v>0.9</v>
      </c>
      <c r="J518">
        <v>0</v>
      </c>
      <c r="K518">
        <v>0</v>
      </c>
      <c r="L518">
        <v>0</v>
      </c>
      <c r="M518">
        <v>0.9</v>
      </c>
      <c r="N518">
        <v>0.85</v>
      </c>
      <c r="O518">
        <v>6</v>
      </c>
      <c r="P518">
        <v>2</v>
      </c>
      <c r="Q518">
        <v>3</v>
      </c>
      <c r="R518">
        <v>2</v>
      </c>
      <c r="S518">
        <v>39000</v>
      </c>
      <c r="T518">
        <v>1.2999999999999999E-3</v>
      </c>
      <c r="U518" t="s">
        <v>2760</v>
      </c>
      <c r="V518" t="s">
        <v>2214</v>
      </c>
      <c r="W518" t="s">
        <v>2735</v>
      </c>
      <c r="X518" t="s">
        <v>2736</v>
      </c>
      <c r="Y518" t="s">
        <v>2761</v>
      </c>
      <c r="Z518" s="70">
        <f>I518*'Dynamic Analysis Dashboard'!$B$8*'Dynamic Analysis Dashboard'!$B$9*'Dynamic Analysis Dashboard'!$B$21</f>
        <v>0.60750000000000004</v>
      </c>
      <c r="AA518" s="75">
        <f>J518*'Dynamic Analysis Dashboard'!$B$8*'Dynamic Analysis Dashboard'!$B$9*'Dynamic Analysis Dashboard'!$B$21</f>
        <v>0</v>
      </c>
      <c r="AB518" s="80">
        <f>K518*'Dynamic Analysis Dashboard'!$B$10*'Dynamic Analysis Dashboard'!$B$9*'Dynamic Analysis Dashboard'!$B$21</f>
        <v>0</v>
      </c>
      <c r="AC518" s="85">
        <f>L518*'Dynamic Analysis Dashboard'!$B$11*'Dynamic Analysis Dashboard'!$B$9*'Dynamic Analysis Dashboard'!$B$21</f>
        <v>0</v>
      </c>
      <c r="AD518" s="120">
        <f t="shared" si="16"/>
        <v>0.60750000000000004</v>
      </c>
      <c r="AE518" s="121">
        <f t="shared" si="17"/>
        <v>0.51637500000000003</v>
      </c>
    </row>
    <row r="519" spans="1:31" x14ac:dyDescent="0.2">
      <c r="A519" t="s">
        <v>86</v>
      </c>
      <c r="B519" t="s">
        <v>186</v>
      </c>
      <c r="C519" t="s">
        <v>2762</v>
      </c>
      <c r="D519" t="s">
        <v>188</v>
      </c>
      <c r="E519" t="s">
        <v>932</v>
      </c>
      <c r="F519" t="s">
        <v>231</v>
      </c>
      <c r="G519" t="s">
        <v>24</v>
      </c>
      <c r="H519" t="s">
        <v>28</v>
      </c>
      <c r="I519">
        <v>1.1000000000000001E-6</v>
      </c>
      <c r="J519">
        <v>0</v>
      </c>
      <c r="K519">
        <v>0</v>
      </c>
      <c r="L519">
        <v>0</v>
      </c>
      <c r="M519">
        <v>1.1000000000000001E-6</v>
      </c>
      <c r="N519">
        <v>0.75</v>
      </c>
      <c r="O519">
        <v>6</v>
      </c>
      <c r="P519">
        <v>2</v>
      </c>
      <c r="Q519">
        <v>4</v>
      </c>
      <c r="R519">
        <v>2</v>
      </c>
      <c r="S519">
        <v>2160</v>
      </c>
      <c r="T519">
        <v>100</v>
      </c>
      <c r="U519" t="s">
        <v>2763</v>
      </c>
      <c r="V519" t="s">
        <v>2214</v>
      </c>
      <c r="W519" t="s">
        <v>2735</v>
      </c>
      <c r="X519" t="s">
        <v>2736</v>
      </c>
      <c r="Y519" t="s">
        <v>2764</v>
      </c>
      <c r="Z519" s="70">
        <f>I519*'Dynamic Analysis Dashboard'!$B$8*'Dynamic Analysis Dashboard'!$B$9*'Dynamic Analysis Dashboard'!$B$21</f>
        <v>7.4250000000000009E-7</v>
      </c>
      <c r="AA519" s="75">
        <f>J519*'Dynamic Analysis Dashboard'!$B$8*'Dynamic Analysis Dashboard'!$B$9*'Dynamic Analysis Dashboard'!$B$21</f>
        <v>0</v>
      </c>
      <c r="AB519" s="80">
        <f>K519*'Dynamic Analysis Dashboard'!$B$10*'Dynamic Analysis Dashboard'!$B$9*'Dynamic Analysis Dashboard'!$B$21</f>
        <v>0</v>
      </c>
      <c r="AC519" s="85">
        <f>L519*'Dynamic Analysis Dashboard'!$B$11*'Dynamic Analysis Dashboard'!$B$9*'Dynamic Analysis Dashboard'!$B$21</f>
        <v>0</v>
      </c>
      <c r="AD519" s="120">
        <f t="shared" si="16"/>
        <v>7.4250000000000009E-7</v>
      </c>
      <c r="AE519" s="121">
        <f t="shared" si="17"/>
        <v>5.5687500000000007E-7</v>
      </c>
    </row>
    <row r="520" spans="1:31" hidden="1" x14ac:dyDescent="0.2">
      <c r="A520" t="s">
        <v>86</v>
      </c>
      <c r="B520" t="s">
        <v>149</v>
      </c>
      <c r="C520" t="s">
        <v>2765</v>
      </c>
      <c r="D520" t="s">
        <v>1988</v>
      </c>
      <c r="E520" t="s">
        <v>174</v>
      </c>
      <c r="F520" t="s">
        <v>330</v>
      </c>
      <c r="G520" t="s">
        <v>38</v>
      </c>
      <c r="H520" t="s">
        <v>33</v>
      </c>
      <c r="I520">
        <v>0.7</v>
      </c>
      <c r="J520">
        <v>0</v>
      </c>
      <c r="K520">
        <v>9.9999999999999995E-7</v>
      </c>
      <c r="L520">
        <v>1.7E-6</v>
      </c>
      <c r="M520">
        <v>3.4000000000000001E-6</v>
      </c>
      <c r="N520">
        <v>0.75</v>
      </c>
      <c r="O520">
        <v>9</v>
      </c>
      <c r="P520">
        <v>3</v>
      </c>
      <c r="Q520">
        <v>3</v>
      </c>
      <c r="R520">
        <v>3</v>
      </c>
      <c r="S520">
        <v>38400</v>
      </c>
      <c r="T520">
        <v>1.2999999999999999E-3</v>
      </c>
      <c r="U520" t="s">
        <v>2766</v>
      </c>
      <c r="V520" t="s">
        <v>2214</v>
      </c>
      <c r="W520" t="s">
        <v>2767</v>
      </c>
      <c r="X520" t="s">
        <v>2768</v>
      </c>
      <c r="Y520" t="s">
        <v>2769</v>
      </c>
      <c r="Z520" s="70">
        <f>I520*'Dynamic Analysis Dashboard'!$B$8*'Dynamic Analysis Dashboard'!$B$9*'Dynamic Analysis Dashboard'!$B$21</f>
        <v>0.47250000000000003</v>
      </c>
      <c r="AA520" s="75">
        <f>J520*'Dynamic Analysis Dashboard'!$B$8*'Dynamic Analysis Dashboard'!$B$9*'Dynamic Analysis Dashboard'!$B$21</f>
        <v>0</v>
      </c>
      <c r="AB520" s="80">
        <f>K520*'Dynamic Analysis Dashboard'!$B$10*'Dynamic Analysis Dashboard'!$B$9*'Dynamic Analysis Dashboard'!$B$21</f>
        <v>5.9999999999999997E-7</v>
      </c>
      <c r="AC520" s="85">
        <f>L520*'Dynamic Analysis Dashboard'!$B$11*'Dynamic Analysis Dashboard'!$B$9*'Dynamic Analysis Dashboard'!$B$21</f>
        <v>1.08375E-6</v>
      </c>
      <c r="AD520" s="120">
        <f t="shared" si="16"/>
        <v>0.47250168375000007</v>
      </c>
      <c r="AE520" s="121">
        <f t="shared" si="17"/>
        <v>0.35437626281250006</v>
      </c>
    </row>
    <row r="521" spans="1:31" hidden="1" x14ac:dyDescent="0.2">
      <c r="A521" t="s">
        <v>86</v>
      </c>
      <c r="B521" t="s">
        <v>194</v>
      </c>
      <c r="C521" t="s">
        <v>2770</v>
      </c>
      <c r="D521" t="s">
        <v>1988</v>
      </c>
      <c r="E521" t="s">
        <v>588</v>
      </c>
      <c r="F521" t="s">
        <v>744</v>
      </c>
      <c r="G521" t="s">
        <v>38</v>
      </c>
      <c r="H521" t="s">
        <v>33</v>
      </c>
      <c r="I521">
        <v>0.5</v>
      </c>
      <c r="J521">
        <v>0</v>
      </c>
      <c r="K521">
        <v>0.5</v>
      </c>
      <c r="L521">
        <v>9.9999999999999995E-7</v>
      </c>
      <c r="M521">
        <v>1.9999999999999999E-6</v>
      </c>
      <c r="N521">
        <v>0.7</v>
      </c>
      <c r="O521">
        <v>9</v>
      </c>
      <c r="P521">
        <v>3</v>
      </c>
      <c r="Q521">
        <v>3</v>
      </c>
      <c r="R521">
        <v>3</v>
      </c>
      <c r="S521">
        <v>16000</v>
      </c>
      <c r="T521">
        <v>700</v>
      </c>
      <c r="U521" t="s">
        <v>2771</v>
      </c>
      <c r="V521" t="s">
        <v>2214</v>
      </c>
      <c r="W521" t="s">
        <v>2772</v>
      </c>
      <c r="X521" t="s">
        <v>2773</v>
      </c>
      <c r="Y521" t="s">
        <v>2774</v>
      </c>
      <c r="Z521" s="70">
        <f>I521*'Dynamic Analysis Dashboard'!$B$8*'Dynamic Analysis Dashboard'!$B$9*'Dynamic Analysis Dashboard'!$B$21</f>
        <v>0.33750000000000002</v>
      </c>
      <c r="AA521" s="75">
        <f>J521*'Dynamic Analysis Dashboard'!$B$8*'Dynamic Analysis Dashboard'!$B$9*'Dynamic Analysis Dashboard'!$B$21</f>
        <v>0</v>
      </c>
      <c r="AB521" s="80">
        <f>K521*'Dynamic Analysis Dashboard'!$B$10*'Dynamic Analysis Dashboard'!$B$9*'Dynamic Analysis Dashboard'!$B$21</f>
        <v>0.30000000000000004</v>
      </c>
      <c r="AC521" s="85">
        <f>L521*'Dynamic Analysis Dashboard'!$B$11*'Dynamic Analysis Dashboard'!$B$9*'Dynamic Analysis Dashboard'!$B$21</f>
        <v>6.3749999999999993E-7</v>
      </c>
      <c r="AD521" s="120">
        <f t="shared" si="16"/>
        <v>0.63750063750000008</v>
      </c>
      <c r="AE521" s="121">
        <f t="shared" si="17"/>
        <v>0.44625044625000004</v>
      </c>
    </row>
    <row r="522" spans="1:31" x14ac:dyDescent="0.2">
      <c r="A522" t="s">
        <v>69</v>
      </c>
      <c r="B522" t="s">
        <v>141</v>
      </c>
      <c r="C522" t="s">
        <v>2775</v>
      </c>
      <c r="D522" t="s">
        <v>2776</v>
      </c>
      <c r="E522" t="s">
        <v>2777</v>
      </c>
      <c r="F522" t="s">
        <v>145</v>
      </c>
      <c r="G522" t="s">
        <v>24</v>
      </c>
      <c r="H522" t="s">
        <v>28</v>
      </c>
      <c r="I522">
        <v>4.7999999999999998E-6</v>
      </c>
      <c r="J522">
        <v>0</v>
      </c>
      <c r="K522">
        <v>0</v>
      </c>
      <c r="L522">
        <v>2.1000000000000002E-6</v>
      </c>
      <c r="M522">
        <v>6.9E-6</v>
      </c>
      <c r="N522">
        <v>0.8</v>
      </c>
      <c r="O522">
        <v>9</v>
      </c>
      <c r="P522">
        <v>4</v>
      </c>
      <c r="Q522">
        <v>3</v>
      </c>
      <c r="R522">
        <v>4</v>
      </c>
      <c r="S522">
        <v>23400</v>
      </c>
      <c r="T522">
        <v>3.3E-3</v>
      </c>
      <c r="U522" t="s">
        <v>2778</v>
      </c>
      <c r="V522" t="s">
        <v>129</v>
      </c>
      <c r="W522" t="s">
        <v>130</v>
      </c>
      <c r="X522" t="s">
        <v>2779</v>
      </c>
      <c r="Y522" t="s">
        <v>2780</v>
      </c>
      <c r="Z522" s="70">
        <f>I522*'Dynamic Analysis Dashboard'!$B$8*'Dynamic Analysis Dashboard'!$B$9*'Dynamic Analysis Dashboard'!$B$21</f>
        <v>3.2400000000000003E-6</v>
      </c>
      <c r="AA522" s="75">
        <f>J522*'Dynamic Analysis Dashboard'!$B$8*'Dynamic Analysis Dashboard'!$B$9*'Dynamic Analysis Dashboard'!$B$21</f>
        <v>0</v>
      </c>
      <c r="AB522" s="80">
        <f>K522*'Dynamic Analysis Dashboard'!$B$10*'Dynamic Analysis Dashboard'!$B$9*'Dynamic Analysis Dashboard'!$B$21</f>
        <v>0</v>
      </c>
      <c r="AC522" s="85">
        <f>L522*'Dynamic Analysis Dashboard'!$B$11*'Dynamic Analysis Dashboard'!$B$9*'Dynamic Analysis Dashboard'!$B$21</f>
        <v>1.3387500000000001E-6</v>
      </c>
      <c r="AD522" s="120">
        <f t="shared" si="16"/>
        <v>4.5787500000000008E-6</v>
      </c>
      <c r="AE522" s="121">
        <f t="shared" si="17"/>
        <v>3.6630000000000008E-6</v>
      </c>
    </row>
    <row r="523" spans="1:31" x14ac:dyDescent="0.2">
      <c r="A523" t="s">
        <v>69</v>
      </c>
      <c r="B523" t="s">
        <v>156</v>
      </c>
      <c r="C523" t="s">
        <v>2781</v>
      </c>
      <c r="D523" t="s">
        <v>125</v>
      </c>
      <c r="E523" t="s">
        <v>2782</v>
      </c>
      <c r="F523" t="s">
        <v>395</v>
      </c>
      <c r="G523" t="s">
        <v>24</v>
      </c>
      <c r="H523" t="s">
        <v>28</v>
      </c>
      <c r="I523">
        <v>1.1999999999999999E-6</v>
      </c>
      <c r="J523">
        <v>0</v>
      </c>
      <c r="K523">
        <v>1.3999999999999999E-6</v>
      </c>
      <c r="L523">
        <v>0</v>
      </c>
      <c r="M523">
        <v>2.6000000000000001E-6</v>
      </c>
      <c r="N523">
        <v>0.7</v>
      </c>
      <c r="O523">
        <v>6</v>
      </c>
      <c r="P523">
        <v>3</v>
      </c>
      <c r="Q523">
        <v>3</v>
      </c>
      <c r="R523">
        <v>3</v>
      </c>
      <c r="S523">
        <v>12600</v>
      </c>
      <c r="T523">
        <v>2.5999999999999999E-3</v>
      </c>
      <c r="U523" t="s">
        <v>2783</v>
      </c>
      <c r="V523" t="s">
        <v>129</v>
      </c>
      <c r="W523" t="s">
        <v>2784</v>
      </c>
      <c r="X523" t="s">
        <v>131</v>
      </c>
      <c r="Y523" t="s">
        <v>2785</v>
      </c>
      <c r="Z523" s="70">
        <f>I523*'Dynamic Analysis Dashboard'!$B$8*'Dynamic Analysis Dashboard'!$B$9*'Dynamic Analysis Dashboard'!$B$21</f>
        <v>8.1000000000000008E-7</v>
      </c>
      <c r="AA523" s="75">
        <f>J523*'Dynamic Analysis Dashboard'!$B$8*'Dynamic Analysis Dashboard'!$B$9*'Dynamic Analysis Dashboard'!$B$21</f>
        <v>0</v>
      </c>
      <c r="AB523" s="80">
        <f>K523*'Dynamic Analysis Dashboard'!$B$10*'Dynamic Analysis Dashboard'!$B$9*'Dynamic Analysis Dashboard'!$B$21</f>
        <v>8.4E-7</v>
      </c>
      <c r="AC523" s="85">
        <f>L523*'Dynamic Analysis Dashboard'!$B$11*'Dynamic Analysis Dashboard'!$B$9*'Dynamic Analysis Dashboard'!$B$21</f>
        <v>0</v>
      </c>
      <c r="AD523" s="120">
        <f t="shared" si="16"/>
        <v>1.6500000000000001E-6</v>
      </c>
      <c r="AE523" s="121">
        <f t="shared" si="17"/>
        <v>1.155E-6</v>
      </c>
    </row>
    <row r="524" spans="1:31" x14ac:dyDescent="0.2">
      <c r="A524" t="s">
        <v>69</v>
      </c>
      <c r="B524" t="s">
        <v>172</v>
      </c>
      <c r="C524" t="s">
        <v>2786</v>
      </c>
      <c r="D524" t="s">
        <v>125</v>
      </c>
      <c r="E524" t="s">
        <v>2787</v>
      </c>
      <c r="F524" t="s">
        <v>2788</v>
      </c>
      <c r="G524" t="s">
        <v>24</v>
      </c>
      <c r="H524" t="s">
        <v>28</v>
      </c>
      <c r="I524">
        <v>1.8000000000000001E-6</v>
      </c>
      <c r="J524">
        <v>0</v>
      </c>
      <c r="K524">
        <v>8.0000000000000007E-7</v>
      </c>
      <c r="L524">
        <v>0</v>
      </c>
      <c r="M524">
        <v>2.6000000000000001E-6</v>
      </c>
      <c r="N524">
        <v>0.7</v>
      </c>
      <c r="O524">
        <v>6</v>
      </c>
      <c r="P524">
        <v>3</v>
      </c>
      <c r="Q524">
        <v>3</v>
      </c>
      <c r="R524">
        <v>3</v>
      </c>
      <c r="S524">
        <v>100000</v>
      </c>
      <c r="T524">
        <v>2.1600000000000001E-2</v>
      </c>
      <c r="U524" t="s">
        <v>2789</v>
      </c>
      <c r="V524" t="s">
        <v>129</v>
      </c>
      <c r="W524" t="s">
        <v>2790</v>
      </c>
      <c r="X524" t="s">
        <v>131</v>
      </c>
      <c r="Y524" t="s">
        <v>2791</v>
      </c>
      <c r="Z524" s="70">
        <f>I524*'Dynamic Analysis Dashboard'!$B$8*'Dynamic Analysis Dashboard'!$B$9*'Dynamic Analysis Dashboard'!$B$21</f>
        <v>1.2150000000000002E-6</v>
      </c>
      <c r="AA524" s="75">
        <f>J524*'Dynamic Analysis Dashboard'!$B$8*'Dynamic Analysis Dashboard'!$B$9*'Dynamic Analysis Dashboard'!$B$21</f>
        <v>0</v>
      </c>
      <c r="AB524" s="80">
        <f>K524*'Dynamic Analysis Dashboard'!$B$10*'Dynamic Analysis Dashboard'!$B$9*'Dynamic Analysis Dashboard'!$B$21</f>
        <v>4.8000000000000006E-7</v>
      </c>
      <c r="AC524" s="85">
        <f>L524*'Dynamic Analysis Dashboard'!$B$11*'Dynamic Analysis Dashboard'!$B$9*'Dynamic Analysis Dashboard'!$B$21</f>
        <v>0</v>
      </c>
      <c r="AD524" s="120">
        <f t="shared" si="16"/>
        <v>1.6950000000000003E-6</v>
      </c>
      <c r="AE524" s="121">
        <f t="shared" si="17"/>
        <v>1.1865000000000002E-6</v>
      </c>
    </row>
    <row r="525" spans="1:31" x14ac:dyDescent="0.2">
      <c r="A525" t="s">
        <v>69</v>
      </c>
      <c r="B525" t="s">
        <v>179</v>
      </c>
      <c r="C525" t="s">
        <v>2792</v>
      </c>
      <c r="D525" t="s">
        <v>166</v>
      </c>
      <c r="E525" t="s">
        <v>2793</v>
      </c>
      <c r="F525" t="s">
        <v>330</v>
      </c>
      <c r="G525" t="s">
        <v>24</v>
      </c>
      <c r="H525" t="s">
        <v>28</v>
      </c>
      <c r="I525">
        <v>9.0000000000000007E-7</v>
      </c>
      <c r="J525">
        <v>0</v>
      </c>
      <c r="K525">
        <v>0</v>
      </c>
      <c r="L525">
        <v>3.4999999999999999E-6</v>
      </c>
      <c r="M525">
        <v>4.4000000000000002E-6</v>
      </c>
      <c r="N525">
        <v>0.75</v>
      </c>
      <c r="O525">
        <v>6</v>
      </c>
      <c r="P525">
        <v>2</v>
      </c>
      <c r="Q525">
        <v>4</v>
      </c>
      <c r="R525">
        <v>2</v>
      </c>
      <c r="S525">
        <v>17000</v>
      </c>
      <c r="T525">
        <v>3.3999999999999998E-3</v>
      </c>
      <c r="U525" t="s">
        <v>2794</v>
      </c>
      <c r="V525" t="s">
        <v>129</v>
      </c>
      <c r="W525" t="s">
        <v>130</v>
      </c>
      <c r="X525" t="s">
        <v>2795</v>
      </c>
      <c r="Y525" t="s">
        <v>2796</v>
      </c>
      <c r="Z525" s="70">
        <f>I525*'Dynamic Analysis Dashboard'!$B$8*'Dynamic Analysis Dashboard'!$B$9*'Dynamic Analysis Dashboard'!$B$21</f>
        <v>6.0750000000000011E-7</v>
      </c>
      <c r="AA525" s="75">
        <f>J525*'Dynamic Analysis Dashboard'!$B$8*'Dynamic Analysis Dashboard'!$B$9*'Dynamic Analysis Dashboard'!$B$21</f>
        <v>0</v>
      </c>
      <c r="AB525" s="80">
        <f>K525*'Dynamic Analysis Dashboard'!$B$10*'Dynamic Analysis Dashboard'!$B$9*'Dynamic Analysis Dashboard'!$B$21</f>
        <v>0</v>
      </c>
      <c r="AC525" s="85">
        <f>L525*'Dynamic Analysis Dashboard'!$B$11*'Dynamic Analysis Dashboard'!$B$9*'Dynamic Analysis Dashboard'!$B$21</f>
        <v>2.23125E-6</v>
      </c>
      <c r="AD525" s="120">
        <f t="shared" si="16"/>
        <v>2.8387500000000001E-6</v>
      </c>
      <c r="AE525" s="121">
        <f t="shared" si="17"/>
        <v>2.1290625E-6</v>
      </c>
    </row>
    <row r="526" spans="1:31" x14ac:dyDescent="0.2">
      <c r="A526" t="s">
        <v>69</v>
      </c>
      <c r="B526" t="s">
        <v>194</v>
      </c>
      <c r="C526" t="s">
        <v>2797</v>
      </c>
      <c r="D526" t="s">
        <v>188</v>
      </c>
      <c r="E526" t="s">
        <v>2798</v>
      </c>
      <c r="F526" t="s">
        <v>160</v>
      </c>
      <c r="G526" t="s">
        <v>24</v>
      </c>
      <c r="H526" t="s">
        <v>28</v>
      </c>
      <c r="I526">
        <v>4.9999999999999998E-7</v>
      </c>
      <c r="J526">
        <v>0</v>
      </c>
      <c r="K526">
        <v>1.8999999999999998E-6</v>
      </c>
      <c r="L526">
        <v>0</v>
      </c>
      <c r="M526">
        <v>2.3999999999999999E-6</v>
      </c>
      <c r="N526">
        <v>0.8</v>
      </c>
      <c r="O526">
        <v>6</v>
      </c>
      <c r="P526">
        <v>2</v>
      </c>
      <c r="Q526">
        <v>2</v>
      </c>
      <c r="R526">
        <v>2</v>
      </c>
      <c r="S526">
        <v>4494</v>
      </c>
      <c r="T526">
        <v>8.9999999999999998E-4</v>
      </c>
      <c r="U526" t="s">
        <v>2799</v>
      </c>
      <c r="V526" t="s">
        <v>129</v>
      </c>
      <c r="W526" t="s">
        <v>2800</v>
      </c>
      <c r="X526" t="s">
        <v>131</v>
      </c>
      <c r="Y526" t="s">
        <v>2801</v>
      </c>
      <c r="Z526" s="70">
        <f>I526*'Dynamic Analysis Dashboard'!$B$8*'Dynamic Analysis Dashboard'!$B$9*'Dynamic Analysis Dashboard'!$B$21</f>
        <v>3.375E-7</v>
      </c>
      <c r="AA526" s="75">
        <f>J526*'Dynamic Analysis Dashboard'!$B$8*'Dynamic Analysis Dashboard'!$B$9*'Dynamic Analysis Dashboard'!$B$21</f>
        <v>0</v>
      </c>
      <c r="AB526" s="80">
        <f>K526*'Dynamic Analysis Dashboard'!$B$10*'Dynamic Analysis Dashboard'!$B$9*'Dynamic Analysis Dashboard'!$B$21</f>
        <v>1.1399999999999999E-6</v>
      </c>
      <c r="AC526" s="85">
        <f>L526*'Dynamic Analysis Dashboard'!$B$11*'Dynamic Analysis Dashboard'!$B$9*'Dynamic Analysis Dashboard'!$B$21</f>
        <v>0</v>
      </c>
      <c r="AD526" s="120">
        <f t="shared" si="16"/>
        <v>1.4774999999999998E-6</v>
      </c>
      <c r="AE526" s="121">
        <f t="shared" si="17"/>
        <v>1.1819999999999999E-6</v>
      </c>
    </row>
    <row r="527" spans="1:31" hidden="1" x14ac:dyDescent="0.2">
      <c r="A527" t="s">
        <v>69</v>
      </c>
      <c r="B527" t="s">
        <v>123</v>
      </c>
      <c r="C527" t="s">
        <v>2802</v>
      </c>
      <c r="D527" t="s">
        <v>135</v>
      </c>
      <c r="E527" t="s">
        <v>532</v>
      </c>
      <c r="F527" t="s">
        <v>1161</v>
      </c>
      <c r="G527" t="s">
        <v>31</v>
      </c>
      <c r="H527" t="s">
        <v>25</v>
      </c>
      <c r="I527">
        <v>2.5000000000000002E-6</v>
      </c>
      <c r="J527">
        <v>8.6999999999999997E-6</v>
      </c>
      <c r="K527">
        <v>0</v>
      </c>
      <c r="L527">
        <v>0</v>
      </c>
      <c r="M527">
        <v>1.1199999999999999E-5</v>
      </c>
      <c r="N527">
        <v>0.75</v>
      </c>
      <c r="O527">
        <v>6</v>
      </c>
      <c r="P527">
        <v>3</v>
      </c>
      <c r="Q527">
        <v>4</v>
      </c>
      <c r="R527">
        <v>3</v>
      </c>
      <c r="S527">
        <v>125000</v>
      </c>
      <c r="T527">
        <v>2.7E-2</v>
      </c>
      <c r="U527" t="s">
        <v>2803</v>
      </c>
      <c r="V527" t="s">
        <v>2804</v>
      </c>
      <c r="W527" t="s">
        <v>130</v>
      </c>
      <c r="X527" t="s">
        <v>131</v>
      </c>
      <c r="Y527" t="s">
        <v>2805</v>
      </c>
      <c r="Z527" s="70">
        <f>I527*'Dynamic Analysis Dashboard'!$B$8*'Dynamic Analysis Dashboard'!$B$9*'Dynamic Analysis Dashboard'!$B$21</f>
        <v>1.6874999999999999E-6</v>
      </c>
      <c r="AA527" s="75">
        <f>J527*'Dynamic Analysis Dashboard'!$B$8*'Dynamic Analysis Dashboard'!$B$9*'Dynamic Analysis Dashboard'!$B$21</f>
        <v>5.8725000000000001E-6</v>
      </c>
      <c r="AB527" s="80">
        <f>K527*'Dynamic Analysis Dashboard'!$B$10*'Dynamic Analysis Dashboard'!$B$9*'Dynamic Analysis Dashboard'!$B$21</f>
        <v>0</v>
      </c>
      <c r="AC527" s="85">
        <f>L527*'Dynamic Analysis Dashboard'!$B$11*'Dynamic Analysis Dashboard'!$B$9*'Dynamic Analysis Dashboard'!$B$21</f>
        <v>0</v>
      </c>
      <c r="AD527" s="120">
        <f t="shared" si="16"/>
        <v>7.5600000000000005E-6</v>
      </c>
      <c r="AE527" s="121">
        <f t="shared" si="17"/>
        <v>5.6699999999999999E-6</v>
      </c>
    </row>
    <row r="528" spans="1:31" hidden="1" x14ac:dyDescent="0.2">
      <c r="A528" t="s">
        <v>69</v>
      </c>
      <c r="B528" t="s">
        <v>149</v>
      </c>
      <c r="C528" t="s">
        <v>2806</v>
      </c>
      <c r="D528" t="s">
        <v>135</v>
      </c>
      <c r="E528" t="s">
        <v>709</v>
      </c>
      <c r="F528" t="s">
        <v>127</v>
      </c>
      <c r="G528" t="s">
        <v>31</v>
      </c>
      <c r="H528" t="s">
        <v>25</v>
      </c>
      <c r="I528">
        <v>1.7E-6</v>
      </c>
      <c r="J528">
        <v>3.2000000000000003E-6</v>
      </c>
      <c r="K528">
        <v>0</v>
      </c>
      <c r="L528">
        <v>0</v>
      </c>
      <c r="M528">
        <v>4.9000000000000005E-6</v>
      </c>
      <c r="N528">
        <v>0.7</v>
      </c>
      <c r="O528">
        <v>6</v>
      </c>
      <c r="P528">
        <v>2</v>
      </c>
      <c r="Q528">
        <v>4</v>
      </c>
      <c r="R528">
        <v>2</v>
      </c>
      <c r="S528">
        <v>46200</v>
      </c>
      <c r="T528">
        <v>9.1999999999999998E-3</v>
      </c>
      <c r="U528" t="s">
        <v>2807</v>
      </c>
      <c r="V528" t="s">
        <v>2808</v>
      </c>
      <c r="W528" t="s">
        <v>130</v>
      </c>
      <c r="X528" t="s">
        <v>131</v>
      </c>
      <c r="Y528" t="s">
        <v>2809</v>
      </c>
      <c r="Z528" s="70">
        <f>I528*'Dynamic Analysis Dashboard'!$B$8*'Dynamic Analysis Dashboard'!$B$9*'Dynamic Analysis Dashboard'!$B$21</f>
        <v>1.1475E-6</v>
      </c>
      <c r="AA528" s="75">
        <f>J528*'Dynamic Analysis Dashboard'!$B$8*'Dynamic Analysis Dashboard'!$B$9*'Dynamic Analysis Dashboard'!$B$21</f>
        <v>2.1600000000000005E-6</v>
      </c>
      <c r="AB528" s="80">
        <f>K528*'Dynamic Analysis Dashboard'!$B$10*'Dynamic Analysis Dashboard'!$B$9*'Dynamic Analysis Dashboard'!$B$21</f>
        <v>0</v>
      </c>
      <c r="AC528" s="85">
        <f>L528*'Dynamic Analysis Dashboard'!$B$11*'Dynamic Analysis Dashboard'!$B$9*'Dynamic Analysis Dashboard'!$B$21</f>
        <v>0</v>
      </c>
      <c r="AD528" s="120">
        <f t="shared" si="16"/>
        <v>3.3075000000000005E-6</v>
      </c>
      <c r="AE528" s="121">
        <f t="shared" si="17"/>
        <v>2.3152500000000004E-6</v>
      </c>
    </row>
    <row r="529" spans="1:31" hidden="1" x14ac:dyDescent="0.2">
      <c r="A529" t="s">
        <v>69</v>
      </c>
      <c r="B529" t="s">
        <v>133</v>
      </c>
      <c r="C529" t="s">
        <v>2810</v>
      </c>
      <c r="D529" t="s">
        <v>174</v>
      </c>
      <c r="E529" t="s">
        <v>2811</v>
      </c>
      <c r="F529" t="s">
        <v>330</v>
      </c>
      <c r="G529" t="s">
        <v>38</v>
      </c>
      <c r="H529" t="s">
        <v>33</v>
      </c>
      <c r="I529">
        <v>1.5E-6</v>
      </c>
      <c r="J529">
        <v>0</v>
      </c>
      <c r="K529">
        <v>2.7999999999999999E-6</v>
      </c>
      <c r="L529">
        <v>0</v>
      </c>
      <c r="M529">
        <v>4.2999999999999995E-6</v>
      </c>
      <c r="N529">
        <v>0.75</v>
      </c>
      <c r="O529">
        <v>9</v>
      </c>
      <c r="P529">
        <v>3</v>
      </c>
      <c r="Q529">
        <v>2</v>
      </c>
      <c r="R529">
        <v>3</v>
      </c>
      <c r="S529">
        <v>13250</v>
      </c>
      <c r="T529">
        <v>2.8999999999999998E-3</v>
      </c>
      <c r="U529" t="s">
        <v>2812</v>
      </c>
      <c r="V529" t="s">
        <v>129</v>
      </c>
      <c r="W529" t="s">
        <v>2813</v>
      </c>
      <c r="X529" t="s">
        <v>131</v>
      </c>
      <c r="Y529" t="s">
        <v>2814</v>
      </c>
      <c r="Z529" s="70">
        <f>I529*'Dynamic Analysis Dashboard'!$B$8*'Dynamic Analysis Dashboard'!$B$9*'Dynamic Analysis Dashboard'!$B$21</f>
        <v>1.0125E-6</v>
      </c>
      <c r="AA529" s="75">
        <f>J529*'Dynamic Analysis Dashboard'!$B$8*'Dynamic Analysis Dashboard'!$B$9*'Dynamic Analysis Dashboard'!$B$21</f>
        <v>0</v>
      </c>
      <c r="AB529" s="80">
        <f>K529*'Dynamic Analysis Dashboard'!$B$10*'Dynamic Analysis Dashboard'!$B$9*'Dynamic Analysis Dashboard'!$B$21</f>
        <v>1.68E-6</v>
      </c>
      <c r="AC529" s="85">
        <f>L529*'Dynamic Analysis Dashboard'!$B$11*'Dynamic Analysis Dashboard'!$B$9*'Dynamic Analysis Dashboard'!$B$21</f>
        <v>0</v>
      </c>
      <c r="AD529" s="120">
        <f t="shared" si="16"/>
        <v>2.6925000000000001E-6</v>
      </c>
      <c r="AE529" s="121">
        <f t="shared" si="17"/>
        <v>2.019375E-6</v>
      </c>
    </row>
    <row r="530" spans="1:31" hidden="1" x14ac:dyDescent="0.2">
      <c r="A530" t="s">
        <v>69</v>
      </c>
      <c r="B530" t="s">
        <v>164</v>
      </c>
      <c r="C530" t="s">
        <v>2815</v>
      </c>
      <c r="D530" t="s">
        <v>595</v>
      </c>
      <c r="E530" t="s">
        <v>431</v>
      </c>
      <c r="F530" t="s">
        <v>145</v>
      </c>
      <c r="G530" t="s">
        <v>38</v>
      </c>
      <c r="H530" t="s">
        <v>33</v>
      </c>
      <c r="I530">
        <v>0</v>
      </c>
      <c r="J530">
        <v>4.0999999999999997E-6</v>
      </c>
      <c r="K530">
        <v>0</v>
      </c>
      <c r="L530">
        <v>1.8000000000000001E-6</v>
      </c>
      <c r="M530">
        <v>5.9000000000000003E-6</v>
      </c>
      <c r="N530">
        <v>0.75</v>
      </c>
      <c r="O530">
        <v>12</v>
      </c>
      <c r="P530">
        <v>4</v>
      </c>
      <c r="Q530">
        <v>3</v>
      </c>
      <c r="R530">
        <v>4</v>
      </c>
      <c r="S530">
        <v>2278</v>
      </c>
      <c r="T530">
        <v>5.0000000000000001E-4</v>
      </c>
      <c r="U530" t="s">
        <v>1009</v>
      </c>
      <c r="V530" t="s">
        <v>2816</v>
      </c>
      <c r="W530" t="s">
        <v>130</v>
      </c>
      <c r="X530" t="s">
        <v>2817</v>
      </c>
      <c r="Y530" t="s">
        <v>2818</v>
      </c>
      <c r="Z530" s="70">
        <f>I530*'Dynamic Analysis Dashboard'!$B$8*'Dynamic Analysis Dashboard'!$B$9*'Dynamic Analysis Dashboard'!$B$21</f>
        <v>0</v>
      </c>
      <c r="AA530" s="75">
        <f>J530*'Dynamic Analysis Dashboard'!$B$8*'Dynamic Analysis Dashboard'!$B$9*'Dynamic Analysis Dashboard'!$B$21</f>
        <v>2.7674999999999998E-6</v>
      </c>
      <c r="AB530" s="80">
        <f>K530*'Dynamic Analysis Dashboard'!$B$10*'Dynamic Analysis Dashboard'!$B$9*'Dynamic Analysis Dashboard'!$B$21</f>
        <v>0</v>
      </c>
      <c r="AC530" s="85">
        <f>L530*'Dynamic Analysis Dashboard'!$B$11*'Dynamic Analysis Dashboard'!$B$9*'Dynamic Analysis Dashboard'!$B$21</f>
        <v>1.1475E-6</v>
      </c>
      <c r="AD530" s="120">
        <f t="shared" si="16"/>
        <v>3.9149999999999998E-6</v>
      </c>
      <c r="AE530" s="121">
        <f t="shared" si="17"/>
        <v>2.9362500000000001E-6</v>
      </c>
    </row>
    <row r="531" spans="1:31" hidden="1" x14ac:dyDescent="0.2">
      <c r="A531" t="s">
        <v>69</v>
      </c>
      <c r="B531" t="s">
        <v>186</v>
      </c>
      <c r="C531" t="s">
        <v>2819</v>
      </c>
      <c r="D531" t="s">
        <v>181</v>
      </c>
      <c r="E531" t="s">
        <v>1166</v>
      </c>
      <c r="F531" t="s">
        <v>145</v>
      </c>
      <c r="G531" t="s">
        <v>31</v>
      </c>
      <c r="H531" t="s">
        <v>25</v>
      </c>
      <c r="I531">
        <v>6.9999999999999997E-7</v>
      </c>
      <c r="J531">
        <v>6.1999999999999999E-6</v>
      </c>
      <c r="K531">
        <v>0</v>
      </c>
      <c r="L531">
        <v>0</v>
      </c>
      <c r="M531">
        <v>6.9E-6</v>
      </c>
      <c r="N531">
        <v>0.7</v>
      </c>
      <c r="O531">
        <v>6</v>
      </c>
      <c r="P531">
        <v>3</v>
      </c>
      <c r="Q531">
        <v>4</v>
      </c>
      <c r="R531">
        <v>3</v>
      </c>
      <c r="S531">
        <v>12168</v>
      </c>
      <c r="T531">
        <v>2.5000000000000001E-3</v>
      </c>
      <c r="U531" t="s">
        <v>2820</v>
      </c>
      <c r="V531" t="s">
        <v>2821</v>
      </c>
      <c r="W531" t="s">
        <v>130</v>
      </c>
      <c r="X531" t="s">
        <v>131</v>
      </c>
      <c r="Y531" t="s">
        <v>2822</v>
      </c>
      <c r="Z531" s="70">
        <f>I531*'Dynamic Analysis Dashboard'!$B$8*'Dynamic Analysis Dashboard'!$B$9*'Dynamic Analysis Dashboard'!$B$21</f>
        <v>4.7250000000000003E-7</v>
      </c>
      <c r="AA531" s="75">
        <f>J531*'Dynamic Analysis Dashboard'!$B$8*'Dynamic Analysis Dashboard'!$B$9*'Dynamic Analysis Dashboard'!$B$21</f>
        <v>4.1849999999999997E-6</v>
      </c>
      <c r="AB531" s="80">
        <f>K531*'Dynamic Analysis Dashboard'!$B$10*'Dynamic Analysis Dashboard'!$B$9*'Dynamic Analysis Dashboard'!$B$21</f>
        <v>0</v>
      </c>
      <c r="AC531" s="85">
        <f>L531*'Dynamic Analysis Dashboard'!$B$11*'Dynamic Analysis Dashboard'!$B$9*'Dynamic Analysis Dashboard'!$B$21</f>
        <v>0</v>
      </c>
      <c r="AD531" s="120">
        <f t="shared" si="16"/>
        <v>4.6574999999999999E-6</v>
      </c>
      <c r="AE531" s="121">
        <f t="shared" si="17"/>
        <v>3.2602499999999998E-6</v>
      </c>
    </row>
    <row r="532" spans="1:31" x14ac:dyDescent="0.2">
      <c r="A532" t="s">
        <v>61</v>
      </c>
      <c r="B532" t="s">
        <v>141</v>
      </c>
      <c r="C532" t="s">
        <v>2823</v>
      </c>
      <c r="D532" t="s">
        <v>2824</v>
      </c>
      <c r="E532" t="s">
        <v>2636</v>
      </c>
      <c r="F532" t="s">
        <v>2825</v>
      </c>
      <c r="G532" t="s">
        <v>24</v>
      </c>
      <c r="H532" t="s">
        <v>28</v>
      </c>
      <c r="I532">
        <v>1.0900000000000001E-5</v>
      </c>
      <c r="J532">
        <v>1.5299999999999999E-5</v>
      </c>
      <c r="K532">
        <v>0</v>
      </c>
      <c r="L532">
        <v>0</v>
      </c>
      <c r="M532">
        <v>2.62E-5</v>
      </c>
      <c r="N532">
        <v>0.8</v>
      </c>
      <c r="O532">
        <v>9</v>
      </c>
      <c r="P532">
        <v>3</v>
      </c>
      <c r="Q532">
        <v>2</v>
      </c>
      <c r="R532">
        <v>4</v>
      </c>
      <c r="S532">
        <v>4340</v>
      </c>
      <c r="T532">
        <v>3.49E-2</v>
      </c>
      <c r="U532" t="s">
        <v>2826</v>
      </c>
      <c r="V532" t="s">
        <v>2827</v>
      </c>
      <c r="W532" t="s">
        <v>682</v>
      </c>
      <c r="X532" t="s">
        <v>131</v>
      </c>
      <c r="Y532" t="s">
        <v>2828</v>
      </c>
      <c r="Z532" s="70">
        <f>I532*'Dynamic Analysis Dashboard'!$B$8*'Dynamic Analysis Dashboard'!$B$9*'Dynamic Analysis Dashboard'!$B$21</f>
        <v>7.3575000000000003E-6</v>
      </c>
      <c r="AA532" s="75">
        <f>J532*'Dynamic Analysis Dashboard'!$B$8*'Dynamic Analysis Dashboard'!$B$9*'Dynamic Analysis Dashboard'!$B$21</f>
        <v>1.0327500000000001E-5</v>
      </c>
      <c r="AB532" s="80">
        <f>K532*'Dynamic Analysis Dashboard'!$B$10*'Dynamic Analysis Dashboard'!$B$9*'Dynamic Analysis Dashboard'!$B$21</f>
        <v>0</v>
      </c>
      <c r="AC532" s="85">
        <f>L532*'Dynamic Analysis Dashboard'!$B$11*'Dynamic Analysis Dashboard'!$B$9*'Dynamic Analysis Dashboard'!$B$21</f>
        <v>0</v>
      </c>
      <c r="AD532" s="120">
        <f t="shared" si="16"/>
        <v>1.7685000000000001E-5</v>
      </c>
      <c r="AE532" s="121">
        <f t="shared" si="17"/>
        <v>1.4148000000000001E-5</v>
      </c>
    </row>
    <row r="533" spans="1:31" x14ac:dyDescent="0.2">
      <c r="A533" t="s">
        <v>61</v>
      </c>
      <c r="B533" t="s">
        <v>133</v>
      </c>
      <c r="C533" t="s">
        <v>2829</v>
      </c>
      <c r="D533" t="s">
        <v>2824</v>
      </c>
      <c r="E533" t="s">
        <v>532</v>
      </c>
      <c r="F533" t="s">
        <v>814</v>
      </c>
      <c r="G533" t="s">
        <v>24</v>
      </c>
      <c r="H533" t="s">
        <v>25</v>
      </c>
      <c r="I533">
        <v>4.5000000000000001E-6</v>
      </c>
      <c r="J533">
        <v>1.2800000000000001E-5</v>
      </c>
      <c r="K533">
        <v>0</v>
      </c>
      <c r="L533">
        <v>0</v>
      </c>
      <c r="M533">
        <v>1.73E-5</v>
      </c>
      <c r="N533">
        <v>0.8</v>
      </c>
      <c r="O533">
        <v>6</v>
      </c>
      <c r="P533">
        <v>2</v>
      </c>
      <c r="Q533">
        <v>3</v>
      </c>
      <c r="R533">
        <v>2</v>
      </c>
      <c r="S533">
        <v>6726</v>
      </c>
      <c r="T533">
        <v>5.8999999999999997E-2</v>
      </c>
      <c r="U533" t="s">
        <v>2830</v>
      </c>
      <c r="V533" t="s">
        <v>2831</v>
      </c>
      <c r="W533" t="s">
        <v>682</v>
      </c>
      <c r="X533" t="s">
        <v>131</v>
      </c>
      <c r="Y533" t="s">
        <v>2832</v>
      </c>
      <c r="Z533" s="70">
        <f>I533*'Dynamic Analysis Dashboard'!$B$8*'Dynamic Analysis Dashboard'!$B$9*'Dynamic Analysis Dashboard'!$B$21</f>
        <v>3.0375000000000001E-6</v>
      </c>
      <c r="AA533" s="75">
        <f>J533*'Dynamic Analysis Dashboard'!$B$8*'Dynamic Analysis Dashboard'!$B$9*'Dynamic Analysis Dashboard'!$B$21</f>
        <v>8.640000000000002E-6</v>
      </c>
      <c r="AB533" s="80">
        <f>K533*'Dynamic Analysis Dashboard'!$B$10*'Dynamic Analysis Dashboard'!$B$9*'Dynamic Analysis Dashboard'!$B$21</f>
        <v>0</v>
      </c>
      <c r="AC533" s="85">
        <f>L533*'Dynamic Analysis Dashboard'!$B$11*'Dynamic Analysis Dashboard'!$B$9*'Dynamic Analysis Dashboard'!$B$21</f>
        <v>0</v>
      </c>
      <c r="AD533" s="120">
        <f t="shared" si="16"/>
        <v>1.1677500000000001E-5</v>
      </c>
      <c r="AE533" s="121">
        <f t="shared" si="17"/>
        <v>9.3420000000000014E-6</v>
      </c>
    </row>
    <row r="534" spans="1:31" x14ac:dyDescent="0.2">
      <c r="A534" t="s">
        <v>61</v>
      </c>
      <c r="B534" t="s">
        <v>179</v>
      </c>
      <c r="C534" t="s">
        <v>2833</v>
      </c>
      <c r="D534" t="s">
        <v>2211</v>
      </c>
      <c r="E534" t="s">
        <v>2834</v>
      </c>
      <c r="F534" t="s">
        <v>2835</v>
      </c>
      <c r="G534" t="s">
        <v>24</v>
      </c>
      <c r="H534" t="s">
        <v>25</v>
      </c>
      <c r="I534">
        <v>4.0999999999999997E-6</v>
      </c>
      <c r="J534">
        <v>0</v>
      </c>
      <c r="K534">
        <v>2.7999999999999999E-6</v>
      </c>
      <c r="L534">
        <v>0</v>
      </c>
      <c r="M534">
        <v>6.9E-6</v>
      </c>
      <c r="N534">
        <v>0.65</v>
      </c>
      <c r="O534">
        <v>5</v>
      </c>
      <c r="P534">
        <v>2</v>
      </c>
      <c r="Q534">
        <v>2</v>
      </c>
      <c r="R534">
        <v>2</v>
      </c>
      <c r="S534">
        <v>3920</v>
      </c>
      <c r="T534">
        <v>3.44E-2</v>
      </c>
      <c r="U534" t="s">
        <v>2836</v>
      </c>
      <c r="V534" t="s">
        <v>129</v>
      </c>
      <c r="W534" t="s">
        <v>2837</v>
      </c>
      <c r="X534" t="s">
        <v>131</v>
      </c>
      <c r="Y534" t="s">
        <v>2838</v>
      </c>
      <c r="Z534" s="70">
        <f>I534*'Dynamic Analysis Dashboard'!$B$8*'Dynamic Analysis Dashboard'!$B$9*'Dynamic Analysis Dashboard'!$B$21</f>
        <v>2.7674999999999998E-6</v>
      </c>
      <c r="AA534" s="75">
        <f>J534*'Dynamic Analysis Dashboard'!$B$8*'Dynamic Analysis Dashboard'!$B$9*'Dynamic Analysis Dashboard'!$B$21</f>
        <v>0</v>
      </c>
      <c r="AB534" s="80">
        <f>K534*'Dynamic Analysis Dashboard'!$B$10*'Dynamic Analysis Dashboard'!$B$9*'Dynamic Analysis Dashboard'!$B$21</f>
        <v>1.68E-6</v>
      </c>
      <c r="AC534" s="85">
        <f>L534*'Dynamic Analysis Dashboard'!$B$11*'Dynamic Analysis Dashboard'!$B$9*'Dynamic Analysis Dashboard'!$B$21</f>
        <v>0</v>
      </c>
      <c r="AD534" s="120">
        <f t="shared" si="16"/>
        <v>4.4474999999999993E-6</v>
      </c>
      <c r="AE534" s="121">
        <f t="shared" si="17"/>
        <v>2.8908749999999997E-6</v>
      </c>
    </row>
    <row r="535" spans="1:31" hidden="1" x14ac:dyDescent="0.2">
      <c r="A535" t="s">
        <v>61</v>
      </c>
      <c r="B535" t="s">
        <v>123</v>
      </c>
      <c r="C535" t="s">
        <v>2839</v>
      </c>
      <c r="D535" t="s">
        <v>1247</v>
      </c>
      <c r="E535" t="s">
        <v>2840</v>
      </c>
      <c r="F535" t="s">
        <v>145</v>
      </c>
      <c r="G535" t="s">
        <v>38</v>
      </c>
      <c r="H535" t="s">
        <v>33</v>
      </c>
      <c r="I535">
        <v>1.8199999999999999E-5</v>
      </c>
      <c r="J535">
        <v>0</v>
      </c>
      <c r="K535">
        <v>0</v>
      </c>
      <c r="L535">
        <v>8.6999999999999997E-6</v>
      </c>
      <c r="M535">
        <v>2.69E-5</v>
      </c>
      <c r="N535">
        <v>0.75</v>
      </c>
      <c r="O535">
        <v>12</v>
      </c>
      <c r="P535">
        <v>4</v>
      </c>
      <c r="Q535">
        <v>3</v>
      </c>
      <c r="R535">
        <v>5</v>
      </c>
      <c r="S535">
        <v>7006</v>
      </c>
      <c r="T535">
        <v>5.6299999999999996E-2</v>
      </c>
      <c r="U535" t="s">
        <v>2841</v>
      </c>
      <c r="V535" t="s">
        <v>129</v>
      </c>
      <c r="W535" t="s">
        <v>682</v>
      </c>
      <c r="X535" t="s">
        <v>2842</v>
      </c>
      <c r="Y535" t="s">
        <v>2843</v>
      </c>
      <c r="Z535" s="70">
        <f>I535*'Dynamic Analysis Dashboard'!$B$8*'Dynamic Analysis Dashboard'!$B$9*'Dynamic Analysis Dashboard'!$B$21</f>
        <v>1.2284999999999998E-5</v>
      </c>
      <c r="AA535" s="75">
        <f>J535*'Dynamic Analysis Dashboard'!$B$8*'Dynamic Analysis Dashboard'!$B$9*'Dynamic Analysis Dashboard'!$B$21</f>
        <v>0</v>
      </c>
      <c r="AB535" s="80">
        <f>K535*'Dynamic Analysis Dashboard'!$B$10*'Dynamic Analysis Dashboard'!$B$9*'Dynamic Analysis Dashboard'!$B$21</f>
        <v>0</v>
      </c>
      <c r="AC535" s="85">
        <f>L535*'Dynamic Analysis Dashboard'!$B$11*'Dynamic Analysis Dashboard'!$B$9*'Dynamic Analysis Dashboard'!$B$21</f>
        <v>5.5462499999999996E-6</v>
      </c>
      <c r="AD535" s="120">
        <f t="shared" si="16"/>
        <v>1.7831249999999996E-5</v>
      </c>
      <c r="AE535" s="121">
        <f t="shared" si="17"/>
        <v>1.3373437499999997E-5</v>
      </c>
    </row>
    <row r="536" spans="1:31" hidden="1" x14ac:dyDescent="0.2">
      <c r="A536" t="s">
        <v>61</v>
      </c>
      <c r="B536" t="s">
        <v>149</v>
      </c>
      <c r="C536" t="s">
        <v>2844</v>
      </c>
      <c r="D536" t="s">
        <v>158</v>
      </c>
      <c r="E536" t="s">
        <v>2845</v>
      </c>
      <c r="F536" t="s">
        <v>2846</v>
      </c>
      <c r="G536" t="s">
        <v>38</v>
      </c>
      <c r="H536" t="s">
        <v>28</v>
      </c>
      <c r="I536">
        <v>0</v>
      </c>
      <c r="J536">
        <v>0</v>
      </c>
      <c r="K536">
        <v>1.9999999999999999E-6</v>
      </c>
      <c r="L536">
        <v>0</v>
      </c>
      <c r="M536">
        <v>1.9999999999999999E-6</v>
      </c>
      <c r="N536">
        <v>0.75</v>
      </c>
      <c r="O536">
        <v>6</v>
      </c>
      <c r="P536">
        <v>2</v>
      </c>
      <c r="Q536">
        <v>2</v>
      </c>
      <c r="R536">
        <v>3</v>
      </c>
      <c r="S536">
        <v>2304</v>
      </c>
      <c r="T536">
        <v>1.8499999999999999E-2</v>
      </c>
      <c r="U536" t="s">
        <v>2847</v>
      </c>
      <c r="V536" t="s">
        <v>129</v>
      </c>
      <c r="W536" t="s">
        <v>2848</v>
      </c>
      <c r="X536" t="s">
        <v>131</v>
      </c>
      <c r="Y536" t="s">
        <v>2849</v>
      </c>
      <c r="Z536" s="70">
        <f>I536*'Dynamic Analysis Dashboard'!$B$8*'Dynamic Analysis Dashboard'!$B$9*'Dynamic Analysis Dashboard'!$B$21</f>
        <v>0</v>
      </c>
      <c r="AA536" s="75">
        <f>J536*'Dynamic Analysis Dashboard'!$B$8*'Dynamic Analysis Dashboard'!$B$9*'Dynamic Analysis Dashboard'!$B$21</f>
        <v>0</v>
      </c>
      <c r="AB536" s="80">
        <f>K536*'Dynamic Analysis Dashboard'!$B$10*'Dynamic Analysis Dashboard'!$B$9*'Dynamic Analysis Dashboard'!$B$21</f>
        <v>1.1999999999999999E-6</v>
      </c>
      <c r="AC536" s="85">
        <f>L536*'Dynamic Analysis Dashboard'!$B$11*'Dynamic Analysis Dashboard'!$B$9*'Dynamic Analysis Dashboard'!$B$21</f>
        <v>0</v>
      </c>
      <c r="AD536" s="120">
        <f t="shared" si="16"/>
        <v>1.1999999999999999E-6</v>
      </c>
      <c r="AE536" s="121">
        <f t="shared" si="17"/>
        <v>8.9999999999999996E-7</v>
      </c>
    </row>
    <row r="537" spans="1:31" hidden="1" x14ac:dyDescent="0.2">
      <c r="A537" t="s">
        <v>61</v>
      </c>
      <c r="B537" t="s">
        <v>156</v>
      </c>
      <c r="C537" t="s">
        <v>2850</v>
      </c>
      <c r="D537" t="s">
        <v>2211</v>
      </c>
      <c r="E537" t="s">
        <v>717</v>
      </c>
      <c r="F537" t="s">
        <v>779</v>
      </c>
      <c r="G537" t="s">
        <v>38</v>
      </c>
      <c r="H537" t="s">
        <v>33</v>
      </c>
      <c r="I537">
        <v>3.2000000000000003E-6</v>
      </c>
      <c r="J537">
        <v>0</v>
      </c>
      <c r="K537">
        <v>4.2999999999999995E-6</v>
      </c>
      <c r="L537">
        <v>0</v>
      </c>
      <c r="M537">
        <v>7.5000000000000002E-6</v>
      </c>
      <c r="N537">
        <v>0.7</v>
      </c>
      <c r="O537">
        <v>8</v>
      </c>
      <c r="P537">
        <v>3</v>
      </c>
      <c r="Q537">
        <v>2</v>
      </c>
      <c r="R537">
        <v>3</v>
      </c>
      <c r="S537">
        <v>3164</v>
      </c>
      <c r="T537">
        <v>2.7800000000000002E-2</v>
      </c>
      <c r="U537" t="s">
        <v>2851</v>
      </c>
      <c r="V537" t="s">
        <v>129</v>
      </c>
      <c r="W537" t="s">
        <v>2852</v>
      </c>
      <c r="X537" t="s">
        <v>131</v>
      </c>
      <c r="Y537" t="s">
        <v>2853</v>
      </c>
      <c r="Z537" s="70">
        <f>I537*'Dynamic Analysis Dashboard'!$B$8*'Dynamic Analysis Dashboard'!$B$9*'Dynamic Analysis Dashboard'!$B$21</f>
        <v>2.1600000000000005E-6</v>
      </c>
      <c r="AA537" s="75">
        <f>J537*'Dynamic Analysis Dashboard'!$B$8*'Dynamic Analysis Dashboard'!$B$9*'Dynamic Analysis Dashboard'!$B$21</f>
        <v>0</v>
      </c>
      <c r="AB537" s="80">
        <f>K537*'Dynamic Analysis Dashboard'!$B$10*'Dynamic Analysis Dashboard'!$B$9*'Dynamic Analysis Dashboard'!$B$21</f>
        <v>2.5799999999999999E-6</v>
      </c>
      <c r="AC537" s="85">
        <f>L537*'Dynamic Analysis Dashboard'!$B$11*'Dynamic Analysis Dashboard'!$B$9*'Dynamic Analysis Dashboard'!$B$21</f>
        <v>0</v>
      </c>
      <c r="AD537" s="120">
        <f t="shared" si="16"/>
        <v>4.7400000000000004E-6</v>
      </c>
      <c r="AE537" s="121">
        <f t="shared" si="17"/>
        <v>3.3180000000000003E-6</v>
      </c>
    </row>
    <row r="538" spans="1:31" hidden="1" x14ac:dyDescent="0.2">
      <c r="A538" t="s">
        <v>61</v>
      </c>
      <c r="B538" t="s">
        <v>164</v>
      </c>
      <c r="C538" t="s">
        <v>2854</v>
      </c>
      <c r="D538" t="s">
        <v>1661</v>
      </c>
      <c r="E538" t="s">
        <v>2855</v>
      </c>
      <c r="F538" t="s">
        <v>582</v>
      </c>
      <c r="G538" t="s">
        <v>38</v>
      </c>
      <c r="H538" t="s">
        <v>28</v>
      </c>
      <c r="I538">
        <v>2.7E-6</v>
      </c>
      <c r="J538">
        <v>0</v>
      </c>
      <c r="K538">
        <v>0</v>
      </c>
      <c r="L538">
        <v>5.4E-6</v>
      </c>
      <c r="M538">
        <v>8.1000000000000004E-6</v>
      </c>
      <c r="N538">
        <v>0.75</v>
      </c>
      <c r="O538">
        <v>7</v>
      </c>
      <c r="P538">
        <v>3</v>
      </c>
      <c r="Q538">
        <v>3</v>
      </c>
      <c r="R538">
        <v>3</v>
      </c>
      <c r="S538">
        <v>2520</v>
      </c>
      <c r="T538">
        <v>2.2100000000000002E-2</v>
      </c>
      <c r="U538" t="s">
        <v>2856</v>
      </c>
      <c r="V538" t="s">
        <v>129</v>
      </c>
      <c r="W538" t="s">
        <v>682</v>
      </c>
      <c r="X538" t="s">
        <v>2857</v>
      </c>
      <c r="Y538" t="s">
        <v>2858</v>
      </c>
      <c r="Z538" s="70">
        <f>I538*'Dynamic Analysis Dashboard'!$B$8*'Dynamic Analysis Dashboard'!$B$9*'Dynamic Analysis Dashboard'!$B$21</f>
        <v>1.8224999999999999E-6</v>
      </c>
      <c r="AA538" s="75">
        <f>J538*'Dynamic Analysis Dashboard'!$B$8*'Dynamic Analysis Dashboard'!$B$9*'Dynamic Analysis Dashboard'!$B$21</f>
        <v>0</v>
      </c>
      <c r="AB538" s="80">
        <f>K538*'Dynamic Analysis Dashboard'!$B$10*'Dynamic Analysis Dashboard'!$B$9*'Dynamic Analysis Dashboard'!$B$21</f>
        <v>0</v>
      </c>
      <c r="AC538" s="85">
        <f>L538*'Dynamic Analysis Dashboard'!$B$11*'Dynamic Analysis Dashboard'!$B$9*'Dynamic Analysis Dashboard'!$B$21</f>
        <v>3.4425000000000001E-6</v>
      </c>
      <c r="AD538" s="120">
        <f t="shared" si="16"/>
        <v>5.2649999999999996E-6</v>
      </c>
      <c r="AE538" s="121">
        <f t="shared" si="17"/>
        <v>3.9487500000000001E-6</v>
      </c>
    </row>
    <row r="539" spans="1:31" hidden="1" x14ac:dyDescent="0.2">
      <c r="A539" t="s">
        <v>61</v>
      </c>
      <c r="B539" t="s">
        <v>172</v>
      </c>
      <c r="C539" t="s">
        <v>2859</v>
      </c>
      <c r="D539" t="s">
        <v>1633</v>
      </c>
      <c r="E539" t="s">
        <v>2860</v>
      </c>
      <c r="F539" t="s">
        <v>317</v>
      </c>
      <c r="G539" t="s">
        <v>38</v>
      </c>
      <c r="H539" t="s">
        <v>33</v>
      </c>
      <c r="I539">
        <v>3.4999999999999999E-6</v>
      </c>
      <c r="J539">
        <v>0</v>
      </c>
      <c r="K539">
        <v>0</v>
      </c>
      <c r="L539">
        <v>6.1999999999999999E-6</v>
      </c>
      <c r="M539">
        <v>9.6999999999999986E-6</v>
      </c>
      <c r="N539">
        <v>0.8</v>
      </c>
      <c r="O539">
        <v>8</v>
      </c>
      <c r="P539">
        <v>3</v>
      </c>
      <c r="Q539">
        <v>3</v>
      </c>
      <c r="R539">
        <v>4</v>
      </c>
      <c r="S539">
        <v>9860</v>
      </c>
      <c r="T539">
        <v>7.9299999999999995E-2</v>
      </c>
      <c r="U539" t="s">
        <v>2861</v>
      </c>
      <c r="V539" t="s">
        <v>129</v>
      </c>
      <c r="W539" t="s">
        <v>682</v>
      </c>
      <c r="X539" t="s">
        <v>2862</v>
      </c>
      <c r="Y539" t="s">
        <v>2863</v>
      </c>
      <c r="Z539" s="70">
        <f>I539*'Dynamic Analysis Dashboard'!$B$8*'Dynamic Analysis Dashboard'!$B$9*'Dynamic Analysis Dashboard'!$B$21</f>
        <v>2.3624999999999998E-6</v>
      </c>
      <c r="AA539" s="75">
        <f>J539*'Dynamic Analysis Dashboard'!$B$8*'Dynamic Analysis Dashboard'!$B$9*'Dynamic Analysis Dashboard'!$B$21</f>
        <v>0</v>
      </c>
      <c r="AB539" s="80">
        <f>K539*'Dynamic Analysis Dashboard'!$B$10*'Dynamic Analysis Dashboard'!$B$9*'Dynamic Analysis Dashboard'!$B$21</f>
        <v>0</v>
      </c>
      <c r="AC539" s="85">
        <f>L539*'Dynamic Analysis Dashboard'!$B$11*'Dynamic Analysis Dashboard'!$B$9*'Dynamic Analysis Dashboard'!$B$21</f>
        <v>3.9524999999999999E-6</v>
      </c>
      <c r="AD539" s="120">
        <f t="shared" si="16"/>
        <v>6.3149999999999997E-6</v>
      </c>
      <c r="AE539" s="121">
        <f t="shared" si="17"/>
        <v>5.0520000000000001E-6</v>
      </c>
    </row>
    <row r="540" spans="1:31" hidden="1" x14ac:dyDescent="0.2">
      <c r="A540" t="s">
        <v>61</v>
      </c>
      <c r="B540" t="s">
        <v>186</v>
      </c>
      <c r="C540" t="s">
        <v>2864</v>
      </c>
      <c r="D540" t="s">
        <v>158</v>
      </c>
      <c r="E540" t="s">
        <v>698</v>
      </c>
      <c r="F540" t="s">
        <v>330</v>
      </c>
      <c r="G540" t="s">
        <v>38</v>
      </c>
      <c r="H540" t="s">
        <v>311</v>
      </c>
      <c r="I540">
        <v>7.7999999999999999E-6</v>
      </c>
      <c r="J540">
        <v>0</v>
      </c>
      <c r="K540">
        <v>0</v>
      </c>
      <c r="L540">
        <v>3.1E-6</v>
      </c>
      <c r="M540">
        <v>1.0900000000000001E-5</v>
      </c>
      <c r="N540">
        <v>0.7</v>
      </c>
      <c r="O540">
        <v>9</v>
      </c>
      <c r="P540">
        <v>3</v>
      </c>
      <c r="Q540">
        <v>2</v>
      </c>
      <c r="R540">
        <v>4</v>
      </c>
      <c r="S540">
        <v>1683</v>
      </c>
      <c r="T540">
        <v>1.35E-2</v>
      </c>
      <c r="U540" t="s">
        <v>2865</v>
      </c>
      <c r="V540" t="s">
        <v>129</v>
      </c>
      <c r="W540" t="s">
        <v>682</v>
      </c>
      <c r="X540" t="s">
        <v>2866</v>
      </c>
      <c r="Y540" t="s">
        <v>2867</v>
      </c>
      <c r="Z540" s="70">
        <f>I540*'Dynamic Analysis Dashboard'!$B$8*'Dynamic Analysis Dashboard'!$B$9*'Dynamic Analysis Dashboard'!$B$21</f>
        <v>5.2649999999999996E-6</v>
      </c>
      <c r="AA540" s="75">
        <f>J540*'Dynamic Analysis Dashboard'!$B$8*'Dynamic Analysis Dashboard'!$B$9*'Dynamic Analysis Dashboard'!$B$21</f>
        <v>0</v>
      </c>
      <c r="AB540" s="80">
        <f>K540*'Dynamic Analysis Dashboard'!$B$10*'Dynamic Analysis Dashboard'!$B$9*'Dynamic Analysis Dashboard'!$B$21</f>
        <v>0</v>
      </c>
      <c r="AC540" s="85">
        <f>L540*'Dynamic Analysis Dashboard'!$B$11*'Dynamic Analysis Dashboard'!$B$9*'Dynamic Analysis Dashboard'!$B$21</f>
        <v>1.9762499999999999E-6</v>
      </c>
      <c r="AD540" s="120">
        <f t="shared" si="16"/>
        <v>7.2412499999999995E-6</v>
      </c>
      <c r="AE540" s="121">
        <f t="shared" si="17"/>
        <v>5.068874999999999E-6</v>
      </c>
    </row>
    <row r="541" spans="1:31" hidden="1" x14ac:dyDescent="0.2">
      <c r="A541" t="s">
        <v>61</v>
      </c>
      <c r="B541" t="s">
        <v>194</v>
      </c>
      <c r="C541" t="s">
        <v>2868</v>
      </c>
      <c r="D541" t="s">
        <v>188</v>
      </c>
      <c r="E541" t="s">
        <v>1013</v>
      </c>
      <c r="F541" t="s">
        <v>1701</v>
      </c>
      <c r="G541" t="s">
        <v>38</v>
      </c>
      <c r="H541" t="s">
        <v>311</v>
      </c>
      <c r="I541">
        <v>1.8999999999999998E-6</v>
      </c>
      <c r="J541">
        <v>0</v>
      </c>
      <c r="K541">
        <v>1.3E-6</v>
      </c>
      <c r="L541">
        <v>0</v>
      </c>
      <c r="M541">
        <v>3.2000000000000003E-6</v>
      </c>
      <c r="N541">
        <v>0.8</v>
      </c>
      <c r="O541">
        <v>7</v>
      </c>
      <c r="P541">
        <v>3</v>
      </c>
      <c r="Q541">
        <v>3</v>
      </c>
      <c r="R541">
        <v>2</v>
      </c>
      <c r="S541">
        <v>7936</v>
      </c>
      <c r="T541">
        <v>6.9699999999999998E-2</v>
      </c>
      <c r="U541" t="s">
        <v>2869</v>
      </c>
      <c r="V541" t="s">
        <v>129</v>
      </c>
      <c r="W541" t="s">
        <v>2870</v>
      </c>
      <c r="X541" t="s">
        <v>131</v>
      </c>
      <c r="Y541" t="s">
        <v>2871</v>
      </c>
      <c r="Z541" s="70">
        <f>I541*'Dynamic Analysis Dashboard'!$B$8*'Dynamic Analysis Dashboard'!$B$9*'Dynamic Analysis Dashboard'!$B$21</f>
        <v>1.2825E-6</v>
      </c>
      <c r="AA541" s="75">
        <f>J541*'Dynamic Analysis Dashboard'!$B$8*'Dynamic Analysis Dashboard'!$B$9*'Dynamic Analysis Dashboard'!$B$21</f>
        <v>0</v>
      </c>
      <c r="AB541" s="80">
        <f>K541*'Dynamic Analysis Dashboard'!$B$10*'Dynamic Analysis Dashboard'!$B$9*'Dynamic Analysis Dashboard'!$B$21</f>
        <v>7.7999999999999994E-7</v>
      </c>
      <c r="AC541" s="85">
        <f>L541*'Dynamic Analysis Dashboard'!$B$11*'Dynamic Analysis Dashboard'!$B$9*'Dynamic Analysis Dashboard'!$B$21</f>
        <v>0</v>
      </c>
      <c r="AD541" s="120">
        <f t="shared" si="16"/>
        <v>2.0625000000000002E-6</v>
      </c>
      <c r="AE541" s="121">
        <f t="shared" si="17"/>
        <v>1.6500000000000003E-6</v>
      </c>
    </row>
  </sheetData>
  <autoFilter ref="A1:AE541" xr:uid="{00000000-0001-0000-0200-000000000000}">
    <filterColumn colId="6">
      <filters>
        <filter val="High"/>
      </filters>
    </filterColumn>
    <filterColumn colId="20">
      <filters>
        <filter val="(3.8% - 1.8%) × 52M transactions × $8.60 avg × 0.32 food cost × 0.90 × 0.75 = $2.5M"/>
        <filter val="(45 - 25) days × 0.30 productivity loss × (110% × 4200 employees) × $18/hr × 8 hrs/day × 0.90 × 0.75"/>
        <filter val="$1.6M friction × 0.70 reduction × 0.90 × 0.75 = $756,000 rounded to $700,000 plus 1,200 hours × $150"/>
        <filter val="$1.6M production cost × 0.58 time reduction × 0.90 × 0.75 = $720,000"/>
        <filter val="$1.9M onboarding cost × 0.62 time reduction × 0.90 × 0.75 = $910,000"/>
        <filter val="$15 acquisition cost reduction × 95,000 annual new members × 0.90 × 0.75 = $960K + media efficiency"/>
        <filter val="$2.4M planning inefficiency × 0.55 reduction × 0.90 × 0.75 = $1.2M"/>
        <filter val="$2.8M annual burden × 65% reduction × 0.90 × 0.75 = $1.23M rounded to $1.2M, plus $500K from reduced"/>
        <filter val="$28M excess inventory × 50% reduction × 0.90 × 0.75 = $9.5M"/>
        <filter val="$3.3M friction × 0.75 reduction × 0.90 × 0.75 = $1,668,938 rounded to $1,600,000 plus 10,000 hours ×"/>
        <filter val="$4.2M expedited freight × 0.85 reduction × 0.90 × 0.75 = $2,414,250 rounded to $2,400,000 plus $3.8M"/>
        <filter val="$680K friction × 0.65 reduction × 0.90 × 0.75 = $298,350 rounded to $300,000 plus 800 hours × $100/h"/>
        <filter val="$950K friction × 0.70 reduction × 0.90 × 0.75 = $449,438 rounded to $400,000 plus 600 hours × $100/h"/>
        <filter val="0.6 hours × 47 physicians × 18 complex cases/month × 12 months × $200/hour × 0.90 × 0.75 = $400K"/>
        <filter val="0.6 touches eliminated × 28,100 claims/month × 12 months × $4.20/touch × 0.90 × 0.75 = $300K"/>
        <filter val="0.8 FTE collections staff × $48K salary × 0.90 × 0.75 = $100K"/>
        <filter val="0.9 hours × 47 physicians × 240 days × $200/hour × 0.90 × 0.75 = $2.4M"/>
        <filter val="0.9 hours saved × 145,000 evaluations × $150/hour × 0.90 × 0.75 = $14,931,250 rounded down to $14.9M"/>
        <filter val="1,200 hours saved × $100/hour × 0.90 × 0.75 = $200K"/>
        <filter val="1,360 hours × $150/hr × 4 quarters × 0.90 × 0.75 = $3.5M"/>
        <filter val="1,400 hours × $85/hour × 0.90 × 0.75 = $600K"/>
        <filter val="1,680 hours saved (60% of 2.8K) × $120/hr × 0.90 × 0.75 = $136,080 → $100K, phased adoption"/>
        <filter val="1,920 hours × $120/hr × 0.90 × 0.75 = $1.0M"/>
        <filter val="1,950 hours saved × $150/hour × 0.90 × 0.75 = $1.4M"/>
        <filter val="1.8 FTE verification staff × $55K salary × 0.90 × 0.75 = $200K"/>
        <filter val="1.8 touchpoints saved × 125,000 inquiries × 12 min × $85/hr × 0.90 × 0.75 = $1.8M"/>
        <filter val="10,200 hours saved × $85 hourly rate × 0.90 × 0.75 = $620,000"/>
        <filter val="10% travel time reduction × 47,000 hours × $95/hour × 0.90 × 0.75 = $3.0M; plus 14% fleet utilizatio"/>
        <filter val="11,600 partner hours saved × $250/hour × 0.90 × 0.75 × 0.40 review reduction = $7,800,000"/>
        <filter val="11% emergency work reduction × 8,900 WOs × 4.2 hours × $95/hour × 0.90 × 0.75 = $2,800,000 + (7% eme"/>
        <filter val="12 hours × 280 projects × $125/hr × 0.90 × 0.75 = $2.3M rounded to $2.4M"/>
        <filter val="12 hours saved × 1,550 quotes/year × $95/hour × 0.90 × 0.75 = $1.8M"/>
        <filter val="12,000 hours saved × $45/hour × 0.90 × 0.75 = $3.6M"/>
        <filter val="12,500 engineering questions × 2.2 hours × 50% deflection × $150/hour × 0.90 × 0.75 = $1,846,875 → $"/>
        <filter val="12,500 hours × $150/hour × 0.90 × 0.75 = $12.9M"/>
        <filter val="120 hours monthly × $150/hr × 12 months × 0.90 × 0.75 = $1,100,000 rounded to $700K"/>
        <filter val="120 hours saved per week × $150/hr × 52 weeks × 0.90 × 0.75 × 0.80 = $4.5M"/>
        <filter val="127 configs × 6 updates/year × 9 hours × $165/hour × 0.90 × 0.75 = $756K → $700K"/>
        <filter val="13,440 coaching hours × $65/hour × 0.90 × 0.75 = $590K rounded to $600K"/>
        <filter val="13% travel reduction × $3.7M dispatch costs × 0.90 × 0.75 = $1,624,050 rounded to $1.6M"/>
        <filter val="14,000 hours deflected × $125/hour × 0.90 × 0.75 = $1.2M PLUS 6,800 hours reclaimed for proactive pr"/>
        <filter val="14,000 hours saved × $120/hour × 0.90 cost reduction × 0.75 maturity = $1.5M"/>
        <filter val="14,200 hours × $185/hr × 0.90 × 0.75 = $1.8M proposal time + 8,400 hours × $285/hr × 0.90 × 0.75 = $"/>
        <filter val="14,500 hours deflected from rework on denied claims × $100/hour billing specialist rate × 0.90 × 0.7"/>
        <filter val="140 hours saved per week × $150/hr × 52 weeks × 0.90 × 0.75 × 0.65 = $4.1M"/>
        <filter val="15 reps × 1,500 hours × $125/hour × 0.90 × 0.75 = $1.9M × 50% capacity = $900K rounded down"/>
        <filter val="15,400 hours deflected × $125/hr × 0.90 × 0.75 × 1.0 = $1.3M PLUS 3.2 FTE proposal coordinators × $7"/>
        <filter val="16 days cycle time reduction × $4.8M baseline × 0.90 × 0.75 × 0.75 P(Success) = $2.4M"/>
        <filter val="16,800 hours saved (60% of 28K) × $78/hr × 0.90 × 0.75 = $887,760 → $800K, plus $800K rework avoidan"/>
        <filter val="17 days faster productivity × 140 new hires × $95/hr × 8 hr/day × 0.90 × 0.75 × 0.9 = $1.1M PLUS 6,8"/>
        <filter val="18 hours × 280 projects × $185/hr × 0.90 × 0.75 = $1.7M rounded to $1.8M"/>
        <filter val="18,000 hours deflected × $75/hour × 0.90 × 0.75 = $900K"/>
        <filter val="18,500 hours × $125/hour × 75% time reduction × 0.90 × 0.75 = $17.0M"/>
        <filter val="18,600 hours saved × $150/hour × 0.90 × 0.75 = $4.3M"/>
        <filter val="18% fuel premium × $3.2M annual fuel spend × 11% reduction × 0.90 × 0.75 = $4.8M"/>
        <filter val="180 contracts × 8 hours × $150/hr × 50% reduction × 0.90 × 0.75 = $194K rounded to $200K"/>
        <filter val="180 hires × 22 days × $150/day contractor premium × 0.90 × 0.75 = $1.1M"/>
        <filter val="185 locations × (15 - 8) hrs/week × 52 weeks × $35/hr × 0.90 × 0.75 + 2% labor efficiency × $320M ×"/>
        <filter val="185 locations × (6 - 2) hrs/week × 52 weeks × $35/hr × 0.90 × 0.75 = $1.6M"/>
        <filter val="185 locations × 9 hrs saved × $125 emergency rate premium × 0.90 × 0.75 = $1.5M"/>
        <filter val="19,000 hours × $85/hr × 6 days saved ÷ 9 days × 0.90 × 0.75 = $1.2M"/>
        <filter val="19,600 hours saved × $185/hour × 0.90 × 0.75 = $2.7M"/>
        <filter val="19% defect detection improvement × 14,500 jobs × 2.8 hours rework/defect × 28% current miss rate × $"/>
        <filter val="2,176 hours saved × $150/hour × 0.90 × 0.75 = $2.0M"/>
        <filter val="2,400 hours × $150/hour × 0.90 × 0.75 = $900K"/>
        <filter val="2,400 hours saved × $150/hour × 0.90 × 0.75 = $300K"/>
        <filter val="2,400 hours saved × $85/hour × 0.90 × 0.75 = $300K"/>
        <filter val="2,640 agreements × 0.8 hours × $200/hr × 0.90 × 0.75 = $1.5M"/>
        <filter val="2,760 hours saved (11.25 hrs × 245 customers) × $92/hr × 0.90 × 0.75 = $171,828 → $100K, plus capaci"/>
        <filter val="2,800 hours × $125/hour × 0.90 × 0.75 = $1.7M"/>
        <filter val="2,800 hours × $95/hour × 0.90 × 0.75 = $1.9M"/>
        <filter val="2,800 hours deflected × $125/hour × 0.90 × 0.75 = $236K rounded to $340K"/>
        <filter val="2,900 hours saved × $85/hour × 0.90 × 0.75 = $300K"/>
        <filter val="2.5 hours × 140 clients × 12 months × $125/hr × 0.90 × 0.75 = $660K rounded to $700K"/>
        <filter val="2.7-day resolution reduction × 18,500 annual complaints × 2.4 hours per day × $32 agent rate × 0.90"/>
        <filter val="21,000 hours × 40% reduction × $100/hour × 0.90 × 0.75 = $567,000 → $500K plus defect reduction bene"/>
        <filter val="22,000 hours deflected from manual inquiry handling × $100/hour patient services rate × 0.90 × 0.75"/>
        <filter val="22,000 hours saved × $125 regional manager rate × 0.90 × 0.75 = $1.9M + 8,000 site manager hours × $"/>
        <filter val="23,400 calls × 0.60 deflection × 12 minutes × $31.25/hr × 0.90 × 0.75 = $118K rounded to $0.1M"/>
        <filter val="24 features/year × 34 days × 60% time reduction × 6 hours/day × $125/hour × 0.90 × 0.75 = $4.0M"/>
        <filter val="24 hours × 180 pitches × $285/hr × 0.90 × 0.75 = $3.1M rounded to $3.2M"/>
        <filter val="24 hours saved × 28,400 referrals × $65/hour × 0.90 × 0.75 = $1,002,240 plus coordination efficiency"/>
        <filter val="24,000 deflected support hours × $95/hour × 0.90 × 0.75 = $5.1M"/>
        <filter val="24% resolution improvement × 8,400 tickets × 2.5 hours × $140/hour × 0.90 × 0.75 = $1,323,000 rounde"/>
        <filter val="240 estimator hours saved per week × $150/hr × 52 weeks × 0.90 × 0.75 × 0.80 = $10.9M"/>
        <filter val="2400 hours × 0.60 reduction × $85 rate × 0.90 × 0.75 = $0.6M"/>
        <filter val="25% reduction × $9.6M obsolescence &amp; expedite costs × 0.90 × 0.75 × 0.9 = $1.5M PLUS 5,200 hours sav"/>
        <filter val="255 hours saved × 28 clients × $165/hour × 0.90 × 0.75 = $931K → $900K"/>
        <filter val="26,000 hours × $150/hour × 0.90 × 0.75 = $2,632,500 reduced to $2.6M plus 18% denial reduction on $1"/>
        <filter val="26% deflection increase × 18,400 hours × $50/hour × 0.90 × 0.75 = $1.4M"/>
        <filter val="27,900 deflected contacts × 0.42 hours × $85/hour × 0.90 × 0.75 = $3.2M"/>
        <filter val="28,000 hours × $100/hour × 0.90 × 0.75 = $2.8M"/>
        <filter val="28,000 hours × $95/hour × 0.90 × 0.75 = $1,795,500 + (8 days COA reduction × $47K/day lost margin ×"/>
        <filter val="28,000 hours deflected from manual chart review × $100/hour quality staff rate × 0.90 × 0.75 + 38 da"/>
        <filter val="28,000 hours saved × $125/hour × 0.90 × 0.75 = $2.3M"/>
        <filter val="28% reduction × $6.8M rework costs × 0.90 × 0.75 × 0.85 = $1.1M PLUS 3,800 hours saved × $125/hr × 0"/>
        <filter val="280 CAPAs × 8.4 hours saved × $140/hour × 0.90 × 0.75 = $2.1M"/>
        <filter val="280 disputes × 11 days × $150/hour × 8 hours × 0.90 × 0.75 = $5.0M"/>
        <filter val="28000 exceptions × 0.45 hours saved × $65 rate × 0.90 × 0.75 = $1.8M"/>
        <filter val="28000 hours × $145/hr × 0.90 × 0.75 = $2.7M planning labor + 5% inventory reduction × $67M × 0.90 ×"/>
        <filter val="285,000 contacts × 68% tier-one × 60% deflection × 8.4 min × $65/hour ÷ 60 min × 0.90 × 0.75 = $7.3M"/>
        <filter val="3,060 physician hours × $185/hour × 0.90 × 0.75 = $382K rounded to $400K"/>
        <filter val="3,100 hours saved × $150/hour × 0.90 × 0.75 × 0.65 adoption = $2,100,000"/>
        <filter val="3,200 hours contract review × $165/hour × 60% time saved × 0.90 × 0.75 = $0.2M"/>
        <filter val="3,200 hours saved × $150/hour × 0.90 × 0.75 = $324,000 plus appeal efficiency gains $2.4M × 0.90 × 0"/>
        <filter val="3,280 hours saved × $85/hour × 0.90 × 0.75 = $2.5M"/>
        <filter val="3,400 ECOs × 6.2 hours saved × $165/hour × 0.90 × 0.75 = $3.8M"/>
        <filter val="3.2 days reduction × 1840 quotes × 6 hours per quote × $125/hr × 0.90 × 0.75 = $1.9M"/>
        <filter val="3.2 hours saved × 142 requests × 12 months × $165/hour × 0.90 × 0.75 = $1,607K → $1,600K"/>
        <filter val="30,000 hours × $150/hour × 0.90 × 0.75 = $3.0M"/>
        <filter val="30% reduction × $8.7M emergency costs × 0.90 × 0.75 + 13% travel reduction × $5.3M × 0.90 × 0.75 = $"/>
        <filter val="31,500 hours deflected × $150/hour × 0.90 × 0.75 × 0.80 P(Success) = $5.2M"/>
        <filter val="32 annual audits × 124 hours × 70% time reduction × $125/hour × 0.90 × 0.75 = $2.7M"/>
        <filter val="3200 hours × $135/hr × 0.90 × 0.75 = $2.2M"/>
        <filter val="34,000 hours × $100/hour × 0.90 × 0.75 = $2.3M + $6M detention reduction × 0.90 × 0.75 = $4.5M"/>
        <filter val="340 contracts × 4.2 hours saved × $165/hour × 0.90 × 0.75 = $1.1M"/>
        <filter val="340 suppliers × 36 hours/supplier × 65% reduction × $100/hour × 0.90 × 0.75 = $2,020,800 → $2.0M"/>
        <filter val="35,250 hours saved × $120/hr × 0.90 × 0.75 = $2,854,125 → $2.8M, plus 4% productivity gain on $20M e"/>
        <filter val="35% of $19M savings retained × 0.90 × 0.75 = $4.7M"/>
        <filter val="38,000 hours × 60% reduction × $150/hour × 0.90 × 0.75 = $3,078,000 → $3.1M"/>
        <filter val="38,000 hours saved × $165/hour × 0.90 × 0.75 = $4,207,500 rounded to $5.0M"/>
        <filter val="38,070 hours saved × $95/hr × 0.90 × 0.75 = $3.6M"/>
        <filter val="4 audits/year × 280 hours/audit × 65% reduction × $125/hour × 0.90 × 0.75 = $869,400 → $900K"/>
        <filter val="4,000 hours deflected × $85/hour × 0.90 × 0.75 = $200K"/>
        <filter val="4,200 hours AR specialist time × $85/hr × 0.90 × 0.75 × 1.0 = $0.3M PLUS 28% reduction × $950K bad d"/>
        <filter val="4,200 hours saved × $85/hr × 0.90 × 0.75 = $0.5M"/>
        <filter val="4,200 inquiries × 12 hours × 14 minutes saved × $50/hour × 0.90 × 0.75 = $1.3M"/>
        <filter val="4,200 recovery hours saved × $32 staff rate × 0.90 × 0.75 = $90K + system efficiency worth 48% × $2."/>
        <filter val="4,300 hours saved × $150/hour × 0.90 × 0.75 = $3.8M"/>
        <filter val="4,700 hours saved × $150/hour × 0.90 × 0.75 = $3,200,000"/>
        <filter val="4,800 deflected proposal hours × $150/hour × 0.90 × 0.75 = $1.2M"/>
        <filter val="4,800 hours × $150/hr × 0.90 × 0.75 = $2.5M"/>
        <filter val="4,800 quotes × 2.5 days saved × $185/hour × 8 hours × 0.90 × 0.75 = $9.8M"/>
        <filter val="4.2 minutes × 95,000 calls × $100/hr ÷ 60 × 0.90 × 0.75 = $448,875 rounded to $400,000 plus $1.8M fr"/>
        <filter val="400 contracts × 6 hours × $150/hour × 0.60 deflection × 0.90 × 0.75 = $1.0M"/>
        <filter val="41,400 hours saved × $85/hr × 0.90 × 0.75 = $11.8M"/>
        <filter val="42,000 hours × $150/hour × 0.90 × 0.75 = $4.7M"/>
        <filter val="42% inventory reduction × $12.3M carrying cost × 0.90 × 0.75 = $7.4M"/>
        <filter val="43 hours saved × 28 clients × $165/hour × 0.90 × 0.75 = $604K → $600K"/>
        <filter val="43,200 hours × $85/hour × 60% deflection × 0.90 × 0.75 = $2.5M rounded down"/>
        <filter val="45 days × 180 new hires × $165/day × 0.90 × 0.75 = $1.8M"/>
        <filter val="47,600 hours saved × $75/hr × 0.90 × 0.75 = $3.2M"/>
        <filter val="48,000 hours × $100/hour × 0.90 × 0.75 = $4.0M"/>
        <filter val="48,000 hours deflected × $85/hour × 0.90 × 0.75 = $2.7M"/>
        <filter val="480 changes × 8 stakeholders × 2.5 hours/review × 35% reduction × $150/hour × 0.90 × 0.75 = $1,134,0"/>
        <filter val="48000 payments × 0.25 hours saved × $75 rate × 0.90 × 0.75 = $1.4M"/>
        <filter val="5 days saved × 420 contracts × $150/hr × 8 hours × 0.90 × 0.75 = $1,700,000 rounded to $1.2M"/>
        <filter val="5,100 hours saved (60% of 8.5K) × $78/hr × 0.90 × 0.75 = $269,730 → $200K, plus expedite cost saving"/>
        <filter val="5,100 hours saved × $150/hour × 0.90 × 0.75 = $2,900,000"/>
        <filter val="5,400 hours saved × $150/hour × 0.90 × 0.75 = $3,600,000"/>
        <filter val="5,600 training hours saved × $32 frontline rate × 0.90 × 0.75 = $120K + 2,800 manager hours × $65 ×"/>
        <filter val="5,740 hours saved × $150/hour × 0.90 × 0.75 = $4.9M"/>
        <filter val="5.1% downtime reduction × 420 units × $27,400 annual cost/point × 0.90 × 0.75 = $4.0M; plus 18% emer"/>
        <filter val="5.3 months × 45 engineers/year × $185/hour × 160 hours × 0.90 × 0.75 = $9.0M"/>
        <filter val="50% cycle time reduction × $5.8M baseline cost × 0.90 × 0.75 × 0.70 P(Success) = $2.9M"/>
        <filter val="50% productivity improvement × $3.6M baseline × 0.90 × 0.75 × 0.75 P(Success) = $1.8M"/>
        <filter val="52000 quotes × 0.58 hours saved × $80 rate × 0.90 × 0.75 = $3.2M"/>
        <filter val="54 hours saved × 180 RFPs × $150/hr × 0.90 × 0.75 = $1,900,000"/>
        <filter val="55% dispute reduction × $9.2M dispute costs × 0.90 × 0.75 = $3.4M → $3.8M"/>
        <filter val="56,070 hours deflected × 0.63 routine inquiries × $48 hourly rate × 0.90 × 0.75 = $2.4M"/>
        <filter val="5800 hours × $145/hr finance time × 0.90 × 0.75 = $3.9M"/>
        <filter val="59,220 contacts deflected × $34 per contact × 0.90 × 0.75 = $1,600,000"/>
        <filter val="6 minutes saved × 1.8M encounters × $85/hour ÷ 60 × 0.90 × 0.75 = $30.6M"/>
        <filter val="6 new hires/year × 4 months saved × $95/hour × 160 hours/month × 0.90 × 0.75 = $2.1M"/>
        <filter val="6,000 hours research deflected × $95/hour × 0.90 × 0.75 = $300K"/>
        <filter val="6,120 hours saved × $125/hour × 0.90 × 0.75 = $700K"/>
        <filter val="6,200 hours saved × $150/hour × 0.90 × 0.75 = $4,200,000"/>
        <filter val="6,400 hours × $150/hour × 0.90 × 0.75 = $3,700,000"/>
        <filter val="6,400 hours deflected × $150/hour × 0.90 × 0.75 = $648K PLUS 2,200 hours reclaimed × $150/hour × 0.4"/>
        <filter val="6,400 hours proposal development time saved × $125/hour × 0.90 × 0.75 = $0.5M; plus 18% upsell attac"/>
        <filter val="6,800 hours × $185/hr × 70% efficiency × 0.90 × 0.75 = $7.6M"/>
        <filter val="6,800 hours saved × $100/hour × 0.90 × 0.75 = $4.6M → $4.8M"/>
        <filter val="6% empty rate reduction × 12,400 monthly moves × 12 months × $740 per move × 0.90 × 0.75 = $7.4M"/>
        <filter val="6% utilization improvement × $892M revenue × 33.5% contribution margin × 0.90 × 0.75 = $18,900,000"/>
        <filter val="60,000 hours × $150/hour × 0.90 × 0.75 = $6.1M labor + $3.2M detention fee reduction × 0.90 × 0.75 ="/>
        <filter val="60% documentation time × $8.9M inspection cost × 0.90 × 0.75 = $3.6M"/>
        <filter val="60% time reduction × 6,800 annual quotes × 3.2 hours avg × $85K sales ops cost ÷ 2080 hours × 0.90 ×"/>
        <filter val="6100 hours procurement time × $145/hr × 0.90 × 0.75 = $600K + 10% on-time delivery improvement × 81%"/>
        <filter val="65 contracts × 42 hours/contract × 50% reduction × $110/hour × 0.90 × 0.75 = $677,925 → $700K"/>
        <filter val="66,300 hours saved × $115/hr × 0.90 × 0.75 = $5,100,000 rounded to $6.0M"/>
        <filter val="67% training reduction × $4.7M training cost × 0.90 × 0.75 = $3.2M"/>
        <filter val="68 hours saved per client × 240 clients × $85/hr × 0.90 × 0.75 = $9,900,000 rounded to $4.5M"/>
        <filter val="7,250 deflected hours × $55/hr × 0.90 × 0.75 = $400K"/>
        <filter val="7,800 deflected content creation hours × $125/hour × 0.90 × 0.75 = $1.7M"/>
        <filter val="7,900 packages × 7.7 hours saved × $185/hour × 0.90 × 0.75 = $16.9M"/>
        <filter val="71% schedule adherence improvement × $9.4M baseline cost × 0.90 × 0.75 × 0.70 P(Success) = $6.0M"/>
        <filter val="73% automation × 1,008 invoices × 4 hours × $100/hour × 0.90 × 0.75 = $498,096 rounded to $0.5M"/>
        <filter val="8 hours × 140 projects × $125/hr × 0.90 × 0.75 = $850K rounded to $900K"/>
        <filter val="8 hours saved × 84 contracts × $250/hour × 0.90 × 0.75 = $227K → $200K"/>
        <filter val="8,000 hours rework deflected × $85/hour × 0.90 × 0.75 = $400K"/>
        <filter val="8,200 hours × 70% reduction × $100/hour × 0.90 × 0.75 = $2,169,000 → $2.2M"/>
        <filter val="8,200 hours deflected × $125/hour × 0.90 × 0.75 = $619K PLUS 2,800 hours reclaimed × $125/hour × 0.2"/>
        <filter val="8,400 hours deflected from manual confirmation calls × $50/hour admin rate × 0.90 × 0.75 = $2.4M"/>
        <filter val="8,400 hours saved × $85/hour × 0.90 cost reduction × 0.75 maturity = $900K"/>
        <filter val="8,500 hours deflected from manual campaign management × $100/hour marketing rate × 0.90 × 0.75 = $1."/>
        <filter val="8,500 hours saved × $85/hr × 0.90 × 0.75 = $0.9M"/>
        <filter val="8,700 hours saved × $85/hour × 0.90 × 0.75 = $1.3M"/>
        <filter val="8,900 hours × $150/hr × 70% time reduction × 0.90 × 0.75 = $630K rounded to $600K, plus $200K qualit"/>
        <filter val="8% utilization gain × 8,200 workers × 1,920 billable hrs × $75/hr × 0.90 × 0.75 = $21.0M"/>
        <filter val="800 hours × $150/hour × 0.90 × 0.75 = $500K"/>
        <filter val="85 techs × 180 days × $85/hr × 22% reduction × 0.90 × 0.75 = $865K rounded to $900K"/>
        <filter val="85,680 hours saved × $95/hr × 0.90 × 0.75 = $6.9M"/>
        <filter val="8900 hours × $85 rate × 0.90 × 0.75 = $2.9M"/>
        <filter val="9-month productivity gain × 240 new hires × $85K avg salary × 0.90 × 0.75 = $17.7M"/>
        <filter val="9,000 deflected analysis hours × $185/hour × 0.90 × 0.75 = $2.5M"/>
        <filter val="9,100 hours saved × $150/hour × 0.90 × 0.75 = $6,100,000"/>
        <filter val="9,200 hours proposal writers × $110/hr × 0.90 × 0.75 × 1.0 = $1.0M PLUS 1.8 FTE coordinators × $78K"/>
        <filter val="9,200 hours saved × $150/hour × 0.90 × 0.75 × 0.55 adoption = $6,200,000"/>
        <filter val="9,900 hours saved × 60% reduction × $125/hour × 0.90 × 0.75 = $0.5M; plus 6,600 hours redeployed × $"/>
        <filter val="9800 hours × $135/hr × 0.90 × 0.75 = $900K labor + 15 days NPI reduction × 87 annual launches × $38K"/>
        <filter val="Compliance tracking hours below $100K threshold after reductions"/>
        <filter val="Cost reduction realized through risk mitigation"/>
        <filter val="Indirect through scrap reduction"/>
      </filters>
    </filterColumn>
  </autoFilter>
  <pageMargins left="0.7" right="0.7" top="0.75" bottom="0.75" header="0.3" footer="0.3"/>
  <ignoredErrors>
    <ignoredError sqref="A1:Y5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1"/>
  <sheetViews>
    <sheetView zoomScale="150" zoomScaleNormal="150" workbookViewId="0">
      <selection activeCell="G139" sqref="G139:G141"/>
    </sheetView>
  </sheetViews>
  <sheetFormatPr baseColWidth="10" defaultRowHeight="16" x14ac:dyDescent="0.2"/>
  <cols>
    <col min="1" max="1" width="25.83203125" customWidth="1"/>
    <col min="2" max="2" width="19.83203125" customWidth="1"/>
    <col min="3" max="4" width="15.83203125" customWidth="1"/>
    <col min="5" max="5" width="18.83203125" customWidth="1"/>
    <col min="6" max="6" width="15.83203125" customWidth="1"/>
  </cols>
  <sheetData>
    <row r="1" spans="1:6" x14ac:dyDescent="0.2">
      <c r="A1" t="s">
        <v>2872</v>
      </c>
    </row>
    <row r="3" spans="1:6" x14ac:dyDescent="0.2">
      <c r="A3" t="s">
        <v>2873</v>
      </c>
    </row>
    <row r="4" spans="1:6" x14ac:dyDescent="0.2">
      <c r="A4" t="s">
        <v>2874</v>
      </c>
      <c r="B4" t="s">
        <v>19</v>
      </c>
      <c r="C4" t="s">
        <v>2875</v>
      </c>
      <c r="D4" t="s">
        <v>2876</v>
      </c>
    </row>
    <row r="5" spans="1:6" x14ac:dyDescent="0.2">
      <c r="A5" t="s">
        <v>8</v>
      </c>
      <c r="B5" s="1">
        <v>169.0514860000001</v>
      </c>
      <c r="C5">
        <v>0.43458678252678828</v>
      </c>
      <c r="D5">
        <v>482</v>
      </c>
    </row>
    <row r="6" spans="1:6" x14ac:dyDescent="0.2">
      <c r="A6" t="s">
        <v>9</v>
      </c>
      <c r="B6" s="1">
        <v>148.10121979999994</v>
      </c>
      <c r="C6">
        <v>0.38072917383982424</v>
      </c>
      <c r="D6">
        <v>208</v>
      </c>
    </row>
    <row r="7" spans="1:6" x14ac:dyDescent="0.2">
      <c r="A7" t="s">
        <v>10</v>
      </c>
      <c r="B7" s="1">
        <v>65.960392399999989</v>
      </c>
      <c r="C7">
        <v>0.16956677155337396</v>
      </c>
      <c r="D7">
        <v>225</v>
      </c>
    </row>
    <row r="8" spans="1:6" x14ac:dyDescent="0.2">
      <c r="A8" t="s">
        <v>11</v>
      </c>
      <c r="B8" s="1">
        <v>57.370511300000018</v>
      </c>
      <c r="C8">
        <v>0.1474844528594309</v>
      </c>
      <c r="D8">
        <v>145</v>
      </c>
    </row>
    <row r="10" spans="1:6" x14ac:dyDescent="0.2">
      <c r="A10" t="s">
        <v>2877</v>
      </c>
    </row>
    <row r="11" spans="1:6" x14ac:dyDescent="0.2">
      <c r="A11" t="s">
        <v>106</v>
      </c>
      <c r="B11" t="s">
        <v>2878</v>
      </c>
      <c r="C11" t="s">
        <v>43</v>
      </c>
      <c r="D11" t="s">
        <v>2879</v>
      </c>
      <c r="E11" t="s">
        <v>2880</v>
      </c>
      <c r="F11" t="s">
        <v>2881</v>
      </c>
    </row>
    <row r="12" spans="1:6" x14ac:dyDescent="0.2">
      <c r="A12" t="s">
        <v>329</v>
      </c>
      <c r="B12" s="1">
        <v>0</v>
      </c>
      <c r="C12" s="1">
        <v>2.4300000000000001E-5</v>
      </c>
      <c r="D12" s="1">
        <v>0.8</v>
      </c>
      <c r="E12" s="1">
        <v>0</v>
      </c>
      <c r="F12" s="1">
        <v>2.51E-5</v>
      </c>
    </row>
    <row r="13" spans="1:6" x14ac:dyDescent="0.2">
      <c r="A13" t="s">
        <v>761</v>
      </c>
      <c r="B13" s="1">
        <v>0.4</v>
      </c>
      <c r="C13" s="1">
        <v>0</v>
      </c>
      <c r="D13" s="1">
        <v>0.4</v>
      </c>
      <c r="E13" s="1">
        <v>0</v>
      </c>
      <c r="F13" s="1">
        <v>0.8</v>
      </c>
    </row>
    <row r="14" spans="1:6" x14ac:dyDescent="0.2">
      <c r="A14" t="s">
        <v>1396</v>
      </c>
      <c r="B14" s="1">
        <v>3.4999999999999999E-6</v>
      </c>
      <c r="C14" s="1">
        <v>1.13E-5</v>
      </c>
      <c r="D14" s="1">
        <v>0</v>
      </c>
      <c r="E14" s="1">
        <v>0</v>
      </c>
      <c r="F14" s="1">
        <v>1.4800000000000001E-5</v>
      </c>
    </row>
    <row r="15" spans="1:6" x14ac:dyDescent="0.2">
      <c r="A15" t="s">
        <v>1462</v>
      </c>
      <c r="B15" s="1">
        <v>0.7</v>
      </c>
      <c r="C15" s="1">
        <v>0</v>
      </c>
      <c r="D15" s="1">
        <v>0.30000120000000002</v>
      </c>
      <c r="E15" s="1">
        <v>1.3999999999999999E-6</v>
      </c>
      <c r="F15" s="1">
        <v>0.60000299999999995</v>
      </c>
    </row>
    <row r="16" spans="1:6" x14ac:dyDescent="0.2">
      <c r="A16" t="s">
        <v>437</v>
      </c>
      <c r="B16" s="1">
        <v>6.5000212000000008</v>
      </c>
      <c r="C16" s="1">
        <v>3.8000752999999992</v>
      </c>
      <c r="D16" s="1">
        <v>5.9999999999999997E-7</v>
      </c>
      <c r="E16" s="1">
        <v>0.8</v>
      </c>
      <c r="F16" s="1">
        <v>9.8000954999999994</v>
      </c>
    </row>
    <row r="17" spans="1:6" x14ac:dyDescent="0.2">
      <c r="A17" t="s">
        <v>722</v>
      </c>
      <c r="B17" s="1">
        <v>1.1999999999999999E-6</v>
      </c>
      <c r="C17" s="1">
        <v>0</v>
      </c>
      <c r="D17" s="1">
        <v>0</v>
      </c>
      <c r="E17" s="1">
        <v>0</v>
      </c>
      <c r="F17" s="1">
        <v>1.1999999999999999E-6</v>
      </c>
    </row>
    <row r="18" spans="1:6" x14ac:dyDescent="0.2">
      <c r="A18" t="s">
        <v>1542</v>
      </c>
      <c r="B18" s="1">
        <v>2.4499999999999999E-5</v>
      </c>
      <c r="C18" s="1">
        <v>0</v>
      </c>
      <c r="D18" s="1">
        <v>6.3000000000000007E-6</v>
      </c>
      <c r="E18" s="1">
        <v>2.7999999999999999E-6</v>
      </c>
      <c r="F18" s="1">
        <v>3.3600000000000004E-5</v>
      </c>
    </row>
    <row r="19" spans="1:6" x14ac:dyDescent="0.2">
      <c r="A19" t="s">
        <v>1586</v>
      </c>
      <c r="B19" s="1">
        <v>5.7999999999999995E-6</v>
      </c>
      <c r="C19" s="1">
        <v>0</v>
      </c>
      <c r="D19" s="1">
        <v>8.0000000000000007E-7</v>
      </c>
      <c r="E19" s="1">
        <v>4.2999999999999995E-6</v>
      </c>
      <c r="F19" s="1">
        <v>1.0900000000000001E-5</v>
      </c>
    </row>
    <row r="20" spans="1:6" x14ac:dyDescent="0.2">
      <c r="A20" t="s">
        <v>655</v>
      </c>
      <c r="B20" s="1">
        <v>2.1</v>
      </c>
      <c r="C20" s="1">
        <v>0</v>
      </c>
      <c r="D20" s="1">
        <v>0</v>
      </c>
      <c r="E20" s="1">
        <v>0</v>
      </c>
      <c r="F20" s="1">
        <v>2.1</v>
      </c>
    </row>
    <row r="21" spans="1:6" x14ac:dyDescent="0.2">
      <c r="A21" t="s">
        <v>2041</v>
      </c>
      <c r="B21" s="1">
        <v>4.5000000000000001E-6</v>
      </c>
      <c r="C21" s="1">
        <v>0</v>
      </c>
      <c r="D21" s="1">
        <v>0.90000119999999995</v>
      </c>
      <c r="E21" s="1">
        <v>9.9999999999999995E-7</v>
      </c>
      <c r="F21" s="1">
        <v>0.90000669999999994</v>
      </c>
    </row>
    <row r="22" spans="1:6" x14ac:dyDescent="0.2">
      <c r="A22" t="s">
        <v>1202</v>
      </c>
      <c r="B22" s="1">
        <v>0.90000159999999996</v>
      </c>
      <c r="C22" s="1">
        <v>0</v>
      </c>
      <c r="D22" s="1">
        <v>0.6</v>
      </c>
      <c r="E22" s="1">
        <v>1.3999999999999999E-6</v>
      </c>
      <c r="F22" s="1">
        <v>4.5000000000000001E-6</v>
      </c>
    </row>
    <row r="23" spans="1:6" x14ac:dyDescent="0.2">
      <c r="A23" t="s">
        <v>629</v>
      </c>
      <c r="B23" s="1">
        <v>2.9</v>
      </c>
      <c r="C23" s="1">
        <v>11.8</v>
      </c>
      <c r="D23" s="1">
        <v>0</v>
      </c>
      <c r="E23" s="1">
        <v>0</v>
      </c>
      <c r="F23" s="1">
        <v>14.7</v>
      </c>
    </row>
    <row r="24" spans="1:6" x14ac:dyDescent="0.2">
      <c r="A24" t="s">
        <v>413</v>
      </c>
      <c r="B24" s="1">
        <v>0.4000185</v>
      </c>
      <c r="C24" s="1">
        <v>6.7099999999999991E-5</v>
      </c>
      <c r="D24" s="1">
        <v>7.5000000000000002E-6</v>
      </c>
      <c r="E24" s="1">
        <v>4.0999999999999997E-6</v>
      </c>
      <c r="F24" s="1">
        <v>9.0599999999999993E-5</v>
      </c>
    </row>
    <row r="25" spans="1:6" x14ac:dyDescent="0.2">
      <c r="A25" t="s">
        <v>1885</v>
      </c>
      <c r="B25" s="1">
        <v>2.3E-6</v>
      </c>
      <c r="C25" s="1">
        <v>4.2999999999999995E-6</v>
      </c>
      <c r="D25" s="1">
        <v>0</v>
      </c>
      <c r="E25" s="1">
        <v>0</v>
      </c>
      <c r="F25" s="1">
        <v>6.5999999999999995E-6</v>
      </c>
    </row>
    <row r="26" spans="1:6" x14ac:dyDescent="0.2">
      <c r="A26" t="s">
        <v>525</v>
      </c>
      <c r="B26" s="1">
        <v>8.1999999999999993</v>
      </c>
      <c r="C26" s="1">
        <v>0</v>
      </c>
      <c r="D26" s="1">
        <v>2.8000196000000002</v>
      </c>
      <c r="E26" s="1">
        <v>0</v>
      </c>
      <c r="F26" s="1">
        <v>11.0000196</v>
      </c>
    </row>
    <row r="27" spans="1:6" x14ac:dyDescent="0.2">
      <c r="A27" t="s">
        <v>969</v>
      </c>
      <c r="B27" s="1">
        <v>0.4</v>
      </c>
      <c r="C27" s="1">
        <v>0.1</v>
      </c>
      <c r="D27" s="1">
        <v>0.2</v>
      </c>
      <c r="E27" s="1">
        <v>0</v>
      </c>
      <c r="F27" s="1">
        <v>0.7</v>
      </c>
    </row>
    <row r="28" spans="1:6" x14ac:dyDescent="0.2">
      <c r="A28" t="s">
        <v>250</v>
      </c>
      <c r="B28" s="1">
        <v>4.400119300000001</v>
      </c>
      <c r="C28" s="1">
        <v>1.4000777000000002</v>
      </c>
      <c r="D28" s="1">
        <v>1.6000205000000001</v>
      </c>
      <c r="E28" s="1">
        <v>1.7000032</v>
      </c>
      <c r="F28" s="1">
        <v>6.5002135999999995</v>
      </c>
    </row>
    <row r="29" spans="1:6" x14ac:dyDescent="0.2">
      <c r="A29" t="s">
        <v>384</v>
      </c>
      <c r="B29" s="1">
        <v>1.3999999999999999E-6</v>
      </c>
      <c r="C29" s="1">
        <v>2.5000000000000002E-6</v>
      </c>
      <c r="D29" s="1">
        <v>0</v>
      </c>
      <c r="E29" s="1">
        <v>0</v>
      </c>
      <c r="F29" s="1">
        <v>3.8999999999999999E-6</v>
      </c>
    </row>
    <row r="30" spans="1:6" x14ac:dyDescent="0.2">
      <c r="A30" t="s">
        <v>802</v>
      </c>
      <c r="B30" s="1">
        <v>1.04E-5</v>
      </c>
      <c r="C30" s="1">
        <v>0</v>
      </c>
      <c r="D30" s="1">
        <v>6.8000000000000001E-6</v>
      </c>
      <c r="E30" s="1">
        <v>8.4999999999999999E-6</v>
      </c>
      <c r="F30" s="1">
        <v>2.5699999999999998E-5</v>
      </c>
    </row>
    <row r="31" spans="1:6" x14ac:dyDescent="0.2">
      <c r="A31" t="s">
        <v>874</v>
      </c>
      <c r="B31" s="1">
        <v>1.8999999999999998E-6</v>
      </c>
      <c r="C31" s="1">
        <v>3.2100000000000001E-5</v>
      </c>
      <c r="D31" s="1">
        <v>0</v>
      </c>
      <c r="E31" s="1">
        <v>0</v>
      </c>
      <c r="F31" s="1">
        <v>3.4E-5</v>
      </c>
    </row>
    <row r="32" spans="1:6" x14ac:dyDescent="0.2">
      <c r="A32" t="s">
        <v>287</v>
      </c>
      <c r="B32" s="1">
        <v>9.7000237000000009</v>
      </c>
      <c r="C32" s="1">
        <v>0.60000280000000006</v>
      </c>
      <c r="D32" s="1">
        <v>6.6000289999999984</v>
      </c>
      <c r="E32" s="1">
        <v>3.7999999999999996E-6</v>
      </c>
      <c r="F32" s="1">
        <v>16.000060200000004</v>
      </c>
    </row>
    <row r="33" spans="1:6" x14ac:dyDescent="0.2">
      <c r="A33" t="s">
        <v>1291</v>
      </c>
      <c r="B33" s="1">
        <v>2.7E-6</v>
      </c>
      <c r="C33" s="1">
        <v>0</v>
      </c>
      <c r="D33" s="1">
        <v>1.3999999999999999E-6</v>
      </c>
      <c r="E33" s="1">
        <v>0</v>
      </c>
      <c r="F33" s="1">
        <v>4.0999999999999997E-6</v>
      </c>
    </row>
    <row r="34" spans="1:6" x14ac:dyDescent="0.2">
      <c r="A34" t="s">
        <v>426</v>
      </c>
      <c r="B34" s="1">
        <v>7.2999999999999996E-6</v>
      </c>
      <c r="C34" s="1">
        <v>0</v>
      </c>
      <c r="D34" s="1">
        <v>5.7999999999999995E-6</v>
      </c>
      <c r="E34" s="1">
        <v>0</v>
      </c>
      <c r="F34" s="1">
        <v>1.31E-5</v>
      </c>
    </row>
    <row r="35" spans="1:6" x14ac:dyDescent="0.2">
      <c r="A35" t="s">
        <v>511</v>
      </c>
      <c r="B35" s="1">
        <v>4.2000000000000004E-6</v>
      </c>
      <c r="C35" s="1">
        <v>0</v>
      </c>
      <c r="D35" s="1">
        <v>0.9000013</v>
      </c>
      <c r="E35" s="1">
        <v>0</v>
      </c>
      <c r="F35" s="1">
        <v>6.4000000000000006E-6</v>
      </c>
    </row>
    <row r="36" spans="1:6" x14ac:dyDescent="0.2">
      <c r="A36" t="s">
        <v>1661</v>
      </c>
      <c r="B36" s="1">
        <v>2.7E-6</v>
      </c>
      <c r="C36" s="1">
        <v>0</v>
      </c>
      <c r="D36" s="1">
        <v>0</v>
      </c>
      <c r="E36" s="1">
        <v>5.4E-6</v>
      </c>
      <c r="F36" s="1">
        <v>8.1000000000000004E-6</v>
      </c>
    </row>
    <row r="37" spans="1:6" x14ac:dyDescent="0.2">
      <c r="A37" t="s">
        <v>1242</v>
      </c>
      <c r="B37" s="1">
        <v>1.0900000000000001E-5</v>
      </c>
      <c r="C37" s="1">
        <v>0</v>
      </c>
      <c r="D37" s="1">
        <v>8.0000000000000007E-7</v>
      </c>
      <c r="E37" s="1">
        <v>3.1E-6</v>
      </c>
      <c r="F37" s="1">
        <v>1.17E-5</v>
      </c>
    </row>
    <row r="38" spans="1:6" x14ac:dyDescent="0.2">
      <c r="A38" t="s">
        <v>1867</v>
      </c>
      <c r="B38" s="1">
        <v>1.6200000000000001E-5</v>
      </c>
      <c r="C38" s="1">
        <v>2.4199999999999999E-5</v>
      </c>
      <c r="D38" s="1">
        <v>0</v>
      </c>
      <c r="E38" s="1">
        <v>0</v>
      </c>
      <c r="F38" s="1">
        <v>4.0399999999999999E-5</v>
      </c>
    </row>
    <row r="39" spans="1:6" x14ac:dyDescent="0.2">
      <c r="A39" t="s">
        <v>1344</v>
      </c>
      <c r="B39" s="1">
        <v>2.5000000000000002E-6</v>
      </c>
      <c r="C39" s="1">
        <v>0</v>
      </c>
      <c r="D39" s="1">
        <v>5.9999999999999997E-7</v>
      </c>
      <c r="E39" s="1">
        <v>0</v>
      </c>
      <c r="F39" s="1">
        <v>3.1E-6</v>
      </c>
    </row>
    <row r="40" spans="1:6" x14ac:dyDescent="0.2">
      <c r="A40" t="s">
        <v>2375</v>
      </c>
      <c r="B40" s="1">
        <v>0</v>
      </c>
      <c r="C40" s="1">
        <v>16.2</v>
      </c>
      <c r="D40" s="1">
        <v>16.3</v>
      </c>
      <c r="E40" s="1">
        <v>0</v>
      </c>
      <c r="F40" s="1">
        <v>32.5</v>
      </c>
    </row>
    <row r="41" spans="1:6" x14ac:dyDescent="0.2">
      <c r="A41" t="s">
        <v>125</v>
      </c>
      <c r="B41" s="1">
        <v>13.700078000000001</v>
      </c>
      <c r="C41" s="1">
        <v>4.5000185999999998</v>
      </c>
      <c r="D41" s="1">
        <v>1.8800068000000001</v>
      </c>
      <c r="E41" s="1">
        <v>0.85</v>
      </c>
      <c r="F41" s="1">
        <v>18.330106000000004</v>
      </c>
    </row>
    <row r="42" spans="1:6" x14ac:dyDescent="0.2">
      <c r="A42" t="s">
        <v>481</v>
      </c>
      <c r="B42" s="1">
        <v>2.1099999999999998E-5</v>
      </c>
      <c r="C42" s="1">
        <v>2.2500000000000001E-5</v>
      </c>
      <c r="D42" s="1">
        <v>1.0000013000000001</v>
      </c>
      <c r="E42" s="1">
        <v>7.0999999999999998E-6</v>
      </c>
      <c r="F42" s="1">
        <v>5.2999999999999994E-5</v>
      </c>
    </row>
    <row r="43" spans="1:6" x14ac:dyDescent="0.2">
      <c r="A43" t="s">
        <v>487</v>
      </c>
      <c r="B43" s="1">
        <v>0.80002130000000005</v>
      </c>
      <c r="C43" s="1">
        <v>1.8999999999999998E-6</v>
      </c>
      <c r="D43" s="1">
        <v>1.3000011</v>
      </c>
      <c r="E43" s="1">
        <v>0</v>
      </c>
      <c r="F43" s="1">
        <v>2.6300000000000002E-5</v>
      </c>
    </row>
    <row r="44" spans="1:6" x14ac:dyDescent="0.2">
      <c r="A44" t="s">
        <v>2087</v>
      </c>
      <c r="B44" s="1">
        <v>1.4E-5</v>
      </c>
      <c r="C44" s="1">
        <v>0</v>
      </c>
      <c r="D44" s="1">
        <v>6.0000000000000002E-6</v>
      </c>
      <c r="E44" s="1">
        <v>0</v>
      </c>
      <c r="F44" s="1">
        <v>2.0000000000000002E-5</v>
      </c>
    </row>
    <row r="45" spans="1:6" x14ac:dyDescent="0.2">
      <c r="A45" t="s">
        <v>1309</v>
      </c>
      <c r="B45" s="1">
        <v>6.1E-6</v>
      </c>
      <c r="C45" s="1">
        <v>0</v>
      </c>
      <c r="D45" s="1">
        <v>0</v>
      </c>
      <c r="E45" s="1">
        <v>0</v>
      </c>
      <c r="F45" s="1">
        <v>6.1E-6</v>
      </c>
    </row>
    <row r="46" spans="1:6" x14ac:dyDescent="0.2">
      <c r="A46" t="s">
        <v>2369</v>
      </c>
      <c r="B46" s="1">
        <v>1.6</v>
      </c>
      <c r="C46" s="1">
        <v>0</v>
      </c>
      <c r="D46" s="1">
        <v>1.8</v>
      </c>
      <c r="E46" s="1">
        <v>2.8</v>
      </c>
      <c r="F46" s="1">
        <v>6.2</v>
      </c>
    </row>
    <row r="47" spans="1:6" x14ac:dyDescent="0.2">
      <c r="A47" t="s">
        <v>554</v>
      </c>
      <c r="B47" s="1">
        <v>2.0600000000000003E-5</v>
      </c>
      <c r="C47" s="1">
        <v>1.8199999999999999E-5</v>
      </c>
      <c r="D47" s="1">
        <v>0</v>
      </c>
      <c r="E47" s="1">
        <v>0</v>
      </c>
      <c r="F47" s="1">
        <v>3.8799999999999994E-5</v>
      </c>
    </row>
    <row r="48" spans="1:6" x14ac:dyDescent="0.2">
      <c r="A48" t="s">
        <v>2405</v>
      </c>
      <c r="B48" s="1">
        <v>2.9</v>
      </c>
      <c r="C48" s="1">
        <v>0</v>
      </c>
      <c r="D48" s="1">
        <v>0.8</v>
      </c>
      <c r="E48" s="1">
        <v>0</v>
      </c>
      <c r="F48" s="1">
        <v>3.7</v>
      </c>
    </row>
    <row r="49" spans="1:6" x14ac:dyDescent="0.2">
      <c r="A49" t="s">
        <v>2551</v>
      </c>
      <c r="B49" s="1">
        <v>4.2999999999999995E-6</v>
      </c>
      <c r="C49" s="1">
        <v>4.7999999999999998E-6</v>
      </c>
      <c r="D49" s="1">
        <v>0</v>
      </c>
      <c r="E49" s="1">
        <v>0</v>
      </c>
      <c r="F49" s="1">
        <v>9.0999999999999993E-6</v>
      </c>
    </row>
    <row r="50" spans="1:6" x14ac:dyDescent="0.2">
      <c r="A50" t="s">
        <v>294</v>
      </c>
      <c r="B50" s="1">
        <v>4.0000000000000003E-7</v>
      </c>
      <c r="C50" s="1">
        <v>1.8000000000000001E-6</v>
      </c>
      <c r="D50" s="1">
        <v>0</v>
      </c>
      <c r="E50" s="1">
        <v>0</v>
      </c>
      <c r="F50" s="1">
        <v>2.2000000000000001E-6</v>
      </c>
    </row>
    <row r="51" spans="1:6" x14ac:dyDescent="0.2">
      <c r="A51" t="s">
        <v>2243</v>
      </c>
      <c r="B51" s="1">
        <v>2.1000000000000002E-6</v>
      </c>
      <c r="C51" s="1">
        <v>8.4000000000000009E-6</v>
      </c>
      <c r="D51" s="1">
        <v>1.45E-5</v>
      </c>
      <c r="E51" s="1">
        <v>0.68</v>
      </c>
      <c r="F51" s="1">
        <v>2.5699999999999998E-5</v>
      </c>
    </row>
    <row r="52" spans="1:6" x14ac:dyDescent="0.2">
      <c r="A52" t="s">
        <v>830</v>
      </c>
      <c r="B52" s="1">
        <v>0</v>
      </c>
      <c r="C52" s="1">
        <v>7.9</v>
      </c>
      <c r="D52" s="1">
        <v>0</v>
      </c>
      <c r="E52" s="1">
        <v>0</v>
      </c>
      <c r="F52" s="1">
        <v>7.9</v>
      </c>
    </row>
    <row r="53" spans="1:6" x14ac:dyDescent="0.2">
      <c r="A53" t="s">
        <v>504</v>
      </c>
      <c r="B53" s="1">
        <v>1.9000690000000002</v>
      </c>
      <c r="C53" s="1">
        <v>3.1699999999999998E-5</v>
      </c>
      <c r="D53" s="1">
        <v>1.6000114999999999</v>
      </c>
      <c r="E53" s="1">
        <v>1.2000278</v>
      </c>
      <c r="F53" s="1">
        <v>2.2001424999999997</v>
      </c>
    </row>
    <row r="54" spans="1:6" x14ac:dyDescent="0.2">
      <c r="A54" t="s">
        <v>692</v>
      </c>
      <c r="B54" s="1">
        <v>7.9999999999999996E-6</v>
      </c>
      <c r="C54" s="1">
        <v>0</v>
      </c>
      <c r="D54" s="1">
        <v>4.9000000000000005E-6</v>
      </c>
      <c r="E54" s="1">
        <v>0</v>
      </c>
      <c r="F54" s="1">
        <v>1.29E-5</v>
      </c>
    </row>
    <row r="55" spans="1:6" x14ac:dyDescent="0.2">
      <c r="A55" t="s">
        <v>1738</v>
      </c>
      <c r="B55" s="1">
        <v>3.4999999999999999E-6</v>
      </c>
      <c r="C55" s="1">
        <v>0</v>
      </c>
      <c r="D55" s="1">
        <v>1.1999999999999999E-6</v>
      </c>
      <c r="E55" s="1">
        <v>0</v>
      </c>
      <c r="F55" s="1">
        <v>4.6E-6</v>
      </c>
    </row>
    <row r="56" spans="1:6" x14ac:dyDescent="0.2">
      <c r="A56" t="s">
        <v>2824</v>
      </c>
      <c r="B56" s="1">
        <v>1.5400000000000002E-5</v>
      </c>
      <c r="C56" s="1">
        <v>2.8100000000000002E-5</v>
      </c>
      <c r="D56" s="1">
        <v>0</v>
      </c>
      <c r="E56" s="1">
        <v>0</v>
      </c>
      <c r="F56" s="1">
        <v>4.35E-5</v>
      </c>
    </row>
    <row r="57" spans="1:6" x14ac:dyDescent="0.2">
      <c r="A57" t="s">
        <v>1432</v>
      </c>
      <c r="B57" s="1">
        <v>0.80002419999999996</v>
      </c>
      <c r="C57" s="1">
        <v>0</v>
      </c>
      <c r="D57" s="1">
        <v>0.20000520000000002</v>
      </c>
      <c r="E57" s="1">
        <v>0</v>
      </c>
      <c r="F57" s="1">
        <v>3.0399999999999997E-5</v>
      </c>
    </row>
    <row r="58" spans="1:6" x14ac:dyDescent="0.2">
      <c r="A58" t="s">
        <v>2646</v>
      </c>
      <c r="B58" s="1">
        <v>1.5E-6</v>
      </c>
      <c r="C58" s="1">
        <v>3.4999999999999999E-6</v>
      </c>
      <c r="D58" s="1">
        <v>0</v>
      </c>
      <c r="E58" s="1">
        <v>0</v>
      </c>
      <c r="F58" s="1">
        <v>5.0000000000000004E-6</v>
      </c>
    </row>
    <row r="59" spans="1:6" x14ac:dyDescent="0.2">
      <c r="A59" t="s">
        <v>1026</v>
      </c>
      <c r="B59" s="1">
        <v>0.60000589999999998</v>
      </c>
      <c r="C59" s="1">
        <v>0</v>
      </c>
      <c r="D59" s="1">
        <v>0.20000270000000001</v>
      </c>
      <c r="E59" s="1">
        <v>0</v>
      </c>
      <c r="F59" s="1">
        <v>0.80000859999999996</v>
      </c>
    </row>
    <row r="60" spans="1:6" x14ac:dyDescent="0.2">
      <c r="A60" t="s">
        <v>166</v>
      </c>
      <c r="B60" s="1">
        <v>4.5000615000000002</v>
      </c>
      <c r="C60" s="1">
        <v>1.8000003999999998</v>
      </c>
      <c r="D60" s="1">
        <v>3.0800068000000005</v>
      </c>
      <c r="E60" s="1">
        <v>8.1401023000000006</v>
      </c>
      <c r="F60" s="1">
        <v>12.400173000000001</v>
      </c>
    </row>
    <row r="61" spans="1:6" x14ac:dyDescent="0.2">
      <c r="A61" t="s">
        <v>1633</v>
      </c>
      <c r="B61" s="1">
        <v>7.5000000000000002E-6</v>
      </c>
      <c r="C61" s="1">
        <v>0</v>
      </c>
      <c r="D61" s="1">
        <v>0</v>
      </c>
      <c r="E61" s="1">
        <v>1.5600000000000003E-5</v>
      </c>
      <c r="F61" s="1">
        <v>2.3099999999999999E-5</v>
      </c>
    </row>
    <row r="62" spans="1:6" x14ac:dyDescent="0.2">
      <c r="A62" t="s">
        <v>2080</v>
      </c>
      <c r="B62" s="1">
        <v>3.7999999999999996E-6</v>
      </c>
      <c r="C62" s="1">
        <v>0</v>
      </c>
      <c r="D62" s="1">
        <v>0</v>
      </c>
      <c r="E62" s="1">
        <v>6.1E-6</v>
      </c>
      <c r="F62" s="1">
        <v>9.9000000000000001E-6</v>
      </c>
    </row>
    <row r="63" spans="1:6" x14ac:dyDescent="0.2">
      <c r="A63" t="s">
        <v>640</v>
      </c>
      <c r="B63" s="1">
        <v>9.3000000000000007</v>
      </c>
      <c r="C63" s="1">
        <v>0</v>
      </c>
      <c r="D63" s="1">
        <v>0.8</v>
      </c>
      <c r="E63" s="1">
        <v>0</v>
      </c>
      <c r="F63" s="1">
        <v>10.1</v>
      </c>
    </row>
    <row r="64" spans="1:6" x14ac:dyDescent="0.2">
      <c r="A64" t="s">
        <v>188</v>
      </c>
      <c r="B64" s="1">
        <v>5.7600652999999999</v>
      </c>
      <c r="C64" s="1">
        <v>2.7000025000000001</v>
      </c>
      <c r="D64" s="1">
        <v>1.7000076</v>
      </c>
      <c r="E64" s="1">
        <v>2.3999999999999999E-6</v>
      </c>
      <c r="F64" s="1">
        <v>9.1600787999999991</v>
      </c>
    </row>
    <row r="65" spans="1:6" x14ac:dyDescent="0.2">
      <c r="A65" t="s">
        <v>143</v>
      </c>
      <c r="B65" s="1">
        <v>5.2000000000000002E-6</v>
      </c>
      <c r="C65" s="1">
        <v>0</v>
      </c>
      <c r="D65" s="1">
        <v>0.9</v>
      </c>
      <c r="E65" s="1">
        <v>0</v>
      </c>
      <c r="F65" s="1">
        <v>6.1E-6</v>
      </c>
    </row>
    <row r="66" spans="1:6" x14ac:dyDescent="0.2">
      <c r="A66" t="s">
        <v>2776</v>
      </c>
      <c r="B66" s="1">
        <v>4.7999999999999998E-6</v>
      </c>
      <c r="C66" s="1">
        <v>0</v>
      </c>
      <c r="D66" s="1">
        <v>0</v>
      </c>
      <c r="E66" s="1">
        <v>2.1000000000000002E-6</v>
      </c>
      <c r="F66" s="1">
        <v>6.9E-6</v>
      </c>
    </row>
    <row r="67" spans="1:6" x14ac:dyDescent="0.2">
      <c r="A67" t="s">
        <v>2062</v>
      </c>
      <c r="B67" s="1">
        <v>0</v>
      </c>
      <c r="C67" s="1">
        <v>0.8</v>
      </c>
      <c r="D67" s="1">
        <v>0</v>
      </c>
      <c r="E67" s="1">
        <v>0</v>
      </c>
      <c r="F67" s="1">
        <v>0.8</v>
      </c>
    </row>
    <row r="68" spans="1:6" x14ac:dyDescent="0.2">
      <c r="A68" t="s">
        <v>1873</v>
      </c>
      <c r="B68" s="1">
        <v>5.0000000000000004E-6</v>
      </c>
      <c r="C68" s="1">
        <v>0</v>
      </c>
      <c r="D68" s="1">
        <v>0</v>
      </c>
      <c r="E68" s="1">
        <v>1.0900000000000001E-5</v>
      </c>
      <c r="F68" s="1">
        <v>1.59E-5</v>
      </c>
    </row>
    <row r="69" spans="1:6" x14ac:dyDescent="0.2">
      <c r="A69" t="s">
        <v>517</v>
      </c>
      <c r="B69" s="1">
        <v>3.6000166999999998</v>
      </c>
      <c r="C69" s="1">
        <v>0</v>
      </c>
      <c r="D69" s="1">
        <v>1.3999999999999999E-6</v>
      </c>
      <c r="E69" s="1">
        <v>0</v>
      </c>
      <c r="F69" s="1">
        <v>3.6000157000000002</v>
      </c>
    </row>
    <row r="70" spans="1:6" x14ac:dyDescent="0.2">
      <c r="A70" t="s">
        <v>196</v>
      </c>
      <c r="B70" s="1">
        <v>0.20000229999999999</v>
      </c>
      <c r="C70" s="1">
        <v>0</v>
      </c>
      <c r="D70" s="1">
        <v>0.30000059999999995</v>
      </c>
      <c r="E70" s="1">
        <v>0.6</v>
      </c>
      <c r="F70" s="1">
        <v>3.9999999999999998E-6</v>
      </c>
    </row>
    <row r="71" spans="1:6" x14ac:dyDescent="0.2">
      <c r="A71" t="s">
        <v>540</v>
      </c>
      <c r="B71" s="1">
        <v>1.5400128999999998</v>
      </c>
      <c r="C71" s="1">
        <v>2.7999999999999999E-6</v>
      </c>
      <c r="D71" s="1">
        <v>1.1000158999999998</v>
      </c>
      <c r="E71" s="1">
        <v>2.3000096000000001</v>
      </c>
      <c r="F71" s="1">
        <v>3.9000414999999999</v>
      </c>
    </row>
    <row r="72" spans="1:6" x14ac:dyDescent="0.2">
      <c r="A72" t="s">
        <v>614</v>
      </c>
      <c r="B72" s="1">
        <v>1.4800000000000001E-5</v>
      </c>
      <c r="C72" s="1">
        <v>0</v>
      </c>
      <c r="D72" s="1">
        <v>9.3999999999999998E-6</v>
      </c>
      <c r="E72" s="1">
        <v>0</v>
      </c>
      <c r="F72" s="1">
        <v>2.4199999999999999E-5</v>
      </c>
    </row>
    <row r="73" spans="1:6" x14ac:dyDescent="0.2">
      <c r="A73" t="s">
        <v>1988</v>
      </c>
      <c r="B73" s="1">
        <v>1.7000147999999999</v>
      </c>
      <c r="C73" s="1">
        <v>1.8999999999999998E-6</v>
      </c>
      <c r="D73" s="1">
        <v>0.50000800000000001</v>
      </c>
      <c r="E73" s="1">
        <v>7.4000000000000003E-6</v>
      </c>
      <c r="F73" s="1">
        <v>3.4300000000000007E-5</v>
      </c>
    </row>
    <row r="74" spans="1:6" x14ac:dyDescent="0.2">
      <c r="A74" t="s">
        <v>587</v>
      </c>
      <c r="B74" s="1">
        <v>5.8499999999999992E-5</v>
      </c>
      <c r="C74" s="1">
        <v>0</v>
      </c>
      <c r="D74" s="1">
        <v>2.7E-6</v>
      </c>
      <c r="E74" s="1">
        <v>3.7999999999999996E-6</v>
      </c>
      <c r="F74" s="1">
        <v>6.4999999999999994E-5</v>
      </c>
    </row>
    <row r="75" spans="1:6" x14ac:dyDescent="0.2">
      <c r="A75" t="s">
        <v>635</v>
      </c>
      <c r="B75" s="1">
        <v>4.2000024000000007</v>
      </c>
      <c r="C75" s="1">
        <v>2.5000000000000002E-6</v>
      </c>
      <c r="D75" s="1">
        <v>0</v>
      </c>
      <c r="E75" s="1">
        <v>0</v>
      </c>
      <c r="F75" s="1">
        <v>4.2000031</v>
      </c>
    </row>
    <row r="76" spans="1:6" x14ac:dyDescent="0.2">
      <c r="A76" t="s">
        <v>181</v>
      </c>
      <c r="B76" s="1">
        <v>5.8200110000000009</v>
      </c>
      <c r="C76" s="1">
        <v>16.400029599999996</v>
      </c>
      <c r="D76" s="1">
        <v>0.4</v>
      </c>
      <c r="E76" s="1">
        <v>0</v>
      </c>
      <c r="F76" s="1">
        <v>21.400041799999997</v>
      </c>
    </row>
    <row r="77" spans="1:6" x14ac:dyDescent="0.2">
      <c r="A77" t="s">
        <v>1390</v>
      </c>
      <c r="B77" s="1">
        <v>3.7999999999999996E-6</v>
      </c>
      <c r="C77" s="1">
        <v>1.8199999999999999E-5</v>
      </c>
      <c r="D77" s="1">
        <v>0</v>
      </c>
      <c r="E77" s="1">
        <v>0</v>
      </c>
      <c r="F77" s="1">
        <v>2.1999999999999999E-5</v>
      </c>
    </row>
    <row r="78" spans="1:6" x14ac:dyDescent="0.2">
      <c r="A78" t="s">
        <v>1286</v>
      </c>
      <c r="B78" s="1">
        <v>0</v>
      </c>
      <c r="C78" s="1">
        <v>9.6999999999999986E-6</v>
      </c>
      <c r="D78" s="1">
        <v>0</v>
      </c>
      <c r="E78" s="1">
        <v>0</v>
      </c>
      <c r="F78" s="1">
        <v>9.6999999999999986E-6</v>
      </c>
    </row>
    <row r="79" spans="1:6" x14ac:dyDescent="0.2">
      <c r="A79" t="s">
        <v>2311</v>
      </c>
      <c r="B79" s="1">
        <v>0</v>
      </c>
      <c r="C79" s="1">
        <v>25</v>
      </c>
      <c r="D79" s="1">
        <v>0.9</v>
      </c>
      <c r="E79" s="1">
        <v>4.0999999999999996</v>
      </c>
      <c r="F79" s="1">
        <v>30</v>
      </c>
    </row>
    <row r="80" spans="1:6" x14ac:dyDescent="0.2">
      <c r="A80" t="s">
        <v>2472</v>
      </c>
      <c r="B80" s="1">
        <v>3</v>
      </c>
      <c r="C80" s="1">
        <v>0.8</v>
      </c>
      <c r="D80" s="1">
        <v>0</v>
      </c>
      <c r="E80" s="1">
        <v>0</v>
      </c>
      <c r="F80" s="1">
        <v>3.8</v>
      </c>
    </row>
    <row r="81" spans="1:6" x14ac:dyDescent="0.2">
      <c r="A81" t="s">
        <v>363</v>
      </c>
      <c r="B81" s="1">
        <v>9.0000000000000007E-7</v>
      </c>
      <c r="C81" s="1">
        <v>2.7999999999999999E-6</v>
      </c>
      <c r="D81" s="1">
        <v>4.9999999999999998E-7</v>
      </c>
      <c r="E81" s="1">
        <v>0</v>
      </c>
      <c r="F81" s="1">
        <v>4.2000000000000004E-6</v>
      </c>
    </row>
    <row r="82" spans="1:6" x14ac:dyDescent="0.2">
      <c r="A82" t="s">
        <v>2421</v>
      </c>
      <c r="B82" s="1">
        <v>3.0000000000000001E-6</v>
      </c>
      <c r="C82" s="1">
        <v>9.5000000000000005E-6</v>
      </c>
      <c r="D82" s="1">
        <v>0</v>
      </c>
      <c r="E82" s="1">
        <v>0</v>
      </c>
      <c r="F82" s="1">
        <v>1.1800000000000001E-5</v>
      </c>
    </row>
    <row r="83" spans="1:6" x14ac:dyDescent="0.2">
      <c r="A83" t="s">
        <v>315</v>
      </c>
      <c r="B83" s="1">
        <v>2.4001027000000001</v>
      </c>
      <c r="C83" s="1">
        <v>4.7700000000000001E-5</v>
      </c>
      <c r="D83" s="1">
        <v>0.60001550000000003</v>
      </c>
      <c r="E83" s="1">
        <v>0.40000990000000003</v>
      </c>
      <c r="F83" s="1">
        <v>2.5001739000000005</v>
      </c>
    </row>
    <row r="84" spans="1:6" x14ac:dyDescent="0.2">
      <c r="A84" t="s">
        <v>2118</v>
      </c>
      <c r="B84" s="1">
        <v>9.800000000000001E-6</v>
      </c>
      <c r="C84" s="1">
        <v>0</v>
      </c>
      <c r="D84" s="1">
        <v>2.7999999999999999E-6</v>
      </c>
      <c r="E84" s="1">
        <v>0</v>
      </c>
      <c r="F84" s="1">
        <v>1.26E-5</v>
      </c>
    </row>
    <row r="85" spans="1:6" x14ac:dyDescent="0.2">
      <c r="A85" t="s">
        <v>962</v>
      </c>
      <c r="B85" s="1">
        <v>0.2</v>
      </c>
      <c r="C85" s="1">
        <v>0.4</v>
      </c>
      <c r="D85" s="1">
        <v>0.3</v>
      </c>
      <c r="E85" s="1">
        <v>0</v>
      </c>
      <c r="F85" s="1">
        <v>0.9</v>
      </c>
    </row>
    <row r="86" spans="1:6" x14ac:dyDescent="0.2">
      <c r="A86" t="s">
        <v>355</v>
      </c>
      <c r="B86" s="1">
        <v>1.8000000000000001E-6</v>
      </c>
      <c r="C86" s="1">
        <v>7.2000000000000005E-6</v>
      </c>
      <c r="D86" s="1">
        <v>0</v>
      </c>
      <c r="E86" s="1">
        <v>4.5000000000000001E-6</v>
      </c>
      <c r="F86" s="1">
        <v>1.3499999999999999E-5</v>
      </c>
    </row>
    <row r="87" spans="1:6" x14ac:dyDescent="0.2">
      <c r="A87" t="s">
        <v>204</v>
      </c>
      <c r="B87" s="1">
        <v>1.7000059999999999</v>
      </c>
      <c r="C87" s="1">
        <v>0.80002609999999996</v>
      </c>
      <c r="D87" s="1">
        <v>0.1</v>
      </c>
      <c r="E87" s="1">
        <v>0.8</v>
      </c>
      <c r="F87" s="1">
        <v>3.54E-5</v>
      </c>
    </row>
    <row r="88" spans="1:6" x14ac:dyDescent="0.2">
      <c r="A88" t="s">
        <v>1845</v>
      </c>
      <c r="B88" s="1">
        <v>2.5000000000000002E-6</v>
      </c>
      <c r="C88" s="1">
        <v>0</v>
      </c>
      <c r="D88" s="1">
        <v>5.4E-6</v>
      </c>
      <c r="E88" s="1">
        <v>0</v>
      </c>
      <c r="F88" s="1">
        <v>7.9000000000000006E-6</v>
      </c>
    </row>
    <row r="89" spans="1:6" x14ac:dyDescent="0.2">
      <c r="A89" t="s">
        <v>265</v>
      </c>
      <c r="B89" s="1">
        <v>3.2000000000000003E-6</v>
      </c>
      <c r="C89" s="1">
        <v>4.6E-6</v>
      </c>
      <c r="D89" s="1">
        <v>0</v>
      </c>
      <c r="E89" s="1">
        <v>0</v>
      </c>
      <c r="F89" s="1">
        <v>7.7999999999999999E-6</v>
      </c>
    </row>
    <row r="90" spans="1:6" x14ac:dyDescent="0.2">
      <c r="A90" t="s">
        <v>1536</v>
      </c>
      <c r="B90" s="1">
        <v>0</v>
      </c>
      <c r="C90" s="1">
        <v>5.7000000000000005E-6</v>
      </c>
      <c r="D90" s="1">
        <v>4.0000000000000003E-7</v>
      </c>
      <c r="E90" s="1">
        <v>0</v>
      </c>
      <c r="F90" s="1">
        <v>6.1E-6</v>
      </c>
    </row>
    <row r="91" spans="1:6" x14ac:dyDescent="0.2">
      <c r="A91" t="s">
        <v>158</v>
      </c>
      <c r="B91" s="1">
        <v>2.9100221999999998</v>
      </c>
      <c r="C91" s="1">
        <v>1.0199999999999999E-5</v>
      </c>
      <c r="D91" s="1">
        <v>0.2000045</v>
      </c>
      <c r="E91" s="1">
        <v>7.9000000000000006E-6</v>
      </c>
      <c r="F91" s="1">
        <v>2.2000457</v>
      </c>
    </row>
    <row r="92" spans="1:6" x14ac:dyDescent="0.2">
      <c r="A92" t="s">
        <v>547</v>
      </c>
      <c r="B92" s="1">
        <v>11.430012199999998</v>
      </c>
      <c r="C92" s="1">
        <v>17.900031200000001</v>
      </c>
      <c r="D92" s="1">
        <v>2.12</v>
      </c>
      <c r="E92" s="1">
        <v>0</v>
      </c>
      <c r="F92" s="1">
        <v>29.1000458</v>
      </c>
    </row>
    <row r="93" spans="1:6" x14ac:dyDescent="0.2">
      <c r="A93" t="s">
        <v>464</v>
      </c>
      <c r="B93" s="1">
        <v>3.1200185</v>
      </c>
      <c r="C93" s="1">
        <v>4.3000121000000009</v>
      </c>
      <c r="D93" s="1">
        <v>7.5000000000000002E-6</v>
      </c>
      <c r="E93" s="1">
        <v>0</v>
      </c>
      <c r="F93" s="1">
        <v>5.7000397999999999</v>
      </c>
    </row>
    <row r="94" spans="1:6" x14ac:dyDescent="0.2">
      <c r="A94" t="s">
        <v>456</v>
      </c>
      <c r="B94" s="1">
        <v>2.7E-6</v>
      </c>
      <c r="C94" s="1">
        <v>1.9999999999999999E-6</v>
      </c>
      <c r="D94" s="1">
        <v>0</v>
      </c>
      <c r="E94" s="1">
        <v>0</v>
      </c>
      <c r="F94" s="1">
        <v>4.6999999999999999E-6</v>
      </c>
    </row>
    <row r="95" spans="1:6" x14ac:dyDescent="0.2">
      <c r="A95" t="s">
        <v>1247</v>
      </c>
      <c r="B95" s="1">
        <v>3.3299999999999996E-5</v>
      </c>
      <c r="C95" s="1">
        <v>0</v>
      </c>
      <c r="D95" s="1">
        <v>1.01E-5</v>
      </c>
      <c r="E95" s="1">
        <v>1.7499999999999998E-5</v>
      </c>
      <c r="F95" s="1">
        <v>6.0899999999999996E-5</v>
      </c>
    </row>
    <row r="96" spans="1:6" x14ac:dyDescent="0.2">
      <c r="A96" t="s">
        <v>2235</v>
      </c>
      <c r="B96" s="1">
        <v>3.2000000000000003E-6</v>
      </c>
      <c r="C96" s="1">
        <v>1.43E-5</v>
      </c>
      <c r="D96" s="1">
        <v>2.7999999999999999E-6</v>
      </c>
      <c r="E96" s="1">
        <v>1.8999999999999998E-6</v>
      </c>
      <c r="F96" s="1">
        <v>2.2200000000000001E-5</v>
      </c>
    </row>
    <row r="97" spans="1:6" x14ac:dyDescent="0.2">
      <c r="A97" t="s">
        <v>1496</v>
      </c>
      <c r="B97" s="1">
        <v>1.3300000000000001E-5</v>
      </c>
      <c r="C97" s="1">
        <v>0</v>
      </c>
      <c r="D97" s="1">
        <v>8.3999999999999992E-6</v>
      </c>
      <c r="E97" s="1">
        <v>1.17E-5</v>
      </c>
      <c r="F97" s="1">
        <v>3.3399999999999999E-5</v>
      </c>
    </row>
    <row r="98" spans="1:6" x14ac:dyDescent="0.2">
      <c r="A98" t="s">
        <v>221</v>
      </c>
      <c r="B98" s="1">
        <v>8.1999999999999994E-6</v>
      </c>
      <c r="C98" s="1">
        <v>1.8000000000000001E-6</v>
      </c>
      <c r="D98" s="1">
        <v>7.2999999999999996E-6</v>
      </c>
      <c r="E98" s="1">
        <v>0</v>
      </c>
      <c r="F98" s="1">
        <v>1.73E-5</v>
      </c>
    </row>
    <row r="99" spans="1:6" x14ac:dyDescent="0.2">
      <c r="A99" t="s">
        <v>2585</v>
      </c>
      <c r="B99" s="1">
        <v>1.1999999999999999E-6</v>
      </c>
      <c r="C99" s="1">
        <v>0</v>
      </c>
      <c r="D99" s="1">
        <v>0.72</v>
      </c>
      <c r="E99" s="1">
        <v>0</v>
      </c>
      <c r="F99" s="1">
        <v>1.8999999999999998E-6</v>
      </c>
    </row>
    <row r="100" spans="1:6" x14ac:dyDescent="0.2">
      <c r="A100" t="s">
        <v>174</v>
      </c>
      <c r="B100" s="1">
        <v>0.90001670000000022</v>
      </c>
      <c r="C100" s="1">
        <v>5.0000000000000004E-6</v>
      </c>
      <c r="D100" s="1">
        <v>1.5E-5</v>
      </c>
      <c r="E100" s="1">
        <v>0.40000170000000002</v>
      </c>
      <c r="F100" s="1">
        <v>3.9699999999999996E-5</v>
      </c>
    </row>
    <row r="101" spans="1:6" x14ac:dyDescent="0.2">
      <c r="A101" t="s">
        <v>580</v>
      </c>
      <c r="B101" s="1">
        <v>7.5999999999999992E-6</v>
      </c>
      <c r="C101" s="1">
        <v>0</v>
      </c>
      <c r="D101" s="1">
        <v>8.8000000000000004E-6</v>
      </c>
      <c r="E101" s="1">
        <v>0</v>
      </c>
      <c r="F101" s="1">
        <v>1.6399999999999999E-5</v>
      </c>
    </row>
    <row r="102" spans="1:6" x14ac:dyDescent="0.2">
      <c r="A102" t="s">
        <v>2356</v>
      </c>
      <c r="B102" s="1">
        <v>0</v>
      </c>
      <c r="C102" s="1">
        <v>0</v>
      </c>
      <c r="D102" s="1">
        <v>1.9</v>
      </c>
      <c r="E102" s="1">
        <v>8.1</v>
      </c>
      <c r="F102" s="1">
        <v>10</v>
      </c>
    </row>
    <row r="103" spans="1:6" x14ac:dyDescent="0.2">
      <c r="A103" t="s">
        <v>2317</v>
      </c>
      <c r="B103" s="1">
        <v>5.0999999999999996</v>
      </c>
      <c r="C103" s="1">
        <v>0</v>
      </c>
      <c r="D103" s="1">
        <v>2.2999999999999998</v>
      </c>
      <c r="E103" s="1">
        <v>0</v>
      </c>
      <c r="F103" s="1">
        <v>7.4</v>
      </c>
    </row>
    <row r="104" spans="1:6" x14ac:dyDescent="0.2">
      <c r="A104" t="s">
        <v>856</v>
      </c>
      <c r="B104" s="1">
        <v>1.1600000000000001E-5</v>
      </c>
      <c r="C104" s="1">
        <v>0</v>
      </c>
      <c r="D104" s="1">
        <v>2.5199999999999999E-5</v>
      </c>
      <c r="E104" s="1">
        <v>0</v>
      </c>
      <c r="F104" s="1">
        <v>3.68E-5</v>
      </c>
    </row>
    <row r="105" spans="1:6" x14ac:dyDescent="0.2">
      <c r="A105" t="s">
        <v>1103</v>
      </c>
      <c r="B105" s="1">
        <v>8.1000000000000004E-6</v>
      </c>
      <c r="C105" s="1">
        <v>5.4E-6</v>
      </c>
      <c r="D105" s="1">
        <v>1.3E-6</v>
      </c>
      <c r="E105" s="1">
        <v>0</v>
      </c>
      <c r="F105" s="1">
        <v>1.4800000000000001E-5</v>
      </c>
    </row>
    <row r="106" spans="1:6" x14ac:dyDescent="0.2">
      <c r="A106" t="s">
        <v>1438</v>
      </c>
      <c r="B106" s="1">
        <v>0.9000016999999999</v>
      </c>
      <c r="C106" s="1">
        <v>0</v>
      </c>
      <c r="D106" s="1">
        <v>0.40000310000000006</v>
      </c>
      <c r="E106" s="1">
        <v>0</v>
      </c>
      <c r="F106" s="1">
        <v>6.1E-6</v>
      </c>
    </row>
    <row r="107" spans="1:6" x14ac:dyDescent="0.2">
      <c r="A107" t="s">
        <v>516</v>
      </c>
      <c r="B107" s="1">
        <v>1.29E-5</v>
      </c>
      <c r="C107" s="1">
        <v>0</v>
      </c>
      <c r="D107" s="1">
        <v>0</v>
      </c>
      <c r="E107" s="1">
        <v>0</v>
      </c>
      <c r="F107" s="1">
        <v>1.29E-5</v>
      </c>
    </row>
    <row r="108" spans="1:6" x14ac:dyDescent="0.2">
      <c r="A108" t="s">
        <v>2672</v>
      </c>
      <c r="B108" s="1">
        <v>1.3E-6</v>
      </c>
      <c r="C108" s="1">
        <v>0</v>
      </c>
      <c r="D108" s="1">
        <v>0</v>
      </c>
      <c r="E108" s="1">
        <v>0</v>
      </c>
      <c r="F108" s="1">
        <v>1.3E-6</v>
      </c>
    </row>
    <row r="109" spans="1:6" x14ac:dyDescent="0.2">
      <c r="A109" t="s">
        <v>236</v>
      </c>
      <c r="B109" s="1">
        <v>0.70004599999999995</v>
      </c>
      <c r="C109" s="1">
        <v>1.1000304999999999</v>
      </c>
      <c r="D109" s="1">
        <v>0.20000530000000002</v>
      </c>
      <c r="E109" s="1">
        <v>1.5000817</v>
      </c>
      <c r="F109" s="1">
        <v>3.5001632999999996</v>
      </c>
    </row>
    <row r="110" spans="1:6" x14ac:dyDescent="0.2">
      <c r="A110" t="s">
        <v>470</v>
      </c>
      <c r="B110" s="1">
        <v>0</v>
      </c>
      <c r="C110" s="1">
        <v>1.04E-5</v>
      </c>
      <c r="D110" s="1">
        <v>0</v>
      </c>
      <c r="E110" s="1">
        <v>0</v>
      </c>
      <c r="F110" s="1">
        <v>1.04E-5</v>
      </c>
    </row>
    <row r="111" spans="1:6" x14ac:dyDescent="0.2">
      <c r="A111" t="s">
        <v>1939</v>
      </c>
      <c r="B111" s="1">
        <v>3.2000000000000003E-6</v>
      </c>
      <c r="C111" s="1">
        <v>0</v>
      </c>
      <c r="D111" s="1">
        <v>1.3E-6</v>
      </c>
      <c r="E111" s="1">
        <v>0</v>
      </c>
      <c r="F111" s="1">
        <v>4.5000000000000001E-6</v>
      </c>
    </row>
    <row r="112" spans="1:6" x14ac:dyDescent="0.2">
      <c r="A112" t="s">
        <v>2211</v>
      </c>
      <c r="B112" s="1">
        <v>0.86000919999999992</v>
      </c>
      <c r="C112" s="1">
        <v>0</v>
      </c>
      <c r="D112" s="1">
        <v>1.3699999999999999E-5</v>
      </c>
      <c r="E112" s="1">
        <v>0</v>
      </c>
      <c r="F112" s="1">
        <v>2.3799999999999996E-5</v>
      </c>
    </row>
    <row r="113" spans="1:6" x14ac:dyDescent="0.2">
      <c r="A113" t="s">
        <v>328</v>
      </c>
      <c r="B113" s="1">
        <v>3.6000336000000006</v>
      </c>
      <c r="C113" s="1">
        <v>7.6001723999999982</v>
      </c>
      <c r="D113" s="1">
        <v>0</v>
      </c>
      <c r="E113" s="1">
        <v>2.8999999999999998E-6</v>
      </c>
      <c r="F113" s="1">
        <v>9.4002107000000006</v>
      </c>
    </row>
    <row r="114" spans="1:6" x14ac:dyDescent="0.2">
      <c r="A114" t="s">
        <v>1667</v>
      </c>
      <c r="B114" s="1">
        <v>5.4999999999999999E-6</v>
      </c>
      <c r="C114" s="1">
        <v>3.1999999999999999E-5</v>
      </c>
      <c r="D114" s="1">
        <v>0</v>
      </c>
      <c r="E114" s="1">
        <v>0</v>
      </c>
      <c r="F114" s="1">
        <v>3.7499999999999997E-5</v>
      </c>
    </row>
    <row r="115" spans="1:6" x14ac:dyDescent="0.2">
      <c r="A115" t="s">
        <v>2565</v>
      </c>
      <c r="B115" s="1">
        <v>2.5000000000000002E-6</v>
      </c>
      <c r="C115" s="1">
        <v>3.1000000000000001E-5</v>
      </c>
      <c r="D115" s="1">
        <v>0</v>
      </c>
      <c r="E115" s="1">
        <v>0</v>
      </c>
      <c r="F115" s="1">
        <v>3.3500000000000001E-5</v>
      </c>
    </row>
    <row r="116" spans="1:6" x14ac:dyDescent="0.2">
      <c r="A116" t="s">
        <v>1617</v>
      </c>
      <c r="B116" s="1">
        <v>2.02E-5</v>
      </c>
      <c r="C116" s="1">
        <v>4.9000000000000005E-5</v>
      </c>
      <c r="D116" s="1">
        <v>1.8000000000000001E-6</v>
      </c>
      <c r="E116" s="1">
        <v>0</v>
      </c>
      <c r="F116" s="1">
        <v>7.1000000000000005E-5</v>
      </c>
    </row>
    <row r="117" spans="1:6" x14ac:dyDescent="0.2">
      <c r="A117" t="s">
        <v>1357</v>
      </c>
      <c r="B117" s="1">
        <v>0.81000269999999996</v>
      </c>
      <c r="C117" s="1">
        <v>2.6800000000000001E-5</v>
      </c>
      <c r="D117" s="1">
        <v>0</v>
      </c>
      <c r="E117" s="1">
        <v>1.1000000000000001E-6</v>
      </c>
      <c r="F117" s="1">
        <v>3.1399999999999998E-5</v>
      </c>
    </row>
    <row r="118" spans="1:6" x14ac:dyDescent="0.2">
      <c r="A118" t="s">
        <v>1001</v>
      </c>
      <c r="B118" s="1">
        <v>0.30000179999999999</v>
      </c>
      <c r="C118" s="1">
        <v>8.5000023000000002</v>
      </c>
      <c r="D118" s="1">
        <v>0</v>
      </c>
      <c r="E118" s="1">
        <v>0</v>
      </c>
      <c r="F118" s="1">
        <v>8.8000040999999989</v>
      </c>
    </row>
    <row r="119" spans="1:6" x14ac:dyDescent="0.2">
      <c r="A119" t="s">
        <v>135</v>
      </c>
      <c r="B119" s="1">
        <v>1.9000325000000002</v>
      </c>
      <c r="C119" s="1">
        <v>1.8001244999999999</v>
      </c>
      <c r="D119" s="1">
        <v>0</v>
      </c>
      <c r="E119" s="1">
        <v>8.1000000000000004E-6</v>
      </c>
      <c r="F119" s="1">
        <v>2.6001662999999997</v>
      </c>
    </row>
    <row r="120" spans="1:6" x14ac:dyDescent="0.2">
      <c r="A120" t="s">
        <v>1715</v>
      </c>
      <c r="B120" s="1">
        <v>3.7999999999999996E-6</v>
      </c>
      <c r="C120" s="1">
        <v>7.4000000000000003E-6</v>
      </c>
      <c r="D120" s="1">
        <v>0</v>
      </c>
      <c r="E120" s="1">
        <v>0</v>
      </c>
      <c r="F120" s="1">
        <v>1.1199999999999999E-5</v>
      </c>
    </row>
    <row r="121" spans="1:6" x14ac:dyDescent="0.2">
      <c r="A121" t="s">
        <v>2193</v>
      </c>
      <c r="B121" s="1">
        <v>6.2999999999999998E-6</v>
      </c>
      <c r="C121" s="1">
        <v>0</v>
      </c>
      <c r="D121" s="1">
        <v>1.8000000000000001E-6</v>
      </c>
      <c r="E121" s="1">
        <v>0</v>
      </c>
      <c r="F121" s="1">
        <v>8.1000000000000004E-6</v>
      </c>
    </row>
    <row r="122" spans="1:6" x14ac:dyDescent="0.2">
      <c r="A122" t="s">
        <v>2349</v>
      </c>
      <c r="B122" s="1">
        <v>3.6</v>
      </c>
      <c r="C122" s="1">
        <v>8.6</v>
      </c>
      <c r="D122" s="1">
        <v>1.9</v>
      </c>
      <c r="E122" s="1">
        <v>4.2</v>
      </c>
      <c r="F122" s="1">
        <v>18.3</v>
      </c>
    </row>
    <row r="123" spans="1:6" x14ac:dyDescent="0.2">
      <c r="A123" t="s">
        <v>1253</v>
      </c>
      <c r="B123" s="1">
        <v>4.0999999999999997E-6</v>
      </c>
      <c r="C123" s="1">
        <v>0</v>
      </c>
      <c r="D123" s="1">
        <v>0</v>
      </c>
      <c r="E123" s="1">
        <v>0</v>
      </c>
      <c r="F123" s="1">
        <v>4.0999999999999997E-6</v>
      </c>
    </row>
    <row r="124" spans="1:6" x14ac:dyDescent="0.2">
      <c r="A124" t="s">
        <v>1213</v>
      </c>
      <c r="B124" s="1">
        <v>3.8999999999999999E-6</v>
      </c>
      <c r="C124" s="1">
        <v>3.9999999999999998E-6</v>
      </c>
      <c r="D124" s="1">
        <v>0</v>
      </c>
      <c r="E124" s="1">
        <v>0</v>
      </c>
      <c r="F124" s="1">
        <v>7.9000000000000006E-6</v>
      </c>
    </row>
    <row r="125" spans="1:6" x14ac:dyDescent="0.2">
      <c r="A125" t="s">
        <v>2602</v>
      </c>
      <c r="B125" s="1">
        <v>2.1000000000000002E-6</v>
      </c>
      <c r="C125" s="1">
        <v>0</v>
      </c>
      <c r="D125" s="1">
        <v>2.7E-6</v>
      </c>
      <c r="E125" s="1">
        <v>0</v>
      </c>
      <c r="F125" s="1">
        <v>4.7999999999999998E-6</v>
      </c>
    </row>
    <row r="126" spans="1:6" x14ac:dyDescent="0.2">
      <c r="A126" t="s">
        <v>595</v>
      </c>
      <c r="B126" s="1">
        <v>6.6000736999999994</v>
      </c>
      <c r="C126" s="1">
        <v>2.8000076000000003</v>
      </c>
      <c r="D126" s="1">
        <v>0.50002190000000002</v>
      </c>
      <c r="E126" s="1">
        <v>16.100115499999998</v>
      </c>
      <c r="F126" s="1">
        <v>25.300218300000001</v>
      </c>
    </row>
    <row r="127" spans="1:6" x14ac:dyDescent="0.2">
      <c r="A127" t="s">
        <v>2557</v>
      </c>
      <c r="B127" s="1">
        <v>1.0200000000000001E-5</v>
      </c>
      <c r="C127" s="1">
        <v>0</v>
      </c>
      <c r="D127" s="1">
        <v>0.96</v>
      </c>
      <c r="E127" s="1">
        <v>9.0000000000000002E-6</v>
      </c>
      <c r="F127" s="1">
        <v>2.0100000000000001E-5</v>
      </c>
    </row>
    <row r="128" spans="1:6" x14ac:dyDescent="0.2">
      <c r="A128" t="s">
        <v>932</v>
      </c>
      <c r="B128" s="1">
        <v>2.0000000000000002E-5</v>
      </c>
      <c r="C128" s="1">
        <v>7.5999999999999992E-6</v>
      </c>
      <c r="D128" s="1">
        <v>6.8000000000000001E-6</v>
      </c>
      <c r="E128" s="1">
        <v>0</v>
      </c>
      <c r="F128" s="1">
        <v>3.4400000000000003E-5</v>
      </c>
    </row>
    <row r="129" spans="1:7" x14ac:dyDescent="0.2">
      <c r="A129" t="s">
        <v>1265</v>
      </c>
      <c r="B129" s="1">
        <v>8.4000000000000009E-6</v>
      </c>
      <c r="C129" s="1">
        <v>0</v>
      </c>
      <c r="D129" s="1">
        <v>2.1000000000000002E-6</v>
      </c>
      <c r="E129" s="1">
        <v>0</v>
      </c>
      <c r="F129" s="1">
        <v>5.9000000000000003E-6</v>
      </c>
    </row>
    <row r="130" spans="1:7" x14ac:dyDescent="0.2">
      <c r="A130" t="s">
        <v>1237</v>
      </c>
      <c r="B130" s="1">
        <v>1.5E-6</v>
      </c>
      <c r="C130" s="1">
        <v>0</v>
      </c>
      <c r="D130" s="1">
        <v>1.1999999999999999E-6</v>
      </c>
      <c r="E130" s="1">
        <v>0</v>
      </c>
      <c r="F130" s="1">
        <v>2.7E-6</v>
      </c>
    </row>
    <row r="131" spans="1:7" x14ac:dyDescent="0.2">
      <c r="A131" t="s">
        <v>1895</v>
      </c>
      <c r="B131" s="1">
        <v>1.3199999999999999E-5</v>
      </c>
      <c r="C131" s="1">
        <v>0</v>
      </c>
      <c r="D131" s="1">
        <v>4.2000000000000004E-6</v>
      </c>
      <c r="E131" s="1">
        <v>0</v>
      </c>
      <c r="F131" s="1">
        <v>1.7399999999999999E-5</v>
      </c>
    </row>
    <row r="132" spans="1:7" x14ac:dyDescent="0.2">
      <c r="A132" t="s">
        <v>1013</v>
      </c>
      <c r="B132" s="1">
        <v>0.90000210000000003</v>
      </c>
      <c r="C132" s="1">
        <v>0</v>
      </c>
      <c r="D132" s="1">
        <v>0.5</v>
      </c>
      <c r="E132" s="1">
        <v>0</v>
      </c>
      <c r="F132" s="1">
        <v>3.4999999999999999E-6</v>
      </c>
    </row>
    <row r="133" spans="1:7" x14ac:dyDescent="0.2">
      <c r="A133" t="s">
        <v>1384</v>
      </c>
      <c r="B133" s="1">
        <v>2.8999999999999998E-6</v>
      </c>
      <c r="C133" s="1">
        <v>0</v>
      </c>
      <c r="D133" s="1">
        <v>0</v>
      </c>
      <c r="E133" s="1">
        <v>3.7999999999999996E-6</v>
      </c>
      <c r="F133" s="1">
        <v>6.7000000000000002E-6</v>
      </c>
    </row>
    <row r="134" spans="1:7" x14ac:dyDescent="0.2">
      <c r="A134" t="s">
        <v>664</v>
      </c>
      <c r="B134" s="1">
        <v>21</v>
      </c>
      <c r="C134" s="1">
        <v>0</v>
      </c>
      <c r="D134" s="1">
        <v>3.3</v>
      </c>
      <c r="E134" s="1">
        <v>2.1</v>
      </c>
      <c r="F134" s="1">
        <v>26.4</v>
      </c>
    </row>
    <row r="135" spans="1:7" x14ac:dyDescent="0.2">
      <c r="A135" t="s">
        <v>943</v>
      </c>
      <c r="B135" s="1">
        <v>1.6</v>
      </c>
      <c r="C135" s="1">
        <v>0.5</v>
      </c>
      <c r="D135" s="1">
        <v>0.1</v>
      </c>
      <c r="E135" s="1">
        <v>0.6</v>
      </c>
      <c r="F135" s="1">
        <v>2.8</v>
      </c>
    </row>
    <row r="137" spans="1:7" x14ac:dyDescent="0.2">
      <c r="A137" t="s">
        <v>2882</v>
      </c>
    </row>
    <row r="138" spans="1:7" x14ac:dyDescent="0.2">
      <c r="A138" t="s">
        <v>20</v>
      </c>
      <c r="B138" t="s">
        <v>2883</v>
      </c>
      <c r="C138" t="s">
        <v>2878</v>
      </c>
      <c r="D138" t="s">
        <v>43</v>
      </c>
      <c r="E138" t="s">
        <v>2879</v>
      </c>
      <c r="F138" t="s">
        <v>2880</v>
      </c>
      <c r="G138" t="s">
        <v>2881</v>
      </c>
    </row>
    <row r="139" spans="1:7" x14ac:dyDescent="0.2">
      <c r="A139" t="s">
        <v>31</v>
      </c>
      <c r="B139">
        <v>111</v>
      </c>
      <c r="C139" s="2">
        <v>46.600397300000004</v>
      </c>
      <c r="D139" s="2">
        <v>46.700606000000015</v>
      </c>
      <c r="E139" s="2">
        <v>6.0000889999999991</v>
      </c>
      <c r="F139" s="2">
        <v>3.7801720999999988</v>
      </c>
      <c r="G139" s="2">
        <v>98.701260100000013</v>
      </c>
    </row>
    <row r="140" spans="1:7" x14ac:dyDescent="0.2">
      <c r="A140" t="s">
        <v>24</v>
      </c>
      <c r="B140">
        <v>247</v>
      </c>
      <c r="C140" s="2">
        <v>92.790658799999989</v>
      </c>
      <c r="D140" s="2">
        <v>84.20038049999998</v>
      </c>
      <c r="E140" s="2">
        <v>43.500207899999999</v>
      </c>
      <c r="F140" s="2">
        <v>35.700194400000015</v>
      </c>
      <c r="G140" s="2">
        <v>235.40145630000004</v>
      </c>
    </row>
    <row r="141" spans="1:7" x14ac:dyDescent="0.2">
      <c r="A141" t="s">
        <v>38</v>
      </c>
      <c r="B141">
        <v>182</v>
      </c>
      <c r="C141" s="2">
        <v>29.660429899999993</v>
      </c>
      <c r="D141" s="2">
        <v>17.200233300000001</v>
      </c>
      <c r="E141" s="2">
        <v>16.460095500000001</v>
      </c>
      <c r="F141" s="2">
        <v>17.890144799999998</v>
      </c>
      <c r="G141" s="2">
        <v>54.890904199999987</v>
      </c>
    </row>
  </sheetData>
  <pageMargins left="0.7" right="0.7" top="0.75" bottom="0.75" header="0.3" footer="0.3"/>
  <ignoredErrors>
    <ignoredError sqref="A1:G1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47"/>
  <sheetViews>
    <sheetView zoomScale="130" zoomScaleNormal="130" workbookViewId="0">
      <selection sqref="A1:J647"/>
    </sheetView>
  </sheetViews>
  <sheetFormatPr baseColWidth="10" defaultRowHeight="16" x14ac:dyDescent="0.2"/>
  <cols>
    <col min="1" max="1" width="25.83203125" customWidth="1"/>
    <col min="2" max="2" width="28.5" bestFit="1" customWidth="1"/>
    <col min="3" max="3" width="28.83203125" bestFit="1" customWidth="1"/>
    <col min="4" max="4" width="40.6640625" bestFit="1" customWidth="1"/>
    <col min="5" max="5" width="43.33203125" bestFit="1" customWidth="1"/>
    <col min="6" max="6" width="20.83203125" customWidth="1"/>
    <col min="7" max="7" width="25.83203125" customWidth="1"/>
    <col min="8" max="8" width="10.83203125" customWidth="1"/>
    <col min="9" max="9" width="12.83203125" customWidth="1"/>
    <col min="10" max="10" width="87.5" bestFit="1" customWidth="1"/>
  </cols>
  <sheetData>
    <row r="1" spans="1:10" x14ac:dyDescent="0.2">
      <c r="A1" t="s">
        <v>17</v>
      </c>
      <c r="B1" t="s">
        <v>106</v>
      </c>
      <c r="C1" t="s">
        <v>107</v>
      </c>
      <c r="D1" t="s">
        <v>2884</v>
      </c>
      <c r="E1" t="s">
        <v>2885</v>
      </c>
      <c r="F1" t="s">
        <v>2886</v>
      </c>
      <c r="G1" t="s">
        <v>2887</v>
      </c>
      <c r="H1" t="s">
        <v>2888</v>
      </c>
      <c r="I1" t="s">
        <v>2889</v>
      </c>
      <c r="J1" t="s">
        <v>2890</v>
      </c>
    </row>
    <row r="2" spans="1:10" x14ac:dyDescent="0.2">
      <c r="A2" t="s">
        <v>93</v>
      </c>
      <c r="B2" t="s">
        <v>135</v>
      </c>
      <c r="C2" t="s">
        <v>2891</v>
      </c>
      <c r="D2" t="s">
        <v>2892</v>
      </c>
      <c r="E2" t="s">
        <v>2893</v>
      </c>
      <c r="F2" t="s">
        <v>2894</v>
      </c>
      <c r="G2" t="s">
        <v>2895</v>
      </c>
      <c r="H2" t="s">
        <v>2896</v>
      </c>
      <c r="I2" t="s">
        <v>2897</v>
      </c>
      <c r="J2" t="s">
        <v>2898</v>
      </c>
    </row>
    <row r="3" spans="1:10" x14ac:dyDescent="0.2">
      <c r="A3" t="s">
        <v>93</v>
      </c>
      <c r="B3" t="s">
        <v>135</v>
      </c>
      <c r="C3" t="s">
        <v>2899</v>
      </c>
      <c r="D3" t="s">
        <v>2900</v>
      </c>
      <c r="E3" t="s">
        <v>2901</v>
      </c>
      <c r="F3" t="s">
        <v>2902</v>
      </c>
      <c r="G3" t="s">
        <v>2903</v>
      </c>
      <c r="H3" t="s">
        <v>2904</v>
      </c>
      <c r="I3" t="s">
        <v>2897</v>
      </c>
      <c r="J3" t="s">
        <v>2905</v>
      </c>
    </row>
    <row r="4" spans="1:10" x14ac:dyDescent="0.2">
      <c r="A4" t="s">
        <v>93</v>
      </c>
      <c r="B4" t="s">
        <v>143</v>
      </c>
      <c r="C4" t="s">
        <v>144</v>
      </c>
      <c r="D4" t="s">
        <v>2906</v>
      </c>
      <c r="E4" t="s">
        <v>2907</v>
      </c>
      <c r="F4" t="s">
        <v>2908</v>
      </c>
      <c r="G4" t="s">
        <v>2909</v>
      </c>
      <c r="H4" t="s">
        <v>2904</v>
      </c>
      <c r="I4" t="s">
        <v>2910</v>
      </c>
      <c r="J4" t="s">
        <v>2911</v>
      </c>
    </row>
    <row r="5" spans="1:10" x14ac:dyDescent="0.2">
      <c r="A5" t="s">
        <v>93</v>
      </c>
      <c r="B5" t="s">
        <v>143</v>
      </c>
      <c r="C5" t="s">
        <v>1716</v>
      </c>
      <c r="D5" t="s">
        <v>2912</v>
      </c>
      <c r="E5" t="s">
        <v>2913</v>
      </c>
      <c r="F5" t="s">
        <v>2914</v>
      </c>
      <c r="G5" t="s">
        <v>2915</v>
      </c>
      <c r="H5" t="s">
        <v>2904</v>
      </c>
      <c r="I5" t="s">
        <v>2910</v>
      </c>
      <c r="J5" t="s">
        <v>2916</v>
      </c>
    </row>
    <row r="6" spans="1:10" x14ac:dyDescent="0.2">
      <c r="A6" t="s">
        <v>93</v>
      </c>
      <c r="B6" t="s">
        <v>125</v>
      </c>
      <c r="C6" t="s">
        <v>126</v>
      </c>
      <c r="D6" t="s">
        <v>2917</v>
      </c>
      <c r="E6" t="s">
        <v>2918</v>
      </c>
      <c r="F6" t="s">
        <v>2919</v>
      </c>
      <c r="G6" t="s">
        <v>2920</v>
      </c>
      <c r="H6" t="s">
        <v>2904</v>
      </c>
      <c r="I6" t="s">
        <v>2921</v>
      </c>
      <c r="J6" t="s">
        <v>2922</v>
      </c>
    </row>
    <row r="7" spans="1:10" x14ac:dyDescent="0.2">
      <c r="A7" t="s">
        <v>93</v>
      </c>
      <c r="B7" t="s">
        <v>125</v>
      </c>
      <c r="C7" t="s">
        <v>126</v>
      </c>
      <c r="D7" t="s">
        <v>2923</v>
      </c>
      <c r="E7" t="s">
        <v>2924</v>
      </c>
      <c r="F7" t="s">
        <v>2925</v>
      </c>
      <c r="G7" t="s">
        <v>2926</v>
      </c>
      <c r="H7" t="s">
        <v>2896</v>
      </c>
      <c r="I7" t="s">
        <v>2921</v>
      </c>
      <c r="J7" t="s">
        <v>2927</v>
      </c>
    </row>
    <row r="8" spans="1:10" x14ac:dyDescent="0.2">
      <c r="A8" t="s">
        <v>93</v>
      </c>
      <c r="B8" t="s">
        <v>158</v>
      </c>
      <c r="C8" t="s">
        <v>2928</v>
      </c>
      <c r="D8" t="s">
        <v>2929</v>
      </c>
      <c r="E8" t="s">
        <v>2930</v>
      </c>
      <c r="F8" t="s">
        <v>2931</v>
      </c>
      <c r="G8" t="s">
        <v>2932</v>
      </c>
      <c r="H8" t="s">
        <v>2904</v>
      </c>
      <c r="I8" t="s">
        <v>2897</v>
      </c>
      <c r="J8" t="s">
        <v>2933</v>
      </c>
    </row>
    <row r="9" spans="1:10" x14ac:dyDescent="0.2">
      <c r="A9" t="s">
        <v>93</v>
      </c>
      <c r="B9" t="s">
        <v>166</v>
      </c>
      <c r="C9" t="s">
        <v>167</v>
      </c>
      <c r="D9" t="s">
        <v>2934</v>
      </c>
      <c r="E9" t="s">
        <v>2932</v>
      </c>
      <c r="F9" t="s">
        <v>2914</v>
      </c>
      <c r="G9" t="s">
        <v>2915</v>
      </c>
      <c r="H9" t="s">
        <v>2904</v>
      </c>
      <c r="I9" t="s">
        <v>2921</v>
      </c>
      <c r="J9" t="s">
        <v>2935</v>
      </c>
    </row>
    <row r="10" spans="1:10" x14ac:dyDescent="0.2">
      <c r="A10" t="s">
        <v>93</v>
      </c>
      <c r="B10" t="s">
        <v>174</v>
      </c>
      <c r="C10" t="s">
        <v>2936</v>
      </c>
      <c r="D10" t="s">
        <v>2937</v>
      </c>
      <c r="E10" t="s">
        <v>2938</v>
      </c>
      <c r="F10" t="s">
        <v>2939</v>
      </c>
      <c r="G10" t="s">
        <v>2940</v>
      </c>
      <c r="H10" t="s">
        <v>2904</v>
      </c>
      <c r="I10" t="s">
        <v>2910</v>
      </c>
      <c r="J10" t="s">
        <v>2941</v>
      </c>
    </row>
    <row r="11" spans="1:10" x14ac:dyDescent="0.2">
      <c r="A11" t="s">
        <v>93</v>
      </c>
      <c r="B11" t="s">
        <v>181</v>
      </c>
      <c r="C11" t="s">
        <v>511</v>
      </c>
      <c r="D11" t="s">
        <v>2942</v>
      </c>
      <c r="E11" t="s">
        <v>2943</v>
      </c>
      <c r="F11" t="s">
        <v>2944</v>
      </c>
      <c r="G11" t="s">
        <v>2945</v>
      </c>
      <c r="H11" t="s">
        <v>2904</v>
      </c>
      <c r="I11" t="s">
        <v>2921</v>
      </c>
      <c r="J11" t="s">
        <v>2946</v>
      </c>
    </row>
    <row r="12" spans="1:10" x14ac:dyDescent="0.2">
      <c r="A12" t="s">
        <v>93</v>
      </c>
      <c r="B12" t="s">
        <v>188</v>
      </c>
      <c r="C12" t="s">
        <v>2947</v>
      </c>
      <c r="D12" t="s">
        <v>2948</v>
      </c>
      <c r="E12" t="s">
        <v>2949</v>
      </c>
      <c r="F12" t="s">
        <v>2950</v>
      </c>
      <c r="G12" t="s">
        <v>2951</v>
      </c>
      <c r="H12" t="s">
        <v>2904</v>
      </c>
      <c r="I12" t="s">
        <v>2910</v>
      </c>
      <c r="J12" t="s">
        <v>2952</v>
      </c>
    </row>
    <row r="13" spans="1:10" x14ac:dyDescent="0.2">
      <c r="A13" t="s">
        <v>93</v>
      </c>
      <c r="B13" t="s">
        <v>540</v>
      </c>
      <c r="C13" t="s">
        <v>197</v>
      </c>
      <c r="D13" t="s">
        <v>2953</v>
      </c>
      <c r="E13" t="s">
        <v>2913</v>
      </c>
      <c r="F13" t="s">
        <v>2954</v>
      </c>
      <c r="G13" t="s">
        <v>2914</v>
      </c>
      <c r="H13" t="s">
        <v>2904</v>
      </c>
      <c r="I13" t="s">
        <v>2921</v>
      </c>
      <c r="J13" t="s">
        <v>2955</v>
      </c>
    </row>
    <row r="14" spans="1:10" x14ac:dyDescent="0.2">
      <c r="A14" t="s">
        <v>92</v>
      </c>
      <c r="B14" t="s">
        <v>456</v>
      </c>
      <c r="C14" t="s">
        <v>457</v>
      </c>
      <c r="D14" t="s">
        <v>2956</v>
      </c>
      <c r="E14" t="s">
        <v>2957</v>
      </c>
      <c r="F14" t="s">
        <v>2958</v>
      </c>
      <c r="G14" t="s">
        <v>2958</v>
      </c>
      <c r="H14" t="s">
        <v>2904</v>
      </c>
      <c r="I14" t="s">
        <v>2959</v>
      </c>
      <c r="J14" t="s">
        <v>2960</v>
      </c>
    </row>
    <row r="15" spans="1:10" x14ac:dyDescent="0.2">
      <c r="A15" t="s">
        <v>92</v>
      </c>
      <c r="B15" t="s">
        <v>456</v>
      </c>
      <c r="C15" t="s">
        <v>2961</v>
      </c>
      <c r="D15" t="s">
        <v>2962</v>
      </c>
      <c r="E15" t="s">
        <v>2963</v>
      </c>
      <c r="F15" t="s">
        <v>2964</v>
      </c>
      <c r="G15" t="s">
        <v>2965</v>
      </c>
      <c r="H15" t="s">
        <v>2904</v>
      </c>
      <c r="I15" t="s">
        <v>2897</v>
      </c>
      <c r="J15" t="s">
        <v>2966</v>
      </c>
    </row>
    <row r="16" spans="1:10" x14ac:dyDescent="0.2">
      <c r="A16" t="s">
        <v>92</v>
      </c>
      <c r="B16" t="s">
        <v>487</v>
      </c>
      <c r="C16" t="s">
        <v>488</v>
      </c>
      <c r="D16" t="s">
        <v>2967</v>
      </c>
      <c r="E16" t="s">
        <v>2968</v>
      </c>
      <c r="F16" t="s">
        <v>2893</v>
      </c>
      <c r="G16" t="s">
        <v>2969</v>
      </c>
      <c r="H16" t="s">
        <v>2896</v>
      </c>
      <c r="I16" t="s">
        <v>2897</v>
      </c>
      <c r="J16" t="s">
        <v>2970</v>
      </c>
    </row>
    <row r="17" spans="1:10" x14ac:dyDescent="0.2">
      <c r="A17" t="s">
        <v>92</v>
      </c>
      <c r="B17" t="s">
        <v>487</v>
      </c>
      <c r="C17" t="s">
        <v>2971</v>
      </c>
      <c r="D17" t="s">
        <v>2972</v>
      </c>
      <c r="E17" t="s">
        <v>2973</v>
      </c>
      <c r="F17" t="s">
        <v>2974</v>
      </c>
      <c r="G17" t="s">
        <v>2975</v>
      </c>
      <c r="H17" t="s">
        <v>2904</v>
      </c>
      <c r="I17" t="s">
        <v>2910</v>
      </c>
      <c r="J17" t="s">
        <v>2976</v>
      </c>
    </row>
    <row r="18" spans="1:10" x14ac:dyDescent="0.2">
      <c r="A18" t="s">
        <v>92</v>
      </c>
      <c r="B18" t="s">
        <v>328</v>
      </c>
      <c r="C18" t="s">
        <v>494</v>
      </c>
      <c r="D18" t="s">
        <v>2977</v>
      </c>
      <c r="E18" t="s">
        <v>2978</v>
      </c>
      <c r="F18" t="s">
        <v>2979</v>
      </c>
      <c r="G18" t="s">
        <v>2980</v>
      </c>
      <c r="H18" t="s">
        <v>2904</v>
      </c>
      <c r="I18" t="s">
        <v>2897</v>
      </c>
      <c r="J18" t="s">
        <v>2981</v>
      </c>
    </row>
    <row r="19" spans="1:10" x14ac:dyDescent="0.2">
      <c r="A19" t="s">
        <v>92</v>
      </c>
      <c r="B19" t="s">
        <v>328</v>
      </c>
      <c r="C19" t="s">
        <v>500</v>
      </c>
      <c r="D19" t="s">
        <v>2982</v>
      </c>
      <c r="E19" t="s">
        <v>2983</v>
      </c>
      <c r="F19" t="s">
        <v>2909</v>
      </c>
      <c r="G19" t="s">
        <v>2909</v>
      </c>
      <c r="H19" t="s">
        <v>2896</v>
      </c>
      <c r="I19" t="s">
        <v>2921</v>
      </c>
      <c r="J19" t="s">
        <v>2984</v>
      </c>
    </row>
    <row r="20" spans="1:10" x14ac:dyDescent="0.2">
      <c r="A20" t="s">
        <v>92</v>
      </c>
      <c r="B20" t="s">
        <v>181</v>
      </c>
      <c r="C20" t="s">
        <v>511</v>
      </c>
      <c r="D20" t="s">
        <v>2985</v>
      </c>
      <c r="E20" t="s">
        <v>2986</v>
      </c>
      <c r="F20" t="s">
        <v>2987</v>
      </c>
      <c r="G20" t="s">
        <v>2988</v>
      </c>
      <c r="H20" t="s">
        <v>2904</v>
      </c>
      <c r="I20" t="s">
        <v>2910</v>
      </c>
      <c r="J20" t="s">
        <v>2989</v>
      </c>
    </row>
    <row r="21" spans="1:10" x14ac:dyDescent="0.2">
      <c r="A21" t="s">
        <v>92</v>
      </c>
      <c r="B21" t="s">
        <v>464</v>
      </c>
      <c r="C21" t="s">
        <v>251</v>
      </c>
      <c r="D21" t="s">
        <v>2990</v>
      </c>
      <c r="E21" t="s">
        <v>2991</v>
      </c>
      <c r="F21" t="s">
        <v>2924</v>
      </c>
      <c r="G21" t="s">
        <v>2924</v>
      </c>
      <c r="H21" t="s">
        <v>2904</v>
      </c>
      <c r="I21" t="s">
        <v>2897</v>
      </c>
      <c r="J21" t="s">
        <v>2992</v>
      </c>
    </row>
    <row r="22" spans="1:10" x14ac:dyDescent="0.2">
      <c r="A22" t="s">
        <v>92</v>
      </c>
      <c r="B22" t="s">
        <v>504</v>
      </c>
      <c r="C22" t="s">
        <v>505</v>
      </c>
      <c r="D22" t="s">
        <v>2993</v>
      </c>
      <c r="E22" t="s">
        <v>2994</v>
      </c>
      <c r="F22" t="s">
        <v>2995</v>
      </c>
      <c r="G22" t="s">
        <v>2996</v>
      </c>
      <c r="H22" t="s">
        <v>2904</v>
      </c>
      <c r="I22" t="s">
        <v>2959</v>
      </c>
      <c r="J22" t="s">
        <v>2997</v>
      </c>
    </row>
    <row r="23" spans="1:10" x14ac:dyDescent="0.2">
      <c r="A23" t="s">
        <v>92</v>
      </c>
      <c r="B23" t="s">
        <v>504</v>
      </c>
      <c r="C23" t="s">
        <v>1296</v>
      </c>
      <c r="D23" t="s">
        <v>2998</v>
      </c>
      <c r="E23" t="s">
        <v>2999</v>
      </c>
      <c r="F23" t="s">
        <v>3000</v>
      </c>
      <c r="G23" t="s">
        <v>3000</v>
      </c>
      <c r="H23" t="s">
        <v>2904</v>
      </c>
      <c r="I23" t="s">
        <v>2897</v>
      </c>
      <c r="J23" t="s">
        <v>3001</v>
      </c>
    </row>
    <row r="24" spans="1:10" x14ac:dyDescent="0.2">
      <c r="A24" t="s">
        <v>92</v>
      </c>
      <c r="B24" t="s">
        <v>166</v>
      </c>
      <c r="C24" t="s">
        <v>470</v>
      </c>
      <c r="D24" t="s">
        <v>3002</v>
      </c>
      <c r="E24" t="s">
        <v>2932</v>
      </c>
      <c r="F24" t="s">
        <v>3003</v>
      </c>
      <c r="G24" t="s">
        <v>3003</v>
      </c>
      <c r="H24" t="s">
        <v>2904</v>
      </c>
      <c r="I24" t="s">
        <v>2910</v>
      </c>
      <c r="J24" t="s">
        <v>3004</v>
      </c>
    </row>
    <row r="25" spans="1:10" x14ac:dyDescent="0.2">
      <c r="A25" t="s">
        <v>92</v>
      </c>
      <c r="B25" t="s">
        <v>188</v>
      </c>
      <c r="C25" t="s">
        <v>476</v>
      </c>
      <c r="D25" t="s">
        <v>3005</v>
      </c>
      <c r="E25" t="s">
        <v>3006</v>
      </c>
      <c r="F25" t="s">
        <v>3007</v>
      </c>
      <c r="G25" t="s">
        <v>3007</v>
      </c>
      <c r="H25" t="s">
        <v>2904</v>
      </c>
      <c r="I25" t="s">
        <v>2897</v>
      </c>
      <c r="J25" t="s">
        <v>3008</v>
      </c>
    </row>
    <row r="26" spans="1:10" x14ac:dyDescent="0.2">
      <c r="A26" t="s">
        <v>53</v>
      </c>
      <c r="B26" t="s">
        <v>250</v>
      </c>
      <c r="C26" t="s">
        <v>394</v>
      </c>
      <c r="D26" t="s">
        <v>3009</v>
      </c>
      <c r="E26" t="s">
        <v>3010</v>
      </c>
      <c r="F26" t="s">
        <v>3011</v>
      </c>
      <c r="G26" t="s">
        <v>3012</v>
      </c>
      <c r="H26" t="s">
        <v>2904</v>
      </c>
      <c r="I26" t="s">
        <v>2897</v>
      </c>
      <c r="J26" t="s">
        <v>3013</v>
      </c>
    </row>
    <row r="27" spans="1:10" x14ac:dyDescent="0.2">
      <c r="A27" t="s">
        <v>53</v>
      </c>
      <c r="B27" t="s">
        <v>250</v>
      </c>
      <c r="C27" t="s">
        <v>407</v>
      </c>
      <c r="D27" t="s">
        <v>3014</v>
      </c>
      <c r="E27" t="s">
        <v>3015</v>
      </c>
      <c r="F27" t="s">
        <v>3016</v>
      </c>
      <c r="G27" t="s">
        <v>3017</v>
      </c>
      <c r="H27" t="s">
        <v>2896</v>
      </c>
      <c r="I27" t="s">
        <v>2959</v>
      </c>
      <c r="J27" t="s">
        <v>3018</v>
      </c>
    </row>
    <row r="28" spans="1:10" x14ac:dyDescent="0.2">
      <c r="A28" t="s">
        <v>53</v>
      </c>
      <c r="B28" t="s">
        <v>413</v>
      </c>
      <c r="C28" t="s">
        <v>205</v>
      </c>
      <c r="D28" t="s">
        <v>3019</v>
      </c>
      <c r="E28" t="s">
        <v>3020</v>
      </c>
      <c r="F28" t="s">
        <v>3021</v>
      </c>
      <c r="G28" t="s">
        <v>3022</v>
      </c>
      <c r="H28" t="s">
        <v>2904</v>
      </c>
      <c r="I28" t="s">
        <v>2910</v>
      </c>
      <c r="J28" t="s">
        <v>3023</v>
      </c>
    </row>
    <row r="29" spans="1:10" x14ac:dyDescent="0.2">
      <c r="A29" t="s">
        <v>53</v>
      </c>
      <c r="B29" t="s">
        <v>413</v>
      </c>
      <c r="C29" t="s">
        <v>420</v>
      </c>
      <c r="D29" t="s">
        <v>3024</v>
      </c>
      <c r="E29" t="s">
        <v>2924</v>
      </c>
      <c r="F29" t="s">
        <v>3025</v>
      </c>
      <c r="G29" t="s">
        <v>3026</v>
      </c>
      <c r="H29" t="s">
        <v>2904</v>
      </c>
      <c r="I29" t="s">
        <v>2921</v>
      </c>
      <c r="J29" t="s">
        <v>3027</v>
      </c>
    </row>
    <row r="30" spans="1:10" x14ac:dyDescent="0.2">
      <c r="A30" t="s">
        <v>53</v>
      </c>
      <c r="B30" t="s">
        <v>188</v>
      </c>
      <c r="C30" t="s">
        <v>3028</v>
      </c>
      <c r="D30" t="s">
        <v>3029</v>
      </c>
      <c r="E30" t="s">
        <v>2996</v>
      </c>
      <c r="F30" t="s">
        <v>3030</v>
      </c>
      <c r="G30" t="s">
        <v>3031</v>
      </c>
      <c r="H30" t="s">
        <v>2904</v>
      </c>
      <c r="I30" t="s">
        <v>3032</v>
      </c>
      <c r="J30" t="s">
        <v>3033</v>
      </c>
    </row>
    <row r="31" spans="1:10" x14ac:dyDescent="0.2">
      <c r="A31" t="s">
        <v>53</v>
      </c>
      <c r="B31" t="s">
        <v>426</v>
      </c>
      <c r="C31" t="s">
        <v>288</v>
      </c>
      <c r="D31" t="s">
        <v>3034</v>
      </c>
      <c r="E31" t="s">
        <v>3035</v>
      </c>
      <c r="F31" t="s">
        <v>3036</v>
      </c>
      <c r="G31" t="s">
        <v>3037</v>
      </c>
      <c r="H31" t="s">
        <v>2904</v>
      </c>
      <c r="I31" t="s">
        <v>2959</v>
      </c>
      <c r="J31" t="s">
        <v>3038</v>
      </c>
    </row>
    <row r="32" spans="1:10" x14ac:dyDescent="0.2">
      <c r="A32" t="s">
        <v>53</v>
      </c>
      <c r="B32" t="s">
        <v>166</v>
      </c>
      <c r="C32" t="s">
        <v>236</v>
      </c>
      <c r="D32" t="s">
        <v>3039</v>
      </c>
      <c r="E32" t="s">
        <v>3040</v>
      </c>
      <c r="F32" t="s">
        <v>3041</v>
      </c>
      <c r="G32" t="s">
        <v>3042</v>
      </c>
      <c r="H32" t="s">
        <v>2904</v>
      </c>
      <c r="I32" t="s">
        <v>2897</v>
      </c>
      <c r="J32" t="s">
        <v>3043</v>
      </c>
    </row>
    <row r="33" spans="1:10" x14ac:dyDescent="0.2">
      <c r="A33" t="s">
        <v>53</v>
      </c>
      <c r="B33" t="s">
        <v>250</v>
      </c>
      <c r="C33" t="s">
        <v>400</v>
      </c>
      <c r="D33" t="s">
        <v>3044</v>
      </c>
      <c r="E33" t="s">
        <v>3045</v>
      </c>
      <c r="F33" t="s">
        <v>3046</v>
      </c>
      <c r="G33" t="s">
        <v>3047</v>
      </c>
      <c r="H33" t="s">
        <v>2896</v>
      </c>
      <c r="I33" t="s">
        <v>2897</v>
      </c>
      <c r="J33" t="s">
        <v>3048</v>
      </c>
    </row>
    <row r="34" spans="1:10" x14ac:dyDescent="0.2">
      <c r="A34" t="s">
        <v>53</v>
      </c>
      <c r="B34" t="s">
        <v>315</v>
      </c>
      <c r="C34" t="s">
        <v>431</v>
      </c>
      <c r="D34" t="s">
        <v>3049</v>
      </c>
      <c r="E34" t="s">
        <v>3050</v>
      </c>
      <c r="F34" t="s">
        <v>3051</v>
      </c>
      <c r="G34" t="s">
        <v>3052</v>
      </c>
      <c r="H34" t="s">
        <v>2904</v>
      </c>
      <c r="I34" t="s">
        <v>2910</v>
      </c>
      <c r="J34" t="s">
        <v>3053</v>
      </c>
    </row>
    <row r="35" spans="1:10" x14ac:dyDescent="0.2">
      <c r="A35" t="s">
        <v>53</v>
      </c>
      <c r="B35" t="s">
        <v>437</v>
      </c>
      <c r="C35" t="s">
        <v>438</v>
      </c>
      <c r="D35" t="s">
        <v>3054</v>
      </c>
      <c r="E35" t="s">
        <v>2968</v>
      </c>
      <c r="F35" t="s">
        <v>2969</v>
      </c>
      <c r="G35" t="s">
        <v>3055</v>
      </c>
      <c r="H35" t="s">
        <v>2896</v>
      </c>
      <c r="I35" t="s">
        <v>2897</v>
      </c>
      <c r="J35" t="s">
        <v>3056</v>
      </c>
    </row>
    <row r="36" spans="1:10" x14ac:dyDescent="0.2">
      <c r="A36" t="s">
        <v>53</v>
      </c>
      <c r="B36" t="s">
        <v>250</v>
      </c>
      <c r="C36" t="s">
        <v>444</v>
      </c>
      <c r="D36" t="s">
        <v>3057</v>
      </c>
      <c r="E36" t="s">
        <v>3058</v>
      </c>
      <c r="F36" t="s">
        <v>3059</v>
      </c>
      <c r="G36" t="s">
        <v>3060</v>
      </c>
      <c r="H36" t="s">
        <v>2904</v>
      </c>
      <c r="I36" t="s">
        <v>2910</v>
      </c>
      <c r="J36" t="s">
        <v>3061</v>
      </c>
    </row>
    <row r="37" spans="1:10" x14ac:dyDescent="0.2">
      <c r="A37" t="s">
        <v>53</v>
      </c>
      <c r="B37" t="s">
        <v>181</v>
      </c>
      <c r="C37" t="s">
        <v>655</v>
      </c>
      <c r="D37" t="s">
        <v>3062</v>
      </c>
      <c r="E37" t="s">
        <v>3063</v>
      </c>
      <c r="F37" t="s">
        <v>3064</v>
      </c>
      <c r="G37" t="s">
        <v>3065</v>
      </c>
      <c r="H37" t="s">
        <v>2896</v>
      </c>
      <c r="I37" t="s">
        <v>2921</v>
      </c>
      <c r="J37" t="s">
        <v>3066</v>
      </c>
    </row>
    <row r="38" spans="1:10" x14ac:dyDescent="0.2">
      <c r="A38" t="s">
        <v>57</v>
      </c>
      <c r="B38" t="s">
        <v>204</v>
      </c>
      <c r="C38" t="s">
        <v>205</v>
      </c>
      <c r="D38" t="s">
        <v>3067</v>
      </c>
      <c r="E38" t="s">
        <v>2991</v>
      </c>
      <c r="F38" t="s">
        <v>2924</v>
      </c>
      <c r="G38" t="s">
        <v>3068</v>
      </c>
      <c r="H38" t="s">
        <v>2904</v>
      </c>
      <c r="I38" t="s">
        <v>2897</v>
      </c>
      <c r="J38" t="s">
        <v>3069</v>
      </c>
    </row>
    <row r="39" spans="1:10" x14ac:dyDescent="0.2">
      <c r="A39" t="s">
        <v>57</v>
      </c>
      <c r="B39" t="s">
        <v>204</v>
      </c>
      <c r="C39" t="s">
        <v>214</v>
      </c>
      <c r="D39" t="s">
        <v>3070</v>
      </c>
      <c r="E39" t="s">
        <v>2918</v>
      </c>
      <c r="F39" t="s">
        <v>3071</v>
      </c>
      <c r="G39" t="s">
        <v>3072</v>
      </c>
      <c r="H39" t="s">
        <v>2904</v>
      </c>
      <c r="I39" t="s">
        <v>2921</v>
      </c>
      <c r="J39" t="s">
        <v>3073</v>
      </c>
    </row>
    <row r="40" spans="1:10" x14ac:dyDescent="0.2">
      <c r="A40" t="s">
        <v>57</v>
      </c>
      <c r="B40" t="s">
        <v>236</v>
      </c>
      <c r="C40" t="s">
        <v>243</v>
      </c>
      <c r="D40" t="s">
        <v>3074</v>
      </c>
      <c r="E40" t="s">
        <v>2973</v>
      </c>
      <c r="F40" t="s">
        <v>3075</v>
      </c>
      <c r="G40" t="s">
        <v>3076</v>
      </c>
      <c r="H40" t="s">
        <v>2904</v>
      </c>
      <c r="I40" t="s">
        <v>2910</v>
      </c>
      <c r="J40" t="s">
        <v>3077</v>
      </c>
    </row>
    <row r="41" spans="1:10" x14ac:dyDescent="0.2">
      <c r="A41" t="s">
        <v>57</v>
      </c>
      <c r="B41" t="s">
        <v>236</v>
      </c>
      <c r="C41" t="s">
        <v>3078</v>
      </c>
      <c r="D41" t="s">
        <v>3079</v>
      </c>
      <c r="E41" t="s">
        <v>3080</v>
      </c>
      <c r="F41" t="s">
        <v>3046</v>
      </c>
      <c r="G41" t="s">
        <v>3081</v>
      </c>
      <c r="H41" t="s">
        <v>2896</v>
      </c>
      <c r="I41" t="s">
        <v>2897</v>
      </c>
      <c r="J41" t="s">
        <v>3082</v>
      </c>
    </row>
    <row r="42" spans="1:10" x14ac:dyDescent="0.2">
      <c r="A42" t="s">
        <v>57</v>
      </c>
      <c r="B42" t="s">
        <v>250</v>
      </c>
      <c r="C42" t="s">
        <v>251</v>
      </c>
      <c r="D42" t="s">
        <v>3083</v>
      </c>
      <c r="E42" t="s">
        <v>3084</v>
      </c>
      <c r="F42" t="s">
        <v>3085</v>
      </c>
      <c r="G42" t="s">
        <v>3086</v>
      </c>
      <c r="H42" t="s">
        <v>2904</v>
      </c>
      <c r="I42" t="s">
        <v>2910</v>
      </c>
      <c r="J42" t="s">
        <v>3087</v>
      </c>
    </row>
    <row r="43" spans="1:10" x14ac:dyDescent="0.2">
      <c r="A43" t="s">
        <v>57</v>
      </c>
      <c r="B43" t="s">
        <v>250</v>
      </c>
      <c r="C43" t="s">
        <v>3088</v>
      </c>
      <c r="D43" t="s">
        <v>3089</v>
      </c>
      <c r="E43" t="s">
        <v>3090</v>
      </c>
      <c r="F43" t="s">
        <v>3091</v>
      </c>
      <c r="G43" t="s">
        <v>3092</v>
      </c>
      <c r="H43" t="s">
        <v>2896</v>
      </c>
      <c r="I43" t="s">
        <v>2897</v>
      </c>
      <c r="J43" t="s">
        <v>3093</v>
      </c>
    </row>
    <row r="44" spans="1:10" x14ac:dyDescent="0.2">
      <c r="A44" t="s">
        <v>57</v>
      </c>
      <c r="B44" t="s">
        <v>181</v>
      </c>
      <c r="C44" t="s">
        <v>3094</v>
      </c>
      <c r="D44" t="s">
        <v>3095</v>
      </c>
      <c r="E44" t="s">
        <v>3096</v>
      </c>
      <c r="F44" t="s">
        <v>3097</v>
      </c>
      <c r="G44" t="s">
        <v>3098</v>
      </c>
      <c r="H44" t="s">
        <v>2896</v>
      </c>
      <c r="I44" t="s">
        <v>2897</v>
      </c>
      <c r="J44" t="s">
        <v>3099</v>
      </c>
    </row>
    <row r="45" spans="1:10" x14ac:dyDescent="0.2">
      <c r="A45" t="s">
        <v>57</v>
      </c>
      <c r="B45" t="s">
        <v>181</v>
      </c>
      <c r="C45" t="s">
        <v>230</v>
      </c>
      <c r="D45" t="s">
        <v>3100</v>
      </c>
      <c r="E45" t="s">
        <v>3101</v>
      </c>
      <c r="F45" t="s">
        <v>3046</v>
      </c>
      <c r="G45" t="s">
        <v>3102</v>
      </c>
      <c r="H45" t="s">
        <v>2896</v>
      </c>
      <c r="I45" t="s">
        <v>2959</v>
      </c>
      <c r="J45" t="s">
        <v>3103</v>
      </c>
    </row>
    <row r="46" spans="1:10" x14ac:dyDescent="0.2">
      <c r="A46" t="s">
        <v>57</v>
      </c>
      <c r="B46" t="s">
        <v>221</v>
      </c>
      <c r="C46" t="s">
        <v>3104</v>
      </c>
      <c r="D46" t="s">
        <v>3105</v>
      </c>
      <c r="E46" t="s">
        <v>3020</v>
      </c>
      <c r="F46" t="s">
        <v>3106</v>
      </c>
      <c r="G46" t="s">
        <v>3107</v>
      </c>
      <c r="H46" t="s">
        <v>2904</v>
      </c>
      <c r="I46" t="s">
        <v>2897</v>
      </c>
      <c r="J46" t="s">
        <v>3108</v>
      </c>
    </row>
    <row r="47" spans="1:10" x14ac:dyDescent="0.2">
      <c r="A47" t="s">
        <v>57</v>
      </c>
      <c r="B47" t="s">
        <v>221</v>
      </c>
      <c r="C47" t="s">
        <v>1983</v>
      </c>
      <c r="D47" t="s">
        <v>3109</v>
      </c>
      <c r="E47" t="s">
        <v>3110</v>
      </c>
      <c r="F47" t="s">
        <v>2931</v>
      </c>
      <c r="G47" t="s">
        <v>3111</v>
      </c>
      <c r="H47" t="s">
        <v>2904</v>
      </c>
      <c r="I47" t="s">
        <v>2910</v>
      </c>
      <c r="J47" t="s">
        <v>3112</v>
      </c>
    </row>
    <row r="48" spans="1:10" x14ac:dyDescent="0.2">
      <c r="A48" t="s">
        <v>57</v>
      </c>
      <c r="B48" t="s">
        <v>265</v>
      </c>
      <c r="C48" t="s">
        <v>266</v>
      </c>
      <c r="D48" t="s">
        <v>3113</v>
      </c>
      <c r="E48" t="s">
        <v>2931</v>
      </c>
      <c r="F48" t="s">
        <v>2954</v>
      </c>
      <c r="G48" t="s">
        <v>3114</v>
      </c>
      <c r="H48" t="s">
        <v>2904</v>
      </c>
      <c r="I48" t="s">
        <v>2921</v>
      </c>
      <c r="J48" t="s">
        <v>3115</v>
      </c>
    </row>
    <row r="49" spans="1:10" x14ac:dyDescent="0.2">
      <c r="A49" t="s">
        <v>57</v>
      </c>
      <c r="B49" t="s">
        <v>188</v>
      </c>
      <c r="C49" t="s">
        <v>273</v>
      </c>
      <c r="D49" t="s">
        <v>3116</v>
      </c>
      <c r="E49" t="s">
        <v>3006</v>
      </c>
      <c r="F49" t="s">
        <v>3117</v>
      </c>
      <c r="G49" t="s">
        <v>3118</v>
      </c>
      <c r="H49" t="s">
        <v>2904</v>
      </c>
      <c r="I49" t="s">
        <v>2910</v>
      </c>
      <c r="J49" t="s">
        <v>3119</v>
      </c>
    </row>
    <row r="50" spans="1:10" x14ac:dyDescent="0.2">
      <c r="A50" t="s">
        <v>102</v>
      </c>
      <c r="B50" t="s">
        <v>294</v>
      </c>
      <c r="C50" t="s">
        <v>295</v>
      </c>
      <c r="D50" t="s">
        <v>3120</v>
      </c>
      <c r="E50" t="s">
        <v>3121</v>
      </c>
      <c r="F50" t="s">
        <v>3059</v>
      </c>
      <c r="G50" t="s">
        <v>3122</v>
      </c>
      <c r="H50" t="s">
        <v>2904</v>
      </c>
      <c r="I50" t="s">
        <v>2897</v>
      </c>
      <c r="J50" t="s">
        <v>3123</v>
      </c>
    </row>
    <row r="51" spans="1:10" x14ac:dyDescent="0.2">
      <c r="A51" t="s">
        <v>102</v>
      </c>
      <c r="B51" t="s">
        <v>294</v>
      </c>
      <c r="C51" t="s">
        <v>3124</v>
      </c>
      <c r="D51" t="s">
        <v>3125</v>
      </c>
      <c r="E51" t="s">
        <v>3126</v>
      </c>
      <c r="F51" t="s">
        <v>3127</v>
      </c>
      <c r="G51" t="s">
        <v>3127</v>
      </c>
      <c r="H51" t="s">
        <v>2904</v>
      </c>
      <c r="I51" t="s">
        <v>2959</v>
      </c>
      <c r="J51" t="s">
        <v>3128</v>
      </c>
    </row>
    <row r="52" spans="1:10" x14ac:dyDescent="0.2">
      <c r="A52" t="s">
        <v>102</v>
      </c>
      <c r="B52" t="s">
        <v>125</v>
      </c>
      <c r="C52" t="s">
        <v>1580</v>
      </c>
      <c r="D52" t="s">
        <v>3129</v>
      </c>
      <c r="E52" t="s">
        <v>3130</v>
      </c>
      <c r="F52" t="s">
        <v>3131</v>
      </c>
      <c r="G52" t="s">
        <v>3132</v>
      </c>
      <c r="H52" t="s">
        <v>2904</v>
      </c>
      <c r="I52" t="s">
        <v>2897</v>
      </c>
      <c r="J52" t="s">
        <v>3133</v>
      </c>
    </row>
    <row r="53" spans="1:10" x14ac:dyDescent="0.2">
      <c r="A53" t="s">
        <v>102</v>
      </c>
      <c r="B53" t="s">
        <v>125</v>
      </c>
      <c r="C53" t="s">
        <v>2375</v>
      </c>
      <c r="D53" t="s">
        <v>3134</v>
      </c>
      <c r="E53" t="s">
        <v>3135</v>
      </c>
      <c r="F53" t="s">
        <v>3136</v>
      </c>
      <c r="G53" t="s">
        <v>3136</v>
      </c>
      <c r="H53" t="s">
        <v>2896</v>
      </c>
      <c r="I53" t="s">
        <v>3032</v>
      </c>
      <c r="J53" t="s">
        <v>3137</v>
      </c>
    </row>
    <row r="54" spans="1:10" x14ac:dyDescent="0.2">
      <c r="A54" t="s">
        <v>102</v>
      </c>
      <c r="B54" t="s">
        <v>166</v>
      </c>
      <c r="C54" t="s">
        <v>304</v>
      </c>
      <c r="D54" t="s">
        <v>3138</v>
      </c>
      <c r="E54" t="s">
        <v>3139</v>
      </c>
      <c r="F54" t="s">
        <v>3051</v>
      </c>
      <c r="G54" t="s">
        <v>3051</v>
      </c>
      <c r="H54" t="s">
        <v>2904</v>
      </c>
      <c r="I54" t="s">
        <v>2897</v>
      </c>
      <c r="J54" t="s">
        <v>3140</v>
      </c>
    </row>
    <row r="55" spans="1:10" x14ac:dyDescent="0.2">
      <c r="A55" t="s">
        <v>102</v>
      </c>
      <c r="B55" t="s">
        <v>166</v>
      </c>
      <c r="C55" t="s">
        <v>304</v>
      </c>
      <c r="D55" t="s">
        <v>3141</v>
      </c>
      <c r="E55" t="s">
        <v>3142</v>
      </c>
      <c r="F55" t="s">
        <v>3003</v>
      </c>
      <c r="G55" t="s">
        <v>3003</v>
      </c>
      <c r="H55" t="s">
        <v>2904</v>
      </c>
      <c r="I55" t="s">
        <v>2897</v>
      </c>
      <c r="J55" t="s">
        <v>3143</v>
      </c>
    </row>
    <row r="56" spans="1:10" x14ac:dyDescent="0.2">
      <c r="A56" t="s">
        <v>102</v>
      </c>
      <c r="B56" t="s">
        <v>188</v>
      </c>
      <c r="C56" t="s">
        <v>309</v>
      </c>
      <c r="D56" t="s">
        <v>3144</v>
      </c>
      <c r="E56" t="s">
        <v>3145</v>
      </c>
      <c r="F56" t="s">
        <v>3146</v>
      </c>
      <c r="G56" t="s">
        <v>3146</v>
      </c>
      <c r="H56" t="s">
        <v>2904</v>
      </c>
      <c r="I56" t="s">
        <v>2897</v>
      </c>
      <c r="J56" t="s">
        <v>3147</v>
      </c>
    </row>
    <row r="57" spans="1:10" x14ac:dyDescent="0.2">
      <c r="A57" t="s">
        <v>102</v>
      </c>
      <c r="B57" t="s">
        <v>315</v>
      </c>
      <c r="C57" t="s">
        <v>323</v>
      </c>
      <c r="D57" t="s">
        <v>3148</v>
      </c>
      <c r="E57" t="s">
        <v>3149</v>
      </c>
      <c r="F57" t="s">
        <v>3150</v>
      </c>
      <c r="G57" t="s">
        <v>3151</v>
      </c>
      <c r="H57" t="s">
        <v>2896</v>
      </c>
      <c r="I57" t="s">
        <v>2959</v>
      </c>
      <c r="J57" t="s">
        <v>3152</v>
      </c>
    </row>
    <row r="58" spans="1:10" x14ac:dyDescent="0.2">
      <c r="A58" t="s">
        <v>102</v>
      </c>
      <c r="B58" t="s">
        <v>315</v>
      </c>
      <c r="C58" t="s">
        <v>1715</v>
      </c>
      <c r="D58" t="s">
        <v>3153</v>
      </c>
      <c r="E58" t="s">
        <v>3154</v>
      </c>
      <c r="F58" t="s">
        <v>3155</v>
      </c>
      <c r="G58" t="s">
        <v>3155</v>
      </c>
      <c r="H58" t="s">
        <v>2896</v>
      </c>
      <c r="I58" t="s">
        <v>2959</v>
      </c>
      <c r="J58" t="s">
        <v>3156</v>
      </c>
    </row>
    <row r="59" spans="1:10" x14ac:dyDescent="0.2">
      <c r="A59" t="s">
        <v>102</v>
      </c>
      <c r="B59" t="s">
        <v>328</v>
      </c>
      <c r="C59" t="s">
        <v>3157</v>
      </c>
      <c r="D59" t="s">
        <v>3158</v>
      </c>
      <c r="E59" t="s">
        <v>3159</v>
      </c>
      <c r="F59" t="s">
        <v>2926</v>
      </c>
      <c r="G59" t="s">
        <v>3160</v>
      </c>
      <c r="H59" t="s">
        <v>2896</v>
      </c>
      <c r="I59" t="s">
        <v>2959</v>
      </c>
      <c r="J59" t="s">
        <v>3161</v>
      </c>
    </row>
    <row r="60" spans="1:10" x14ac:dyDescent="0.2">
      <c r="A60" t="s">
        <v>103</v>
      </c>
      <c r="B60" t="s">
        <v>250</v>
      </c>
      <c r="C60" t="s">
        <v>258</v>
      </c>
      <c r="D60" t="s">
        <v>3162</v>
      </c>
      <c r="E60" t="s">
        <v>2932</v>
      </c>
      <c r="F60" t="s">
        <v>2915</v>
      </c>
      <c r="G60" t="s">
        <v>3003</v>
      </c>
      <c r="H60" t="s">
        <v>2904</v>
      </c>
      <c r="I60" t="s">
        <v>2897</v>
      </c>
      <c r="J60" t="s">
        <v>3163</v>
      </c>
    </row>
    <row r="61" spans="1:10" x14ac:dyDescent="0.2">
      <c r="A61" t="s">
        <v>103</v>
      </c>
      <c r="B61" t="s">
        <v>250</v>
      </c>
      <c r="C61" t="s">
        <v>251</v>
      </c>
      <c r="D61" t="s">
        <v>3164</v>
      </c>
      <c r="E61" t="s">
        <v>3165</v>
      </c>
      <c r="F61" t="s">
        <v>2920</v>
      </c>
      <c r="G61" t="s">
        <v>3166</v>
      </c>
      <c r="H61" t="s">
        <v>2904</v>
      </c>
      <c r="I61" t="s">
        <v>2959</v>
      </c>
      <c r="J61" t="s">
        <v>3167</v>
      </c>
    </row>
    <row r="62" spans="1:10" x14ac:dyDescent="0.2">
      <c r="A62" t="s">
        <v>103</v>
      </c>
      <c r="B62" t="s">
        <v>250</v>
      </c>
      <c r="C62" t="s">
        <v>369</v>
      </c>
      <c r="D62" t="s">
        <v>3168</v>
      </c>
      <c r="E62" t="s">
        <v>3015</v>
      </c>
      <c r="F62" t="s">
        <v>3169</v>
      </c>
      <c r="G62" t="s">
        <v>3016</v>
      </c>
      <c r="H62" t="s">
        <v>2896</v>
      </c>
      <c r="I62" t="s">
        <v>3032</v>
      </c>
      <c r="J62" t="s">
        <v>3170</v>
      </c>
    </row>
    <row r="63" spans="1:10" x14ac:dyDescent="0.2">
      <c r="A63" t="s">
        <v>103</v>
      </c>
      <c r="B63" t="s">
        <v>236</v>
      </c>
      <c r="C63" t="s">
        <v>237</v>
      </c>
      <c r="D63" t="s">
        <v>3171</v>
      </c>
      <c r="E63" t="s">
        <v>3172</v>
      </c>
      <c r="F63" t="s">
        <v>3173</v>
      </c>
      <c r="G63" t="s">
        <v>3174</v>
      </c>
      <c r="H63" t="s">
        <v>2896</v>
      </c>
      <c r="I63" t="s">
        <v>2897</v>
      </c>
      <c r="J63" t="s">
        <v>3175</v>
      </c>
    </row>
    <row r="64" spans="1:10" x14ac:dyDescent="0.2">
      <c r="A64" t="s">
        <v>103</v>
      </c>
      <c r="B64" t="s">
        <v>236</v>
      </c>
      <c r="C64" t="s">
        <v>944</v>
      </c>
      <c r="D64" t="s">
        <v>3176</v>
      </c>
      <c r="E64" t="s">
        <v>3177</v>
      </c>
      <c r="F64" t="s">
        <v>3178</v>
      </c>
      <c r="G64" t="s">
        <v>3179</v>
      </c>
      <c r="H64" t="s">
        <v>2896</v>
      </c>
      <c r="I64" t="s">
        <v>2897</v>
      </c>
      <c r="J64" t="s">
        <v>3180</v>
      </c>
    </row>
    <row r="65" spans="1:10" x14ac:dyDescent="0.2">
      <c r="A65" t="s">
        <v>103</v>
      </c>
      <c r="B65" t="s">
        <v>236</v>
      </c>
      <c r="C65" t="s">
        <v>197</v>
      </c>
      <c r="D65" t="s">
        <v>3181</v>
      </c>
      <c r="E65" t="s">
        <v>3016</v>
      </c>
      <c r="F65" t="s">
        <v>3182</v>
      </c>
      <c r="G65" t="s">
        <v>3183</v>
      </c>
      <c r="H65" t="s">
        <v>2896</v>
      </c>
      <c r="I65" t="s">
        <v>2959</v>
      </c>
      <c r="J65" t="s">
        <v>3184</v>
      </c>
    </row>
    <row r="66" spans="1:10" x14ac:dyDescent="0.2">
      <c r="A66" t="s">
        <v>103</v>
      </c>
      <c r="B66" t="s">
        <v>355</v>
      </c>
      <c r="C66" t="s">
        <v>3185</v>
      </c>
      <c r="D66" t="s">
        <v>3067</v>
      </c>
      <c r="E66" t="s">
        <v>2924</v>
      </c>
      <c r="F66" t="s">
        <v>3186</v>
      </c>
      <c r="G66" t="s">
        <v>3021</v>
      </c>
      <c r="H66" t="s">
        <v>2904</v>
      </c>
      <c r="I66" t="s">
        <v>2897</v>
      </c>
      <c r="J66" t="s">
        <v>3187</v>
      </c>
    </row>
    <row r="67" spans="1:10" x14ac:dyDescent="0.2">
      <c r="A67" t="s">
        <v>103</v>
      </c>
      <c r="B67" t="s">
        <v>355</v>
      </c>
      <c r="C67" t="s">
        <v>356</v>
      </c>
      <c r="D67" t="s">
        <v>3188</v>
      </c>
      <c r="E67" t="s">
        <v>2893</v>
      </c>
      <c r="F67" t="s">
        <v>3046</v>
      </c>
      <c r="G67" t="s">
        <v>3135</v>
      </c>
      <c r="H67" t="s">
        <v>2896</v>
      </c>
      <c r="I67" t="s">
        <v>2959</v>
      </c>
      <c r="J67" t="s">
        <v>3189</v>
      </c>
    </row>
    <row r="68" spans="1:10" x14ac:dyDescent="0.2">
      <c r="A68" t="s">
        <v>103</v>
      </c>
      <c r="B68" t="s">
        <v>384</v>
      </c>
      <c r="C68" t="s">
        <v>385</v>
      </c>
      <c r="D68" t="s">
        <v>3190</v>
      </c>
      <c r="E68" t="s">
        <v>3191</v>
      </c>
      <c r="F68" t="s">
        <v>3192</v>
      </c>
      <c r="G68" t="s">
        <v>3193</v>
      </c>
      <c r="H68" t="s">
        <v>2896</v>
      </c>
      <c r="I68" t="s">
        <v>3032</v>
      </c>
      <c r="J68" t="s">
        <v>3194</v>
      </c>
    </row>
    <row r="69" spans="1:10" x14ac:dyDescent="0.2">
      <c r="A69" t="s">
        <v>103</v>
      </c>
      <c r="B69" t="s">
        <v>221</v>
      </c>
      <c r="C69" t="s">
        <v>389</v>
      </c>
      <c r="D69" t="s">
        <v>3195</v>
      </c>
      <c r="E69" t="s">
        <v>3196</v>
      </c>
      <c r="F69" t="s">
        <v>3197</v>
      </c>
      <c r="G69" t="s">
        <v>3198</v>
      </c>
      <c r="H69" t="s">
        <v>2904</v>
      </c>
      <c r="I69" t="s">
        <v>2897</v>
      </c>
      <c r="J69" t="s">
        <v>3199</v>
      </c>
    </row>
    <row r="70" spans="1:10" x14ac:dyDescent="0.2">
      <c r="A70" t="s">
        <v>103</v>
      </c>
      <c r="B70" t="s">
        <v>363</v>
      </c>
      <c r="C70" t="s">
        <v>364</v>
      </c>
      <c r="D70" t="s">
        <v>3200</v>
      </c>
      <c r="E70" t="s">
        <v>3201</v>
      </c>
      <c r="F70" t="s">
        <v>3110</v>
      </c>
      <c r="G70" t="s">
        <v>2979</v>
      </c>
      <c r="H70" t="s">
        <v>2904</v>
      </c>
      <c r="I70" t="s">
        <v>2959</v>
      </c>
      <c r="J70" t="s">
        <v>3202</v>
      </c>
    </row>
    <row r="71" spans="1:10" x14ac:dyDescent="0.2">
      <c r="A71" t="s">
        <v>103</v>
      </c>
      <c r="B71" t="s">
        <v>3203</v>
      </c>
      <c r="C71" t="s">
        <v>3204</v>
      </c>
      <c r="D71" t="s">
        <v>3205</v>
      </c>
      <c r="E71" t="s">
        <v>3206</v>
      </c>
      <c r="F71" t="s">
        <v>3179</v>
      </c>
      <c r="G71" t="s">
        <v>3136</v>
      </c>
      <c r="H71" t="s">
        <v>2896</v>
      </c>
      <c r="I71" t="s">
        <v>2897</v>
      </c>
      <c r="J71" t="s">
        <v>3207</v>
      </c>
    </row>
    <row r="72" spans="1:10" x14ac:dyDescent="0.2">
      <c r="A72" t="s">
        <v>66</v>
      </c>
      <c r="B72" t="s">
        <v>554</v>
      </c>
      <c r="C72" t="s">
        <v>555</v>
      </c>
      <c r="D72" t="s">
        <v>3208</v>
      </c>
      <c r="E72" t="s">
        <v>2907</v>
      </c>
      <c r="F72" t="s">
        <v>2908</v>
      </c>
      <c r="G72" t="s">
        <v>3209</v>
      </c>
      <c r="H72" t="s">
        <v>2904</v>
      </c>
      <c r="I72" t="s">
        <v>2897</v>
      </c>
      <c r="J72" t="s">
        <v>3210</v>
      </c>
    </row>
    <row r="73" spans="1:10" x14ac:dyDescent="0.2">
      <c r="A73" t="s">
        <v>66</v>
      </c>
      <c r="B73" t="s">
        <v>554</v>
      </c>
      <c r="C73" t="s">
        <v>570</v>
      </c>
      <c r="D73" t="s">
        <v>3211</v>
      </c>
      <c r="E73" t="s">
        <v>3212</v>
      </c>
      <c r="F73" t="s">
        <v>2931</v>
      </c>
      <c r="G73" t="s">
        <v>3003</v>
      </c>
      <c r="H73" t="s">
        <v>2904</v>
      </c>
      <c r="I73" t="s">
        <v>2959</v>
      </c>
      <c r="J73" t="s">
        <v>3213</v>
      </c>
    </row>
    <row r="74" spans="1:10" x14ac:dyDescent="0.2">
      <c r="A74" t="s">
        <v>66</v>
      </c>
      <c r="B74" t="s">
        <v>516</v>
      </c>
      <c r="C74" t="s">
        <v>517</v>
      </c>
      <c r="D74" t="s">
        <v>3214</v>
      </c>
      <c r="E74" t="s">
        <v>3215</v>
      </c>
      <c r="F74" t="s">
        <v>2925</v>
      </c>
      <c r="G74" t="s">
        <v>2893</v>
      </c>
      <c r="H74" t="s">
        <v>2896</v>
      </c>
      <c r="I74" t="s">
        <v>2897</v>
      </c>
      <c r="J74" t="s">
        <v>3216</v>
      </c>
    </row>
    <row r="75" spans="1:10" x14ac:dyDescent="0.2">
      <c r="A75" t="s">
        <v>66</v>
      </c>
      <c r="B75" t="s">
        <v>516</v>
      </c>
      <c r="C75" t="s">
        <v>511</v>
      </c>
      <c r="D75" t="s">
        <v>3217</v>
      </c>
      <c r="E75" t="s">
        <v>3218</v>
      </c>
      <c r="F75" t="s">
        <v>3219</v>
      </c>
      <c r="G75" t="s">
        <v>3220</v>
      </c>
      <c r="H75" t="s">
        <v>2904</v>
      </c>
      <c r="I75" t="s">
        <v>2897</v>
      </c>
      <c r="J75" t="s">
        <v>3221</v>
      </c>
    </row>
    <row r="76" spans="1:10" x14ac:dyDescent="0.2">
      <c r="A76" t="s">
        <v>66</v>
      </c>
      <c r="B76" t="s">
        <v>181</v>
      </c>
      <c r="C76" t="s">
        <v>560</v>
      </c>
      <c r="D76" t="s">
        <v>3222</v>
      </c>
      <c r="E76" t="s">
        <v>3223</v>
      </c>
      <c r="F76" t="s">
        <v>3224</v>
      </c>
      <c r="G76" t="s">
        <v>3225</v>
      </c>
      <c r="H76" t="s">
        <v>2904</v>
      </c>
      <c r="I76" t="s">
        <v>2910</v>
      </c>
      <c r="J76" t="s">
        <v>3226</v>
      </c>
    </row>
    <row r="77" spans="1:10" x14ac:dyDescent="0.2">
      <c r="A77" t="s">
        <v>66</v>
      </c>
      <c r="B77" t="s">
        <v>181</v>
      </c>
      <c r="C77" t="s">
        <v>2899</v>
      </c>
      <c r="D77" t="s">
        <v>3227</v>
      </c>
      <c r="E77" t="s">
        <v>3228</v>
      </c>
      <c r="F77" t="s">
        <v>3003</v>
      </c>
      <c r="G77" t="s">
        <v>2915</v>
      </c>
      <c r="H77" t="s">
        <v>2904</v>
      </c>
      <c r="I77" t="s">
        <v>2921</v>
      </c>
      <c r="J77" t="s">
        <v>3229</v>
      </c>
    </row>
    <row r="78" spans="1:10" x14ac:dyDescent="0.2">
      <c r="A78" t="s">
        <v>66</v>
      </c>
      <c r="B78" t="s">
        <v>525</v>
      </c>
      <c r="C78" t="s">
        <v>526</v>
      </c>
      <c r="D78" t="s">
        <v>3230</v>
      </c>
      <c r="E78" t="s">
        <v>2932</v>
      </c>
      <c r="F78" t="s">
        <v>3117</v>
      </c>
      <c r="G78" t="s">
        <v>3110</v>
      </c>
      <c r="H78" t="s">
        <v>2896</v>
      </c>
      <c r="I78" t="s">
        <v>3231</v>
      </c>
      <c r="J78" t="s">
        <v>3232</v>
      </c>
    </row>
    <row r="79" spans="1:10" x14ac:dyDescent="0.2">
      <c r="A79" t="s">
        <v>66</v>
      </c>
      <c r="B79" t="s">
        <v>525</v>
      </c>
      <c r="C79" t="s">
        <v>575</v>
      </c>
      <c r="D79" t="s">
        <v>3233</v>
      </c>
      <c r="E79" t="s">
        <v>3234</v>
      </c>
      <c r="F79" t="s">
        <v>3178</v>
      </c>
      <c r="G79" t="s">
        <v>3169</v>
      </c>
      <c r="H79" t="s">
        <v>2896</v>
      </c>
      <c r="I79" t="s">
        <v>3032</v>
      </c>
      <c r="J79" t="s">
        <v>3235</v>
      </c>
    </row>
    <row r="80" spans="1:10" x14ac:dyDescent="0.2">
      <c r="A80" t="s">
        <v>66</v>
      </c>
      <c r="B80" t="s">
        <v>328</v>
      </c>
      <c r="C80" t="s">
        <v>532</v>
      </c>
      <c r="D80" t="s">
        <v>3236</v>
      </c>
      <c r="E80" t="s">
        <v>2930</v>
      </c>
      <c r="F80" t="s">
        <v>2913</v>
      </c>
      <c r="G80" t="s">
        <v>3003</v>
      </c>
      <c r="H80" t="s">
        <v>2904</v>
      </c>
      <c r="I80" t="s">
        <v>2910</v>
      </c>
      <c r="J80" t="s">
        <v>3237</v>
      </c>
    </row>
    <row r="81" spans="1:10" x14ac:dyDescent="0.2">
      <c r="A81" t="s">
        <v>66</v>
      </c>
      <c r="B81" t="s">
        <v>166</v>
      </c>
      <c r="C81" t="s">
        <v>564</v>
      </c>
      <c r="D81" t="s">
        <v>3238</v>
      </c>
      <c r="E81" t="s">
        <v>3239</v>
      </c>
      <c r="F81" t="s">
        <v>3240</v>
      </c>
      <c r="G81" t="s">
        <v>2932</v>
      </c>
      <c r="H81" t="s">
        <v>2904</v>
      </c>
      <c r="I81" t="s">
        <v>2897</v>
      </c>
      <c r="J81" t="s">
        <v>3241</v>
      </c>
    </row>
    <row r="82" spans="1:10" x14ac:dyDescent="0.2">
      <c r="A82" t="s">
        <v>66</v>
      </c>
      <c r="B82" t="s">
        <v>540</v>
      </c>
      <c r="C82" t="s">
        <v>197</v>
      </c>
      <c r="D82" t="s">
        <v>3242</v>
      </c>
      <c r="E82" t="s">
        <v>3243</v>
      </c>
      <c r="F82" t="s">
        <v>3244</v>
      </c>
      <c r="G82" t="s">
        <v>2915</v>
      </c>
      <c r="H82" t="s">
        <v>2904</v>
      </c>
      <c r="I82" t="s">
        <v>2910</v>
      </c>
      <c r="J82" t="s">
        <v>3245</v>
      </c>
    </row>
    <row r="83" spans="1:10" x14ac:dyDescent="0.2">
      <c r="A83" t="s">
        <v>66</v>
      </c>
      <c r="B83" t="s">
        <v>547</v>
      </c>
      <c r="C83" t="s">
        <v>548</v>
      </c>
      <c r="D83" t="s">
        <v>3246</v>
      </c>
      <c r="E83" t="s">
        <v>3247</v>
      </c>
      <c r="F83" t="s">
        <v>2931</v>
      </c>
      <c r="G83" t="s">
        <v>3003</v>
      </c>
      <c r="H83" t="s">
        <v>2904</v>
      </c>
      <c r="I83" t="s">
        <v>2897</v>
      </c>
      <c r="J83" t="s">
        <v>3248</v>
      </c>
    </row>
    <row r="84" spans="1:10" x14ac:dyDescent="0.2">
      <c r="A84" t="s">
        <v>75</v>
      </c>
      <c r="B84" t="s">
        <v>595</v>
      </c>
      <c r="C84" t="s">
        <v>680</v>
      </c>
      <c r="D84" t="s">
        <v>3249</v>
      </c>
      <c r="E84" t="s">
        <v>3101</v>
      </c>
      <c r="F84" t="s">
        <v>3046</v>
      </c>
      <c r="G84" t="s">
        <v>3015</v>
      </c>
      <c r="H84" t="s">
        <v>2896</v>
      </c>
      <c r="I84" t="s">
        <v>2897</v>
      </c>
      <c r="J84" t="s">
        <v>3250</v>
      </c>
    </row>
    <row r="85" spans="1:10" x14ac:dyDescent="0.2">
      <c r="A85" t="s">
        <v>75</v>
      </c>
      <c r="B85" t="s">
        <v>595</v>
      </c>
      <c r="C85" t="s">
        <v>431</v>
      </c>
      <c r="D85" t="s">
        <v>3251</v>
      </c>
      <c r="E85" t="s">
        <v>3252</v>
      </c>
      <c r="F85" t="s">
        <v>3253</v>
      </c>
      <c r="G85" t="s">
        <v>3254</v>
      </c>
      <c r="H85" t="s">
        <v>2896</v>
      </c>
      <c r="I85" t="s">
        <v>2959</v>
      </c>
      <c r="J85" t="s">
        <v>3255</v>
      </c>
    </row>
    <row r="86" spans="1:10" x14ac:dyDescent="0.2">
      <c r="A86" t="s">
        <v>75</v>
      </c>
      <c r="B86" t="s">
        <v>595</v>
      </c>
      <c r="C86" t="s">
        <v>3256</v>
      </c>
      <c r="D86" t="s">
        <v>3257</v>
      </c>
      <c r="E86" t="s">
        <v>3258</v>
      </c>
      <c r="F86" t="s">
        <v>3106</v>
      </c>
      <c r="G86" t="s">
        <v>3259</v>
      </c>
      <c r="H86" t="s">
        <v>2904</v>
      </c>
      <c r="I86" t="s">
        <v>2897</v>
      </c>
      <c r="J86" t="s">
        <v>3260</v>
      </c>
    </row>
    <row r="87" spans="1:10" x14ac:dyDescent="0.2">
      <c r="A87" t="s">
        <v>75</v>
      </c>
      <c r="B87" t="s">
        <v>328</v>
      </c>
      <c r="C87" t="s">
        <v>686</v>
      </c>
      <c r="D87" t="s">
        <v>3261</v>
      </c>
      <c r="E87" t="s">
        <v>3262</v>
      </c>
      <c r="F87" t="s">
        <v>3263</v>
      </c>
      <c r="G87" t="s">
        <v>3264</v>
      </c>
      <c r="H87" t="s">
        <v>2904</v>
      </c>
      <c r="I87" t="s">
        <v>2910</v>
      </c>
      <c r="J87" t="s">
        <v>3265</v>
      </c>
    </row>
    <row r="88" spans="1:10" x14ac:dyDescent="0.2">
      <c r="A88" t="s">
        <v>75</v>
      </c>
      <c r="B88" t="s">
        <v>328</v>
      </c>
      <c r="C88" t="s">
        <v>329</v>
      </c>
      <c r="D88" t="s">
        <v>3266</v>
      </c>
      <c r="E88" t="s">
        <v>3267</v>
      </c>
      <c r="F88" t="s">
        <v>3268</v>
      </c>
      <c r="G88" t="s">
        <v>3269</v>
      </c>
      <c r="H88" t="s">
        <v>2896</v>
      </c>
      <c r="I88" t="s">
        <v>2959</v>
      </c>
      <c r="J88" t="s">
        <v>3270</v>
      </c>
    </row>
    <row r="89" spans="1:10" x14ac:dyDescent="0.2">
      <c r="A89" t="s">
        <v>75</v>
      </c>
      <c r="B89" t="s">
        <v>125</v>
      </c>
      <c r="C89" t="s">
        <v>709</v>
      </c>
      <c r="D89" t="s">
        <v>3271</v>
      </c>
      <c r="E89" t="s">
        <v>3045</v>
      </c>
      <c r="F89" t="s">
        <v>3272</v>
      </c>
      <c r="G89" t="s">
        <v>3273</v>
      </c>
      <c r="H89" t="s">
        <v>2896</v>
      </c>
      <c r="I89" t="s">
        <v>2897</v>
      </c>
      <c r="J89" t="s">
        <v>3274</v>
      </c>
    </row>
    <row r="90" spans="1:10" x14ac:dyDescent="0.2">
      <c r="A90" t="s">
        <v>75</v>
      </c>
      <c r="B90" t="s">
        <v>692</v>
      </c>
      <c r="C90" t="s">
        <v>3275</v>
      </c>
      <c r="D90" t="s">
        <v>3276</v>
      </c>
      <c r="E90" t="s">
        <v>3277</v>
      </c>
      <c r="F90" t="s">
        <v>3278</v>
      </c>
      <c r="G90" t="s">
        <v>3279</v>
      </c>
      <c r="H90" t="s">
        <v>2904</v>
      </c>
      <c r="I90" t="s">
        <v>3032</v>
      </c>
      <c r="J90" t="s">
        <v>3280</v>
      </c>
    </row>
    <row r="91" spans="1:10" x14ac:dyDescent="0.2">
      <c r="A91" t="s">
        <v>75</v>
      </c>
      <c r="B91" t="s">
        <v>692</v>
      </c>
      <c r="C91" t="s">
        <v>693</v>
      </c>
      <c r="D91" t="s">
        <v>3281</v>
      </c>
      <c r="E91" t="s">
        <v>3228</v>
      </c>
      <c r="F91" t="s">
        <v>3282</v>
      </c>
      <c r="G91" t="s">
        <v>2930</v>
      </c>
      <c r="H91" t="s">
        <v>2904</v>
      </c>
      <c r="I91" t="s">
        <v>2910</v>
      </c>
      <c r="J91" t="s">
        <v>3283</v>
      </c>
    </row>
    <row r="92" spans="1:10" x14ac:dyDescent="0.2">
      <c r="A92" t="s">
        <v>75</v>
      </c>
      <c r="B92" t="s">
        <v>158</v>
      </c>
      <c r="C92" t="s">
        <v>698</v>
      </c>
      <c r="D92" t="s">
        <v>3284</v>
      </c>
      <c r="E92" t="s">
        <v>3285</v>
      </c>
      <c r="F92" t="s">
        <v>3172</v>
      </c>
      <c r="G92" t="s">
        <v>3016</v>
      </c>
      <c r="H92" t="s">
        <v>2896</v>
      </c>
      <c r="I92" t="s">
        <v>3231</v>
      </c>
      <c r="J92" t="s">
        <v>3286</v>
      </c>
    </row>
    <row r="93" spans="1:10" x14ac:dyDescent="0.2">
      <c r="A93" t="s">
        <v>75</v>
      </c>
      <c r="B93" t="s">
        <v>166</v>
      </c>
      <c r="C93" t="s">
        <v>167</v>
      </c>
      <c r="D93" t="s">
        <v>3287</v>
      </c>
      <c r="E93" t="s">
        <v>3288</v>
      </c>
      <c r="F93" t="s">
        <v>2958</v>
      </c>
      <c r="G93" t="s">
        <v>3006</v>
      </c>
      <c r="H93" t="s">
        <v>2904</v>
      </c>
      <c r="I93" t="s">
        <v>2897</v>
      </c>
      <c r="J93" t="s">
        <v>3289</v>
      </c>
    </row>
    <row r="94" spans="1:10" x14ac:dyDescent="0.2">
      <c r="A94" t="s">
        <v>75</v>
      </c>
      <c r="B94" t="s">
        <v>464</v>
      </c>
      <c r="C94" t="s">
        <v>3290</v>
      </c>
      <c r="D94" t="s">
        <v>3291</v>
      </c>
      <c r="E94" t="s">
        <v>3006</v>
      </c>
      <c r="F94" t="s">
        <v>3292</v>
      </c>
      <c r="G94" t="s">
        <v>3110</v>
      </c>
      <c r="H94" t="s">
        <v>2904</v>
      </c>
      <c r="I94" t="s">
        <v>2897</v>
      </c>
      <c r="J94" t="s">
        <v>3293</v>
      </c>
    </row>
    <row r="95" spans="1:10" x14ac:dyDescent="0.2">
      <c r="A95" t="s">
        <v>75</v>
      </c>
      <c r="B95" t="s">
        <v>722</v>
      </c>
      <c r="C95" t="s">
        <v>3294</v>
      </c>
      <c r="D95" t="s">
        <v>3295</v>
      </c>
      <c r="E95" t="s">
        <v>3296</v>
      </c>
      <c r="F95" t="s">
        <v>3297</v>
      </c>
      <c r="G95" t="s">
        <v>2973</v>
      </c>
      <c r="H95" t="s">
        <v>2904</v>
      </c>
      <c r="I95" t="s">
        <v>2910</v>
      </c>
      <c r="J95" t="s">
        <v>3298</v>
      </c>
    </row>
    <row r="96" spans="1:10" x14ac:dyDescent="0.2">
      <c r="A96" t="s">
        <v>81</v>
      </c>
      <c r="B96" t="s">
        <v>580</v>
      </c>
      <c r="C96" t="s">
        <v>3299</v>
      </c>
      <c r="D96" t="s">
        <v>3300</v>
      </c>
      <c r="E96" t="s">
        <v>3301</v>
      </c>
      <c r="F96" t="s">
        <v>3302</v>
      </c>
      <c r="G96" t="s">
        <v>3303</v>
      </c>
      <c r="H96" t="s">
        <v>2904</v>
      </c>
      <c r="I96" t="s">
        <v>2959</v>
      </c>
      <c r="J96" t="s">
        <v>3304</v>
      </c>
    </row>
    <row r="97" spans="1:10" x14ac:dyDescent="0.2">
      <c r="A97" t="s">
        <v>81</v>
      </c>
      <c r="B97" t="s">
        <v>580</v>
      </c>
      <c r="C97" t="s">
        <v>608</v>
      </c>
      <c r="D97" t="s">
        <v>3305</v>
      </c>
      <c r="E97" t="s">
        <v>3306</v>
      </c>
      <c r="F97" t="s">
        <v>3307</v>
      </c>
      <c r="G97" t="s">
        <v>3308</v>
      </c>
      <c r="H97" t="s">
        <v>2904</v>
      </c>
      <c r="I97" t="s">
        <v>2897</v>
      </c>
      <c r="J97" t="s">
        <v>3309</v>
      </c>
    </row>
    <row r="98" spans="1:10" x14ac:dyDescent="0.2">
      <c r="A98" t="s">
        <v>81</v>
      </c>
      <c r="B98" t="s">
        <v>587</v>
      </c>
      <c r="C98" t="s">
        <v>614</v>
      </c>
      <c r="D98" t="s">
        <v>3310</v>
      </c>
      <c r="E98" t="s">
        <v>3311</v>
      </c>
      <c r="F98" t="s">
        <v>3312</v>
      </c>
      <c r="G98" t="s">
        <v>3313</v>
      </c>
      <c r="H98" t="s">
        <v>2904</v>
      </c>
      <c r="I98" t="s">
        <v>3032</v>
      </c>
      <c r="J98" t="s">
        <v>3314</v>
      </c>
    </row>
    <row r="99" spans="1:10" x14ac:dyDescent="0.2">
      <c r="A99" t="s">
        <v>81</v>
      </c>
      <c r="B99" t="s">
        <v>587</v>
      </c>
      <c r="C99" t="s">
        <v>588</v>
      </c>
      <c r="D99" t="s">
        <v>3315</v>
      </c>
      <c r="E99" t="s">
        <v>3316</v>
      </c>
      <c r="F99" t="s">
        <v>3317</v>
      </c>
      <c r="G99" t="s">
        <v>3318</v>
      </c>
      <c r="H99" t="s">
        <v>2896</v>
      </c>
      <c r="I99" t="s">
        <v>2959</v>
      </c>
      <c r="J99" t="s">
        <v>3319</v>
      </c>
    </row>
    <row r="100" spans="1:10" x14ac:dyDescent="0.2">
      <c r="A100" t="s">
        <v>81</v>
      </c>
      <c r="B100" t="s">
        <v>587</v>
      </c>
      <c r="C100" t="s">
        <v>588</v>
      </c>
      <c r="D100" t="s">
        <v>3320</v>
      </c>
      <c r="E100" t="s">
        <v>3321</v>
      </c>
      <c r="F100" t="s">
        <v>3322</v>
      </c>
      <c r="G100" t="s">
        <v>3323</v>
      </c>
      <c r="H100" t="s">
        <v>2904</v>
      </c>
      <c r="I100" t="s">
        <v>2897</v>
      </c>
      <c r="J100" t="s">
        <v>3324</v>
      </c>
    </row>
    <row r="101" spans="1:10" x14ac:dyDescent="0.2">
      <c r="A101" t="s">
        <v>81</v>
      </c>
      <c r="B101" t="s">
        <v>595</v>
      </c>
      <c r="C101" t="s">
        <v>431</v>
      </c>
      <c r="D101" t="s">
        <v>3325</v>
      </c>
      <c r="E101" t="s">
        <v>3326</v>
      </c>
      <c r="F101" t="s">
        <v>3327</v>
      </c>
      <c r="G101" t="s">
        <v>3328</v>
      </c>
      <c r="H101" t="s">
        <v>2904</v>
      </c>
      <c r="I101" t="s">
        <v>2959</v>
      </c>
      <c r="J101" t="s">
        <v>3329</v>
      </c>
    </row>
    <row r="102" spans="1:10" x14ac:dyDescent="0.2">
      <c r="A102" t="s">
        <v>81</v>
      </c>
      <c r="B102" t="s">
        <v>595</v>
      </c>
      <c r="C102" t="s">
        <v>158</v>
      </c>
      <c r="D102" t="s">
        <v>3330</v>
      </c>
      <c r="E102" t="s">
        <v>3331</v>
      </c>
      <c r="F102" t="s">
        <v>3332</v>
      </c>
      <c r="G102" t="s">
        <v>3333</v>
      </c>
      <c r="H102" t="s">
        <v>2904</v>
      </c>
      <c r="I102" t="s">
        <v>2897</v>
      </c>
      <c r="J102" t="s">
        <v>3334</v>
      </c>
    </row>
    <row r="103" spans="1:10" x14ac:dyDescent="0.2">
      <c r="A103" t="s">
        <v>81</v>
      </c>
      <c r="B103" t="s">
        <v>595</v>
      </c>
      <c r="C103" t="s">
        <v>3256</v>
      </c>
      <c r="D103" t="s">
        <v>3335</v>
      </c>
      <c r="E103" t="s">
        <v>3336</v>
      </c>
      <c r="F103" t="s">
        <v>3337</v>
      </c>
      <c r="G103" t="s">
        <v>3338</v>
      </c>
      <c r="H103" t="s">
        <v>2904</v>
      </c>
      <c r="I103" t="s">
        <v>2959</v>
      </c>
      <c r="J103" t="s">
        <v>3339</v>
      </c>
    </row>
    <row r="104" spans="1:10" x14ac:dyDescent="0.2">
      <c r="A104" t="s">
        <v>81</v>
      </c>
      <c r="B104" t="s">
        <v>504</v>
      </c>
      <c r="C104" t="s">
        <v>547</v>
      </c>
      <c r="D104" t="s">
        <v>3340</v>
      </c>
      <c r="E104" t="s">
        <v>3341</v>
      </c>
      <c r="F104" t="s">
        <v>3342</v>
      </c>
      <c r="G104" t="s">
        <v>3343</v>
      </c>
      <c r="H104" t="s">
        <v>2904</v>
      </c>
      <c r="I104" t="s">
        <v>2897</v>
      </c>
      <c r="J104" t="s">
        <v>3344</v>
      </c>
    </row>
    <row r="105" spans="1:10" x14ac:dyDescent="0.2">
      <c r="A105" t="s">
        <v>81</v>
      </c>
      <c r="B105" t="s">
        <v>504</v>
      </c>
      <c r="C105" t="s">
        <v>599</v>
      </c>
      <c r="D105" t="s">
        <v>3345</v>
      </c>
      <c r="E105" t="s">
        <v>3346</v>
      </c>
      <c r="F105" t="s">
        <v>3347</v>
      </c>
      <c r="G105" t="s">
        <v>3348</v>
      </c>
      <c r="H105" t="s">
        <v>2896</v>
      </c>
      <c r="I105" t="s">
        <v>3032</v>
      </c>
      <c r="J105" t="s">
        <v>3349</v>
      </c>
    </row>
    <row r="106" spans="1:10" x14ac:dyDescent="0.2">
      <c r="A106" t="s">
        <v>81</v>
      </c>
      <c r="B106" t="s">
        <v>135</v>
      </c>
      <c r="C106" t="s">
        <v>197</v>
      </c>
      <c r="D106" t="s">
        <v>3350</v>
      </c>
      <c r="E106" t="s">
        <v>3351</v>
      </c>
      <c r="F106" t="s">
        <v>3352</v>
      </c>
      <c r="G106" t="s">
        <v>3353</v>
      </c>
      <c r="H106" t="s">
        <v>2896</v>
      </c>
      <c r="I106" t="s">
        <v>2897</v>
      </c>
      <c r="J106" t="s">
        <v>3354</v>
      </c>
    </row>
    <row r="107" spans="1:10" x14ac:dyDescent="0.2">
      <c r="A107" t="s">
        <v>81</v>
      </c>
      <c r="B107" t="s">
        <v>166</v>
      </c>
      <c r="C107" t="s">
        <v>626</v>
      </c>
      <c r="D107" t="s">
        <v>3355</v>
      </c>
      <c r="E107" t="s">
        <v>3356</v>
      </c>
      <c r="F107" t="s">
        <v>3357</v>
      </c>
      <c r="G107" t="s">
        <v>3358</v>
      </c>
      <c r="H107" t="s">
        <v>2896</v>
      </c>
      <c r="I107" t="s">
        <v>2959</v>
      </c>
      <c r="J107" t="s">
        <v>3359</v>
      </c>
    </row>
    <row r="108" spans="1:10" x14ac:dyDescent="0.2">
      <c r="A108" t="s">
        <v>29</v>
      </c>
      <c r="B108" t="s">
        <v>437</v>
      </c>
      <c r="C108" t="s">
        <v>669</v>
      </c>
      <c r="D108" t="s">
        <v>3360</v>
      </c>
      <c r="E108" t="s">
        <v>2930</v>
      </c>
      <c r="F108" t="s">
        <v>2915</v>
      </c>
      <c r="G108" t="s">
        <v>2932</v>
      </c>
      <c r="H108" t="s">
        <v>2904</v>
      </c>
      <c r="I108" t="s">
        <v>2897</v>
      </c>
      <c r="J108" t="s">
        <v>3361</v>
      </c>
    </row>
    <row r="109" spans="1:10" x14ac:dyDescent="0.2">
      <c r="A109" t="s">
        <v>29</v>
      </c>
      <c r="B109" t="s">
        <v>437</v>
      </c>
      <c r="C109" t="s">
        <v>3362</v>
      </c>
      <c r="D109" t="s">
        <v>3363</v>
      </c>
      <c r="E109" t="s">
        <v>3364</v>
      </c>
      <c r="F109" t="s">
        <v>2994</v>
      </c>
      <c r="G109" t="s">
        <v>3365</v>
      </c>
      <c r="H109" t="s">
        <v>2896</v>
      </c>
      <c r="I109" t="s">
        <v>2959</v>
      </c>
      <c r="J109" t="s">
        <v>3366</v>
      </c>
    </row>
    <row r="110" spans="1:10" x14ac:dyDescent="0.2">
      <c r="A110" t="s">
        <v>29</v>
      </c>
      <c r="B110" t="s">
        <v>664</v>
      </c>
      <c r="C110" t="s">
        <v>674</v>
      </c>
      <c r="D110" t="s">
        <v>3367</v>
      </c>
      <c r="E110" t="s">
        <v>3368</v>
      </c>
      <c r="F110" t="s">
        <v>3369</v>
      </c>
      <c r="G110" t="s">
        <v>3370</v>
      </c>
      <c r="H110" t="s">
        <v>2904</v>
      </c>
      <c r="I110" t="s">
        <v>2897</v>
      </c>
      <c r="J110" t="s">
        <v>3371</v>
      </c>
    </row>
    <row r="111" spans="1:10" x14ac:dyDescent="0.2">
      <c r="A111" t="s">
        <v>29</v>
      </c>
      <c r="B111" t="s">
        <v>664</v>
      </c>
      <c r="C111" t="s">
        <v>3372</v>
      </c>
      <c r="D111" t="s">
        <v>3373</v>
      </c>
      <c r="E111" t="s">
        <v>3374</v>
      </c>
      <c r="F111" t="s">
        <v>3375</v>
      </c>
      <c r="G111" t="s">
        <v>3376</v>
      </c>
      <c r="H111" t="s">
        <v>2904</v>
      </c>
      <c r="I111" t="s">
        <v>2959</v>
      </c>
      <c r="J111" t="s">
        <v>3377</v>
      </c>
    </row>
    <row r="112" spans="1:10" x14ac:dyDescent="0.2">
      <c r="A112" t="s">
        <v>29</v>
      </c>
      <c r="B112" t="s">
        <v>629</v>
      </c>
      <c r="C112" t="s">
        <v>3378</v>
      </c>
      <c r="D112" t="s">
        <v>3379</v>
      </c>
      <c r="E112" t="s">
        <v>2893</v>
      </c>
      <c r="F112" t="s">
        <v>3135</v>
      </c>
      <c r="G112" t="s">
        <v>3273</v>
      </c>
      <c r="H112" t="s">
        <v>2896</v>
      </c>
      <c r="I112" t="s">
        <v>3032</v>
      </c>
      <c r="J112" t="s">
        <v>3380</v>
      </c>
    </row>
    <row r="113" spans="1:10" x14ac:dyDescent="0.2">
      <c r="A113" t="s">
        <v>29</v>
      </c>
      <c r="B113" t="s">
        <v>629</v>
      </c>
      <c r="C113" t="s">
        <v>3381</v>
      </c>
      <c r="D113" t="s">
        <v>3382</v>
      </c>
      <c r="E113" t="s">
        <v>3383</v>
      </c>
      <c r="F113" t="s">
        <v>3384</v>
      </c>
      <c r="G113" t="s">
        <v>3385</v>
      </c>
      <c r="H113" t="s">
        <v>2896</v>
      </c>
      <c r="I113" t="s">
        <v>2959</v>
      </c>
      <c r="J113" t="s">
        <v>3386</v>
      </c>
    </row>
    <row r="114" spans="1:10" x14ac:dyDescent="0.2">
      <c r="A114" t="s">
        <v>29</v>
      </c>
      <c r="B114" t="s">
        <v>635</v>
      </c>
      <c r="C114" t="s">
        <v>636</v>
      </c>
      <c r="D114" t="s">
        <v>3387</v>
      </c>
      <c r="E114" t="s">
        <v>3243</v>
      </c>
      <c r="F114" t="s">
        <v>2914</v>
      </c>
      <c r="G114" t="s">
        <v>2913</v>
      </c>
      <c r="H114" t="s">
        <v>2904</v>
      </c>
      <c r="I114" t="s">
        <v>2897</v>
      </c>
      <c r="J114" t="s">
        <v>3388</v>
      </c>
    </row>
    <row r="115" spans="1:10" x14ac:dyDescent="0.2">
      <c r="A115" t="s">
        <v>29</v>
      </c>
      <c r="B115" t="s">
        <v>640</v>
      </c>
      <c r="C115" t="s">
        <v>641</v>
      </c>
      <c r="D115" t="s">
        <v>3389</v>
      </c>
      <c r="E115" t="s">
        <v>3390</v>
      </c>
      <c r="F115" t="s">
        <v>3391</v>
      </c>
      <c r="G115" t="s">
        <v>3392</v>
      </c>
      <c r="H115" t="s">
        <v>2904</v>
      </c>
      <c r="I115" t="s">
        <v>2897</v>
      </c>
      <c r="J115" t="s">
        <v>3393</v>
      </c>
    </row>
    <row r="116" spans="1:10" x14ac:dyDescent="0.2">
      <c r="A116" t="s">
        <v>29</v>
      </c>
      <c r="B116" t="s">
        <v>287</v>
      </c>
      <c r="C116" t="s">
        <v>646</v>
      </c>
      <c r="D116" t="s">
        <v>3394</v>
      </c>
      <c r="E116" t="s">
        <v>3395</v>
      </c>
      <c r="F116" t="s">
        <v>3396</v>
      </c>
      <c r="G116" t="s">
        <v>3397</v>
      </c>
      <c r="H116" t="s">
        <v>2904</v>
      </c>
      <c r="I116" t="s">
        <v>2959</v>
      </c>
      <c r="J116" t="s">
        <v>3398</v>
      </c>
    </row>
    <row r="117" spans="1:10" x14ac:dyDescent="0.2">
      <c r="A117" t="s">
        <v>29</v>
      </c>
      <c r="B117" t="s">
        <v>3399</v>
      </c>
      <c r="C117" t="s">
        <v>3400</v>
      </c>
      <c r="D117" t="s">
        <v>3401</v>
      </c>
      <c r="E117" t="s">
        <v>2996</v>
      </c>
      <c r="F117" t="s">
        <v>3258</v>
      </c>
      <c r="G117" t="s">
        <v>3020</v>
      </c>
      <c r="H117" t="s">
        <v>2904</v>
      </c>
      <c r="I117" t="s">
        <v>3032</v>
      </c>
      <c r="J117" t="s">
        <v>3402</v>
      </c>
    </row>
    <row r="118" spans="1:10" x14ac:dyDescent="0.2">
      <c r="A118" t="s">
        <v>29</v>
      </c>
      <c r="B118" t="s">
        <v>517</v>
      </c>
      <c r="C118" t="s">
        <v>3403</v>
      </c>
      <c r="D118" t="s">
        <v>3404</v>
      </c>
      <c r="E118" t="s">
        <v>3405</v>
      </c>
      <c r="F118" t="s">
        <v>3406</v>
      </c>
      <c r="G118" t="s">
        <v>3407</v>
      </c>
      <c r="H118" t="s">
        <v>2904</v>
      </c>
      <c r="I118" t="s">
        <v>2897</v>
      </c>
      <c r="J118" t="s">
        <v>3408</v>
      </c>
    </row>
    <row r="119" spans="1:10" x14ac:dyDescent="0.2">
      <c r="A119" t="s">
        <v>29</v>
      </c>
      <c r="B119" t="s">
        <v>655</v>
      </c>
      <c r="C119" t="s">
        <v>656</v>
      </c>
      <c r="D119" t="s">
        <v>3409</v>
      </c>
      <c r="E119" t="s">
        <v>3410</v>
      </c>
      <c r="F119" t="s">
        <v>3411</v>
      </c>
      <c r="G119" t="s">
        <v>3412</v>
      </c>
      <c r="H119" t="s">
        <v>2904</v>
      </c>
      <c r="I119" t="s">
        <v>2910</v>
      </c>
      <c r="J119" t="s">
        <v>3413</v>
      </c>
    </row>
    <row r="120" spans="1:10" x14ac:dyDescent="0.2">
      <c r="A120" t="s">
        <v>97</v>
      </c>
      <c r="B120" t="s">
        <v>250</v>
      </c>
      <c r="C120" t="s">
        <v>727</v>
      </c>
      <c r="D120" t="s">
        <v>3414</v>
      </c>
      <c r="E120" t="s">
        <v>3415</v>
      </c>
      <c r="F120" t="s">
        <v>3416</v>
      </c>
      <c r="G120" t="s">
        <v>3417</v>
      </c>
      <c r="H120" t="s">
        <v>2904</v>
      </c>
      <c r="I120" t="s">
        <v>2897</v>
      </c>
      <c r="J120" t="s">
        <v>3418</v>
      </c>
    </row>
    <row r="121" spans="1:10" x14ac:dyDescent="0.2">
      <c r="A121" t="s">
        <v>97</v>
      </c>
      <c r="B121" t="s">
        <v>250</v>
      </c>
      <c r="C121" t="s">
        <v>738</v>
      </c>
      <c r="D121" t="s">
        <v>3419</v>
      </c>
      <c r="E121" t="s">
        <v>3420</v>
      </c>
      <c r="F121" t="s">
        <v>3390</v>
      </c>
      <c r="G121" t="s">
        <v>3421</v>
      </c>
      <c r="H121" t="s">
        <v>2904</v>
      </c>
      <c r="I121" t="s">
        <v>2897</v>
      </c>
      <c r="J121" t="s">
        <v>3422</v>
      </c>
    </row>
    <row r="122" spans="1:10" x14ac:dyDescent="0.2">
      <c r="A122" t="s">
        <v>97</v>
      </c>
      <c r="B122" t="s">
        <v>250</v>
      </c>
      <c r="C122" t="s">
        <v>743</v>
      </c>
      <c r="D122" t="s">
        <v>3423</v>
      </c>
      <c r="E122" t="s">
        <v>3177</v>
      </c>
      <c r="F122" t="s">
        <v>3173</v>
      </c>
      <c r="G122" t="s">
        <v>3424</v>
      </c>
      <c r="H122" t="s">
        <v>2896</v>
      </c>
      <c r="I122" t="s">
        <v>2910</v>
      </c>
      <c r="J122" t="s">
        <v>3425</v>
      </c>
    </row>
    <row r="123" spans="1:10" x14ac:dyDescent="0.2">
      <c r="A123" t="s">
        <v>97</v>
      </c>
      <c r="B123" t="s">
        <v>250</v>
      </c>
      <c r="C123" t="s">
        <v>767</v>
      </c>
      <c r="D123" t="s">
        <v>3426</v>
      </c>
      <c r="E123" t="s">
        <v>3427</v>
      </c>
      <c r="F123" t="s">
        <v>2915</v>
      </c>
      <c r="G123" t="s">
        <v>3428</v>
      </c>
      <c r="H123" t="s">
        <v>2904</v>
      </c>
      <c r="I123" t="s">
        <v>2897</v>
      </c>
      <c r="J123" t="s">
        <v>3429</v>
      </c>
    </row>
    <row r="124" spans="1:10" x14ac:dyDescent="0.2">
      <c r="A124" t="s">
        <v>97</v>
      </c>
      <c r="B124" t="s">
        <v>204</v>
      </c>
      <c r="C124" t="s">
        <v>355</v>
      </c>
      <c r="D124" t="s">
        <v>3430</v>
      </c>
      <c r="E124" t="s">
        <v>3101</v>
      </c>
      <c r="F124" t="s">
        <v>3136</v>
      </c>
      <c r="G124" t="s">
        <v>3431</v>
      </c>
      <c r="H124" t="s">
        <v>2896</v>
      </c>
      <c r="I124" t="s">
        <v>2959</v>
      </c>
      <c r="J124" t="s">
        <v>3432</v>
      </c>
    </row>
    <row r="125" spans="1:10" x14ac:dyDescent="0.2">
      <c r="A125" t="s">
        <v>97</v>
      </c>
      <c r="B125" t="s">
        <v>204</v>
      </c>
      <c r="C125" t="s">
        <v>754</v>
      </c>
      <c r="D125" t="s">
        <v>3433</v>
      </c>
      <c r="E125" t="s">
        <v>3434</v>
      </c>
      <c r="F125" t="s">
        <v>2919</v>
      </c>
      <c r="G125" t="s">
        <v>3435</v>
      </c>
      <c r="H125" t="s">
        <v>2904</v>
      </c>
      <c r="I125" t="s">
        <v>2921</v>
      </c>
      <c r="J125" t="s">
        <v>3436</v>
      </c>
    </row>
    <row r="126" spans="1:10" x14ac:dyDescent="0.2">
      <c r="A126" t="s">
        <v>97</v>
      </c>
      <c r="B126" t="s">
        <v>204</v>
      </c>
      <c r="C126" t="s">
        <v>772</v>
      </c>
      <c r="D126" t="s">
        <v>3437</v>
      </c>
      <c r="E126" t="s">
        <v>3438</v>
      </c>
      <c r="F126" t="s">
        <v>3439</v>
      </c>
      <c r="G126" t="s">
        <v>3440</v>
      </c>
      <c r="H126" t="s">
        <v>2896</v>
      </c>
      <c r="I126" t="s">
        <v>2897</v>
      </c>
      <c r="J126" t="s">
        <v>3441</v>
      </c>
    </row>
    <row r="127" spans="1:10" x14ac:dyDescent="0.2">
      <c r="A127" t="s">
        <v>97</v>
      </c>
      <c r="B127" t="s">
        <v>761</v>
      </c>
      <c r="C127" t="s">
        <v>693</v>
      </c>
      <c r="D127" t="s">
        <v>3442</v>
      </c>
      <c r="E127" t="s">
        <v>3443</v>
      </c>
      <c r="F127" t="s">
        <v>2987</v>
      </c>
      <c r="G127" t="s">
        <v>3444</v>
      </c>
      <c r="H127" t="s">
        <v>2904</v>
      </c>
      <c r="I127" t="s">
        <v>2910</v>
      </c>
      <c r="J127" t="s">
        <v>3445</v>
      </c>
    </row>
    <row r="128" spans="1:10" x14ac:dyDescent="0.2">
      <c r="A128" t="s">
        <v>97</v>
      </c>
      <c r="B128" t="s">
        <v>437</v>
      </c>
      <c r="C128" t="s">
        <v>749</v>
      </c>
      <c r="D128" t="s">
        <v>3446</v>
      </c>
      <c r="E128" t="s">
        <v>3447</v>
      </c>
      <c r="F128" t="s">
        <v>3448</v>
      </c>
      <c r="G128" t="s">
        <v>3449</v>
      </c>
      <c r="H128" t="s">
        <v>2896</v>
      </c>
      <c r="I128" t="s">
        <v>3032</v>
      </c>
      <c r="J128" t="s">
        <v>3450</v>
      </c>
    </row>
    <row r="129" spans="1:10" x14ac:dyDescent="0.2">
      <c r="A129" t="s">
        <v>97</v>
      </c>
      <c r="B129" t="s">
        <v>437</v>
      </c>
      <c r="C129" t="s">
        <v>778</v>
      </c>
      <c r="D129" t="s">
        <v>3451</v>
      </c>
      <c r="E129" t="s">
        <v>2968</v>
      </c>
      <c r="F129" t="s">
        <v>3045</v>
      </c>
      <c r="G129" t="s">
        <v>3452</v>
      </c>
      <c r="H129" t="s">
        <v>2896</v>
      </c>
      <c r="I129" t="s">
        <v>2959</v>
      </c>
      <c r="J129" t="s">
        <v>3453</v>
      </c>
    </row>
    <row r="130" spans="1:10" x14ac:dyDescent="0.2">
      <c r="A130" t="s">
        <v>97</v>
      </c>
      <c r="B130" t="s">
        <v>250</v>
      </c>
      <c r="C130" t="s">
        <v>174</v>
      </c>
      <c r="D130" t="s">
        <v>3454</v>
      </c>
      <c r="E130" t="s">
        <v>3455</v>
      </c>
      <c r="F130" t="s">
        <v>3456</v>
      </c>
      <c r="G130" t="s">
        <v>3457</v>
      </c>
      <c r="H130" t="s">
        <v>2904</v>
      </c>
      <c r="I130" t="s">
        <v>2897</v>
      </c>
      <c r="J130" t="s">
        <v>3458</v>
      </c>
    </row>
    <row r="131" spans="1:10" x14ac:dyDescent="0.2">
      <c r="A131" t="s">
        <v>97</v>
      </c>
      <c r="B131" t="s">
        <v>204</v>
      </c>
      <c r="C131" t="s">
        <v>3459</v>
      </c>
      <c r="D131" t="s">
        <v>3460</v>
      </c>
      <c r="E131" t="s">
        <v>3461</v>
      </c>
      <c r="F131" t="s">
        <v>3462</v>
      </c>
      <c r="G131" t="s">
        <v>3463</v>
      </c>
      <c r="H131" t="s">
        <v>2896</v>
      </c>
      <c r="I131" t="s">
        <v>2959</v>
      </c>
      <c r="J131" t="s">
        <v>3464</v>
      </c>
    </row>
    <row r="132" spans="1:10" x14ac:dyDescent="0.2">
      <c r="A132" t="s">
        <v>78</v>
      </c>
      <c r="B132" t="s">
        <v>547</v>
      </c>
      <c r="C132" t="s">
        <v>182</v>
      </c>
      <c r="D132" t="s">
        <v>3465</v>
      </c>
      <c r="E132" t="s">
        <v>3110</v>
      </c>
      <c r="F132" t="s">
        <v>2930</v>
      </c>
      <c r="G132" t="s">
        <v>3282</v>
      </c>
      <c r="H132" t="s">
        <v>2904</v>
      </c>
      <c r="I132" t="s">
        <v>2897</v>
      </c>
      <c r="J132" t="s">
        <v>3466</v>
      </c>
    </row>
    <row r="133" spans="1:10" x14ac:dyDescent="0.2">
      <c r="A133" t="s">
        <v>78</v>
      </c>
      <c r="B133" t="s">
        <v>547</v>
      </c>
      <c r="C133" t="s">
        <v>3467</v>
      </c>
      <c r="D133" t="s">
        <v>3468</v>
      </c>
      <c r="E133" t="s">
        <v>3469</v>
      </c>
      <c r="F133" t="s">
        <v>3470</v>
      </c>
      <c r="G133" t="s">
        <v>3471</v>
      </c>
      <c r="H133" t="s">
        <v>2896</v>
      </c>
      <c r="I133" t="s">
        <v>2897</v>
      </c>
      <c r="J133" t="s">
        <v>3472</v>
      </c>
    </row>
    <row r="134" spans="1:10" x14ac:dyDescent="0.2">
      <c r="A134" t="s">
        <v>78</v>
      </c>
      <c r="B134" t="s">
        <v>125</v>
      </c>
      <c r="C134" t="s">
        <v>784</v>
      </c>
      <c r="D134" t="s">
        <v>3271</v>
      </c>
      <c r="E134" t="s">
        <v>3473</v>
      </c>
      <c r="F134" t="s">
        <v>3136</v>
      </c>
      <c r="G134" t="s">
        <v>3136</v>
      </c>
      <c r="H134" t="s">
        <v>2896</v>
      </c>
      <c r="I134" t="s">
        <v>2910</v>
      </c>
      <c r="J134" t="s">
        <v>3474</v>
      </c>
    </row>
    <row r="135" spans="1:10" x14ac:dyDescent="0.2">
      <c r="A135" t="s">
        <v>78</v>
      </c>
      <c r="B135" t="s">
        <v>125</v>
      </c>
      <c r="C135" t="s">
        <v>784</v>
      </c>
      <c r="D135" t="s">
        <v>3475</v>
      </c>
      <c r="E135" t="s">
        <v>3476</v>
      </c>
      <c r="F135" t="s">
        <v>3477</v>
      </c>
      <c r="G135" t="s">
        <v>3477</v>
      </c>
      <c r="H135" t="s">
        <v>2904</v>
      </c>
      <c r="I135" t="s">
        <v>2897</v>
      </c>
      <c r="J135" t="s">
        <v>3478</v>
      </c>
    </row>
    <row r="136" spans="1:10" x14ac:dyDescent="0.2">
      <c r="A136" t="s">
        <v>78</v>
      </c>
      <c r="B136" t="s">
        <v>595</v>
      </c>
      <c r="C136" t="s">
        <v>431</v>
      </c>
      <c r="D136" t="s">
        <v>3325</v>
      </c>
      <c r="E136" t="s">
        <v>3479</v>
      </c>
      <c r="F136" t="s">
        <v>3292</v>
      </c>
      <c r="G136" t="s">
        <v>3292</v>
      </c>
      <c r="H136" t="s">
        <v>2904</v>
      </c>
      <c r="I136" t="s">
        <v>2959</v>
      </c>
      <c r="J136" t="s">
        <v>3480</v>
      </c>
    </row>
    <row r="137" spans="1:10" x14ac:dyDescent="0.2">
      <c r="A137" t="s">
        <v>78</v>
      </c>
      <c r="B137" t="s">
        <v>595</v>
      </c>
      <c r="C137" t="s">
        <v>680</v>
      </c>
      <c r="D137" t="s">
        <v>3481</v>
      </c>
      <c r="E137" t="s">
        <v>2893</v>
      </c>
      <c r="F137" t="s">
        <v>3046</v>
      </c>
      <c r="G137" t="s">
        <v>3046</v>
      </c>
      <c r="H137" t="s">
        <v>2896</v>
      </c>
      <c r="I137" t="s">
        <v>3231</v>
      </c>
      <c r="J137" t="s">
        <v>3482</v>
      </c>
    </row>
    <row r="138" spans="1:10" x14ac:dyDescent="0.2">
      <c r="A138" t="s">
        <v>78</v>
      </c>
      <c r="B138" t="s">
        <v>181</v>
      </c>
      <c r="C138" t="s">
        <v>511</v>
      </c>
      <c r="D138" t="s">
        <v>3483</v>
      </c>
      <c r="E138" t="s">
        <v>3484</v>
      </c>
      <c r="F138" t="s">
        <v>3485</v>
      </c>
      <c r="G138" t="s">
        <v>3486</v>
      </c>
      <c r="H138" t="s">
        <v>2904</v>
      </c>
      <c r="I138" t="s">
        <v>2910</v>
      </c>
      <c r="J138" t="s">
        <v>3487</v>
      </c>
    </row>
    <row r="139" spans="1:10" x14ac:dyDescent="0.2">
      <c r="A139" t="s">
        <v>78</v>
      </c>
      <c r="B139" t="s">
        <v>287</v>
      </c>
      <c r="C139" t="s">
        <v>796</v>
      </c>
      <c r="D139" t="s">
        <v>3281</v>
      </c>
      <c r="E139" t="s">
        <v>3239</v>
      </c>
      <c r="F139" t="s">
        <v>2915</v>
      </c>
      <c r="G139" t="s">
        <v>3003</v>
      </c>
      <c r="H139" t="s">
        <v>2904</v>
      </c>
      <c r="I139" t="s">
        <v>2921</v>
      </c>
      <c r="J139" t="s">
        <v>3488</v>
      </c>
    </row>
    <row r="140" spans="1:10" x14ac:dyDescent="0.2">
      <c r="A140" t="s">
        <v>78</v>
      </c>
      <c r="B140" t="s">
        <v>328</v>
      </c>
      <c r="C140" t="s">
        <v>824</v>
      </c>
      <c r="D140" t="s">
        <v>3261</v>
      </c>
      <c r="E140" t="s">
        <v>3392</v>
      </c>
      <c r="F140" t="s">
        <v>3165</v>
      </c>
      <c r="G140" t="s">
        <v>3489</v>
      </c>
      <c r="H140" t="s">
        <v>2904</v>
      </c>
      <c r="I140" t="s">
        <v>2921</v>
      </c>
      <c r="J140" t="s">
        <v>3490</v>
      </c>
    </row>
    <row r="141" spans="1:10" x14ac:dyDescent="0.2">
      <c r="A141" t="s">
        <v>78</v>
      </c>
      <c r="B141" t="s">
        <v>830</v>
      </c>
      <c r="C141" t="s">
        <v>3491</v>
      </c>
      <c r="D141" t="s">
        <v>3492</v>
      </c>
      <c r="E141" t="s">
        <v>3493</v>
      </c>
      <c r="F141" t="s">
        <v>3494</v>
      </c>
      <c r="G141" t="s">
        <v>3495</v>
      </c>
      <c r="H141" t="s">
        <v>2896</v>
      </c>
      <c r="I141" t="s">
        <v>2897</v>
      </c>
      <c r="J141" t="s">
        <v>3496</v>
      </c>
    </row>
    <row r="142" spans="1:10" x14ac:dyDescent="0.2">
      <c r="A142" t="s">
        <v>78</v>
      </c>
      <c r="B142" t="s">
        <v>166</v>
      </c>
      <c r="C142" t="s">
        <v>1677</v>
      </c>
      <c r="D142" t="s">
        <v>3497</v>
      </c>
      <c r="E142" t="s">
        <v>3007</v>
      </c>
      <c r="F142" t="s">
        <v>3498</v>
      </c>
      <c r="G142" t="s">
        <v>3117</v>
      </c>
      <c r="H142" t="s">
        <v>2904</v>
      </c>
      <c r="I142" t="s">
        <v>2897</v>
      </c>
      <c r="J142" t="s">
        <v>3499</v>
      </c>
    </row>
    <row r="143" spans="1:10" x14ac:dyDescent="0.2">
      <c r="A143" t="s">
        <v>78</v>
      </c>
      <c r="B143" t="s">
        <v>188</v>
      </c>
      <c r="C143" t="s">
        <v>835</v>
      </c>
      <c r="D143" t="s">
        <v>3500</v>
      </c>
      <c r="E143" t="s">
        <v>3501</v>
      </c>
      <c r="F143" t="s">
        <v>3040</v>
      </c>
      <c r="G143" t="s">
        <v>3007</v>
      </c>
      <c r="H143" t="s">
        <v>2904</v>
      </c>
      <c r="I143" t="s">
        <v>2910</v>
      </c>
      <c r="J143" t="s">
        <v>3502</v>
      </c>
    </row>
    <row r="144" spans="1:10" x14ac:dyDescent="0.2">
      <c r="A144" t="s">
        <v>54</v>
      </c>
      <c r="B144" t="s">
        <v>587</v>
      </c>
      <c r="C144" t="s">
        <v>588</v>
      </c>
      <c r="D144" t="s">
        <v>3503</v>
      </c>
      <c r="E144" t="s">
        <v>3015</v>
      </c>
      <c r="F144" t="s">
        <v>3016</v>
      </c>
      <c r="G144" t="s">
        <v>3178</v>
      </c>
      <c r="H144" t="s">
        <v>2896</v>
      </c>
      <c r="I144" t="s">
        <v>2897</v>
      </c>
      <c r="J144" t="s">
        <v>3504</v>
      </c>
    </row>
    <row r="145" spans="1:10" x14ac:dyDescent="0.2">
      <c r="A145" t="s">
        <v>54</v>
      </c>
      <c r="B145" t="s">
        <v>587</v>
      </c>
      <c r="C145" t="s">
        <v>841</v>
      </c>
      <c r="D145" t="s">
        <v>3505</v>
      </c>
      <c r="E145" t="s">
        <v>2930</v>
      </c>
      <c r="F145" t="s">
        <v>3244</v>
      </c>
      <c r="G145" t="s">
        <v>2915</v>
      </c>
      <c r="H145" t="s">
        <v>2904</v>
      </c>
      <c r="I145" t="s">
        <v>2910</v>
      </c>
      <c r="J145" t="s">
        <v>3506</v>
      </c>
    </row>
    <row r="146" spans="1:10" x14ac:dyDescent="0.2">
      <c r="A146" t="s">
        <v>54</v>
      </c>
      <c r="B146" t="s">
        <v>587</v>
      </c>
      <c r="C146" t="s">
        <v>1462</v>
      </c>
      <c r="D146" t="s">
        <v>3507</v>
      </c>
      <c r="E146" t="s">
        <v>3101</v>
      </c>
      <c r="F146" t="s">
        <v>3508</v>
      </c>
      <c r="G146" t="s">
        <v>3136</v>
      </c>
      <c r="H146" t="s">
        <v>2896</v>
      </c>
      <c r="I146" t="s">
        <v>2959</v>
      </c>
      <c r="J146" t="s">
        <v>3509</v>
      </c>
    </row>
    <row r="147" spans="1:10" x14ac:dyDescent="0.2">
      <c r="A147" t="s">
        <v>54</v>
      </c>
      <c r="B147" t="s">
        <v>595</v>
      </c>
      <c r="C147" t="s">
        <v>680</v>
      </c>
      <c r="D147" t="s">
        <v>3510</v>
      </c>
      <c r="E147" t="s">
        <v>3234</v>
      </c>
      <c r="F147" t="s">
        <v>3169</v>
      </c>
      <c r="G147" t="s">
        <v>3174</v>
      </c>
      <c r="H147" t="s">
        <v>2896</v>
      </c>
      <c r="I147" t="s">
        <v>2897</v>
      </c>
      <c r="J147" t="s">
        <v>3511</v>
      </c>
    </row>
    <row r="148" spans="1:10" x14ac:dyDescent="0.2">
      <c r="A148" t="s">
        <v>54</v>
      </c>
      <c r="B148" t="s">
        <v>595</v>
      </c>
      <c r="C148" t="s">
        <v>431</v>
      </c>
      <c r="D148" t="s">
        <v>3325</v>
      </c>
      <c r="E148" t="s">
        <v>2980</v>
      </c>
      <c r="F148" t="s">
        <v>3512</v>
      </c>
      <c r="G148" t="s">
        <v>3110</v>
      </c>
      <c r="H148" t="s">
        <v>2904</v>
      </c>
      <c r="I148" t="s">
        <v>3231</v>
      </c>
      <c r="J148" t="s">
        <v>3513</v>
      </c>
    </row>
    <row r="149" spans="1:10" x14ac:dyDescent="0.2">
      <c r="A149" t="s">
        <v>54</v>
      </c>
      <c r="B149" t="s">
        <v>595</v>
      </c>
      <c r="C149" t="s">
        <v>158</v>
      </c>
      <c r="D149" t="s">
        <v>3514</v>
      </c>
      <c r="E149" t="s">
        <v>3515</v>
      </c>
      <c r="F149" t="s">
        <v>3516</v>
      </c>
      <c r="G149" t="s">
        <v>3517</v>
      </c>
      <c r="H149" t="s">
        <v>2904</v>
      </c>
      <c r="I149" t="s">
        <v>2897</v>
      </c>
      <c r="J149" t="s">
        <v>3518</v>
      </c>
    </row>
    <row r="150" spans="1:10" x14ac:dyDescent="0.2">
      <c r="A150" t="s">
        <v>54</v>
      </c>
      <c r="B150" t="s">
        <v>614</v>
      </c>
      <c r="C150" t="s">
        <v>846</v>
      </c>
      <c r="D150" t="s">
        <v>3519</v>
      </c>
      <c r="E150" t="s">
        <v>3520</v>
      </c>
      <c r="F150" t="s">
        <v>3521</v>
      </c>
      <c r="G150" t="s">
        <v>3522</v>
      </c>
      <c r="H150" t="s">
        <v>2896</v>
      </c>
      <c r="I150" t="s">
        <v>2959</v>
      </c>
      <c r="J150" t="s">
        <v>3523</v>
      </c>
    </row>
    <row r="151" spans="1:10" x14ac:dyDescent="0.2">
      <c r="A151" t="s">
        <v>54</v>
      </c>
      <c r="B151" t="s">
        <v>614</v>
      </c>
      <c r="C151" t="s">
        <v>3524</v>
      </c>
      <c r="D151" t="s">
        <v>3525</v>
      </c>
      <c r="E151" t="s">
        <v>2991</v>
      </c>
      <c r="F151" t="s">
        <v>3526</v>
      </c>
      <c r="G151" t="s">
        <v>2924</v>
      </c>
      <c r="H151" t="s">
        <v>2904</v>
      </c>
      <c r="I151" t="s">
        <v>3231</v>
      </c>
      <c r="J151" t="s">
        <v>3527</v>
      </c>
    </row>
    <row r="152" spans="1:10" x14ac:dyDescent="0.2">
      <c r="A152" t="s">
        <v>54</v>
      </c>
      <c r="B152" t="s">
        <v>856</v>
      </c>
      <c r="C152" t="s">
        <v>865</v>
      </c>
      <c r="D152" t="s">
        <v>3528</v>
      </c>
      <c r="E152" t="s">
        <v>3301</v>
      </c>
      <c r="F152" t="s">
        <v>3529</v>
      </c>
      <c r="G152" t="s">
        <v>3530</v>
      </c>
      <c r="H152" t="s">
        <v>2904</v>
      </c>
      <c r="I152" t="s">
        <v>2897</v>
      </c>
      <c r="J152" t="s">
        <v>3531</v>
      </c>
    </row>
    <row r="153" spans="1:10" x14ac:dyDescent="0.2">
      <c r="A153" t="s">
        <v>54</v>
      </c>
      <c r="B153" t="s">
        <v>874</v>
      </c>
      <c r="C153" t="s">
        <v>3532</v>
      </c>
      <c r="D153" t="s">
        <v>3533</v>
      </c>
      <c r="E153" t="s">
        <v>2932</v>
      </c>
      <c r="F153" t="s">
        <v>2915</v>
      </c>
      <c r="G153" t="s">
        <v>2914</v>
      </c>
      <c r="H153" t="s">
        <v>2904</v>
      </c>
      <c r="I153" t="s">
        <v>2910</v>
      </c>
      <c r="J153" t="s">
        <v>3534</v>
      </c>
    </row>
    <row r="154" spans="1:10" x14ac:dyDescent="0.2">
      <c r="A154" t="s">
        <v>54</v>
      </c>
      <c r="B154" t="s">
        <v>3535</v>
      </c>
      <c r="C154" t="s">
        <v>547</v>
      </c>
      <c r="D154" t="s">
        <v>3536</v>
      </c>
      <c r="E154" t="s">
        <v>3537</v>
      </c>
      <c r="F154" t="s">
        <v>3538</v>
      </c>
      <c r="G154" t="s">
        <v>3539</v>
      </c>
      <c r="H154" t="s">
        <v>2904</v>
      </c>
      <c r="I154" t="s">
        <v>2959</v>
      </c>
      <c r="J154" t="s">
        <v>3540</v>
      </c>
    </row>
    <row r="155" spans="1:10" x14ac:dyDescent="0.2">
      <c r="A155" t="s">
        <v>54</v>
      </c>
      <c r="B155" t="s">
        <v>166</v>
      </c>
      <c r="C155" t="s">
        <v>626</v>
      </c>
      <c r="D155" t="s">
        <v>3002</v>
      </c>
      <c r="E155" t="s">
        <v>3243</v>
      </c>
      <c r="F155" t="s">
        <v>2913</v>
      </c>
      <c r="G155" t="s">
        <v>3003</v>
      </c>
      <c r="H155" t="s">
        <v>2904</v>
      </c>
      <c r="I155" t="s">
        <v>2897</v>
      </c>
      <c r="J155" t="s">
        <v>3541</v>
      </c>
    </row>
    <row r="156" spans="1:10" x14ac:dyDescent="0.2">
      <c r="A156" t="s">
        <v>84</v>
      </c>
      <c r="B156" t="s">
        <v>481</v>
      </c>
      <c r="C156" t="s">
        <v>893</v>
      </c>
      <c r="D156" t="s">
        <v>3542</v>
      </c>
      <c r="E156" t="s">
        <v>3006</v>
      </c>
      <c r="F156" t="s">
        <v>3247</v>
      </c>
      <c r="G156" t="s">
        <v>3543</v>
      </c>
      <c r="H156" t="s">
        <v>2904</v>
      </c>
      <c r="I156" t="s">
        <v>2959</v>
      </c>
      <c r="J156" t="s">
        <v>3544</v>
      </c>
    </row>
    <row r="157" spans="1:10" x14ac:dyDescent="0.2">
      <c r="A157" t="s">
        <v>84</v>
      </c>
      <c r="B157" t="s">
        <v>481</v>
      </c>
      <c r="C157" t="s">
        <v>784</v>
      </c>
      <c r="D157" t="s">
        <v>3545</v>
      </c>
      <c r="E157" t="s">
        <v>3546</v>
      </c>
      <c r="F157" t="s">
        <v>3547</v>
      </c>
      <c r="G157" t="s">
        <v>3548</v>
      </c>
      <c r="H157" t="s">
        <v>2904</v>
      </c>
      <c r="I157" t="s">
        <v>2897</v>
      </c>
      <c r="J157" t="s">
        <v>3549</v>
      </c>
    </row>
    <row r="158" spans="1:10" x14ac:dyDescent="0.2">
      <c r="A158" t="s">
        <v>84</v>
      </c>
      <c r="B158" t="s">
        <v>464</v>
      </c>
      <c r="C158" t="s">
        <v>889</v>
      </c>
      <c r="D158" t="s">
        <v>3550</v>
      </c>
      <c r="E158" t="s">
        <v>3551</v>
      </c>
      <c r="F158" t="s">
        <v>3552</v>
      </c>
      <c r="G158" t="s">
        <v>3553</v>
      </c>
      <c r="H158" t="s">
        <v>2904</v>
      </c>
      <c r="I158" t="s">
        <v>3032</v>
      </c>
      <c r="J158" t="s">
        <v>3554</v>
      </c>
    </row>
    <row r="159" spans="1:10" x14ac:dyDescent="0.2">
      <c r="A159" t="s">
        <v>84</v>
      </c>
      <c r="B159" t="s">
        <v>464</v>
      </c>
      <c r="C159" t="s">
        <v>917</v>
      </c>
      <c r="D159" t="s">
        <v>3555</v>
      </c>
      <c r="E159" t="s">
        <v>2959</v>
      </c>
      <c r="F159" t="s">
        <v>2897</v>
      </c>
      <c r="G159" t="s">
        <v>3556</v>
      </c>
      <c r="H159" t="s">
        <v>2904</v>
      </c>
      <c r="I159" t="s">
        <v>3032</v>
      </c>
      <c r="J159" t="s">
        <v>3557</v>
      </c>
    </row>
    <row r="160" spans="1:10" x14ac:dyDescent="0.2">
      <c r="A160" t="s">
        <v>84</v>
      </c>
      <c r="B160" t="s">
        <v>328</v>
      </c>
      <c r="C160" t="s">
        <v>900</v>
      </c>
      <c r="D160" t="s">
        <v>3558</v>
      </c>
      <c r="E160" t="s">
        <v>3243</v>
      </c>
      <c r="F160" t="s">
        <v>2915</v>
      </c>
      <c r="G160" t="s">
        <v>3559</v>
      </c>
      <c r="H160" t="s">
        <v>2904</v>
      </c>
      <c r="I160" t="s">
        <v>2897</v>
      </c>
      <c r="J160" t="s">
        <v>3560</v>
      </c>
    </row>
    <row r="161" spans="1:10" x14ac:dyDescent="0.2">
      <c r="A161" t="s">
        <v>84</v>
      </c>
      <c r="B161" t="s">
        <v>328</v>
      </c>
      <c r="C161" t="s">
        <v>909</v>
      </c>
      <c r="D161" t="s">
        <v>3561</v>
      </c>
      <c r="E161" t="s">
        <v>2924</v>
      </c>
      <c r="F161" t="s">
        <v>3020</v>
      </c>
      <c r="G161" t="s">
        <v>3562</v>
      </c>
      <c r="H161" t="s">
        <v>2896</v>
      </c>
      <c r="I161" t="s">
        <v>2959</v>
      </c>
      <c r="J161" t="s">
        <v>3563</v>
      </c>
    </row>
    <row r="162" spans="1:10" x14ac:dyDescent="0.2">
      <c r="A162" t="s">
        <v>84</v>
      </c>
      <c r="B162" t="s">
        <v>166</v>
      </c>
      <c r="C162" t="s">
        <v>470</v>
      </c>
      <c r="D162" t="s">
        <v>3564</v>
      </c>
      <c r="E162" t="s">
        <v>2931</v>
      </c>
      <c r="F162" t="s">
        <v>2914</v>
      </c>
      <c r="G162" t="s">
        <v>3565</v>
      </c>
      <c r="H162" t="s">
        <v>2904</v>
      </c>
      <c r="I162" t="s">
        <v>2897</v>
      </c>
      <c r="J162" t="s">
        <v>3566</v>
      </c>
    </row>
    <row r="163" spans="1:10" x14ac:dyDescent="0.2">
      <c r="A163" t="s">
        <v>84</v>
      </c>
      <c r="B163" t="s">
        <v>504</v>
      </c>
      <c r="C163" t="s">
        <v>2394</v>
      </c>
      <c r="D163" t="s">
        <v>3567</v>
      </c>
      <c r="E163" t="s">
        <v>3568</v>
      </c>
      <c r="F163" t="s">
        <v>3569</v>
      </c>
      <c r="G163" t="s">
        <v>3570</v>
      </c>
      <c r="H163" t="s">
        <v>2904</v>
      </c>
      <c r="I163" t="s">
        <v>2959</v>
      </c>
      <c r="J163" t="s">
        <v>3571</v>
      </c>
    </row>
    <row r="164" spans="1:10" x14ac:dyDescent="0.2">
      <c r="A164" t="s">
        <v>84</v>
      </c>
      <c r="B164" t="s">
        <v>504</v>
      </c>
      <c r="C164" t="s">
        <v>922</v>
      </c>
      <c r="D164" t="s">
        <v>3572</v>
      </c>
      <c r="E164" t="s">
        <v>3573</v>
      </c>
      <c r="F164" t="s">
        <v>3574</v>
      </c>
      <c r="G164" t="s">
        <v>3575</v>
      </c>
      <c r="H164" t="s">
        <v>2904</v>
      </c>
      <c r="I164" t="s">
        <v>3032</v>
      </c>
      <c r="J164" t="s">
        <v>3576</v>
      </c>
    </row>
    <row r="165" spans="1:10" x14ac:dyDescent="0.2">
      <c r="A165" t="s">
        <v>84</v>
      </c>
      <c r="B165" t="s">
        <v>181</v>
      </c>
      <c r="C165" t="s">
        <v>511</v>
      </c>
      <c r="D165" t="s">
        <v>3577</v>
      </c>
      <c r="E165" t="s">
        <v>3578</v>
      </c>
      <c r="F165" t="s">
        <v>3579</v>
      </c>
      <c r="G165" t="s">
        <v>3580</v>
      </c>
      <c r="H165" t="s">
        <v>2896</v>
      </c>
      <c r="I165" t="s">
        <v>2897</v>
      </c>
      <c r="J165" t="s">
        <v>3581</v>
      </c>
    </row>
    <row r="166" spans="1:10" x14ac:dyDescent="0.2">
      <c r="A166" t="s">
        <v>84</v>
      </c>
      <c r="B166" t="s">
        <v>188</v>
      </c>
      <c r="C166" t="s">
        <v>932</v>
      </c>
      <c r="D166" t="s">
        <v>3582</v>
      </c>
      <c r="E166" t="s">
        <v>3583</v>
      </c>
      <c r="F166" t="s">
        <v>3584</v>
      </c>
      <c r="G166" t="s">
        <v>3585</v>
      </c>
      <c r="H166" t="s">
        <v>2904</v>
      </c>
      <c r="I166" t="s">
        <v>2910</v>
      </c>
      <c r="J166" t="s">
        <v>3586</v>
      </c>
    </row>
    <row r="167" spans="1:10" x14ac:dyDescent="0.2">
      <c r="A167" t="s">
        <v>84</v>
      </c>
      <c r="B167" t="s">
        <v>540</v>
      </c>
      <c r="C167" t="s">
        <v>197</v>
      </c>
      <c r="D167" t="s">
        <v>3587</v>
      </c>
      <c r="E167" t="s">
        <v>3588</v>
      </c>
      <c r="F167" t="s">
        <v>3589</v>
      </c>
      <c r="G167" t="s">
        <v>3590</v>
      </c>
      <c r="H167" t="s">
        <v>2896</v>
      </c>
      <c r="I167" t="s">
        <v>2897</v>
      </c>
      <c r="J167" t="s">
        <v>3591</v>
      </c>
    </row>
    <row r="168" spans="1:10" x14ac:dyDescent="0.2">
      <c r="A168" t="s">
        <v>100</v>
      </c>
      <c r="B168" t="s">
        <v>250</v>
      </c>
      <c r="C168" t="s">
        <v>251</v>
      </c>
      <c r="D168" t="s">
        <v>3592</v>
      </c>
      <c r="E168" t="s">
        <v>3593</v>
      </c>
      <c r="F168" t="s">
        <v>3438</v>
      </c>
      <c r="G168" t="s">
        <v>3594</v>
      </c>
      <c r="H168" t="s">
        <v>2904</v>
      </c>
      <c r="I168" t="s">
        <v>2897</v>
      </c>
      <c r="J168" t="s">
        <v>3163</v>
      </c>
    </row>
    <row r="169" spans="1:10" x14ac:dyDescent="0.2">
      <c r="A169" t="s">
        <v>100</v>
      </c>
      <c r="B169" t="s">
        <v>250</v>
      </c>
      <c r="C169" t="s">
        <v>995</v>
      </c>
      <c r="D169" t="s">
        <v>3595</v>
      </c>
      <c r="E169" t="s">
        <v>3262</v>
      </c>
      <c r="F169" t="s">
        <v>2975</v>
      </c>
      <c r="G169" t="s">
        <v>3264</v>
      </c>
      <c r="H169" t="s">
        <v>2904</v>
      </c>
      <c r="I169" t="s">
        <v>2910</v>
      </c>
      <c r="J169" t="s">
        <v>3596</v>
      </c>
    </row>
    <row r="170" spans="1:10" x14ac:dyDescent="0.2">
      <c r="A170" t="s">
        <v>100</v>
      </c>
      <c r="B170" t="s">
        <v>236</v>
      </c>
      <c r="C170" t="s">
        <v>237</v>
      </c>
      <c r="D170" t="s">
        <v>3597</v>
      </c>
      <c r="E170" t="s">
        <v>3179</v>
      </c>
      <c r="F170" t="s">
        <v>3169</v>
      </c>
      <c r="G170" t="s">
        <v>3174</v>
      </c>
      <c r="H170" t="s">
        <v>2896</v>
      </c>
      <c r="I170" t="s">
        <v>2897</v>
      </c>
      <c r="J170" t="s">
        <v>3598</v>
      </c>
    </row>
    <row r="171" spans="1:10" x14ac:dyDescent="0.2">
      <c r="A171" t="s">
        <v>100</v>
      </c>
      <c r="B171" t="s">
        <v>236</v>
      </c>
      <c r="C171" t="s">
        <v>802</v>
      </c>
      <c r="D171" t="s">
        <v>3039</v>
      </c>
      <c r="E171" t="s">
        <v>3288</v>
      </c>
      <c r="F171" t="s">
        <v>3599</v>
      </c>
      <c r="G171" t="s">
        <v>3600</v>
      </c>
      <c r="H171" t="s">
        <v>2904</v>
      </c>
      <c r="I171" t="s">
        <v>2897</v>
      </c>
      <c r="J171" t="s">
        <v>3601</v>
      </c>
    </row>
    <row r="172" spans="1:10" x14ac:dyDescent="0.2">
      <c r="A172" t="s">
        <v>100</v>
      </c>
      <c r="B172" t="s">
        <v>236</v>
      </c>
      <c r="C172" t="s">
        <v>379</v>
      </c>
      <c r="D172" t="s">
        <v>3602</v>
      </c>
      <c r="E172" t="s">
        <v>2924</v>
      </c>
      <c r="F172" t="s">
        <v>3603</v>
      </c>
      <c r="G172" t="s">
        <v>3604</v>
      </c>
      <c r="H172" t="s">
        <v>2904</v>
      </c>
      <c r="I172" t="s">
        <v>2897</v>
      </c>
      <c r="J172" t="s">
        <v>3175</v>
      </c>
    </row>
    <row r="173" spans="1:10" x14ac:dyDescent="0.2">
      <c r="A173" t="s">
        <v>100</v>
      </c>
      <c r="B173" t="s">
        <v>943</v>
      </c>
      <c r="C173" t="s">
        <v>944</v>
      </c>
      <c r="D173" t="s">
        <v>3605</v>
      </c>
      <c r="E173" t="s">
        <v>3606</v>
      </c>
      <c r="F173" t="s">
        <v>3607</v>
      </c>
      <c r="G173" t="s">
        <v>3262</v>
      </c>
      <c r="H173" t="s">
        <v>2904</v>
      </c>
      <c r="I173" t="s">
        <v>2910</v>
      </c>
      <c r="J173" t="s">
        <v>3180</v>
      </c>
    </row>
    <row r="174" spans="1:10" x14ac:dyDescent="0.2">
      <c r="A174" t="s">
        <v>100</v>
      </c>
      <c r="B174" t="s">
        <v>943</v>
      </c>
      <c r="C174" t="s">
        <v>944</v>
      </c>
      <c r="D174" t="s">
        <v>3608</v>
      </c>
      <c r="E174" t="s">
        <v>3101</v>
      </c>
      <c r="F174" t="s">
        <v>3609</v>
      </c>
      <c r="G174" t="s">
        <v>3015</v>
      </c>
      <c r="H174" t="s">
        <v>2896</v>
      </c>
      <c r="I174" t="s">
        <v>2897</v>
      </c>
      <c r="J174" t="s">
        <v>3610</v>
      </c>
    </row>
    <row r="175" spans="1:10" x14ac:dyDescent="0.2">
      <c r="A175" t="s">
        <v>100</v>
      </c>
      <c r="B175" t="s">
        <v>962</v>
      </c>
      <c r="C175" t="s">
        <v>243</v>
      </c>
      <c r="D175" t="s">
        <v>3611</v>
      </c>
      <c r="E175" t="s">
        <v>3178</v>
      </c>
      <c r="F175" t="s">
        <v>3612</v>
      </c>
      <c r="G175" t="s">
        <v>3183</v>
      </c>
      <c r="H175" t="s">
        <v>2896</v>
      </c>
      <c r="I175" t="s">
        <v>2921</v>
      </c>
      <c r="J175" t="s">
        <v>3613</v>
      </c>
    </row>
    <row r="176" spans="1:10" x14ac:dyDescent="0.2">
      <c r="A176" t="s">
        <v>100</v>
      </c>
      <c r="B176" t="s">
        <v>287</v>
      </c>
      <c r="C176" t="s">
        <v>3614</v>
      </c>
      <c r="D176" t="s">
        <v>3615</v>
      </c>
      <c r="E176" t="s">
        <v>3616</v>
      </c>
      <c r="F176" t="s">
        <v>3493</v>
      </c>
      <c r="G176" t="s">
        <v>3191</v>
      </c>
      <c r="H176" t="s">
        <v>2904</v>
      </c>
      <c r="I176" t="s">
        <v>2897</v>
      </c>
      <c r="J176" t="s">
        <v>3617</v>
      </c>
    </row>
    <row r="177" spans="1:10" x14ac:dyDescent="0.2">
      <c r="A177" t="s">
        <v>100</v>
      </c>
      <c r="B177" t="s">
        <v>287</v>
      </c>
      <c r="C177" t="s">
        <v>3618</v>
      </c>
      <c r="D177" t="s">
        <v>3619</v>
      </c>
      <c r="E177" t="s">
        <v>3285</v>
      </c>
      <c r="F177" t="s">
        <v>3620</v>
      </c>
      <c r="G177" t="s">
        <v>3178</v>
      </c>
      <c r="H177" t="s">
        <v>2896</v>
      </c>
      <c r="I177" t="s">
        <v>2897</v>
      </c>
      <c r="J177" t="s">
        <v>3621</v>
      </c>
    </row>
    <row r="178" spans="1:10" x14ac:dyDescent="0.2">
      <c r="A178" t="s">
        <v>100</v>
      </c>
      <c r="B178" t="s">
        <v>3622</v>
      </c>
      <c r="C178" t="s">
        <v>3623</v>
      </c>
      <c r="D178" t="s">
        <v>3624</v>
      </c>
      <c r="E178" t="s">
        <v>3604</v>
      </c>
      <c r="F178" t="s">
        <v>2909</v>
      </c>
      <c r="G178" t="s">
        <v>3025</v>
      </c>
      <c r="H178" t="s">
        <v>2904</v>
      </c>
      <c r="I178" t="s">
        <v>2910</v>
      </c>
      <c r="J178" t="s">
        <v>3625</v>
      </c>
    </row>
    <row r="179" spans="1:10" x14ac:dyDescent="0.2">
      <c r="A179" t="s">
        <v>100</v>
      </c>
      <c r="B179" t="s">
        <v>969</v>
      </c>
      <c r="C179" t="s">
        <v>258</v>
      </c>
      <c r="D179" t="s">
        <v>3626</v>
      </c>
      <c r="E179" t="s">
        <v>3627</v>
      </c>
      <c r="F179" t="s">
        <v>3628</v>
      </c>
      <c r="G179" t="s">
        <v>2975</v>
      </c>
      <c r="H179" t="s">
        <v>2904</v>
      </c>
      <c r="I179" t="s">
        <v>2910</v>
      </c>
      <c r="J179" t="s">
        <v>3629</v>
      </c>
    </row>
    <row r="180" spans="1:10" x14ac:dyDescent="0.2">
      <c r="A180" t="s">
        <v>98</v>
      </c>
      <c r="B180" t="s">
        <v>1001</v>
      </c>
      <c r="C180" t="s">
        <v>1002</v>
      </c>
      <c r="D180" t="s">
        <v>3261</v>
      </c>
      <c r="E180" t="s">
        <v>2930</v>
      </c>
      <c r="F180" t="s">
        <v>2915</v>
      </c>
      <c r="G180" t="s">
        <v>2915</v>
      </c>
      <c r="H180" t="s">
        <v>2904</v>
      </c>
      <c r="I180" t="s">
        <v>2897</v>
      </c>
      <c r="J180" t="s">
        <v>3630</v>
      </c>
    </row>
    <row r="181" spans="1:10" x14ac:dyDescent="0.2">
      <c r="A181" t="s">
        <v>98</v>
      </c>
      <c r="B181" t="s">
        <v>1001</v>
      </c>
      <c r="C181" t="s">
        <v>3631</v>
      </c>
      <c r="D181" t="s">
        <v>3632</v>
      </c>
      <c r="E181" t="s">
        <v>2918</v>
      </c>
      <c r="F181" t="s">
        <v>3166</v>
      </c>
      <c r="G181" t="s">
        <v>2920</v>
      </c>
      <c r="H181" t="s">
        <v>2904</v>
      </c>
      <c r="I181" t="s">
        <v>2897</v>
      </c>
      <c r="J181" t="s">
        <v>3633</v>
      </c>
    </row>
    <row r="182" spans="1:10" x14ac:dyDescent="0.2">
      <c r="A182" t="s">
        <v>98</v>
      </c>
      <c r="B182" t="s">
        <v>464</v>
      </c>
      <c r="C182" t="s">
        <v>1008</v>
      </c>
      <c r="D182" t="s">
        <v>3634</v>
      </c>
      <c r="E182" t="s">
        <v>3494</v>
      </c>
      <c r="F182" t="s">
        <v>3209</v>
      </c>
      <c r="G182" t="s">
        <v>2983</v>
      </c>
      <c r="H182" t="s">
        <v>2904</v>
      </c>
      <c r="I182" t="s">
        <v>2959</v>
      </c>
      <c r="J182" t="s">
        <v>3635</v>
      </c>
    </row>
    <row r="183" spans="1:10" x14ac:dyDescent="0.2">
      <c r="A183" t="s">
        <v>98</v>
      </c>
      <c r="B183" t="s">
        <v>125</v>
      </c>
      <c r="C183" t="s">
        <v>709</v>
      </c>
      <c r="D183" t="s">
        <v>3636</v>
      </c>
      <c r="E183" t="s">
        <v>2968</v>
      </c>
      <c r="F183" t="s">
        <v>2969</v>
      </c>
      <c r="G183" t="s">
        <v>2893</v>
      </c>
      <c r="H183" t="s">
        <v>2896</v>
      </c>
      <c r="I183" t="s">
        <v>2897</v>
      </c>
      <c r="J183" t="s">
        <v>3637</v>
      </c>
    </row>
    <row r="184" spans="1:10" x14ac:dyDescent="0.2">
      <c r="A184" t="s">
        <v>98</v>
      </c>
      <c r="B184" t="s">
        <v>125</v>
      </c>
      <c r="C184" t="s">
        <v>709</v>
      </c>
      <c r="D184" t="s">
        <v>3638</v>
      </c>
      <c r="E184" t="s">
        <v>3405</v>
      </c>
      <c r="F184" t="s">
        <v>3639</v>
      </c>
      <c r="G184" t="s">
        <v>3407</v>
      </c>
      <c r="H184" t="s">
        <v>2904</v>
      </c>
      <c r="I184" t="s">
        <v>2897</v>
      </c>
      <c r="J184" t="s">
        <v>3640</v>
      </c>
    </row>
    <row r="185" spans="1:10" x14ac:dyDescent="0.2">
      <c r="A185" t="s">
        <v>98</v>
      </c>
      <c r="B185" t="s">
        <v>437</v>
      </c>
      <c r="C185" t="s">
        <v>532</v>
      </c>
      <c r="D185" t="s">
        <v>3641</v>
      </c>
      <c r="E185" t="s">
        <v>3064</v>
      </c>
      <c r="F185" t="s">
        <v>3642</v>
      </c>
      <c r="G185" t="s">
        <v>2926</v>
      </c>
      <c r="H185" t="s">
        <v>2896</v>
      </c>
      <c r="I185" t="s">
        <v>2959</v>
      </c>
      <c r="J185" t="s">
        <v>3643</v>
      </c>
    </row>
    <row r="186" spans="1:10" x14ac:dyDescent="0.2">
      <c r="A186" t="s">
        <v>98</v>
      </c>
      <c r="B186" t="s">
        <v>437</v>
      </c>
      <c r="C186" t="s">
        <v>532</v>
      </c>
      <c r="D186" t="s">
        <v>3644</v>
      </c>
      <c r="E186" t="s">
        <v>3390</v>
      </c>
      <c r="F186" t="s">
        <v>3645</v>
      </c>
      <c r="G186" t="s">
        <v>3646</v>
      </c>
      <c r="H186" t="s">
        <v>2904</v>
      </c>
      <c r="I186" t="s">
        <v>2897</v>
      </c>
      <c r="J186" t="s">
        <v>3647</v>
      </c>
    </row>
    <row r="187" spans="1:10" x14ac:dyDescent="0.2">
      <c r="A187" t="s">
        <v>98</v>
      </c>
      <c r="B187" t="s">
        <v>1026</v>
      </c>
      <c r="C187" t="s">
        <v>3648</v>
      </c>
      <c r="D187" t="s">
        <v>3649</v>
      </c>
      <c r="E187" t="s">
        <v>3020</v>
      </c>
      <c r="F187" t="s">
        <v>3650</v>
      </c>
      <c r="G187" t="s">
        <v>3106</v>
      </c>
      <c r="H187" t="s">
        <v>2904</v>
      </c>
      <c r="I187" t="s">
        <v>2959</v>
      </c>
      <c r="J187" t="s">
        <v>3651</v>
      </c>
    </row>
    <row r="188" spans="1:10" x14ac:dyDescent="0.2">
      <c r="A188" t="s">
        <v>98</v>
      </c>
      <c r="B188" t="s">
        <v>1013</v>
      </c>
      <c r="C188" t="s">
        <v>1014</v>
      </c>
      <c r="D188" t="s">
        <v>3652</v>
      </c>
      <c r="E188" t="s">
        <v>2910</v>
      </c>
      <c r="F188" t="s">
        <v>3653</v>
      </c>
      <c r="G188" t="s">
        <v>3654</v>
      </c>
      <c r="H188" t="s">
        <v>2904</v>
      </c>
      <c r="I188" t="s">
        <v>3032</v>
      </c>
      <c r="J188" t="s">
        <v>3655</v>
      </c>
    </row>
    <row r="189" spans="1:10" x14ac:dyDescent="0.2">
      <c r="A189" t="s">
        <v>98</v>
      </c>
      <c r="B189" t="s">
        <v>158</v>
      </c>
      <c r="C189" t="s">
        <v>698</v>
      </c>
      <c r="D189" t="s">
        <v>3656</v>
      </c>
      <c r="E189" t="s">
        <v>3439</v>
      </c>
      <c r="F189" t="s">
        <v>3657</v>
      </c>
      <c r="G189" t="s">
        <v>3658</v>
      </c>
      <c r="H189" t="s">
        <v>2904</v>
      </c>
      <c r="I189" t="s">
        <v>2897</v>
      </c>
      <c r="J189" t="s">
        <v>3659</v>
      </c>
    </row>
    <row r="190" spans="1:10" x14ac:dyDescent="0.2">
      <c r="A190" t="s">
        <v>98</v>
      </c>
      <c r="B190" t="s">
        <v>174</v>
      </c>
      <c r="C190" t="s">
        <v>3660</v>
      </c>
      <c r="D190" t="s">
        <v>3661</v>
      </c>
      <c r="E190" t="s">
        <v>2932</v>
      </c>
      <c r="F190" t="s">
        <v>3244</v>
      </c>
      <c r="G190" t="s">
        <v>2915</v>
      </c>
      <c r="H190" t="s">
        <v>2904</v>
      </c>
      <c r="I190" t="s">
        <v>2897</v>
      </c>
      <c r="J190" t="s">
        <v>3662</v>
      </c>
    </row>
    <row r="191" spans="1:10" x14ac:dyDescent="0.2">
      <c r="A191" t="s">
        <v>98</v>
      </c>
      <c r="B191" t="s">
        <v>315</v>
      </c>
      <c r="C191" t="s">
        <v>1041</v>
      </c>
      <c r="D191" t="s">
        <v>3663</v>
      </c>
      <c r="E191" t="s">
        <v>3664</v>
      </c>
      <c r="F191" t="s">
        <v>2909</v>
      </c>
      <c r="G191" t="s">
        <v>3665</v>
      </c>
      <c r="H191" t="s">
        <v>2904</v>
      </c>
      <c r="I191" t="s">
        <v>2959</v>
      </c>
      <c r="J191" t="s">
        <v>3666</v>
      </c>
    </row>
    <row r="192" spans="1:10" x14ac:dyDescent="0.2">
      <c r="A192" t="s">
        <v>76</v>
      </c>
      <c r="B192" t="s">
        <v>464</v>
      </c>
      <c r="C192" t="s">
        <v>1072</v>
      </c>
      <c r="D192" t="s">
        <v>3667</v>
      </c>
      <c r="E192" t="s">
        <v>3212</v>
      </c>
      <c r="F192" t="s">
        <v>2913</v>
      </c>
      <c r="G192" t="s">
        <v>3003</v>
      </c>
      <c r="H192" t="s">
        <v>2904</v>
      </c>
      <c r="I192" t="s">
        <v>2897</v>
      </c>
      <c r="J192" t="s">
        <v>3668</v>
      </c>
    </row>
    <row r="193" spans="1:10" x14ac:dyDescent="0.2">
      <c r="A193" t="s">
        <v>76</v>
      </c>
      <c r="B193" t="s">
        <v>464</v>
      </c>
      <c r="C193" t="s">
        <v>555</v>
      </c>
      <c r="D193" t="s">
        <v>3669</v>
      </c>
      <c r="E193" t="s">
        <v>3016</v>
      </c>
      <c r="F193" t="s">
        <v>3183</v>
      </c>
      <c r="G193" t="s">
        <v>3182</v>
      </c>
      <c r="H193" t="s">
        <v>2896</v>
      </c>
      <c r="I193" t="s">
        <v>2959</v>
      </c>
      <c r="J193" t="s">
        <v>3670</v>
      </c>
    </row>
    <row r="194" spans="1:10" x14ac:dyDescent="0.2">
      <c r="A194" t="s">
        <v>76</v>
      </c>
      <c r="B194" t="s">
        <v>595</v>
      </c>
      <c r="C194" t="s">
        <v>431</v>
      </c>
      <c r="D194" t="s">
        <v>3671</v>
      </c>
      <c r="E194" t="s">
        <v>3672</v>
      </c>
      <c r="F194" t="s">
        <v>3673</v>
      </c>
      <c r="G194" t="s">
        <v>3674</v>
      </c>
      <c r="H194" t="s">
        <v>2896</v>
      </c>
      <c r="I194" t="s">
        <v>3032</v>
      </c>
      <c r="J194" t="s">
        <v>3675</v>
      </c>
    </row>
    <row r="195" spans="1:10" x14ac:dyDescent="0.2">
      <c r="A195" t="s">
        <v>76</v>
      </c>
      <c r="B195" t="s">
        <v>595</v>
      </c>
      <c r="C195" t="s">
        <v>1076</v>
      </c>
      <c r="D195" t="s">
        <v>3510</v>
      </c>
      <c r="E195" t="s">
        <v>3676</v>
      </c>
      <c r="F195" t="s">
        <v>3677</v>
      </c>
      <c r="G195" t="s">
        <v>3678</v>
      </c>
      <c r="H195" t="s">
        <v>2904</v>
      </c>
      <c r="I195" t="s">
        <v>2959</v>
      </c>
      <c r="J195" t="s">
        <v>3679</v>
      </c>
    </row>
    <row r="196" spans="1:10" x14ac:dyDescent="0.2">
      <c r="A196" t="s">
        <v>76</v>
      </c>
      <c r="B196" t="s">
        <v>125</v>
      </c>
      <c r="C196" t="s">
        <v>1048</v>
      </c>
      <c r="D196" t="s">
        <v>3271</v>
      </c>
      <c r="E196" t="s">
        <v>3473</v>
      </c>
      <c r="F196" t="s">
        <v>3046</v>
      </c>
      <c r="G196" t="s">
        <v>3015</v>
      </c>
      <c r="H196" t="s">
        <v>2896</v>
      </c>
      <c r="I196" t="s">
        <v>2897</v>
      </c>
      <c r="J196" t="s">
        <v>3680</v>
      </c>
    </row>
    <row r="197" spans="1:10" x14ac:dyDescent="0.2">
      <c r="A197" t="s">
        <v>76</v>
      </c>
      <c r="B197" t="s">
        <v>125</v>
      </c>
      <c r="C197" t="s">
        <v>3681</v>
      </c>
      <c r="D197" t="s">
        <v>3682</v>
      </c>
      <c r="E197" t="s">
        <v>3364</v>
      </c>
      <c r="F197" t="s">
        <v>3097</v>
      </c>
      <c r="G197" t="s">
        <v>3683</v>
      </c>
      <c r="H197" t="s">
        <v>2896</v>
      </c>
      <c r="I197" t="s">
        <v>2959</v>
      </c>
      <c r="J197" t="s">
        <v>3684</v>
      </c>
    </row>
    <row r="198" spans="1:10" x14ac:dyDescent="0.2">
      <c r="A198" t="s">
        <v>76</v>
      </c>
      <c r="B198" t="s">
        <v>328</v>
      </c>
      <c r="C198" t="s">
        <v>2646</v>
      </c>
      <c r="D198" t="s">
        <v>3685</v>
      </c>
      <c r="E198" t="s">
        <v>3045</v>
      </c>
      <c r="F198" t="s">
        <v>2893</v>
      </c>
      <c r="G198" t="s">
        <v>2895</v>
      </c>
      <c r="H198" t="s">
        <v>2896</v>
      </c>
      <c r="I198" t="s">
        <v>2897</v>
      </c>
      <c r="J198" t="s">
        <v>3686</v>
      </c>
    </row>
    <row r="199" spans="1:10" x14ac:dyDescent="0.2">
      <c r="A199" t="s">
        <v>76</v>
      </c>
      <c r="B199" t="s">
        <v>328</v>
      </c>
      <c r="C199" t="s">
        <v>900</v>
      </c>
      <c r="D199" t="s">
        <v>3362</v>
      </c>
      <c r="E199" t="s">
        <v>2991</v>
      </c>
      <c r="F199" t="s">
        <v>3364</v>
      </c>
      <c r="G199" t="s">
        <v>3687</v>
      </c>
      <c r="H199" t="s">
        <v>2896</v>
      </c>
      <c r="I199" t="s">
        <v>3032</v>
      </c>
      <c r="J199" t="s">
        <v>3688</v>
      </c>
    </row>
    <row r="200" spans="1:10" x14ac:dyDescent="0.2">
      <c r="A200" t="s">
        <v>76</v>
      </c>
      <c r="B200" t="s">
        <v>287</v>
      </c>
      <c r="C200" t="s">
        <v>1903</v>
      </c>
      <c r="D200" t="s">
        <v>3689</v>
      </c>
      <c r="E200" t="s">
        <v>2930</v>
      </c>
      <c r="F200" t="s">
        <v>3244</v>
      </c>
      <c r="G200" t="s">
        <v>2915</v>
      </c>
      <c r="H200" t="s">
        <v>2904</v>
      </c>
      <c r="I200" t="s">
        <v>2897</v>
      </c>
      <c r="J200" t="s">
        <v>3690</v>
      </c>
    </row>
    <row r="201" spans="1:10" x14ac:dyDescent="0.2">
      <c r="A201" t="s">
        <v>76</v>
      </c>
      <c r="B201" t="s">
        <v>166</v>
      </c>
      <c r="C201" t="s">
        <v>1677</v>
      </c>
      <c r="D201" t="s">
        <v>3497</v>
      </c>
      <c r="E201" t="s">
        <v>3691</v>
      </c>
      <c r="F201" t="s">
        <v>3692</v>
      </c>
      <c r="G201" t="s">
        <v>3040</v>
      </c>
      <c r="H201" t="s">
        <v>2904</v>
      </c>
      <c r="I201" t="s">
        <v>2959</v>
      </c>
      <c r="J201" t="s">
        <v>3693</v>
      </c>
    </row>
    <row r="202" spans="1:10" x14ac:dyDescent="0.2">
      <c r="A202" t="s">
        <v>76</v>
      </c>
      <c r="B202" t="s">
        <v>158</v>
      </c>
      <c r="C202" t="s">
        <v>1059</v>
      </c>
      <c r="D202" t="s">
        <v>3694</v>
      </c>
      <c r="E202" t="s">
        <v>3695</v>
      </c>
      <c r="F202" t="s">
        <v>3247</v>
      </c>
      <c r="G202" t="s">
        <v>3239</v>
      </c>
      <c r="H202" t="s">
        <v>2904</v>
      </c>
      <c r="I202" t="s">
        <v>2897</v>
      </c>
      <c r="J202" t="s">
        <v>3696</v>
      </c>
    </row>
    <row r="203" spans="1:10" x14ac:dyDescent="0.2">
      <c r="A203" t="s">
        <v>76</v>
      </c>
      <c r="B203" t="s">
        <v>181</v>
      </c>
      <c r="C203" t="s">
        <v>511</v>
      </c>
      <c r="D203" t="s">
        <v>3697</v>
      </c>
      <c r="E203" t="s">
        <v>3698</v>
      </c>
      <c r="F203" t="s">
        <v>3699</v>
      </c>
      <c r="G203" t="s">
        <v>3700</v>
      </c>
      <c r="H203" t="s">
        <v>2896</v>
      </c>
      <c r="I203" t="s">
        <v>2897</v>
      </c>
      <c r="J203" t="s">
        <v>3701</v>
      </c>
    </row>
    <row r="204" spans="1:10" x14ac:dyDescent="0.2">
      <c r="A204" t="s">
        <v>82</v>
      </c>
      <c r="B204" t="s">
        <v>481</v>
      </c>
      <c r="C204" t="s">
        <v>1152</v>
      </c>
      <c r="D204" t="s">
        <v>3702</v>
      </c>
      <c r="E204" t="s">
        <v>2931</v>
      </c>
      <c r="F204" t="s">
        <v>2914</v>
      </c>
      <c r="G204" t="s">
        <v>3703</v>
      </c>
      <c r="H204" t="s">
        <v>2904</v>
      </c>
      <c r="I204" t="s">
        <v>2897</v>
      </c>
      <c r="J204" t="s">
        <v>3704</v>
      </c>
    </row>
    <row r="205" spans="1:10" x14ac:dyDescent="0.2">
      <c r="A205" t="s">
        <v>82</v>
      </c>
      <c r="B205" t="s">
        <v>481</v>
      </c>
      <c r="C205" t="s">
        <v>329</v>
      </c>
      <c r="D205" t="s">
        <v>3705</v>
      </c>
      <c r="E205" t="s">
        <v>3706</v>
      </c>
      <c r="F205" t="s">
        <v>3707</v>
      </c>
      <c r="G205" t="s">
        <v>3708</v>
      </c>
      <c r="H205" t="s">
        <v>2896</v>
      </c>
      <c r="I205" t="s">
        <v>2959</v>
      </c>
      <c r="J205" t="s">
        <v>3709</v>
      </c>
    </row>
    <row r="206" spans="1:10" x14ac:dyDescent="0.2">
      <c r="A206" t="s">
        <v>82</v>
      </c>
      <c r="B206" t="s">
        <v>481</v>
      </c>
      <c r="C206" t="s">
        <v>3710</v>
      </c>
      <c r="D206" t="s">
        <v>3134</v>
      </c>
      <c r="E206" t="s">
        <v>3135</v>
      </c>
      <c r="F206" t="s">
        <v>3136</v>
      </c>
      <c r="G206" t="s">
        <v>3711</v>
      </c>
      <c r="H206" t="s">
        <v>2896</v>
      </c>
      <c r="I206" t="s">
        <v>2959</v>
      </c>
      <c r="J206" t="s">
        <v>3712</v>
      </c>
    </row>
    <row r="207" spans="1:10" x14ac:dyDescent="0.2">
      <c r="A207" t="s">
        <v>82</v>
      </c>
      <c r="B207" t="s">
        <v>464</v>
      </c>
      <c r="C207" t="s">
        <v>287</v>
      </c>
      <c r="D207" t="s">
        <v>3713</v>
      </c>
      <c r="E207" t="s">
        <v>3110</v>
      </c>
      <c r="F207" t="s">
        <v>3240</v>
      </c>
      <c r="G207" t="s">
        <v>3714</v>
      </c>
      <c r="H207" t="s">
        <v>2904</v>
      </c>
      <c r="I207" t="s">
        <v>2897</v>
      </c>
      <c r="J207" t="s">
        <v>3715</v>
      </c>
    </row>
    <row r="208" spans="1:10" x14ac:dyDescent="0.2">
      <c r="A208" t="s">
        <v>82</v>
      </c>
      <c r="B208" t="s">
        <v>464</v>
      </c>
      <c r="C208" t="s">
        <v>917</v>
      </c>
      <c r="D208" t="s">
        <v>3716</v>
      </c>
      <c r="E208" t="s">
        <v>3717</v>
      </c>
      <c r="F208" t="s">
        <v>3718</v>
      </c>
      <c r="G208" t="s">
        <v>3719</v>
      </c>
      <c r="H208" t="s">
        <v>2896</v>
      </c>
      <c r="I208" t="s">
        <v>2897</v>
      </c>
      <c r="J208" t="s">
        <v>3720</v>
      </c>
    </row>
    <row r="209" spans="1:10" x14ac:dyDescent="0.2">
      <c r="A209" t="s">
        <v>82</v>
      </c>
      <c r="B209" t="s">
        <v>328</v>
      </c>
      <c r="C209" t="s">
        <v>3157</v>
      </c>
      <c r="D209" t="s">
        <v>3721</v>
      </c>
      <c r="E209" t="s">
        <v>3020</v>
      </c>
      <c r="F209" t="s">
        <v>3722</v>
      </c>
      <c r="G209" t="s">
        <v>3723</v>
      </c>
      <c r="H209" t="s">
        <v>2896</v>
      </c>
      <c r="I209" t="s">
        <v>2897</v>
      </c>
      <c r="J209" t="s">
        <v>3724</v>
      </c>
    </row>
    <row r="210" spans="1:10" x14ac:dyDescent="0.2">
      <c r="A210" t="s">
        <v>82</v>
      </c>
      <c r="B210" t="s">
        <v>328</v>
      </c>
      <c r="C210" t="s">
        <v>900</v>
      </c>
      <c r="D210" t="s">
        <v>2977</v>
      </c>
      <c r="E210" t="s">
        <v>2930</v>
      </c>
      <c r="F210" t="s">
        <v>2932</v>
      </c>
      <c r="G210" t="s">
        <v>3725</v>
      </c>
      <c r="H210" t="s">
        <v>2904</v>
      </c>
      <c r="I210" t="s">
        <v>2910</v>
      </c>
      <c r="J210" t="s">
        <v>3726</v>
      </c>
    </row>
    <row r="211" spans="1:10" x14ac:dyDescent="0.2">
      <c r="A211" t="s">
        <v>82</v>
      </c>
      <c r="B211" t="s">
        <v>487</v>
      </c>
      <c r="C211" t="s">
        <v>1143</v>
      </c>
      <c r="D211" t="s">
        <v>3638</v>
      </c>
      <c r="E211" t="s">
        <v>3727</v>
      </c>
      <c r="F211" t="s">
        <v>3439</v>
      </c>
      <c r="G211" t="s">
        <v>3728</v>
      </c>
      <c r="H211" t="s">
        <v>2904</v>
      </c>
      <c r="I211" t="s">
        <v>2897</v>
      </c>
      <c r="J211" t="s">
        <v>3729</v>
      </c>
    </row>
    <row r="212" spans="1:10" x14ac:dyDescent="0.2">
      <c r="A212" t="s">
        <v>82</v>
      </c>
      <c r="B212" t="s">
        <v>487</v>
      </c>
      <c r="C212" t="s">
        <v>3681</v>
      </c>
      <c r="D212" t="s">
        <v>2967</v>
      </c>
      <c r="E212" t="s">
        <v>2893</v>
      </c>
      <c r="F212" t="s">
        <v>3046</v>
      </c>
      <c r="G212" t="s">
        <v>3730</v>
      </c>
      <c r="H212" t="s">
        <v>2896</v>
      </c>
      <c r="I212" t="s">
        <v>2897</v>
      </c>
      <c r="J212" t="s">
        <v>3731</v>
      </c>
    </row>
    <row r="213" spans="1:10" x14ac:dyDescent="0.2">
      <c r="A213" t="s">
        <v>82</v>
      </c>
      <c r="B213" t="s">
        <v>166</v>
      </c>
      <c r="C213" t="s">
        <v>470</v>
      </c>
      <c r="D213" t="s">
        <v>3732</v>
      </c>
      <c r="E213" t="s">
        <v>3493</v>
      </c>
      <c r="F213" t="s">
        <v>3494</v>
      </c>
      <c r="G213" t="s">
        <v>3733</v>
      </c>
      <c r="H213" t="s">
        <v>2896</v>
      </c>
      <c r="I213" t="s">
        <v>2959</v>
      </c>
      <c r="J213" t="s">
        <v>3734</v>
      </c>
    </row>
    <row r="214" spans="1:10" x14ac:dyDescent="0.2">
      <c r="A214" t="s">
        <v>82</v>
      </c>
      <c r="B214" t="s">
        <v>181</v>
      </c>
      <c r="C214" t="s">
        <v>511</v>
      </c>
      <c r="D214" t="s">
        <v>3735</v>
      </c>
      <c r="E214" t="s">
        <v>3736</v>
      </c>
      <c r="F214" t="s">
        <v>3737</v>
      </c>
      <c r="G214" t="s">
        <v>3738</v>
      </c>
      <c r="H214" t="s">
        <v>2896</v>
      </c>
      <c r="I214" t="s">
        <v>2897</v>
      </c>
      <c r="J214" t="s">
        <v>3739</v>
      </c>
    </row>
    <row r="215" spans="1:10" x14ac:dyDescent="0.2">
      <c r="A215" t="s">
        <v>82</v>
      </c>
      <c r="B215" t="s">
        <v>504</v>
      </c>
      <c r="C215" t="s">
        <v>3740</v>
      </c>
      <c r="D215" t="s">
        <v>3741</v>
      </c>
      <c r="E215" t="s">
        <v>3742</v>
      </c>
      <c r="F215" t="s">
        <v>3620</v>
      </c>
      <c r="G215" t="s">
        <v>3743</v>
      </c>
      <c r="H215" t="s">
        <v>2896</v>
      </c>
      <c r="I215" t="s">
        <v>2897</v>
      </c>
      <c r="J215" t="s">
        <v>3744</v>
      </c>
    </row>
    <row r="216" spans="1:10" x14ac:dyDescent="0.2">
      <c r="A216" t="s">
        <v>88</v>
      </c>
      <c r="B216" t="s">
        <v>504</v>
      </c>
      <c r="C216" t="s">
        <v>547</v>
      </c>
      <c r="D216" t="s">
        <v>3745</v>
      </c>
      <c r="E216" t="s">
        <v>3746</v>
      </c>
      <c r="F216" t="s">
        <v>3747</v>
      </c>
      <c r="G216" t="s">
        <v>3748</v>
      </c>
      <c r="H216" t="s">
        <v>2904</v>
      </c>
      <c r="I216" t="s">
        <v>2959</v>
      </c>
      <c r="J216" t="s">
        <v>3749</v>
      </c>
    </row>
    <row r="217" spans="1:10" x14ac:dyDescent="0.2">
      <c r="A217" t="s">
        <v>88</v>
      </c>
      <c r="B217" t="s">
        <v>504</v>
      </c>
      <c r="C217" t="s">
        <v>705</v>
      </c>
      <c r="D217" t="s">
        <v>3750</v>
      </c>
      <c r="E217" t="s">
        <v>3751</v>
      </c>
      <c r="F217" t="s">
        <v>3752</v>
      </c>
      <c r="G217" t="s">
        <v>3753</v>
      </c>
      <c r="H217" t="s">
        <v>2904</v>
      </c>
      <c r="I217" t="s">
        <v>2897</v>
      </c>
      <c r="J217" t="s">
        <v>3754</v>
      </c>
    </row>
    <row r="218" spans="1:10" x14ac:dyDescent="0.2">
      <c r="A218" t="s">
        <v>88</v>
      </c>
      <c r="B218" t="s">
        <v>174</v>
      </c>
      <c r="C218" t="s">
        <v>1092</v>
      </c>
      <c r="D218" t="s">
        <v>3755</v>
      </c>
      <c r="E218" t="s">
        <v>3174</v>
      </c>
      <c r="F218" t="s">
        <v>3182</v>
      </c>
      <c r="G218" t="s">
        <v>3612</v>
      </c>
      <c r="H218" t="s">
        <v>2896</v>
      </c>
      <c r="I218" t="s">
        <v>3231</v>
      </c>
      <c r="J218" t="s">
        <v>3756</v>
      </c>
    </row>
    <row r="219" spans="1:10" x14ac:dyDescent="0.2">
      <c r="A219" t="s">
        <v>88</v>
      </c>
      <c r="B219" t="s">
        <v>174</v>
      </c>
      <c r="C219" t="s">
        <v>1092</v>
      </c>
      <c r="D219" t="s">
        <v>3757</v>
      </c>
      <c r="E219" t="s">
        <v>3758</v>
      </c>
      <c r="F219" t="s">
        <v>3759</v>
      </c>
      <c r="G219" t="s">
        <v>3760</v>
      </c>
      <c r="H219" t="s">
        <v>2904</v>
      </c>
      <c r="I219" t="s">
        <v>3231</v>
      </c>
      <c r="J219" t="s">
        <v>3761</v>
      </c>
    </row>
    <row r="220" spans="1:10" x14ac:dyDescent="0.2">
      <c r="A220" t="s">
        <v>88</v>
      </c>
      <c r="B220" t="s">
        <v>487</v>
      </c>
      <c r="C220" t="s">
        <v>709</v>
      </c>
      <c r="D220" t="s">
        <v>2967</v>
      </c>
      <c r="E220" t="s">
        <v>3045</v>
      </c>
      <c r="F220" t="s">
        <v>3206</v>
      </c>
      <c r="G220" t="s">
        <v>3473</v>
      </c>
      <c r="H220" t="s">
        <v>2896</v>
      </c>
      <c r="I220" t="s">
        <v>3762</v>
      </c>
      <c r="J220" t="s">
        <v>3763</v>
      </c>
    </row>
    <row r="221" spans="1:10" x14ac:dyDescent="0.2">
      <c r="A221" t="s">
        <v>88</v>
      </c>
      <c r="B221" t="s">
        <v>487</v>
      </c>
      <c r="C221" t="s">
        <v>709</v>
      </c>
      <c r="D221" t="s">
        <v>3764</v>
      </c>
      <c r="E221" t="s">
        <v>3765</v>
      </c>
      <c r="F221" t="s">
        <v>3766</v>
      </c>
      <c r="G221" t="s">
        <v>3767</v>
      </c>
      <c r="H221" t="s">
        <v>2904</v>
      </c>
      <c r="I221" t="s">
        <v>3762</v>
      </c>
      <c r="J221" t="s">
        <v>3768</v>
      </c>
    </row>
    <row r="222" spans="1:10" x14ac:dyDescent="0.2">
      <c r="A222" t="s">
        <v>88</v>
      </c>
      <c r="B222" t="s">
        <v>328</v>
      </c>
      <c r="C222" t="s">
        <v>437</v>
      </c>
      <c r="D222" t="s">
        <v>3769</v>
      </c>
      <c r="E222" t="s">
        <v>3007</v>
      </c>
      <c r="F222" t="s">
        <v>3770</v>
      </c>
      <c r="G222" t="s">
        <v>3771</v>
      </c>
      <c r="H222" t="s">
        <v>2904</v>
      </c>
      <c r="I222" t="s">
        <v>2897</v>
      </c>
      <c r="J222" t="s">
        <v>3560</v>
      </c>
    </row>
    <row r="223" spans="1:10" x14ac:dyDescent="0.2">
      <c r="A223" t="s">
        <v>88</v>
      </c>
      <c r="B223" t="s">
        <v>328</v>
      </c>
      <c r="C223" t="s">
        <v>437</v>
      </c>
      <c r="D223" t="s">
        <v>3641</v>
      </c>
      <c r="E223" t="s">
        <v>3064</v>
      </c>
      <c r="F223" t="s">
        <v>2926</v>
      </c>
      <c r="G223" t="s">
        <v>3772</v>
      </c>
      <c r="H223" t="s">
        <v>2896</v>
      </c>
      <c r="I223" t="s">
        <v>2959</v>
      </c>
      <c r="J223" t="s">
        <v>3773</v>
      </c>
    </row>
    <row r="224" spans="1:10" x14ac:dyDescent="0.2">
      <c r="A224" t="s">
        <v>88</v>
      </c>
      <c r="B224" t="s">
        <v>595</v>
      </c>
      <c r="C224" t="s">
        <v>158</v>
      </c>
      <c r="D224" t="s">
        <v>3774</v>
      </c>
      <c r="E224" t="s">
        <v>3179</v>
      </c>
      <c r="F224" t="s">
        <v>3174</v>
      </c>
      <c r="G224" t="s">
        <v>3178</v>
      </c>
      <c r="H224" t="s">
        <v>2896</v>
      </c>
      <c r="I224" t="s">
        <v>2897</v>
      </c>
      <c r="J224" t="s">
        <v>3775</v>
      </c>
    </row>
    <row r="225" spans="1:10" x14ac:dyDescent="0.2">
      <c r="A225" t="s">
        <v>88</v>
      </c>
      <c r="B225" t="s">
        <v>595</v>
      </c>
      <c r="C225" t="s">
        <v>431</v>
      </c>
      <c r="D225" t="s">
        <v>3251</v>
      </c>
      <c r="E225" t="s">
        <v>3776</v>
      </c>
      <c r="F225" t="s">
        <v>3777</v>
      </c>
      <c r="G225" t="s">
        <v>3778</v>
      </c>
      <c r="H225" t="s">
        <v>2896</v>
      </c>
      <c r="I225" t="s">
        <v>3231</v>
      </c>
      <c r="J225" t="s">
        <v>3675</v>
      </c>
    </row>
    <row r="226" spans="1:10" x14ac:dyDescent="0.2">
      <c r="A226" t="s">
        <v>88</v>
      </c>
      <c r="B226" t="s">
        <v>287</v>
      </c>
      <c r="C226" t="s">
        <v>1103</v>
      </c>
      <c r="D226" t="s">
        <v>3779</v>
      </c>
      <c r="E226" t="s">
        <v>3780</v>
      </c>
      <c r="F226" t="s">
        <v>3781</v>
      </c>
      <c r="G226" t="s">
        <v>3782</v>
      </c>
      <c r="H226" t="s">
        <v>2904</v>
      </c>
      <c r="I226" t="s">
        <v>2897</v>
      </c>
      <c r="J226" t="s">
        <v>3783</v>
      </c>
    </row>
    <row r="227" spans="1:10" x14ac:dyDescent="0.2">
      <c r="A227" t="s">
        <v>88</v>
      </c>
      <c r="B227" t="s">
        <v>1988</v>
      </c>
      <c r="C227" t="s">
        <v>588</v>
      </c>
      <c r="D227" t="s">
        <v>3315</v>
      </c>
      <c r="E227" t="s">
        <v>3046</v>
      </c>
      <c r="F227" t="s">
        <v>3016</v>
      </c>
      <c r="G227" t="s">
        <v>3234</v>
      </c>
      <c r="H227" t="s">
        <v>2896</v>
      </c>
      <c r="I227" t="s">
        <v>2897</v>
      </c>
      <c r="J227" t="s">
        <v>3784</v>
      </c>
    </row>
    <row r="228" spans="1:10" x14ac:dyDescent="0.2">
      <c r="A228" t="s">
        <v>94</v>
      </c>
      <c r="B228" t="s">
        <v>437</v>
      </c>
      <c r="C228" t="s">
        <v>532</v>
      </c>
      <c r="D228" t="s">
        <v>3785</v>
      </c>
      <c r="E228" t="s">
        <v>3247</v>
      </c>
      <c r="F228" t="s">
        <v>3243</v>
      </c>
      <c r="G228" t="s">
        <v>3786</v>
      </c>
      <c r="H228" t="s">
        <v>2904</v>
      </c>
      <c r="I228" t="s">
        <v>2897</v>
      </c>
      <c r="J228" t="s">
        <v>3787</v>
      </c>
    </row>
    <row r="229" spans="1:10" x14ac:dyDescent="0.2">
      <c r="A229" t="s">
        <v>94</v>
      </c>
      <c r="B229" t="s">
        <v>437</v>
      </c>
      <c r="C229" t="s">
        <v>3788</v>
      </c>
      <c r="D229" t="s">
        <v>3789</v>
      </c>
      <c r="E229" t="s">
        <v>3790</v>
      </c>
      <c r="F229" t="s">
        <v>3791</v>
      </c>
      <c r="G229" t="s">
        <v>3792</v>
      </c>
      <c r="H229" t="s">
        <v>2896</v>
      </c>
      <c r="I229" t="s">
        <v>2897</v>
      </c>
      <c r="J229" t="s">
        <v>3793</v>
      </c>
    </row>
    <row r="230" spans="1:10" x14ac:dyDescent="0.2">
      <c r="A230" t="s">
        <v>94</v>
      </c>
      <c r="B230" t="s">
        <v>437</v>
      </c>
      <c r="C230" t="s">
        <v>3794</v>
      </c>
      <c r="D230" t="s">
        <v>3362</v>
      </c>
      <c r="E230" t="s">
        <v>3020</v>
      </c>
      <c r="F230" t="s">
        <v>3795</v>
      </c>
      <c r="G230" t="s">
        <v>3796</v>
      </c>
      <c r="H230" t="s">
        <v>2896</v>
      </c>
      <c r="I230" t="s">
        <v>2959</v>
      </c>
      <c r="J230" t="s">
        <v>3797</v>
      </c>
    </row>
    <row r="231" spans="1:10" x14ac:dyDescent="0.2">
      <c r="A231" t="s">
        <v>94</v>
      </c>
      <c r="B231" t="s">
        <v>1213</v>
      </c>
      <c r="C231" t="s">
        <v>516</v>
      </c>
      <c r="D231" t="s">
        <v>3798</v>
      </c>
      <c r="E231" t="s">
        <v>3645</v>
      </c>
      <c r="F231" t="s">
        <v>2918</v>
      </c>
      <c r="G231" t="s">
        <v>3799</v>
      </c>
      <c r="H231" t="s">
        <v>2904</v>
      </c>
      <c r="I231" t="s">
        <v>2897</v>
      </c>
      <c r="J231" t="s">
        <v>3800</v>
      </c>
    </row>
    <row r="232" spans="1:10" x14ac:dyDescent="0.2">
      <c r="A232" t="s">
        <v>94</v>
      </c>
      <c r="B232" t="s">
        <v>1213</v>
      </c>
      <c r="C232" t="s">
        <v>3801</v>
      </c>
      <c r="D232" t="s">
        <v>3802</v>
      </c>
      <c r="E232" t="s">
        <v>3803</v>
      </c>
      <c r="F232" t="s">
        <v>3804</v>
      </c>
      <c r="G232" t="s">
        <v>3805</v>
      </c>
      <c r="H232" t="s">
        <v>2904</v>
      </c>
      <c r="I232" t="s">
        <v>2910</v>
      </c>
      <c r="J232" t="s">
        <v>3806</v>
      </c>
    </row>
    <row r="233" spans="1:10" x14ac:dyDescent="0.2">
      <c r="A233" t="s">
        <v>94</v>
      </c>
      <c r="B233" t="s">
        <v>511</v>
      </c>
      <c r="C233" t="s">
        <v>3807</v>
      </c>
      <c r="D233" t="s">
        <v>3808</v>
      </c>
      <c r="E233" t="s">
        <v>3809</v>
      </c>
      <c r="F233" t="s">
        <v>3810</v>
      </c>
      <c r="G233" t="s">
        <v>3811</v>
      </c>
      <c r="H233" t="s">
        <v>2904</v>
      </c>
      <c r="I233" t="s">
        <v>2897</v>
      </c>
      <c r="J233" t="s">
        <v>3812</v>
      </c>
    </row>
    <row r="234" spans="1:10" x14ac:dyDescent="0.2">
      <c r="A234" t="s">
        <v>94</v>
      </c>
      <c r="B234" t="s">
        <v>511</v>
      </c>
      <c r="C234" t="s">
        <v>174</v>
      </c>
      <c r="D234" t="s">
        <v>3813</v>
      </c>
      <c r="E234" t="s">
        <v>2895</v>
      </c>
      <c r="F234" t="s">
        <v>3179</v>
      </c>
      <c r="G234" t="s">
        <v>3814</v>
      </c>
      <c r="H234" t="s">
        <v>2896</v>
      </c>
      <c r="I234" t="s">
        <v>3231</v>
      </c>
      <c r="J234" t="s">
        <v>3815</v>
      </c>
    </row>
    <row r="235" spans="1:10" x14ac:dyDescent="0.2">
      <c r="A235" t="s">
        <v>94</v>
      </c>
      <c r="B235" t="s">
        <v>1202</v>
      </c>
      <c r="C235" t="s">
        <v>3816</v>
      </c>
      <c r="D235" t="s">
        <v>3817</v>
      </c>
      <c r="E235" t="s">
        <v>3239</v>
      </c>
      <c r="F235" t="s">
        <v>2931</v>
      </c>
      <c r="G235" t="s">
        <v>3818</v>
      </c>
      <c r="H235" t="s">
        <v>2904</v>
      </c>
      <c r="I235" t="s">
        <v>2910</v>
      </c>
      <c r="J235" t="s">
        <v>3819</v>
      </c>
    </row>
    <row r="236" spans="1:10" x14ac:dyDescent="0.2">
      <c r="A236" t="s">
        <v>94</v>
      </c>
      <c r="B236" t="s">
        <v>1202</v>
      </c>
      <c r="C236" t="s">
        <v>329</v>
      </c>
      <c r="D236" t="s">
        <v>3233</v>
      </c>
      <c r="E236" t="s">
        <v>3135</v>
      </c>
      <c r="F236" t="s">
        <v>3172</v>
      </c>
      <c r="G236" t="s">
        <v>3820</v>
      </c>
      <c r="H236" t="s">
        <v>2896</v>
      </c>
      <c r="I236" t="s">
        <v>3032</v>
      </c>
      <c r="J236" t="s">
        <v>3821</v>
      </c>
    </row>
    <row r="237" spans="1:10" x14ac:dyDescent="0.2">
      <c r="A237" t="s">
        <v>94</v>
      </c>
      <c r="B237" t="s">
        <v>315</v>
      </c>
      <c r="C237" t="s">
        <v>3822</v>
      </c>
      <c r="D237" t="s">
        <v>3823</v>
      </c>
      <c r="E237" t="s">
        <v>2969</v>
      </c>
      <c r="F237" t="s">
        <v>3824</v>
      </c>
      <c r="G237" t="s">
        <v>3825</v>
      </c>
      <c r="H237" t="s">
        <v>2896</v>
      </c>
      <c r="I237" t="s">
        <v>2959</v>
      </c>
      <c r="J237" t="s">
        <v>3826</v>
      </c>
    </row>
    <row r="238" spans="1:10" x14ac:dyDescent="0.2">
      <c r="A238" t="s">
        <v>94</v>
      </c>
      <c r="B238" t="s">
        <v>315</v>
      </c>
      <c r="C238" t="s">
        <v>517</v>
      </c>
      <c r="D238" t="s">
        <v>3827</v>
      </c>
      <c r="E238" t="s">
        <v>2994</v>
      </c>
      <c r="F238" t="s">
        <v>2893</v>
      </c>
      <c r="G238" t="s">
        <v>3828</v>
      </c>
      <c r="H238" t="s">
        <v>2896</v>
      </c>
      <c r="I238" t="s">
        <v>2897</v>
      </c>
      <c r="J238" t="s">
        <v>3829</v>
      </c>
    </row>
    <row r="239" spans="1:10" x14ac:dyDescent="0.2">
      <c r="A239" t="s">
        <v>94</v>
      </c>
      <c r="B239" t="s">
        <v>166</v>
      </c>
      <c r="C239" t="s">
        <v>470</v>
      </c>
      <c r="D239" t="s">
        <v>3497</v>
      </c>
      <c r="E239" t="s">
        <v>3292</v>
      </c>
      <c r="F239" t="s">
        <v>3040</v>
      </c>
      <c r="G239" t="s">
        <v>3830</v>
      </c>
      <c r="H239" t="s">
        <v>2904</v>
      </c>
      <c r="I239" t="s">
        <v>3231</v>
      </c>
      <c r="J239" t="s">
        <v>3831</v>
      </c>
    </row>
    <row r="240" spans="1:10" x14ac:dyDescent="0.2">
      <c r="A240" t="s">
        <v>89</v>
      </c>
      <c r="B240" t="s">
        <v>437</v>
      </c>
      <c r="C240" t="s">
        <v>1197</v>
      </c>
      <c r="D240" t="s">
        <v>3236</v>
      </c>
      <c r="E240" t="s">
        <v>3212</v>
      </c>
      <c r="F240" t="s">
        <v>2930</v>
      </c>
      <c r="G240" t="s">
        <v>3832</v>
      </c>
      <c r="H240" t="s">
        <v>2904</v>
      </c>
      <c r="I240" t="s">
        <v>2897</v>
      </c>
      <c r="J240" t="s">
        <v>3237</v>
      </c>
    </row>
    <row r="241" spans="1:10" x14ac:dyDescent="0.2">
      <c r="A241" t="s">
        <v>89</v>
      </c>
      <c r="B241" t="s">
        <v>437</v>
      </c>
      <c r="C241" t="s">
        <v>3362</v>
      </c>
      <c r="D241" t="s">
        <v>3833</v>
      </c>
      <c r="E241" t="s">
        <v>3364</v>
      </c>
      <c r="F241" t="s">
        <v>2994</v>
      </c>
      <c r="G241" t="s">
        <v>3834</v>
      </c>
      <c r="H241" t="s">
        <v>2896</v>
      </c>
      <c r="I241" t="s">
        <v>2959</v>
      </c>
      <c r="J241" t="s">
        <v>3835</v>
      </c>
    </row>
    <row r="242" spans="1:10" x14ac:dyDescent="0.2">
      <c r="A242" t="s">
        <v>89</v>
      </c>
      <c r="B242" t="s">
        <v>1242</v>
      </c>
      <c r="C242" t="s">
        <v>1243</v>
      </c>
      <c r="D242" t="s">
        <v>3836</v>
      </c>
      <c r="E242" t="s">
        <v>3691</v>
      </c>
      <c r="F242" t="s">
        <v>3837</v>
      </c>
      <c r="G242" t="s">
        <v>3838</v>
      </c>
      <c r="H242" t="s">
        <v>2904</v>
      </c>
      <c r="I242" t="s">
        <v>2897</v>
      </c>
      <c r="J242" t="s">
        <v>3839</v>
      </c>
    </row>
    <row r="243" spans="1:10" x14ac:dyDescent="0.2">
      <c r="A243" t="s">
        <v>89</v>
      </c>
      <c r="B243" t="s">
        <v>1242</v>
      </c>
      <c r="C243" t="s">
        <v>3840</v>
      </c>
      <c r="D243" t="s">
        <v>3841</v>
      </c>
      <c r="E243" t="s">
        <v>3842</v>
      </c>
      <c r="F243" t="s">
        <v>3843</v>
      </c>
      <c r="G243" t="s">
        <v>3844</v>
      </c>
      <c r="H243" t="s">
        <v>2904</v>
      </c>
      <c r="I243" t="s">
        <v>2910</v>
      </c>
      <c r="J243" t="s">
        <v>3845</v>
      </c>
    </row>
    <row r="244" spans="1:10" x14ac:dyDescent="0.2">
      <c r="A244" t="s">
        <v>89</v>
      </c>
      <c r="B244" t="s">
        <v>1247</v>
      </c>
      <c r="C244" t="s">
        <v>3846</v>
      </c>
      <c r="D244" t="s">
        <v>3847</v>
      </c>
      <c r="E244" t="s">
        <v>2930</v>
      </c>
      <c r="F244" t="s">
        <v>3003</v>
      </c>
      <c r="G244" t="s">
        <v>3848</v>
      </c>
      <c r="H244" t="s">
        <v>2904</v>
      </c>
      <c r="I244" t="s">
        <v>2921</v>
      </c>
      <c r="J244" t="s">
        <v>3849</v>
      </c>
    </row>
    <row r="245" spans="1:10" x14ac:dyDescent="0.2">
      <c r="A245" t="s">
        <v>89</v>
      </c>
      <c r="B245" t="s">
        <v>1247</v>
      </c>
      <c r="C245" t="s">
        <v>3850</v>
      </c>
      <c r="D245" t="s">
        <v>3851</v>
      </c>
      <c r="E245" t="s">
        <v>3852</v>
      </c>
      <c r="F245" t="s">
        <v>3179</v>
      </c>
      <c r="G245" t="s">
        <v>3853</v>
      </c>
      <c r="H245" t="s">
        <v>2896</v>
      </c>
      <c r="I245" t="s">
        <v>2897</v>
      </c>
      <c r="J245" t="s">
        <v>3854</v>
      </c>
    </row>
    <row r="246" spans="1:10" x14ac:dyDescent="0.2">
      <c r="A246" t="s">
        <v>89</v>
      </c>
      <c r="B246" t="s">
        <v>1253</v>
      </c>
      <c r="C246" t="s">
        <v>635</v>
      </c>
      <c r="D246" t="s">
        <v>3855</v>
      </c>
      <c r="E246" t="s">
        <v>3856</v>
      </c>
      <c r="F246" t="s">
        <v>3804</v>
      </c>
      <c r="G246" t="s">
        <v>3857</v>
      </c>
      <c r="H246" t="s">
        <v>2904</v>
      </c>
      <c r="I246" t="s">
        <v>2910</v>
      </c>
      <c r="J246" t="s">
        <v>3858</v>
      </c>
    </row>
    <row r="247" spans="1:10" x14ac:dyDescent="0.2">
      <c r="A247" t="s">
        <v>89</v>
      </c>
      <c r="B247" t="s">
        <v>413</v>
      </c>
      <c r="C247" t="s">
        <v>329</v>
      </c>
      <c r="D247" t="s">
        <v>3233</v>
      </c>
      <c r="E247" t="s">
        <v>3135</v>
      </c>
      <c r="F247" t="s">
        <v>3136</v>
      </c>
      <c r="G247" t="s">
        <v>3859</v>
      </c>
      <c r="H247" t="s">
        <v>2896</v>
      </c>
      <c r="I247" t="s">
        <v>2959</v>
      </c>
      <c r="J247" t="s">
        <v>3860</v>
      </c>
    </row>
    <row r="248" spans="1:10" x14ac:dyDescent="0.2">
      <c r="A248" t="s">
        <v>89</v>
      </c>
      <c r="B248" t="s">
        <v>1265</v>
      </c>
      <c r="C248" t="s">
        <v>1152</v>
      </c>
      <c r="D248" t="s">
        <v>3861</v>
      </c>
      <c r="E248" t="s">
        <v>3201</v>
      </c>
      <c r="F248" t="s">
        <v>3110</v>
      </c>
      <c r="G248" t="s">
        <v>3862</v>
      </c>
      <c r="H248" t="s">
        <v>2904</v>
      </c>
      <c r="I248" t="s">
        <v>2897</v>
      </c>
      <c r="J248" t="s">
        <v>3863</v>
      </c>
    </row>
    <row r="249" spans="1:10" x14ac:dyDescent="0.2">
      <c r="A249" t="s">
        <v>89</v>
      </c>
      <c r="B249" t="s">
        <v>1237</v>
      </c>
      <c r="C249" t="s">
        <v>922</v>
      </c>
      <c r="D249" t="s">
        <v>3572</v>
      </c>
      <c r="E249" t="s">
        <v>3864</v>
      </c>
      <c r="F249" t="s">
        <v>3865</v>
      </c>
      <c r="G249" t="s">
        <v>3866</v>
      </c>
      <c r="H249" t="s">
        <v>2904</v>
      </c>
      <c r="I249" t="s">
        <v>2897</v>
      </c>
      <c r="J249" t="s">
        <v>3867</v>
      </c>
    </row>
    <row r="250" spans="1:10" x14ac:dyDescent="0.2">
      <c r="A250" t="s">
        <v>89</v>
      </c>
      <c r="B250" t="s">
        <v>517</v>
      </c>
      <c r="C250" t="s">
        <v>3868</v>
      </c>
      <c r="D250" t="s">
        <v>3869</v>
      </c>
      <c r="E250" t="s">
        <v>3870</v>
      </c>
      <c r="F250" t="s">
        <v>3085</v>
      </c>
      <c r="G250" t="s">
        <v>3871</v>
      </c>
      <c r="H250" t="s">
        <v>2904</v>
      </c>
      <c r="I250" t="s">
        <v>2921</v>
      </c>
      <c r="J250" t="s">
        <v>3872</v>
      </c>
    </row>
    <row r="251" spans="1:10" x14ac:dyDescent="0.2">
      <c r="A251" t="s">
        <v>89</v>
      </c>
      <c r="B251" t="s">
        <v>540</v>
      </c>
      <c r="C251" t="s">
        <v>197</v>
      </c>
      <c r="D251" t="s">
        <v>2953</v>
      </c>
      <c r="E251" t="s">
        <v>2932</v>
      </c>
      <c r="F251" t="s">
        <v>2915</v>
      </c>
      <c r="G251" t="s">
        <v>3873</v>
      </c>
      <c r="H251" t="s">
        <v>2904</v>
      </c>
      <c r="I251" t="s">
        <v>2910</v>
      </c>
      <c r="J251" t="s">
        <v>3874</v>
      </c>
    </row>
    <row r="252" spans="1:10" x14ac:dyDescent="0.2">
      <c r="A252" t="s">
        <v>63</v>
      </c>
      <c r="B252" t="s">
        <v>250</v>
      </c>
      <c r="C252" t="s">
        <v>1272</v>
      </c>
      <c r="D252" t="s">
        <v>3875</v>
      </c>
      <c r="E252" t="s">
        <v>3876</v>
      </c>
      <c r="F252" t="s">
        <v>3877</v>
      </c>
      <c r="G252" t="s">
        <v>3878</v>
      </c>
      <c r="H252" t="s">
        <v>2904</v>
      </c>
      <c r="I252" t="s">
        <v>2959</v>
      </c>
      <c r="J252" t="s">
        <v>3879</v>
      </c>
    </row>
    <row r="253" spans="1:10" x14ac:dyDescent="0.2">
      <c r="A253" t="s">
        <v>63</v>
      </c>
      <c r="B253" t="s">
        <v>250</v>
      </c>
      <c r="C253" t="s">
        <v>1277</v>
      </c>
      <c r="D253" t="s">
        <v>3880</v>
      </c>
      <c r="E253" t="s">
        <v>3110</v>
      </c>
      <c r="F253" t="s">
        <v>2931</v>
      </c>
      <c r="G253" t="s">
        <v>3881</v>
      </c>
      <c r="H253" t="s">
        <v>2904</v>
      </c>
      <c r="I253" t="s">
        <v>2897</v>
      </c>
      <c r="J253" t="s">
        <v>3882</v>
      </c>
    </row>
    <row r="254" spans="1:10" x14ac:dyDescent="0.2">
      <c r="A254" t="s">
        <v>63</v>
      </c>
      <c r="B254" t="s">
        <v>1286</v>
      </c>
      <c r="C254" t="s">
        <v>3883</v>
      </c>
      <c r="D254" t="s">
        <v>3884</v>
      </c>
      <c r="E254" t="s">
        <v>3096</v>
      </c>
      <c r="F254" t="s">
        <v>3097</v>
      </c>
      <c r="G254" t="s">
        <v>3885</v>
      </c>
      <c r="H254" t="s">
        <v>2896</v>
      </c>
      <c r="I254" t="s">
        <v>3032</v>
      </c>
      <c r="J254" t="s">
        <v>3886</v>
      </c>
    </row>
    <row r="255" spans="1:10" x14ac:dyDescent="0.2">
      <c r="A255" t="s">
        <v>63</v>
      </c>
      <c r="B255" t="s">
        <v>1286</v>
      </c>
      <c r="C255" t="s">
        <v>3887</v>
      </c>
      <c r="D255" t="s">
        <v>3888</v>
      </c>
      <c r="E255" t="s">
        <v>3889</v>
      </c>
      <c r="F255" t="s">
        <v>3890</v>
      </c>
      <c r="G255" t="s">
        <v>3891</v>
      </c>
      <c r="H255" t="s">
        <v>2896</v>
      </c>
      <c r="I255" t="s">
        <v>2959</v>
      </c>
      <c r="J255" t="s">
        <v>3892</v>
      </c>
    </row>
    <row r="256" spans="1:10" x14ac:dyDescent="0.2">
      <c r="A256" t="s">
        <v>63</v>
      </c>
      <c r="B256" t="s">
        <v>487</v>
      </c>
      <c r="C256" t="s">
        <v>1282</v>
      </c>
      <c r="D256" t="s">
        <v>3271</v>
      </c>
      <c r="E256" t="s">
        <v>3473</v>
      </c>
      <c r="F256" t="s">
        <v>3136</v>
      </c>
      <c r="G256" t="s">
        <v>3893</v>
      </c>
      <c r="H256" t="s">
        <v>2896</v>
      </c>
      <c r="I256" t="s">
        <v>2897</v>
      </c>
      <c r="J256" t="s">
        <v>3894</v>
      </c>
    </row>
    <row r="257" spans="1:10" x14ac:dyDescent="0.2">
      <c r="A257" t="s">
        <v>63</v>
      </c>
      <c r="B257" t="s">
        <v>487</v>
      </c>
      <c r="C257" t="s">
        <v>1282</v>
      </c>
      <c r="D257" t="s">
        <v>3895</v>
      </c>
      <c r="E257" t="s">
        <v>3896</v>
      </c>
      <c r="F257" t="s">
        <v>3897</v>
      </c>
      <c r="G257" t="s">
        <v>3898</v>
      </c>
      <c r="H257" t="s">
        <v>2904</v>
      </c>
      <c r="I257" t="s">
        <v>2897</v>
      </c>
      <c r="J257" t="s">
        <v>3899</v>
      </c>
    </row>
    <row r="258" spans="1:10" x14ac:dyDescent="0.2">
      <c r="A258" t="s">
        <v>63</v>
      </c>
      <c r="B258" t="s">
        <v>135</v>
      </c>
      <c r="C258" t="s">
        <v>532</v>
      </c>
      <c r="D258" t="s">
        <v>3900</v>
      </c>
      <c r="E258" t="s">
        <v>3007</v>
      </c>
      <c r="F258" t="s">
        <v>3901</v>
      </c>
      <c r="G258" t="s">
        <v>3902</v>
      </c>
      <c r="H258" t="s">
        <v>2904</v>
      </c>
      <c r="I258" t="s">
        <v>2910</v>
      </c>
      <c r="J258" t="s">
        <v>3903</v>
      </c>
    </row>
    <row r="259" spans="1:10" x14ac:dyDescent="0.2">
      <c r="A259" t="s">
        <v>63</v>
      </c>
      <c r="B259" t="s">
        <v>135</v>
      </c>
      <c r="C259" t="s">
        <v>3904</v>
      </c>
      <c r="D259" t="s">
        <v>3905</v>
      </c>
      <c r="E259" t="s">
        <v>3520</v>
      </c>
      <c r="F259" t="s">
        <v>3201</v>
      </c>
      <c r="G259" t="s">
        <v>3906</v>
      </c>
      <c r="H259" t="s">
        <v>2904</v>
      </c>
      <c r="I259" t="s">
        <v>3231</v>
      </c>
      <c r="J259" t="s">
        <v>3907</v>
      </c>
    </row>
    <row r="260" spans="1:10" x14ac:dyDescent="0.2">
      <c r="A260" t="s">
        <v>63</v>
      </c>
      <c r="B260" t="s">
        <v>329</v>
      </c>
      <c r="C260" t="s">
        <v>1300</v>
      </c>
      <c r="D260" t="s">
        <v>3908</v>
      </c>
      <c r="E260" t="s">
        <v>3172</v>
      </c>
      <c r="F260" t="s">
        <v>3016</v>
      </c>
      <c r="G260" t="s">
        <v>3909</v>
      </c>
      <c r="H260" t="s">
        <v>2896</v>
      </c>
      <c r="I260" t="s">
        <v>3032</v>
      </c>
      <c r="J260" t="s">
        <v>3910</v>
      </c>
    </row>
    <row r="261" spans="1:10" x14ac:dyDescent="0.2">
      <c r="A261" t="s">
        <v>63</v>
      </c>
      <c r="B261" t="s">
        <v>329</v>
      </c>
      <c r="C261" t="s">
        <v>3911</v>
      </c>
      <c r="D261" t="s">
        <v>3912</v>
      </c>
      <c r="E261" t="s">
        <v>3020</v>
      </c>
      <c r="F261" t="s">
        <v>3913</v>
      </c>
      <c r="G261" t="s">
        <v>3914</v>
      </c>
      <c r="H261" t="s">
        <v>2896</v>
      </c>
      <c r="I261" t="s">
        <v>2959</v>
      </c>
      <c r="J261" t="s">
        <v>3915</v>
      </c>
    </row>
    <row r="262" spans="1:10" x14ac:dyDescent="0.2">
      <c r="A262" t="s">
        <v>63</v>
      </c>
      <c r="B262" t="s">
        <v>1291</v>
      </c>
      <c r="C262" t="s">
        <v>288</v>
      </c>
      <c r="D262" t="s">
        <v>3916</v>
      </c>
      <c r="E262" t="s">
        <v>3917</v>
      </c>
      <c r="F262" t="s">
        <v>3918</v>
      </c>
      <c r="G262" t="s">
        <v>3919</v>
      </c>
      <c r="H262" t="s">
        <v>2904</v>
      </c>
      <c r="I262" t="s">
        <v>2897</v>
      </c>
      <c r="J262" t="s">
        <v>3920</v>
      </c>
    </row>
    <row r="263" spans="1:10" x14ac:dyDescent="0.2">
      <c r="A263" t="s">
        <v>63</v>
      </c>
      <c r="B263" t="s">
        <v>547</v>
      </c>
      <c r="C263" t="s">
        <v>1296</v>
      </c>
      <c r="D263" t="s">
        <v>3921</v>
      </c>
      <c r="E263" t="s">
        <v>3747</v>
      </c>
      <c r="F263" t="s">
        <v>3922</v>
      </c>
      <c r="G263" t="s">
        <v>3923</v>
      </c>
      <c r="H263" t="s">
        <v>2904</v>
      </c>
      <c r="I263" t="s">
        <v>2959</v>
      </c>
      <c r="J263" t="s">
        <v>3924</v>
      </c>
    </row>
    <row r="264" spans="1:10" x14ac:dyDescent="0.2">
      <c r="A264" t="s">
        <v>79</v>
      </c>
      <c r="B264" t="s">
        <v>595</v>
      </c>
      <c r="C264" t="s">
        <v>431</v>
      </c>
      <c r="D264" t="s">
        <v>3925</v>
      </c>
      <c r="E264" t="s">
        <v>3926</v>
      </c>
      <c r="F264" t="s">
        <v>3209</v>
      </c>
      <c r="G264" t="s">
        <v>3191</v>
      </c>
      <c r="H264" t="s">
        <v>2904</v>
      </c>
      <c r="I264" t="s">
        <v>2959</v>
      </c>
      <c r="J264" t="s">
        <v>3927</v>
      </c>
    </row>
    <row r="265" spans="1:10" x14ac:dyDescent="0.2">
      <c r="A265" t="s">
        <v>79</v>
      </c>
      <c r="B265" t="s">
        <v>595</v>
      </c>
      <c r="C265" t="s">
        <v>158</v>
      </c>
      <c r="D265" t="s">
        <v>3928</v>
      </c>
      <c r="E265" t="s">
        <v>3929</v>
      </c>
      <c r="F265" t="s">
        <v>3930</v>
      </c>
      <c r="G265" t="s">
        <v>3931</v>
      </c>
      <c r="H265" t="s">
        <v>2904</v>
      </c>
      <c r="I265" t="s">
        <v>2897</v>
      </c>
      <c r="J265" t="s">
        <v>3932</v>
      </c>
    </row>
    <row r="266" spans="1:10" x14ac:dyDescent="0.2">
      <c r="A266" t="s">
        <v>79</v>
      </c>
      <c r="B266" t="s">
        <v>188</v>
      </c>
      <c r="C266" t="s">
        <v>476</v>
      </c>
      <c r="D266" t="s">
        <v>3933</v>
      </c>
      <c r="E266" t="s">
        <v>3934</v>
      </c>
      <c r="F266" t="s">
        <v>3136</v>
      </c>
      <c r="G266" t="s">
        <v>3620</v>
      </c>
      <c r="H266" t="s">
        <v>2904</v>
      </c>
      <c r="I266" t="s">
        <v>3032</v>
      </c>
      <c r="J266" t="s">
        <v>3935</v>
      </c>
    </row>
    <row r="267" spans="1:10" x14ac:dyDescent="0.2">
      <c r="A267" t="s">
        <v>79</v>
      </c>
      <c r="B267" t="s">
        <v>315</v>
      </c>
      <c r="C267" t="s">
        <v>1319</v>
      </c>
      <c r="D267" t="s">
        <v>3936</v>
      </c>
      <c r="E267" t="s">
        <v>3937</v>
      </c>
      <c r="F267" t="s">
        <v>3938</v>
      </c>
      <c r="G267" t="s">
        <v>3939</v>
      </c>
      <c r="H267" t="s">
        <v>2904</v>
      </c>
      <c r="I267" t="s">
        <v>2897</v>
      </c>
      <c r="J267" t="s">
        <v>3940</v>
      </c>
    </row>
    <row r="268" spans="1:10" x14ac:dyDescent="0.2">
      <c r="A268" t="s">
        <v>79</v>
      </c>
      <c r="B268" t="s">
        <v>221</v>
      </c>
      <c r="C268" t="s">
        <v>3941</v>
      </c>
      <c r="D268" t="s">
        <v>3942</v>
      </c>
      <c r="E268" t="s">
        <v>3943</v>
      </c>
      <c r="F268" t="s">
        <v>3944</v>
      </c>
      <c r="G268" t="s">
        <v>3945</v>
      </c>
      <c r="H268" t="s">
        <v>2904</v>
      </c>
      <c r="I268" t="s">
        <v>2959</v>
      </c>
      <c r="J268" t="s">
        <v>3946</v>
      </c>
    </row>
    <row r="269" spans="1:10" x14ac:dyDescent="0.2">
      <c r="A269" t="s">
        <v>79</v>
      </c>
      <c r="B269" t="s">
        <v>221</v>
      </c>
      <c r="C269" t="s">
        <v>251</v>
      </c>
      <c r="D269" t="s">
        <v>3947</v>
      </c>
      <c r="E269" t="s">
        <v>2920</v>
      </c>
      <c r="F269" t="s">
        <v>3071</v>
      </c>
      <c r="G269" t="s">
        <v>3948</v>
      </c>
      <c r="H269" t="s">
        <v>2904</v>
      </c>
      <c r="I269" t="s">
        <v>2897</v>
      </c>
      <c r="J269" t="s">
        <v>3949</v>
      </c>
    </row>
    <row r="270" spans="1:10" x14ac:dyDescent="0.2">
      <c r="A270" t="s">
        <v>79</v>
      </c>
      <c r="B270" t="s">
        <v>1357</v>
      </c>
      <c r="C270" t="s">
        <v>9</v>
      </c>
      <c r="D270" t="s">
        <v>3950</v>
      </c>
      <c r="E270" t="s">
        <v>3951</v>
      </c>
      <c r="F270" t="s">
        <v>3952</v>
      </c>
      <c r="G270" t="s">
        <v>3953</v>
      </c>
      <c r="H270" t="s">
        <v>2896</v>
      </c>
      <c r="I270" t="s">
        <v>2959</v>
      </c>
      <c r="J270" t="s">
        <v>3954</v>
      </c>
    </row>
    <row r="271" spans="1:10" x14ac:dyDescent="0.2">
      <c r="A271" t="s">
        <v>79</v>
      </c>
      <c r="B271" t="s">
        <v>315</v>
      </c>
      <c r="C271" t="s">
        <v>1715</v>
      </c>
      <c r="D271" t="s">
        <v>3955</v>
      </c>
      <c r="E271" t="s">
        <v>3760</v>
      </c>
      <c r="F271" t="s">
        <v>3956</v>
      </c>
      <c r="G271" t="s">
        <v>3957</v>
      </c>
      <c r="H271" t="s">
        <v>2904</v>
      </c>
      <c r="I271" t="s">
        <v>2897</v>
      </c>
      <c r="J271" t="s">
        <v>3958</v>
      </c>
    </row>
    <row r="272" spans="1:10" x14ac:dyDescent="0.2">
      <c r="A272" t="s">
        <v>79</v>
      </c>
      <c r="B272" t="s">
        <v>166</v>
      </c>
      <c r="C272" t="s">
        <v>3959</v>
      </c>
      <c r="D272" t="s">
        <v>3325</v>
      </c>
      <c r="E272" t="s">
        <v>3960</v>
      </c>
      <c r="F272" t="s">
        <v>3961</v>
      </c>
      <c r="G272" t="s">
        <v>3962</v>
      </c>
      <c r="H272" t="s">
        <v>2904</v>
      </c>
      <c r="I272" t="s">
        <v>2959</v>
      </c>
      <c r="J272" t="s">
        <v>3963</v>
      </c>
    </row>
    <row r="273" spans="1:10" x14ac:dyDescent="0.2">
      <c r="A273" t="s">
        <v>79</v>
      </c>
      <c r="B273" t="s">
        <v>315</v>
      </c>
      <c r="C273" t="s">
        <v>1333</v>
      </c>
      <c r="D273" t="s">
        <v>3964</v>
      </c>
      <c r="E273" t="s">
        <v>3965</v>
      </c>
      <c r="F273" t="s">
        <v>3966</v>
      </c>
      <c r="G273" t="s">
        <v>3967</v>
      </c>
      <c r="H273" t="s">
        <v>2904</v>
      </c>
      <c r="I273" t="s">
        <v>3032</v>
      </c>
      <c r="J273" t="s">
        <v>3968</v>
      </c>
    </row>
    <row r="274" spans="1:10" x14ac:dyDescent="0.2">
      <c r="A274" t="s">
        <v>79</v>
      </c>
      <c r="B274" t="s">
        <v>1344</v>
      </c>
      <c r="C274" t="s">
        <v>1345</v>
      </c>
      <c r="D274" t="s">
        <v>3969</v>
      </c>
      <c r="E274" t="s">
        <v>3970</v>
      </c>
      <c r="F274" t="s">
        <v>3051</v>
      </c>
      <c r="G274" t="s">
        <v>3971</v>
      </c>
      <c r="H274" t="s">
        <v>2904</v>
      </c>
      <c r="I274" t="s">
        <v>2897</v>
      </c>
      <c r="J274" t="s">
        <v>3972</v>
      </c>
    </row>
    <row r="275" spans="1:10" x14ac:dyDescent="0.2">
      <c r="A275" t="s">
        <v>79</v>
      </c>
      <c r="B275" t="s">
        <v>188</v>
      </c>
      <c r="C275" t="s">
        <v>835</v>
      </c>
      <c r="D275" t="s">
        <v>3973</v>
      </c>
      <c r="E275" t="s">
        <v>3110</v>
      </c>
      <c r="F275" t="s">
        <v>3974</v>
      </c>
      <c r="G275" t="s">
        <v>3975</v>
      </c>
      <c r="H275" t="s">
        <v>2904</v>
      </c>
      <c r="I275" t="s">
        <v>2959</v>
      </c>
      <c r="J275" t="s">
        <v>3976</v>
      </c>
    </row>
    <row r="276" spans="1:10" x14ac:dyDescent="0.2">
      <c r="A276" t="s">
        <v>74</v>
      </c>
      <c r="B276" t="s">
        <v>1384</v>
      </c>
      <c r="C276" t="s">
        <v>197</v>
      </c>
      <c r="D276" t="s">
        <v>3977</v>
      </c>
      <c r="E276" t="s">
        <v>3262</v>
      </c>
      <c r="F276" t="s">
        <v>3075</v>
      </c>
      <c r="G276" t="s">
        <v>3978</v>
      </c>
      <c r="H276" t="s">
        <v>2904</v>
      </c>
      <c r="I276" t="s">
        <v>2897</v>
      </c>
      <c r="J276" t="s">
        <v>3979</v>
      </c>
    </row>
    <row r="277" spans="1:10" x14ac:dyDescent="0.2">
      <c r="A277" t="s">
        <v>74</v>
      </c>
      <c r="B277" t="s">
        <v>1384</v>
      </c>
      <c r="C277" t="s">
        <v>3980</v>
      </c>
      <c r="D277" t="s">
        <v>3981</v>
      </c>
      <c r="E277" t="s">
        <v>3982</v>
      </c>
      <c r="F277" t="s">
        <v>3983</v>
      </c>
      <c r="G277" t="s">
        <v>3984</v>
      </c>
      <c r="H277" t="s">
        <v>2904</v>
      </c>
      <c r="I277" t="s">
        <v>2959</v>
      </c>
      <c r="J277" t="s">
        <v>3985</v>
      </c>
    </row>
    <row r="278" spans="1:10" x14ac:dyDescent="0.2">
      <c r="A278" t="s">
        <v>74</v>
      </c>
      <c r="B278" t="s">
        <v>1396</v>
      </c>
      <c r="C278" t="s">
        <v>1152</v>
      </c>
      <c r="D278" t="s">
        <v>3986</v>
      </c>
      <c r="E278" t="s">
        <v>3201</v>
      </c>
      <c r="F278" t="s">
        <v>2979</v>
      </c>
      <c r="G278" t="s">
        <v>2958</v>
      </c>
      <c r="H278" t="s">
        <v>2904</v>
      </c>
      <c r="I278" t="s">
        <v>2897</v>
      </c>
      <c r="J278" t="s">
        <v>3987</v>
      </c>
    </row>
    <row r="279" spans="1:10" x14ac:dyDescent="0.2">
      <c r="A279" t="s">
        <v>74</v>
      </c>
      <c r="B279" t="s">
        <v>1396</v>
      </c>
      <c r="C279" t="s">
        <v>3710</v>
      </c>
      <c r="D279" t="s">
        <v>3988</v>
      </c>
      <c r="E279" t="s">
        <v>2991</v>
      </c>
      <c r="F279" t="s">
        <v>3258</v>
      </c>
      <c r="G279" t="s">
        <v>3020</v>
      </c>
      <c r="H279" t="s">
        <v>2904</v>
      </c>
      <c r="I279" t="s">
        <v>3032</v>
      </c>
      <c r="J279" t="s">
        <v>3989</v>
      </c>
    </row>
    <row r="280" spans="1:10" x14ac:dyDescent="0.2">
      <c r="A280" t="s">
        <v>74</v>
      </c>
      <c r="B280" t="s">
        <v>1390</v>
      </c>
      <c r="C280" t="s">
        <v>1391</v>
      </c>
      <c r="D280" t="s">
        <v>3990</v>
      </c>
      <c r="E280" t="s">
        <v>3991</v>
      </c>
      <c r="F280" t="s">
        <v>3439</v>
      </c>
      <c r="G280" t="s">
        <v>3992</v>
      </c>
      <c r="H280" t="s">
        <v>2904</v>
      </c>
      <c r="I280" t="s">
        <v>2897</v>
      </c>
      <c r="J280" t="s">
        <v>3993</v>
      </c>
    </row>
    <row r="281" spans="1:10" x14ac:dyDescent="0.2">
      <c r="A281" t="s">
        <v>74</v>
      </c>
      <c r="B281" t="s">
        <v>1390</v>
      </c>
      <c r="C281" t="s">
        <v>1403</v>
      </c>
      <c r="D281" t="s">
        <v>3994</v>
      </c>
      <c r="E281" t="s">
        <v>3995</v>
      </c>
      <c r="F281" t="s">
        <v>3996</v>
      </c>
      <c r="G281" t="s">
        <v>3407</v>
      </c>
      <c r="H281" t="s">
        <v>2904</v>
      </c>
      <c r="I281" t="s">
        <v>2910</v>
      </c>
      <c r="J281" t="s">
        <v>3997</v>
      </c>
    </row>
    <row r="282" spans="1:10" x14ac:dyDescent="0.2">
      <c r="A282" t="s">
        <v>74</v>
      </c>
      <c r="B282" t="s">
        <v>287</v>
      </c>
      <c r="C282" t="s">
        <v>1407</v>
      </c>
      <c r="D282" t="s">
        <v>3998</v>
      </c>
      <c r="E282" t="s">
        <v>2924</v>
      </c>
      <c r="F282" t="s">
        <v>3999</v>
      </c>
      <c r="G282" t="s">
        <v>3021</v>
      </c>
      <c r="H282" t="s">
        <v>2904</v>
      </c>
      <c r="I282" t="s">
        <v>3231</v>
      </c>
      <c r="J282" t="s">
        <v>4000</v>
      </c>
    </row>
    <row r="283" spans="1:10" x14ac:dyDescent="0.2">
      <c r="A283" t="s">
        <v>74</v>
      </c>
      <c r="B283" t="s">
        <v>287</v>
      </c>
      <c r="C283" t="s">
        <v>4001</v>
      </c>
      <c r="D283" t="s">
        <v>4002</v>
      </c>
      <c r="E283" t="s">
        <v>4003</v>
      </c>
      <c r="F283" t="s">
        <v>3646</v>
      </c>
      <c r="G283" t="s">
        <v>4004</v>
      </c>
      <c r="H283" t="s">
        <v>2904</v>
      </c>
      <c r="I283" t="s">
        <v>2959</v>
      </c>
      <c r="J283" t="s">
        <v>4005</v>
      </c>
    </row>
    <row r="284" spans="1:10" x14ac:dyDescent="0.2">
      <c r="A284" t="s">
        <v>74</v>
      </c>
      <c r="B284" t="s">
        <v>413</v>
      </c>
      <c r="C284" t="s">
        <v>1413</v>
      </c>
      <c r="D284" t="s">
        <v>3070</v>
      </c>
      <c r="E284" t="s">
        <v>4006</v>
      </c>
      <c r="F284" t="s">
        <v>3593</v>
      </c>
      <c r="G284" t="s">
        <v>3727</v>
      </c>
      <c r="H284" t="s">
        <v>2904</v>
      </c>
      <c r="I284" t="s">
        <v>2897</v>
      </c>
      <c r="J284" t="s">
        <v>4007</v>
      </c>
    </row>
    <row r="285" spans="1:10" x14ac:dyDescent="0.2">
      <c r="A285" t="s">
        <v>74</v>
      </c>
      <c r="B285" t="s">
        <v>413</v>
      </c>
      <c r="C285" t="s">
        <v>1419</v>
      </c>
      <c r="D285" t="s">
        <v>4008</v>
      </c>
      <c r="E285" t="s">
        <v>3101</v>
      </c>
      <c r="F285" t="s">
        <v>3046</v>
      </c>
      <c r="G285" t="s">
        <v>3135</v>
      </c>
      <c r="H285" t="s">
        <v>2896</v>
      </c>
      <c r="I285" t="s">
        <v>3032</v>
      </c>
      <c r="J285" t="s">
        <v>4009</v>
      </c>
    </row>
    <row r="286" spans="1:10" x14ac:dyDescent="0.2">
      <c r="A286" t="s">
        <v>74</v>
      </c>
      <c r="B286" t="s">
        <v>470</v>
      </c>
      <c r="C286" t="s">
        <v>1379</v>
      </c>
      <c r="D286" t="s">
        <v>4010</v>
      </c>
      <c r="E286" t="s">
        <v>4011</v>
      </c>
      <c r="F286" t="s">
        <v>4012</v>
      </c>
      <c r="G286" t="s">
        <v>4011</v>
      </c>
      <c r="H286" t="s">
        <v>2896</v>
      </c>
      <c r="I286" t="s">
        <v>2959</v>
      </c>
      <c r="J286" t="s">
        <v>4013</v>
      </c>
    </row>
    <row r="287" spans="1:10" x14ac:dyDescent="0.2">
      <c r="A287" t="s">
        <v>74</v>
      </c>
      <c r="B287" t="s">
        <v>470</v>
      </c>
      <c r="C287" t="s">
        <v>4014</v>
      </c>
      <c r="D287" t="s">
        <v>4015</v>
      </c>
      <c r="E287" t="s">
        <v>4016</v>
      </c>
      <c r="F287" t="s">
        <v>4017</v>
      </c>
      <c r="G287" t="s">
        <v>4018</v>
      </c>
      <c r="H287" t="s">
        <v>2896</v>
      </c>
      <c r="I287" t="s">
        <v>3032</v>
      </c>
      <c r="J287" t="s">
        <v>4019</v>
      </c>
    </row>
    <row r="288" spans="1:10" x14ac:dyDescent="0.2">
      <c r="A288" t="s">
        <v>101</v>
      </c>
      <c r="B288" t="s">
        <v>1432</v>
      </c>
      <c r="C288" t="s">
        <v>1433</v>
      </c>
      <c r="D288" t="s">
        <v>4020</v>
      </c>
      <c r="E288" t="s">
        <v>3282</v>
      </c>
      <c r="F288" t="s">
        <v>3244</v>
      </c>
      <c r="G288" t="s">
        <v>2915</v>
      </c>
      <c r="H288" t="s">
        <v>2904</v>
      </c>
      <c r="I288" t="s">
        <v>2897</v>
      </c>
      <c r="J288" t="s">
        <v>4021</v>
      </c>
    </row>
    <row r="289" spans="1:10" x14ac:dyDescent="0.2">
      <c r="A289" t="s">
        <v>101</v>
      </c>
      <c r="B289" t="s">
        <v>1432</v>
      </c>
      <c r="C289" t="s">
        <v>4022</v>
      </c>
      <c r="D289" t="s">
        <v>4023</v>
      </c>
      <c r="E289" t="s">
        <v>4024</v>
      </c>
      <c r="F289" t="s">
        <v>3407</v>
      </c>
      <c r="G289" t="s">
        <v>4025</v>
      </c>
      <c r="H289" t="s">
        <v>2904</v>
      </c>
      <c r="I289" t="s">
        <v>2910</v>
      </c>
      <c r="J289" t="s">
        <v>4026</v>
      </c>
    </row>
    <row r="290" spans="1:10" x14ac:dyDescent="0.2">
      <c r="A290" t="s">
        <v>101</v>
      </c>
      <c r="B290" t="s">
        <v>125</v>
      </c>
      <c r="C290" t="s">
        <v>1048</v>
      </c>
      <c r="D290" t="s">
        <v>3636</v>
      </c>
      <c r="E290" t="s">
        <v>4027</v>
      </c>
      <c r="F290" t="s">
        <v>2894</v>
      </c>
      <c r="G290" t="s">
        <v>3135</v>
      </c>
      <c r="H290" t="s">
        <v>2896</v>
      </c>
      <c r="I290" t="s">
        <v>2897</v>
      </c>
      <c r="J290" t="s">
        <v>4028</v>
      </c>
    </row>
    <row r="291" spans="1:10" x14ac:dyDescent="0.2">
      <c r="A291" t="s">
        <v>101</v>
      </c>
      <c r="B291" t="s">
        <v>125</v>
      </c>
      <c r="C291" t="s">
        <v>1048</v>
      </c>
      <c r="D291" t="s">
        <v>3895</v>
      </c>
      <c r="E291" t="s">
        <v>4029</v>
      </c>
      <c r="F291" t="s">
        <v>4030</v>
      </c>
      <c r="G291" t="s">
        <v>4031</v>
      </c>
      <c r="H291" t="s">
        <v>2904</v>
      </c>
      <c r="I291" t="s">
        <v>2910</v>
      </c>
      <c r="J291" t="s">
        <v>4032</v>
      </c>
    </row>
    <row r="292" spans="1:10" x14ac:dyDescent="0.2">
      <c r="A292" t="s">
        <v>101</v>
      </c>
      <c r="B292" t="s">
        <v>1438</v>
      </c>
      <c r="C292" t="s">
        <v>4033</v>
      </c>
      <c r="D292" t="s">
        <v>4034</v>
      </c>
      <c r="E292" t="s">
        <v>4035</v>
      </c>
      <c r="F292" t="s">
        <v>4036</v>
      </c>
      <c r="G292" t="s">
        <v>4037</v>
      </c>
      <c r="H292" t="s">
        <v>2904</v>
      </c>
      <c r="I292" t="s">
        <v>2921</v>
      </c>
      <c r="J292" t="s">
        <v>4038</v>
      </c>
    </row>
    <row r="293" spans="1:10" x14ac:dyDescent="0.2">
      <c r="A293" t="s">
        <v>101</v>
      </c>
      <c r="B293" t="s">
        <v>1438</v>
      </c>
      <c r="C293" t="s">
        <v>1439</v>
      </c>
      <c r="D293" t="s">
        <v>4039</v>
      </c>
      <c r="E293" t="s">
        <v>3484</v>
      </c>
      <c r="F293" t="s">
        <v>4040</v>
      </c>
      <c r="G293" t="s">
        <v>4041</v>
      </c>
      <c r="H293" t="s">
        <v>2904</v>
      </c>
      <c r="I293" t="s">
        <v>2897</v>
      </c>
      <c r="J293" t="s">
        <v>4042</v>
      </c>
    </row>
    <row r="294" spans="1:10" x14ac:dyDescent="0.2">
      <c r="A294" t="s">
        <v>101</v>
      </c>
      <c r="B294" t="s">
        <v>1462</v>
      </c>
      <c r="C294" t="s">
        <v>1780</v>
      </c>
      <c r="D294" t="s">
        <v>4043</v>
      </c>
      <c r="E294" t="s">
        <v>4044</v>
      </c>
      <c r="F294" t="s">
        <v>4045</v>
      </c>
      <c r="G294" t="s">
        <v>4046</v>
      </c>
      <c r="H294" t="s">
        <v>2904</v>
      </c>
      <c r="I294" t="s">
        <v>2959</v>
      </c>
      <c r="J294" t="s">
        <v>4047</v>
      </c>
    </row>
    <row r="295" spans="1:10" x14ac:dyDescent="0.2">
      <c r="A295" t="s">
        <v>101</v>
      </c>
      <c r="B295" t="s">
        <v>1462</v>
      </c>
      <c r="C295" t="s">
        <v>1463</v>
      </c>
      <c r="D295" t="s">
        <v>4048</v>
      </c>
      <c r="E295" t="s">
        <v>3165</v>
      </c>
      <c r="F295" t="s">
        <v>2920</v>
      </c>
      <c r="G295" t="s">
        <v>2919</v>
      </c>
      <c r="H295" t="s">
        <v>2904</v>
      </c>
      <c r="I295" t="s">
        <v>2910</v>
      </c>
      <c r="J295" t="s">
        <v>4049</v>
      </c>
    </row>
    <row r="296" spans="1:10" x14ac:dyDescent="0.2">
      <c r="A296" t="s">
        <v>101</v>
      </c>
      <c r="B296" t="s">
        <v>504</v>
      </c>
      <c r="C296" t="s">
        <v>1475</v>
      </c>
      <c r="D296" t="s">
        <v>4050</v>
      </c>
      <c r="E296" t="s">
        <v>4051</v>
      </c>
      <c r="F296" t="s">
        <v>3135</v>
      </c>
      <c r="G296" t="s">
        <v>3046</v>
      </c>
      <c r="H296" t="s">
        <v>2896</v>
      </c>
      <c r="I296" t="s">
        <v>2959</v>
      </c>
      <c r="J296" t="s">
        <v>4052</v>
      </c>
    </row>
    <row r="297" spans="1:10" x14ac:dyDescent="0.2">
      <c r="A297" t="s">
        <v>101</v>
      </c>
      <c r="B297" t="s">
        <v>504</v>
      </c>
      <c r="C297" t="s">
        <v>1480</v>
      </c>
      <c r="D297" t="s">
        <v>4053</v>
      </c>
      <c r="E297" t="s">
        <v>2932</v>
      </c>
      <c r="F297" t="s">
        <v>3003</v>
      </c>
      <c r="G297" t="s">
        <v>3244</v>
      </c>
      <c r="H297" t="s">
        <v>2904</v>
      </c>
      <c r="I297" t="s">
        <v>2910</v>
      </c>
      <c r="J297" t="s">
        <v>4054</v>
      </c>
    </row>
    <row r="298" spans="1:10" x14ac:dyDescent="0.2">
      <c r="A298" t="s">
        <v>101</v>
      </c>
      <c r="B298" t="s">
        <v>1013</v>
      </c>
      <c r="C298" t="s">
        <v>4055</v>
      </c>
      <c r="D298" t="s">
        <v>3652</v>
      </c>
      <c r="E298" t="s">
        <v>4056</v>
      </c>
      <c r="F298" t="s">
        <v>4057</v>
      </c>
      <c r="G298" t="s">
        <v>2957</v>
      </c>
      <c r="H298" t="s">
        <v>2904</v>
      </c>
      <c r="I298" t="s">
        <v>2897</v>
      </c>
      <c r="J298" t="s">
        <v>4058</v>
      </c>
    </row>
    <row r="299" spans="1:10" x14ac:dyDescent="0.2">
      <c r="A299" t="s">
        <v>101</v>
      </c>
      <c r="B299" t="s">
        <v>158</v>
      </c>
      <c r="C299" t="s">
        <v>698</v>
      </c>
      <c r="D299" t="s">
        <v>4059</v>
      </c>
      <c r="E299" t="s">
        <v>2930</v>
      </c>
      <c r="F299" t="s">
        <v>2931</v>
      </c>
      <c r="G299" t="s">
        <v>3003</v>
      </c>
      <c r="H299" t="s">
        <v>2904</v>
      </c>
      <c r="I299" t="s">
        <v>2921</v>
      </c>
      <c r="J299" t="s">
        <v>4060</v>
      </c>
    </row>
    <row r="300" spans="1:10" x14ac:dyDescent="0.2">
      <c r="A300" t="s">
        <v>55</v>
      </c>
      <c r="B300" t="s">
        <v>504</v>
      </c>
      <c r="C300" t="s">
        <v>4061</v>
      </c>
      <c r="D300" t="s">
        <v>4062</v>
      </c>
      <c r="E300" t="s">
        <v>3306</v>
      </c>
      <c r="F300" t="s">
        <v>2932</v>
      </c>
      <c r="G300" t="s">
        <v>4063</v>
      </c>
      <c r="H300" t="s">
        <v>2904</v>
      </c>
      <c r="I300" t="s">
        <v>2897</v>
      </c>
      <c r="J300" t="s">
        <v>4064</v>
      </c>
    </row>
    <row r="301" spans="1:10" x14ac:dyDescent="0.2">
      <c r="A301" t="s">
        <v>55</v>
      </c>
      <c r="B301" t="s">
        <v>504</v>
      </c>
      <c r="C301" t="s">
        <v>705</v>
      </c>
      <c r="D301" t="s">
        <v>4065</v>
      </c>
      <c r="E301" t="s">
        <v>4066</v>
      </c>
      <c r="F301" t="s">
        <v>4067</v>
      </c>
      <c r="G301" t="s">
        <v>4068</v>
      </c>
      <c r="H301" t="s">
        <v>2904</v>
      </c>
      <c r="I301" t="s">
        <v>2959</v>
      </c>
      <c r="J301" t="s">
        <v>4069</v>
      </c>
    </row>
    <row r="302" spans="1:10" x14ac:dyDescent="0.2">
      <c r="A302" t="s">
        <v>55</v>
      </c>
      <c r="B302" t="s">
        <v>1988</v>
      </c>
      <c r="C302" t="s">
        <v>588</v>
      </c>
      <c r="D302" t="s">
        <v>2929</v>
      </c>
      <c r="E302" t="s">
        <v>3691</v>
      </c>
      <c r="F302" t="s">
        <v>3695</v>
      </c>
      <c r="G302" t="s">
        <v>4070</v>
      </c>
      <c r="H302" t="s">
        <v>2904</v>
      </c>
      <c r="I302" t="s">
        <v>3032</v>
      </c>
      <c r="J302" t="s">
        <v>4071</v>
      </c>
    </row>
    <row r="303" spans="1:10" x14ac:dyDescent="0.2">
      <c r="A303" t="s">
        <v>55</v>
      </c>
      <c r="B303" t="s">
        <v>1496</v>
      </c>
      <c r="C303" t="s">
        <v>4072</v>
      </c>
      <c r="D303" t="s">
        <v>4073</v>
      </c>
      <c r="E303" t="s">
        <v>4074</v>
      </c>
      <c r="F303" t="s">
        <v>3407</v>
      </c>
      <c r="G303" t="s">
        <v>4075</v>
      </c>
      <c r="H303" t="s">
        <v>2904</v>
      </c>
      <c r="I303" t="s">
        <v>3231</v>
      </c>
      <c r="J303" t="s">
        <v>4076</v>
      </c>
    </row>
    <row r="304" spans="1:10" x14ac:dyDescent="0.2">
      <c r="A304" t="s">
        <v>55</v>
      </c>
      <c r="B304" t="s">
        <v>1496</v>
      </c>
      <c r="C304" t="s">
        <v>2617</v>
      </c>
      <c r="D304" t="s">
        <v>4077</v>
      </c>
      <c r="E304" t="s">
        <v>3606</v>
      </c>
      <c r="F304" t="s">
        <v>2973</v>
      </c>
      <c r="G304" t="s">
        <v>4078</v>
      </c>
      <c r="H304" t="s">
        <v>2904</v>
      </c>
      <c r="I304" t="s">
        <v>2897</v>
      </c>
      <c r="J304" t="s">
        <v>4079</v>
      </c>
    </row>
    <row r="305" spans="1:10" x14ac:dyDescent="0.2">
      <c r="A305" t="s">
        <v>55</v>
      </c>
      <c r="B305" t="s">
        <v>595</v>
      </c>
      <c r="C305" t="s">
        <v>158</v>
      </c>
      <c r="D305" t="s">
        <v>4080</v>
      </c>
      <c r="E305" t="s">
        <v>3296</v>
      </c>
      <c r="F305" t="s">
        <v>3264</v>
      </c>
      <c r="G305" t="s">
        <v>4081</v>
      </c>
      <c r="H305" t="s">
        <v>2904</v>
      </c>
      <c r="I305" t="s">
        <v>2910</v>
      </c>
      <c r="J305" t="s">
        <v>4082</v>
      </c>
    </row>
    <row r="306" spans="1:10" x14ac:dyDescent="0.2">
      <c r="A306" t="s">
        <v>55</v>
      </c>
      <c r="B306" t="s">
        <v>595</v>
      </c>
      <c r="C306" t="s">
        <v>431</v>
      </c>
      <c r="D306" t="s">
        <v>4083</v>
      </c>
      <c r="E306" t="s">
        <v>4084</v>
      </c>
      <c r="F306" t="s">
        <v>3327</v>
      </c>
      <c r="G306" t="s">
        <v>4085</v>
      </c>
      <c r="H306" t="s">
        <v>2904</v>
      </c>
      <c r="I306" t="s">
        <v>2959</v>
      </c>
      <c r="J306" t="s">
        <v>4086</v>
      </c>
    </row>
    <row r="307" spans="1:10" x14ac:dyDescent="0.2">
      <c r="A307" t="s">
        <v>55</v>
      </c>
      <c r="B307" t="s">
        <v>125</v>
      </c>
      <c r="C307" t="s">
        <v>1524</v>
      </c>
      <c r="D307" t="s">
        <v>2967</v>
      </c>
      <c r="E307" t="s">
        <v>3101</v>
      </c>
      <c r="F307" t="s">
        <v>3016</v>
      </c>
      <c r="G307" t="s">
        <v>4087</v>
      </c>
      <c r="H307" t="s">
        <v>2896</v>
      </c>
      <c r="I307" t="s">
        <v>2897</v>
      </c>
      <c r="J307" t="s">
        <v>4088</v>
      </c>
    </row>
    <row r="308" spans="1:10" x14ac:dyDescent="0.2">
      <c r="A308" t="s">
        <v>55</v>
      </c>
      <c r="B308" t="s">
        <v>328</v>
      </c>
      <c r="C308" t="s">
        <v>686</v>
      </c>
      <c r="D308" t="s">
        <v>4089</v>
      </c>
      <c r="E308" t="s">
        <v>4090</v>
      </c>
      <c r="F308" t="s">
        <v>3264</v>
      </c>
      <c r="G308" t="s">
        <v>4091</v>
      </c>
      <c r="H308" t="s">
        <v>2904</v>
      </c>
      <c r="I308" t="s">
        <v>3231</v>
      </c>
      <c r="J308" t="s">
        <v>4092</v>
      </c>
    </row>
    <row r="309" spans="1:10" x14ac:dyDescent="0.2">
      <c r="A309" t="s">
        <v>55</v>
      </c>
      <c r="B309" t="s">
        <v>328</v>
      </c>
      <c r="C309" t="s">
        <v>437</v>
      </c>
      <c r="D309" t="s">
        <v>3158</v>
      </c>
      <c r="E309" t="s">
        <v>3364</v>
      </c>
      <c r="F309" t="s">
        <v>4093</v>
      </c>
      <c r="G309" t="s">
        <v>4094</v>
      </c>
      <c r="H309" t="s">
        <v>2896</v>
      </c>
      <c r="I309" t="s">
        <v>3032</v>
      </c>
      <c r="J309" t="s">
        <v>4095</v>
      </c>
    </row>
    <row r="310" spans="1:10" x14ac:dyDescent="0.2">
      <c r="A310" t="s">
        <v>55</v>
      </c>
      <c r="B310" t="s">
        <v>166</v>
      </c>
      <c r="C310" t="s">
        <v>1661</v>
      </c>
      <c r="D310" t="s">
        <v>4096</v>
      </c>
      <c r="E310" t="s">
        <v>4097</v>
      </c>
      <c r="F310" t="s">
        <v>3142</v>
      </c>
      <c r="G310" t="s">
        <v>4098</v>
      </c>
      <c r="H310" t="s">
        <v>2904</v>
      </c>
      <c r="I310" t="s">
        <v>2897</v>
      </c>
      <c r="J310" t="s">
        <v>4099</v>
      </c>
    </row>
    <row r="311" spans="1:10" x14ac:dyDescent="0.2">
      <c r="A311" t="s">
        <v>55</v>
      </c>
      <c r="B311" t="s">
        <v>188</v>
      </c>
      <c r="C311" t="s">
        <v>1265</v>
      </c>
      <c r="D311" t="s">
        <v>4100</v>
      </c>
      <c r="E311" t="s">
        <v>4101</v>
      </c>
      <c r="F311" t="s">
        <v>4102</v>
      </c>
      <c r="G311" t="s">
        <v>4103</v>
      </c>
      <c r="H311" t="s">
        <v>2904</v>
      </c>
      <c r="I311" t="s">
        <v>2959</v>
      </c>
      <c r="J311" t="s">
        <v>4104</v>
      </c>
    </row>
    <row r="312" spans="1:10" x14ac:dyDescent="0.2">
      <c r="A312" t="s">
        <v>72</v>
      </c>
      <c r="B312" t="s">
        <v>315</v>
      </c>
      <c r="C312" t="s">
        <v>1574</v>
      </c>
      <c r="D312" t="s">
        <v>4105</v>
      </c>
      <c r="E312" t="s">
        <v>3262</v>
      </c>
      <c r="F312" t="s">
        <v>4106</v>
      </c>
      <c r="G312" t="s">
        <v>3978</v>
      </c>
      <c r="H312" t="s">
        <v>2904</v>
      </c>
      <c r="I312" t="s">
        <v>2897</v>
      </c>
      <c r="J312" t="s">
        <v>4107</v>
      </c>
    </row>
    <row r="313" spans="1:10" x14ac:dyDescent="0.2">
      <c r="A313" t="s">
        <v>72</v>
      </c>
      <c r="B313" t="s">
        <v>315</v>
      </c>
      <c r="C313" t="s">
        <v>1574</v>
      </c>
      <c r="D313" t="s">
        <v>4108</v>
      </c>
      <c r="E313" t="s">
        <v>2924</v>
      </c>
      <c r="F313" t="s">
        <v>3021</v>
      </c>
      <c r="G313" t="s">
        <v>3604</v>
      </c>
      <c r="H313" t="s">
        <v>2904</v>
      </c>
      <c r="I313" t="s">
        <v>2897</v>
      </c>
      <c r="J313" t="s">
        <v>4109</v>
      </c>
    </row>
    <row r="314" spans="1:10" x14ac:dyDescent="0.2">
      <c r="A314" t="s">
        <v>72</v>
      </c>
      <c r="B314" t="s">
        <v>125</v>
      </c>
      <c r="C314" t="s">
        <v>1580</v>
      </c>
      <c r="D314" t="s">
        <v>3895</v>
      </c>
      <c r="E314" t="s">
        <v>3010</v>
      </c>
      <c r="F314" t="s">
        <v>4110</v>
      </c>
      <c r="G314" t="s">
        <v>4111</v>
      </c>
      <c r="H314" t="s">
        <v>2904</v>
      </c>
      <c r="I314" t="s">
        <v>2910</v>
      </c>
      <c r="J314" t="s">
        <v>4112</v>
      </c>
    </row>
    <row r="315" spans="1:10" x14ac:dyDescent="0.2">
      <c r="A315" t="s">
        <v>72</v>
      </c>
      <c r="B315" t="s">
        <v>125</v>
      </c>
      <c r="C315" t="s">
        <v>1580</v>
      </c>
      <c r="D315" t="s">
        <v>3271</v>
      </c>
      <c r="E315" t="s">
        <v>2893</v>
      </c>
      <c r="F315" t="s">
        <v>3136</v>
      </c>
      <c r="G315" t="s">
        <v>3046</v>
      </c>
      <c r="H315" t="s">
        <v>2896</v>
      </c>
      <c r="I315" t="s">
        <v>2910</v>
      </c>
      <c r="J315" t="s">
        <v>4113</v>
      </c>
    </row>
    <row r="316" spans="1:10" x14ac:dyDescent="0.2">
      <c r="A316" t="s">
        <v>72</v>
      </c>
      <c r="B316" t="s">
        <v>1586</v>
      </c>
      <c r="C316" t="s">
        <v>1587</v>
      </c>
      <c r="D316" t="s">
        <v>4114</v>
      </c>
      <c r="E316" t="s">
        <v>3110</v>
      </c>
      <c r="F316" t="s">
        <v>3239</v>
      </c>
      <c r="G316" t="s">
        <v>3770</v>
      </c>
      <c r="H316" t="s">
        <v>2904</v>
      </c>
      <c r="I316" t="s">
        <v>2897</v>
      </c>
      <c r="J316" t="s">
        <v>4115</v>
      </c>
    </row>
    <row r="317" spans="1:10" x14ac:dyDescent="0.2">
      <c r="A317" t="s">
        <v>72</v>
      </c>
      <c r="B317" t="s">
        <v>1586</v>
      </c>
      <c r="C317" t="s">
        <v>1587</v>
      </c>
      <c r="D317" t="s">
        <v>4116</v>
      </c>
      <c r="E317" t="s">
        <v>4117</v>
      </c>
      <c r="F317" t="s">
        <v>3439</v>
      </c>
      <c r="G317" t="s">
        <v>4118</v>
      </c>
      <c r="H317" t="s">
        <v>2904</v>
      </c>
      <c r="I317" t="s">
        <v>2897</v>
      </c>
      <c r="J317" t="s">
        <v>4119</v>
      </c>
    </row>
    <row r="318" spans="1:10" x14ac:dyDescent="0.2">
      <c r="A318" t="s">
        <v>72</v>
      </c>
      <c r="B318" t="s">
        <v>1536</v>
      </c>
      <c r="C318" t="s">
        <v>295</v>
      </c>
      <c r="D318" t="s">
        <v>4120</v>
      </c>
      <c r="E318" t="s">
        <v>3020</v>
      </c>
      <c r="F318" t="s">
        <v>3106</v>
      </c>
      <c r="G318" t="s">
        <v>2924</v>
      </c>
      <c r="H318" t="s">
        <v>2904</v>
      </c>
      <c r="I318" t="s">
        <v>2959</v>
      </c>
      <c r="J318" t="s">
        <v>4121</v>
      </c>
    </row>
    <row r="319" spans="1:10" x14ac:dyDescent="0.2">
      <c r="A319" t="s">
        <v>72</v>
      </c>
      <c r="B319" t="s">
        <v>1536</v>
      </c>
      <c r="C319" t="s">
        <v>295</v>
      </c>
      <c r="D319" t="s">
        <v>4122</v>
      </c>
      <c r="E319" t="s">
        <v>3178</v>
      </c>
      <c r="F319" t="s">
        <v>4123</v>
      </c>
      <c r="G319" t="s">
        <v>3612</v>
      </c>
      <c r="H319" t="s">
        <v>2896</v>
      </c>
      <c r="I319" t="s">
        <v>2959</v>
      </c>
      <c r="J319" t="s">
        <v>4124</v>
      </c>
    </row>
    <row r="320" spans="1:10" x14ac:dyDescent="0.2">
      <c r="A320" t="s">
        <v>72</v>
      </c>
      <c r="B320" t="s">
        <v>1542</v>
      </c>
      <c r="C320" t="s">
        <v>1570</v>
      </c>
      <c r="D320" t="s">
        <v>4125</v>
      </c>
      <c r="E320" t="s">
        <v>3172</v>
      </c>
      <c r="F320" t="s">
        <v>3174</v>
      </c>
      <c r="G320" t="s">
        <v>3178</v>
      </c>
      <c r="H320" t="s">
        <v>2896</v>
      </c>
      <c r="I320" t="s">
        <v>2897</v>
      </c>
      <c r="J320" t="s">
        <v>4126</v>
      </c>
    </row>
    <row r="321" spans="1:10" x14ac:dyDescent="0.2">
      <c r="A321" t="s">
        <v>72</v>
      </c>
      <c r="B321" t="s">
        <v>1542</v>
      </c>
      <c r="C321" t="s">
        <v>287</v>
      </c>
      <c r="D321" t="s">
        <v>4127</v>
      </c>
      <c r="E321" t="s">
        <v>4128</v>
      </c>
      <c r="F321" t="s">
        <v>4129</v>
      </c>
      <c r="G321" t="s">
        <v>4130</v>
      </c>
      <c r="H321" t="s">
        <v>2904</v>
      </c>
      <c r="I321" t="s">
        <v>2897</v>
      </c>
      <c r="J321" t="s">
        <v>4131</v>
      </c>
    </row>
    <row r="322" spans="1:10" x14ac:dyDescent="0.2">
      <c r="A322" t="s">
        <v>72</v>
      </c>
      <c r="B322" t="s">
        <v>328</v>
      </c>
      <c r="C322" t="s">
        <v>1553</v>
      </c>
      <c r="D322" t="s">
        <v>4132</v>
      </c>
      <c r="E322" t="s">
        <v>4133</v>
      </c>
      <c r="F322" t="s">
        <v>3084</v>
      </c>
      <c r="G322" t="s">
        <v>4134</v>
      </c>
      <c r="H322" t="s">
        <v>2904</v>
      </c>
      <c r="I322" t="s">
        <v>2910</v>
      </c>
      <c r="J322" t="s">
        <v>4135</v>
      </c>
    </row>
    <row r="323" spans="1:10" x14ac:dyDescent="0.2">
      <c r="A323" t="s">
        <v>72</v>
      </c>
      <c r="B323" t="s">
        <v>166</v>
      </c>
      <c r="C323" t="s">
        <v>1564</v>
      </c>
      <c r="D323" t="s">
        <v>4136</v>
      </c>
      <c r="E323" t="s">
        <v>3239</v>
      </c>
      <c r="F323" t="s">
        <v>3240</v>
      </c>
      <c r="G323" t="s">
        <v>2930</v>
      </c>
      <c r="H323" t="s">
        <v>2904</v>
      </c>
      <c r="I323" t="s">
        <v>2897</v>
      </c>
      <c r="J323" t="s">
        <v>4137</v>
      </c>
    </row>
    <row r="324" spans="1:10" x14ac:dyDescent="0.2">
      <c r="A324" t="s">
        <v>56</v>
      </c>
      <c r="B324" t="s">
        <v>932</v>
      </c>
      <c r="C324" t="s">
        <v>4138</v>
      </c>
      <c r="D324" t="s">
        <v>4139</v>
      </c>
      <c r="E324" t="s">
        <v>3296</v>
      </c>
      <c r="F324" t="s">
        <v>3297</v>
      </c>
      <c r="G324" t="s">
        <v>4140</v>
      </c>
      <c r="H324" t="s">
        <v>2904</v>
      </c>
      <c r="I324" t="s">
        <v>2897</v>
      </c>
      <c r="J324" t="s">
        <v>4141</v>
      </c>
    </row>
    <row r="325" spans="1:10" x14ac:dyDescent="0.2">
      <c r="A325" t="s">
        <v>56</v>
      </c>
      <c r="B325" t="s">
        <v>932</v>
      </c>
      <c r="C325" t="s">
        <v>4142</v>
      </c>
      <c r="D325" t="s">
        <v>4143</v>
      </c>
      <c r="E325" t="s">
        <v>4144</v>
      </c>
      <c r="F325" t="s">
        <v>4145</v>
      </c>
      <c r="G325" t="s">
        <v>4146</v>
      </c>
      <c r="H325" t="s">
        <v>2896</v>
      </c>
      <c r="I325" t="s">
        <v>2959</v>
      </c>
      <c r="J325" t="s">
        <v>4147</v>
      </c>
    </row>
    <row r="326" spans="1:10" x14ac:dyDescent="0.2">
      <c r="A326" t="s">
        <v>56</v>
      </c>
      <c r="B326" t="s">
        <v>932</v>
      </c>
      <c r="C326" t="s">
        <v>1645</v>
      </c>
      <c r="D326" t="s">
        <v>4148</v>
      </c>
      <c r="E326" t="s">
        <v>4149</v>
      </c>
      <c r="F326" t="s">
        <v>4150</v>
      </c>
      <c r="G326" t="s">
        <v>4151</v>
      </c>
      <c r="H326" t="s">
        <v>2904</v>
      </c>
      <c r="I326" t="s">
        <v>2897</v>
      </c>
      <c r="J326" t="s">
        <v>4152</v>
      </c>
    </row>
    <row r="327" spans="1:10" x14ac:dyDescent="0.2">
      <c r="A327" t="s">
        <v>56</v>
      </c>
      <c r="B327" t="s">
        <v>315</v>
      </c>
      <c r="C327" t="s">
        <v>1661</v>
      </c>
      <c r="D327" t="s">
        <v>4153</v>
      </c>
      <c r="E327" t="s">
        <v>2924</v>
      </c>
      <c r="F327" t="s">
        <v>3999</v>
      </c>
      <c r="G327" t="s">
        <v>4154</v>
      </c>
      <c r="H327" t="s">
        <v>2904</v>
      </c>
      <c r="I327" t="s">
        <v>2897</v>
      </c>
      <c r="J327" t="s">
        <v>4155</v>
      </c>
    </row>
    <row r="328" spans="1:10" x14ac:dyDescent="0.2">
      <c r="A328" t="s">
        <v>56</v>
      </c>
      <c r="B328" t="s">
        <v>315</v>
      </c>
      <c r="C328" t="s">
        <v>4156</v>
      </c>
      <c r="D328" t="s">
        <v>4157</v>
      </c>
      <c r="E328" t="s">
        <v>3599</v>
      </c>
      <c r="F328" t="s">
        <v>3292</v>
      </c>
      <c r="G328" t="s">
        <v>3292</v>
      </c>
      <c r="H328" t="s">
        <v>2904</v>
      </c>
      <c r="I328" t="s">
        <v>2959</v>
      </c>
      <c r="J328" t="s">
        <v>4158</v>
      </c>
    </row>
    <row r="329" spans="1:10" x14ac:dyDescent="0.2">
      <c r="A329" t="s">
        <v>56</v>
      </c>
      <c r="B329" t="s">
        <v>315</v>
      </c>
      <c r="C329" t="s">
        <v>4159</v>
      </c>
      <c r="D329" t="s">
        <v>4160</v>
      </c>
      <c r="E329" t="s">
        <v>4161</v>
      </c>
      <c r="F329" t="s">
        <v>4162</v>
      </c>
      <c r="G329" t="s">
        <v>4163</v>
      </c>
      <c r="H329" t="s">
        <v>2904</v>
      </c>
      <c r="I329" t="s">
        <v>2897</v>
      </c>
      <c r="J329" t="s">
        <v>4164</v>
      </c>
    </row>
    <row r="330" spans="1:10" x14ac:dyDescent="0.2">
      <c r="A330" t="s">
        <v>56</v>
      </c>
      <c r="B330" t="s">
        <v>1667</v>
      </c>
      <c r="C330" t="s">
        <v>4165</v>
      </c>
      <c r="D330" t="s">
        <v>4166</v>
      </c>
      <c r="E330" t="s">
        <v>2991</v>
      </c>
      <c r="F330" t="s">
        <v>3064</v>
      </c>
      <c r="G330" t="s">
        <v>4167</v>
      </c>
      <c r="H330" t="s">
        <v>2896</v>
      </c>
      <c r="I330" t="s">
        <v>3032</v>
      </c>
      <c r="J330" t="s">
        <v>4168</v>
      </c>
    </row>
    <row r="331" spans="1:10" x14ac:dyDescent="0.2">
      <c r="A331" t="s">
        <v>56</v>
      </c>
      <c r="B331" t="s">
        <v>1667</v>
      </c>
      <c r="C331" t="s">
        <v>532</v>
      </c>
      <c r="D331" t="s">
        <v>4169</v>
      </c>
      <c r="E331" t="s">
        <v>4170</v>
      </c>
      <c r="F331" t="s">
        <v>2913</v>
      </c>
      <c r="G331" t="s">
        <v>2931</v>
      </c>
      <c r="H331" t="s">
        <v>2904</v>
      </c>
      <c r="I331" t="s">
        <v>2897</v>
      </c>
      <c r="J331" t="s">
        <v>4171</v>
      </c>
    </row>
    <row r="332" spans="1:10" x14ac:dyDescent="0.2">
      <c r="A332" t="s">
        <v>56</v>
      </c>
      <c r="B332" t="s">
        <v>1667</v>
      </c>
      <c r="C332" t="s">
        <v>3362</v>
      </c>
      <c r="D332" t="s">
        <v>4172</v>
      </c>
      <c r="E332" t="s">
        <v>3364</v>
      </c>
      <c r="F332" t="s">
        <v>2994</v>
      </c>
      <c r="G332" t="s">
        <v>2994</v>
      </c>
      <c r="H332" t="s">
        <v>2896</v>
      </c>
      <c r="I332" t="s">
        <v>2959</v>
      </c>
      <c r="J332" t="s">
        <v>4173</v>
      </c>
    </row>
    <row r="333" spans="1:10" x14ac:dyDescent="0.2">
      <c r="A333" t="s">
        <v>56</v>
      </c>
      <c r="B333" t="s">
        <v>166</v>
      </c>
      <c r="C333" t="s">
        <v>4174</v>
      </c>
      <c r="D333" t="s">
        <v>4175</v>
      </c>
      <c r="E333" t="s">
        <v>2930</v>
      </c>
      <c r="F333" t="s">
        <v>2931</v>
      </c>
      <c r="G333" t="s">
        <v>2931</v>
      </c>
      <c r="H333" t="s">
        <v>2904</v>
      </c>
      <c r="I333" t="s">
        <v>2897</v>
      </c>
      <c r="J333" t="s">
        <v>4176</v>
      </c>
    </row>
    <row r="334" spans="1:10" x14ac:dyDescent="0.2">
      <c r="A334" t="s">
        <v>56</v>
      </c>
      <c r="B334" t="s">
        <v>188</v>
      </c>
      <c r="C334" t="s">
        <v>4177</v>
      </c>
      <c r="D334" t="s">
        <v>4178</v>
      </c>
      <c r="E334" t="s">
        <v>3239</v>
      </c>
      <c r="F334" t="s">
        <v>3240</v>
      </c>
      <c r="G334" t="s">
        <v>3240</v>
      </c>
      <c r="H334" t="s">
        <v>2904</v>
      </c>
      <c r="I334" t="s">
        <v>2897</v>
      </c>
      <c r="J334" t="s">
        <v>4179</v>
      </c>
    </row>
    <row r="335" spans="1:10" x14ac:dyDescent="0.2">
      <c r="A335" t="s">
        <v>56</v>
      </c>
      <c r="B335" t="s">
        <v>517</v>
      </c>
      <c r="C335" t="s">
        <v>705</v>
      </c>
      <c r="D335" t="s">
        <v>4180</v>
      </c>
      <c r="E335" t="s">
        <v>4181</v>
      </c>
      <c r="F335" t="s">
        <v>3059</v>
      </c>
      <c r="G335" t="s">
        <v>4182</v>
      </c>
      <c r="H335" t="s">
        <v>2904</v>
      </c>
      <c r="I335" t="s">
        <v>2897</v>
      </c>
      <c r="J335" t="s">
        <v>4183</v>
      </c>
    </row>
    <row r="336" spans="1:10" x14ac:dyDescent="0.2">
      <c r="A336" t="s">
        <v>64</v>
      </c>
      <c r="B336" t="s">
        <v>1617</v>
      </c>
      <c r="C336" t="s">
        <v>532</v>
      </c>
      <c r="D336" t="s">
        <v>4184</v>
      </c>
      <c r="E336" t="s">
        <v>2930</v>
      </c>
      <c r="F336" t="s">
        <v>2915</v>
      </c>
      <c r="G336" t="s">
        <v>2931</v>
      </c>
      <c r="H336" t="s">
        <v>2904</v>
      </c>
      <c r="I336" t="s">
        <v>2897</v>
      </c>
      <c r="J336" t="s">
        <v>4185</v>
      </c>
    </row>
    <row r="337" spans="1:10" x14ac:dyDescent="0.2">
      <c r="A337" t="s">
        <v>64</v>
      </c>
      <c r="B337" t="s">
        <v>1617</v>
      </c>
      <c r="C337" t="s">
        <v>4186</v>
      </c>
      <c r="D337" t="s">
        <v>4187</v>
      </c>
      <c r="E337" t="s">
        <v>3258</v>
      </c>
      <c r="F337" t="s">
        <v>3025</v>
      </c>
      <c r="G337" t="s">
        <v>3604</v>
      </c>
      <c r="H337" t="s">
        <v>2904</v>
      </c>
      <c r="I337" t="s">
        <v>2897</v>
      </c>
      <c r="J337" t="s">
        <v>4188</v>
      </c>
    </row>
    <row r="338" spans="1:10" x14ac:dyDescent="0.2">
      <c r="A338" t="s">
        <v>64</v>
      </c>
      <c r="B338" t="s">
        <v>1432</v>
      </c>
      <c r="C338" t="s">
        <v>4189</v>
      </c>
      <c r="D338" t="s">
        <v>4190</v>
      </c>
      <c r="E338" t="s">
        <v>3285</v>
      </c>
      <c r="F338" t="s">
        <v>3016</v>
      </c>
      <c r="G338" t="s">
        <v>3179</v>
      </c>
      <c r="H338" t="s">
        <v>2896</v>
      </c>
      <c r="I338" t="s">
        <v>2959</v>
      </c>
      <c r="J338" t="s">
        <v>4191</v>
      </c>
    </row>
    <row r="339" spans="1:10" x14ac:dyDescent="0.2">
      <c r="A339" t="s">
        <v>64</v>
      </c>
      <c r="B339" t="s">
        <v>1432</v>
      </c>
      <c r="C339" t="s">
        <v>4192</v>
      </c>
      <c r="D339" t="s">
        <v>4193</v>
      </c>
      <c r="E339" t="s">
        <v>4194</v>
      </c>
      <c r="F339" t="s">
        <v>4195</v>
      </c>
      <c r="G339" t="s">
        <v>4196</v>
      </c>
      <c r="H339" t="s">
        <v>2904</v>
      </c>
      <c r="I339" t="s">
        <v>3032</v>
      </c>
      <c r="J339" t="s">
        <v>4197</v>
      </c>
    </row>
    <row r="340" spans="1:10" x14ac:dyDescent="0.2">
      <c r="A340" t="s">
        <v>64</v>
      </c>
      <c r="B340" t="s">
        <v>1247</v>
      </c>
      <c r="C340" t="s">
        <v>4198</v>
      </c>
      <c r="D340" t="s">
        <v>4199</v>
      </c>
      <c r="E340" t="s">
        <v>2991</v>
      </c>
      <c r="F340" t="s">
        <v>3604</v>
      </c>
      <c r="G340" t="s">
        <v>2924</v>
      </c>
      <c r="H340" t="s">
        <v>2904</v>
      </c>
      <c r="I340" t="s">
        <v>2897</v>
      </c>
      <c r="J340" t="s">
        <v>4200</v>
      </c>
    </row>
    <row r="341" spans="1:10" x14ac:dyDescent="0.2">
      <c r="A341" t="s">
        <v>64</v>
      </c>
      <c r="B341" t="s">
        <v>1247</v>
      </c>
      <c r="C341" t="s">
        <v>3618</v>
      </c>
      <c r="D341" t="s">
        <v>4201</v>
      </c>
      <c r="E341" t="s">
        <v>3526</v>
      </c>
      <c r="F341" t="s">
        <v>3186</v>
      </c>
      <c r="G341" t="s">
        <v>3106</v>
      </c>
      <c r="H341" t="s">
        <v>2904</v>
      </c>
      <c r="I341" t="s">
        <v>2897</v>
      </c>
      <c r="J341" t="s">
        <v>4202</v>
      </c>
    </row>
    <row r="342" spans="1:10" x14ac:dyDescent="0.2">
      <c r="A342" t="s">
        <v>64</v>
      </c>
      <c r="B342" t="s">
        <v>1633</v>
      </c>
      <c r="C342" t="s">
        <v>1677</v>
      </c>
      <c r="D342" t="s">
        <v>3497</v>
      </c>
      <c r="E342" t="s">
        <v>3691</v>
      </c>
      <c r="F342" t="s">
        <v>3695</v>
      </c>
      <c r="G342" t="s">
        <v>3040</v>
      </c>
      <c r="H342" t="s">
        <v>2904</v>
      </c>
      <c r="I342" t="s">
        <v>2959</v>
      </c>
      <c r="J342" t="s">
        <v>4203</v>
      </c>
    </row>
    <row r="343" spans="1:10" x14ac:dyDescent="0.2">
      <c r="A343" t="s">
        <v>64</v>
      </c>
      <c r="B343" t="s">
        <v>158</v>
      </c>
      <c r="C343" t="s">
        <v>595</v>
      </c>
      <c r="D343" t="s">
        <v>4204</v>
      </c>
      <c r="E343" t="s">
        <v>4205</v>
      </c>
      <c r="F343" t="s">
        <v>4206</v>
      </c>
      <c r="G343" t="s">
        <v>4207</v>
      </c>
      <c r="H343" t="s">
        <v>2904</v>
      </c>
      <c r="I343" t="s">
        <v>2897</v>
      </c>
      <c r="J343" t="s">
        <v>4208</v>
      </c>
    </row>
    <row r="344" spans="1:10" x14ac:dyDescent="0.2">
      <c r="A344" t="s">
        <v>64</v>
      </c>
      <c r="B344" t="s">
        <v>188</v>
      </c>
      <c r="C344" t="s">
        <v>1013</v>
      </c>
      <c r="D344" t="s">
        <v>4209</v>
      </c>
      <c r="E344" t="s">
        <v>2959</v>
      </c>
      <c r="F344" t="s">
        <v>2921</v>
      </c>
      <c r="G344" t="s">
        <v>2897</v>
      </c>
      <c r="H344" t="s">
        <v>2904</v>
      </c>
      <c r="I344" t="s">
        <v>2959</v>
      </c>
      <c r="J344" t="s">
        <v>4210</v>
      </c>
    </row>
    <row r="345" spans="1:10" x14ac:dyDescent="0.2">
      <c r="A345" t="s">
        <v>64</v>
      </c>
      <c r="B345" t="s">
        <v>4211</v>
      </c>
      <c r="C345" t="s">
        <v>1438</v>
      </c>
      <c r="D345" t="s">
        <v>4212</v>
      </c>
      <c r="E345" t="s">
        <v>2932</v>
      </c>
      <c r="F345" t="s">
        <v>2914</v>
      </c>
      <c r="G345" t="s">
        <v>3244</v>
      </c>
      <c r="H345" t="s">
        <v>2904</v>
      </c>
      <c r="I345" t="s">
        <v>2897</v>
      </c>
      <c r="J345" t="s">
        <v>4213</v>
      </c>
    </row>
    <row r="346" spans="1:10" x14ac:dyDescent="0.2">
      <c r="A346" t="s">
        <v>64</v>
      </c>
      <c r="B346" t="s">
        <v>4214</v>
      </c>
      <c r="C346" t="s">
        <v>4215</v>
      </c>
      <c r="D346" t="s">
        <v>4216</v>
      </c>
      <c r="E346" t="s">
        <v>4217</v>
      </c>
      <c r="F346" t="s">
        <v>4218</v>
      </c>
      <c r="G346" t="s">
        <v>4219</v>
      </c>
      <c r="H346" t="s">
        <v>2904</v>
      </c>
      <c r="I346" t="s">
        <v>3032</v>
      </c>
      <c r="J346" t="s">
        <v>4220</v>
      </c>
    </row>
    <row r="347" spans="1:10" x14ac:dyDescent="0.2">
      <c r="A347" t="s">
        <v>64</v>
      </c>
      <c r="B347" t="s">
        <v>125</v>
      </c>
      <c r="C347" t="s">
        <v>4022</v>
      </c>
      <c r="D347" t="s">
        <v>4221</v>
      </c>
      <c r="E347" t="s">
        <v>3727</v>
      </c>
      <c r="F347" t="s">
        <v>4222</v>
      </c>
      <c r="G347" t="s">
        <v>3593</v>
      </c>
      <c r="H347" t="s">
        <v>2904</v>
      </c>
      <c r="I347" t="s">
        <v>2897</v>
      </c>
      <c r="J347" t="s">
        <v>4223</v>
      </c>
    </row>
    <row r="348" spans="1:10" x14ac:dyDescent="0.2">
      <c r="A348" t="s">
        <v>59</v>
      </c>
      <c r="B348" t="s">
        <v>250</v>
      </c>
      <c r="C348" t="s">
        <v>4224</v>
      </c>
      <c r="D348" t="s">
        <v>4225</v>
      </c>
      <c r="E348" t="s">
        <v>3405</v>
      </c>
      <c r="F348" t="s">
        <v>4024</v>
      </c>
      <c r="G348" t="s">
        <v>3593</v>
      </c>
      <c r="H348" t="s">
        <v>2904</v>
      </c>
      <c r="I348" t="s">
        <v>2897</v>
      </c>
      <c r="J348" t="s">
        <v>3163</v>
      </c>
    </row>
    <row r="349" spans="1:10" x14ac:dyDescent="0.2">
      <c r="A349" t="s">
        <v>59</v>
      </c>
      <c r="B349" t="s">
        <v>236</v>
      </c>
      <c r="C349" t="s">
        <v>944</v>
      </c>
      <c r="D349" t="s">
        <v>4226</v>
      </c>
      <c r="E349" t="s">
        <v>3212</v>
      </c>
      <c r="F349" t="s">
        <v>2930</v>
      </c>
      <c r="G349" t="s">
        <v>3142</v>
      </c>
      <c r="H349" t="s">
        <v>2904</v>
      </c>
      <c r="I349" t="s">
        <v>2959</v>
      </c>
      <c r="J349" t="s">
        <v>4227</v>
      </c>
    </row>
    <row r="350" spans="1:10" x14ac:dyDescent="0.2">
      <c r="A350" t="s">
        <v>59</v>
      </c>
      <c r="B350" t="s">
        <v>236</v>
      </c>
      <c r="C350" t="s">
        <v>237</v>
      </c>
      <c r="D350" t="s">
        <v>4228</v>
      </c>
      <c r="E350" t="s">
        <v>3020</v>
      </c>
      <c r="F350" t="s">
        <v>4229</v>
      </c>
      <c r="G350" t="s">
        <v>3106</v>
      </c>
      <c r="H350" t="s">
        <v>2904</v>
      </c>
      <c r="I350" t="s">
        <v>2959</v>
      </c>
      <c r="J350" t="s">
        <v>4230</v>
      </c>
    </row>
    <row r="351" spans="1:10" x14ac:dyDescent="0.2">
      <c r="A351" t="s">
        <v>59</v>
      </c>
      <c r="B351" t="s">
        <v>236</v>
      </c>
      <c r="C351" t="s">
        <v>802</v>
      </c>
      <c r="D351" t="s">
        <v>3039</v>
      </c>
      <c r="E351" t="s">
        <v>4231</v>
      </c>
      <c r="F351" t="s">
        <v>3501</v>
      </c>
      <c r="G351" t="s">
        <v>3327</v>
      </c>
      <c r="H351" t="s">
        <v>2904</v>
      </c>
      <c r="I351" t="s">
        <v>3032</v>
      </c>
      <c r="J351" t="s">
        <v>4232</v>
      </c>
    </row>
    <row r="352" spans="1:10" x14ac:dyDescent="0.2">
      <c r="A352" t="s">
        <v>59</v>
      </c>
      <c r="B352" t="s">
        <v>1715</v>
      </c>
      <c r="C352" t="s">
        <v>1026</v>
      </c>
      <c r="D352" t="s">
        <v>4233</v>
      </c>
      <c r="E352" t="s">
        <v>3742</v>
      </c>
      <c r="F352" t="s">
        <v>3101</v>
      </c>
      <c r="G352" t="s">
        <v>3273</v>
      </c>
      <c r="H352" t="s">
        <v>2896</v>
      </c>
      <c r="I352" t="s">
        <v>2897</v>
      </c>
      <c r="J352" t="s">
        <v>4234</v>
      </c>
    </row>
    <row r="353" spans="1:10" x14ac:dyDescent="0.2">
      <c r="A353" t="s">
        <v>59</v>
      </c>
      <c r="B353" t="s">
        <v>1715</v>
      </c>
      <c r="C353" t="s">
        <v>1716</v>
      </c>
      <c r="D353" t="s">
        <v>4235</v>
      </c>
      <c r="E353" t="s">
        <v>4236</v>
      </c>
      <c r="F353" t="s">
        <v>2973</v>
      </c>
      <c r="G353" t="s">
        <v>3978</v>
      </c>
      <c r="H353" t="s">
        <v>2904</v>
      </c>
      <c r="I353" t="s">
        <v>2910</v>
      </c>
      <c r="J353" t="s">
        <v>4237</v>
      </c>
    </row>
    <row r="354" spans="1:10" x14ac:dyDescent="0.2">
      <c r="A354" t="s">
        <v>59</v>
      </c>
      <c r="B354" t="s">
        <v>595</v>
      </c>
      <c r="C354" t="s">
        <v>431</v>
      </c>
      <c r="D354" t="s">
        <v>4238</v>
      </c>
      <c r="E354" t="s">
        <v>3258</v>
      </c>
      <c r="F354" t="s">
        <v>3604</v>
      </c>
      <c r="G354" t="s">
        <v>3259</v>
      </c>
      <c r="H354" t="s">
        <v>2904</v>
      </c>
      <c r="I354" t="s">
        <v>3231</v>
      </c>
      <c r="J354" t="s">
        <v>4239</v>
      </c>
    </row>
    <row r="355" spans="1:10" x14ac:dyDescent="0.2">
      <c r="A355" t="s">
        <v>59</v>
      </c>
      <c r="B355" t="s">
        <v>595</v>
      </c>
      <c r="C355" t="s">
        <v>431</v>
      </c>
      <c r="D355" t="s">
        <v>3671</v>
      </c>
      <c r="E355" t="s">
        <v>4240</v>
      </c>
      <c r="F355" t="s">
        <v>4241</v>
      </c>
      <c r="G355" t="s">
        <v>4242</v>
      </c>
      <c r="H355" t="s">
        <v>2896</v>
      </c>
      <c r="I355" t="s">
        <v>2959</v>
      </c>
      <c r="J355" t="s">
        <v>4243</v>
      </c>
    </row>
    <row r="356" spans="1:10" x14ac:dyDescent="0.2">
      <c r="A356" t="s">
        <v>59</v>
      </c>
      <c r="B356" t="s">
        <v>287</v>
      </c>
      <c r="C356" t="s">
        <v>1733</v>
      </c>
      <c r="D356" t="s">
        <v>4244</v>
      </c>
      <c r="E356" t="s">
        <v>4245</v>
      </c>
      <c r="F356" t="s">
        <v>4246</v>
      </c>
      <c r="G356" t="s">
        <v>4024</v>
      </c>
      <c r="H356" t="s">
        <v>2904</v>
      </c>
      <c r="I356" t="s">
        <v>2897</v>
      </c>
      <c r="J356" t="s">
        <v>4247</v>
      </c>
    </row>
    <row r="357" spans="1:10" x14ac:dyDescent="0.2">
      <c r="A357" t="s">
        <v>59</v>
      </c>
      <c r="B357" t="s">
        <v>125</v>
      </c>
      <c r="C357" t="s">
        <v>1048</v>
      </c>
      <c r="D357" t="s">
        <v>3636</v>
      </c>
      <c r="E357" t="s">
        <v>3890</v>
      </c>
      <c r="F357" t="s">
        <v>4051</v>
      </c>
      <c r="G357" t="s">
        <v>2893</v>
      </c>
      <c r="H357" t="s">
        <v>2896</v>
      </c>
      <c r="I357" t="s">
        <v>2910</v>
      </c>
      <c r="J357" t="s">
        <v>4248</v>
      </c>
    </row>
    <row r="358" spans="1:10" x14ac:dyDescent="0.2">
      <c r="A358" t="s">
        <v>59</v>
      </c>
      <c r="B358" t="s">
        <v>1738</v>
      </c>
      <c r="C358" t="s">
        <v>1739</v>
      </c>
      <c r="D358" t="s">
        <v>4249</v>
      </c>
      <c r="E358" t="s">
        <v>3664</v>
      </c>
      <c r="F358" t="s">
        <v>2909</v>
      </c>
      <c r="G358" t="s">
        <v>4250</v>
      </c>
      <c r="H358" t="s">
        <v>2904</v>
      </c>
      <c r="I358" t="s">
        <v>3231</v>
      </c>
      <c r="J358" t="s">
        <v>4251</v>
      </c>
    </row>
    <row r="359" spans="1:10" x14ac:dyDescent="0.2">
      <c r="A359" t="s">
        <v>59</v>
      </c>
      <c r="B359" t="s">
        <v>135</v>
      </c>
      <c r="C359" t="s">
        <v>1706</v>
      </c>
      <c r="D359" t="s">
        <v>4252</v>
      </c>
      <c r="E359" t="s">
        <v>3434</v>
      </c>
      <c r="F359" t="s">
        <v>4253</v>
      </c>
      <c r="G359" t="s">
        <v>2918</v>
      </c>
      <c r="H359" t="s">
        <v>2904</v>
      </c>
      <c r="I359" t="s">
        <v>2921</v>
      </c>
      <c r="J359" t="s">
        <v>4254</v>
      </c>
    </row>
    <row r="360" spans="1:10" x14ac:dyDescent="0.2">
      <c r="A360" t="s">
        <v>91</v>
      </c>
      <c r="B360" t="s">
        <v>315</v>
      </c>
      <c r="C360" t="s">
        <v>1754</v>
      </c>
      <c r="D360" t="s">
        <v>4255</v>
      </c>
      <c r="E360" t="s">
        <v>2973</v>
      </c>
      <c r="F360" t="s">
        <v>4256</v>
      </c>
      <c r="G360" t="s">
        <v>4257</v>
      </c>
      <c r="H360" t="s">
        <v>2904</v>
      </c>
      <c r="I360" t="s">
        <v>2897</v>
      </c>
      <c r="J360" t="s">
        <v>4258</v>
      </c>
    </row>
    <row r="361" spans="1:10" x14ac:dyDescent="0.2">
      <c r="A361" t="s">
        <v>91</v>
      </c>
      <c r="B361" t="s">
        <v>315</v>
      </c>
      <c r="C361" t="s">
        <v>1462</v>
      </c>
      <c r="D361" t="s">
        <v>4259</v>
      </c>
      <c r="E361" t="s">
        <v>2996</v>
      </c>
      <c r="F361" t="s">
        <v>3526</v>
      </c>
      <c r="G361" t="s">
        <v>3258</v>
      </c>
      <c r="H361" t="s">
        <v>2904</v>
      </c>
      <c r="I361" t="s">
        <v>2959</v>
      </c>
      <c r="J361" t="s">
        <v>4260</v>
      </c>
    </row>
    <row r="362" spans="1:10" x14ac:dyDescent="0.2">
      <c r="A362" t="s">
        <v>91</v>
      </c>
      <c r="B362" t="s">
        <v>315</v>
      </c>
      <c r="C362" t="s">
        <v>1760</v>
      </c>
      <c r="D362" t="s">
        <v>4261</v>
      </c>
      <c r="E362" t="s">
        <v>4262</v>
      </c>
      <c r="F362" t="s">
        <v>4263</v>
      </c>
      <c r="G362" t="s">
        <v>4264</v>
      </c>
      <c r="H362" t="s">
        <v>2904</v>
      </c>
      <c r="I362" t="s">
        <v>2910</v>
      </c>
      <c r="J362" t="s">
        <v>4265</v>
      </c>
    </row>
    <row r="363" spans="1:10" x14ac:dyDescent="0.2">
      <c r="A363" t="s">
        <v>91</v>
      </c>
      <c r="B363" t="s">
        <v>125</v>
      </c>
      <c r="C363" t="s">
        <v>1748</v>
      </c>
      <c r="D363" t="s">
        <v>4266</v>
      </c>
      <c r="E363" t="s">
        <v>4267</v>
      </c>
      <c r="F363" t="s">
        <v>4268</v>
      </c>
      <c r="G363" t="s">
        <v>4269</v>
      </c>
      <c r="H363" t="s">
        <v>2904</v>
      </c>
      <c r="I363" t="s">
        <v>2921</v>
      </c>
      <c r="J363" t="s">
        <v>4270</v>
      </c>
    </row>
    <row r="364" spans="1:10" x14ac:dyDescent="0.2">
      <c r="A364" t="s">
        <v>91</v>
      </c>
      <c r="B364" t="s">
        <v>125</v>
      </c>
      <c r="C364" t="s">
        <v>316</v>
      </c>
      <c r="D364" t="s">
        <v>4271</v>
      </c>
      <c r="E364" t="s">
        <v>4066</v>
      </c>
      <c r="F364" t="s">
        <v>4067</v>
      </c>
      <c r="G364" t="s">
        <v>4272</v>
      </c>
      <c r="H364" t="s">
        <v>2904</v>
      </c>
      <c r="I364" t="s">
        <v>2910</v>
      </c>
      <c r="J364" t="s">
        <v>4273</v>
      </c>
    </row>
    <row r="365" spans="1:10" x14ac:dyDescent="0.2">
      <c r="A365" t="s">
        <v>91</v>
      </c>
      <c r="B365" t="s">
        <v>328</v>
      </c>
      <c r="C365" t="s">
        <v>437</v>
      </c>
      <c r="D365" t="s">
        <v>4274</v>
      </c>
      <c r="E365" t="s">
        <v>3020</v>
      </c>
      <c r="F365" t="s">
        <v>3795</v>
      </c>
      <c r="G365" t="s">
        <v>4275</v>
      </c>
      <c r="H365" t="s">
        <v>2896</v>
      </c>
      <c r="I365" t="s">
        <v>2897</v>
      </c>
      <c r="J365" t="s">
        <v>4276</v>
      </c>
    </row>
    <row r="366" spans="1:10" x14ac:dyDescent="0.2">
      <c r="A366" t="s">
        <v>91</v>
      </c>
      <c r="B366" t="s">
        <v>166</v>
      </c>
      <c r="C366" t="s">
        <v>237</v>
      </c>
      <c r="D366" t="s">
        <v>4277</v>
      </c>
      <c r="E366" t="s">
        <v>3691</v>
      </c>
      <c r="F366" t="s">
        <v>3498</v>
      </c>
      <c r="G366" t="s">
        <v>3770</v>
      </c>
      <c r="H366" t="s">
        <v>2904</v>
      </c>
      <c r="I366" t="s">
        <v>2897</v>
      </c>
      <c r="J366" t="s">
        <v>4278</v>
      </c>
    </row>
    <row r="367" spans="1:10" x14ac:dyDescent="0.2">
      <c r="A367" t="s">
        <v>91</v>
      </c>
      <c r="B367" t="s">
        <v>287</v>
      </c>
      <c r="C367" t="s">
        <v>251</v>
      </c>
      <c r="D367" t="s">
        <v>4279</v>
      </c>
      <c r="E367" t="s">
        <v>4280</v>
      </c>
      <c r="F367" t="s">
        <v>3665</v>
      </c>
      <c r="G367" t="s">
        <v>3493</v>
      </c>
      <c r="H367" t="s">
        <v>2904</v>
      </c>
      <c r="I367" t="s">
        <v>2910</v>
      </c>
      <c r="J367" t="s">
        <v>4281</v>
      </c>
    </row>
    <row r="368" spans="1:10" x14ac:dyDescent="0.2">
      <c r="A368" t="s">
        <v>91</v>
      </c>
      <c r="B368" t="s">
        <v>315</v>
      </c>
      <c r="C368" t="s">
        <v>1780</v>
      </c>
      <c r="D368" t="s">
        <v>4282</v>
      </c>
      <c r="E368" t="s">
        <v>3664</v>
      </c>
      <c r="F368" t="s">
        <v>4283</v>
      </c>
      <c r="G368" t="s">
        <v>3926</v>
      </c>
      <c r="H368" t="s">
        <v>2904</v>
      </c>
      <c r="I368" t="s">
        <v>3231</v>
      </c>
      <c r="J368" t="s">
        <v>4284</v>
      </c>
    </row>
    <row r="369" spans="1:10" x14ac:dyDescent="0.2">
      <c r="A369" t="s">
        <v>91</v>
      </c>
      <c r="B369" t="s">
        <v>328</v>
      </c>
      <c r="C369" t="s">
        <v>329</v>
      </c>
      <c r="D369" t="s">
        <v>4285</v>
      </c>
      <c r="E369" t="s">
        <v>2893</v>
      </c>
      <c r="F369" t="s">
        <v>3135</v>
      </c>
      <c r="G369" t="s">
        <v>3046</v>
      </c>
      <c r="H369" t="s">
        <v>2896</v>
      </c>
      <c r="I369" t="s">
        <v>2959</v>
      </c>
      <c r="J369" t="s">
        <v>4286</v>
      </c>
    </row>
    <row r="370" spans="1:10" x14ac:dyDescent="0.2">
      <c r="A370" t="s">
        <v>91</v>
      </c>
      <c r="B370" t="s">
        <v>315</v>
      </c>
      <c r="C370" t="s">
        <v>1548</v>
      </c>
      <c r="D370" t="s">
        <v>4287</v>
      </c>
      <c r="E370" t="s">
        <v>4288</v>
      </c>
      <c r="F370" t="s">
        <v>4289</v>
      </c>
      <c r="G370" t="s">
        <v>4290</v>
      </c>
      <c r="H370" t="s">
        <v>2904</v>
      </c>
      <c r="I370" t="s">
        <v>2897</v>
      </c>
      <c r="J370" t="s">
        <v>4291</v>
      </c>
    </row>
    <row r="371" spans="1:10" x14ac:dyDescent="0.2">
      <c r="A371" t="s">
        <v>91</v>
      </c>
      <c r="B371" t="s">
        <v>166</v>
      </c>
      <c r="C371" t="s">
        <v>470</v>
      </c>
      <c r="D371" t="s">
        <v>4292</v>
      </c>
      <c r="E371" t="s">
        <v>3154</v>
      </c>
      <c r="F371" t="s">
        <v>4293</v>
      </c>
      <c r="G371" t="s">
        <v>4294</v>
      </c>
      <c r="H371" t="s">
        <v>2896</v>
      </c>
      <c r="I371" t="s">
        <v>2910</v>
      </c>
      <c r="J371" t="s">
        <v>4295</v>
      </c>
    </row>
    <row r="372" spans="1:10" x14ac:dyDescent="0.2">
      <c r="A372" t="s">
        <v>73</v>
      </c>
      <c r="B372" t="s">
        <v>437</v>
      </c>
      <c r="C372" t="s">
        <v>1817</v>
      </c>
      <c r="D372" t="s">
        <v>4296</v>
      </c>
      <c r="E372" t="s">
        <v>2930</v>
      </c>
      <c r="F372" t="s">
        <v>3003</v>
      </c>
      <c r="G372" t="s">
        <v>2913</v>
      </c>
      <c r="H372" t="s">
        <v>2904</v>
      </c>
      <c r="I372" t="s">
        <v>2897</v>
      </c>
      <c r="J372" t="s">
        <v>4297</v>
      </c>
    </row>
    <row r="373" spans="1:10" x14ac:dyDescent="0.2">
      <c r="A373" t="s">
        <v>73</v>
      </c>
      <c r="B373" t="s">
        <v>437</v>
      </c>
      <c r="C373" t="s">
        <v>1817</v>
      </c>
      <c r="D373" t="s">
        <v>4298</v>
      </c>
      <c r="E373" t="s">
        <v>2969</v>
      </c>
      <c r="F373" t="s">
        <v>3136</v>
      </c>
      <c r="G373" t="s">
        <v>3135</v>
      </c>
      <c r="H373" t="s">
        <v>2896</v>
      </c>
      <c r="I373" t="s">
        <v>2959</v>
      </c>
      <c r="J373" t="s">
        <v>4299</v>
      </c>
    </row>
    <row r="374" spans="1:10" x14ac:dyDescent="0.2">
      <c r="A374" t="s">
        <v>73</v>
      </c>
      <c r="B374" t="s">
        <v>437</v>
      </c>
      <c r="C374" t="s">
        <v>1817</v>
      </c>
      <c r="D374" t="s">
        <v>4300</v>
      </c>
      <c r="E374" t="s">
        <v>2991</v>
      </c>
      <c r="F374" t="s">
        <v>3215</v>
      </c>
      <c r="G374" t="s">
        <v>3364</v>
      </c>
      <c r="H374" t="s">
        <v>2896</v>
      </c>
      <c r="I374" t="s">
        <v>3032</v>
      </c>
      <c r="J374" t="s">
        <v>4301</v>
      </c>
    </row>
    <row r="375" spans="1:10" x14ac:dyDescent="0.2">
      <c r="A375" t="s">
        <v>73</v>
      </c>
      <c r="B375" t="s">
        <v>315</v>
      </c>
      <c r="C375" t="s">
        <v>1804</v>
      </c>
      <c r="D375" t="s">
        <v>4302</v>
      </c>
      <c r="E375" t="s">
        <v>2893</v>
      </c>
      <c r="F375" t="s">
        <v>3046</v>
      </c>
      <c r="G375" t="s">
        <v>3206</v>
      </c>
      <c r="H375" t="s">
        <v>2896</v>
      </c>
      <c r="I375" t="s">
        <v>2897</v>
      </c>
      <c r="J375" t="s">
        <v>4303</v>
      </c>
    </row>
    <row r="376" spans="1:10" x14ac:dyDescent="0.2">
      <c r="A376" t="s">
        <v>73</v>
      </c>
      <c r="B376" t="s">
        <v>315</v>
      </c>
      <c r="C376" t="s">
        <v>1794</v>
      </c>
      <c r="D376" t="s">
        <v>4304</v>
      </c>
      <c r="E376" t="s">
        <v>3020</v>
      </c>
      <c r="F376" t="s">
        <v>3604</v>
      </c>
      <c r="G376" t="s">
        <v>3650</v>
      </c>
      <c r="H376" t="s">
        <v>2904</v>
      </c>
      <c r="I376" t="s">
        <v>2910</v>
      </c>
      <c r="J376" t="s">
        <v>4305</v>
      </c>
    </row>
    <row r="377" spans="1:10" x14ac:dyDescent="0.2">
      <c r="A377" t="s">
        <v>73</v>
      </c>
      <c r="B377" t="s">
        <v>315</v>
      </c>
      <c r="C377" t="s">
        <v>841</v>
      </c>
      <c r="D377" t="s">
        <v>3755</v>
      </c>
      <c r="E377" t="s">
        <v>2895</v>
      </c>
      <c r="F377" t="s">
        <v>3016</v>
      </c>
      <c r="G377" t="s">
        <v>3136</v>
      </c>
      <c r="H377" t="s">
        <v>2896</v>
      </c>
      <c r="I377" t="s">
        <v>3231</v>
      </c>
      <c r="J377" t="s">
        <v>4306</v>
      </c>
    </row>
    <row r="378" spans="1:10" x14ac:dyDescent="0.2">
      <c r="A378" t="s">
        <v>73</v>
      </c>
      <c r="B378" t="s">
        <v>166</v>
      </c>
      <c r="C378" t="s">
        <v>1677</v>
      </c>
      <c r="D378" t="s">
        <v>3497</v>
      </c>
      <c r="E378" t="s">
        <v>3292</v>
      </c>
      <c r="F378" t="s">
        <v>3040</v>
      </c>
      <c r="G378" t="s">
        <v>3007</v>
      </c>
      <c r="H378" t="s">
        <v>2904</v>
      </c>
      <c r="I378" t="s">
        <v>2897</v>
      </c>
      <c r="J378" t="s">
        <v>4307</v>
      </c>
    </row>
    <row r="379" spans="1:10" x14ac:dyDescent="0.2">
      <c r="A379" t="s">
        <v>73</v>
      </c>
      <c r="B379" t="s">
        <v>166</v>
      </c>
      <c r="C379" t="s">
        <v>1661</v>
      </c>
      <c r="D379" t="s">
        <v>4308</v>
      </c>
      <c r="E379" t="s">
        <v>3212</v>
      </c>
      <c r="F379" t="s">
        <v>2931</v>
      </c>
      <c r="G379" t="s">
        <v>3240</v>
      </c>
      <c r="H379" t="s">
        <v>2904</v>
      </c>
      <c r="I379" t="s">
        <v>2910</v>
      </c>
      <c r="J379" t="s">
        <v>4309</v>
      </c>
    </row>
    <row r="380" spans="1:10" x14ac:dyDescent="0.2">
      <c r="A380" t="s">
        <v>73</v>
      </c>
      <c r="B380" t="s">
        <v>287</v>
      </c>
      <c r="C380" t="s">
        <v>288</v>
      </c>
      <c r="D380" t="s">
        <v>4310</v>
      </c>
      <c r="E380" t="s">
        <v>4311</v>
      </c>
      <c r="F380" t="s">
        <v>4312</v>
      </c>
      <c r="G380" t="s">
        <v>3223</v>
      </c>
      <c r="H380" t="s">
        <v>2904</v>
      </c>
      <c r="I380" t="s">
        <v>2959</v>
      </c>
      <c r="J380" t="s">
        <v>4313</v>
      </c>
    </row>
    <row r="381" spans="1:10" x14ac:dyDescent="0.2">
      <c r="A381" t="s">
        <v>73</v>
      </c>
      <c r="B381" t="s">
        <v>287</v>
      </c>
      <c r="C381" t="s">
        <v>1834</v>
      </c>
      <c r="D381" t="s">
        <v>4314</v>
      </c>
      <c r="E381" t="s">
        <v>4315</v>
      </c>
      <c r="F381" t="s">
        <v>4316</v>
      </c>
      <c r="G381" t="s">
        <v>4317</v>
      </c>
      <c r="H381" t="s">
        <v>2904</v>
      </c>
      <c r="I381" t="s">
        <v>2897</v>
      </c>
      <c r="J381" t="s">
        <v>4318</v>
      </c>
    </row>
    <row r="382" spans="1:10" x14ac:dyDescent="0.2">
      <c r="A382" t="s">
        <v>73</v>
      </c>
      <c r="B382" t="s">
        <v>315</v>
      </c>
      <c r="C382" t="s">
        <v>614</v>
      </c>
      <c r="D382" t="s">
        <v>4319</v>
      </c>
      <c r="E382" t="s">
        <v>4320</v>
      </c>
      <c r="F382" t="s">
        <v>4321</v>
      </c>
      <c r="G382" t="s">
        <v>4322</v>
      </c>
      <c r="H382" t="s">
        <v>2904</v>
      </c>
      <c r="I382" t="s">
        <v>3231</v>
      </c>
      <c r="J382" t="s">
        <v>4323</v>
      </c>
    </row>
    <row r="383" spans="1:10" x14ac:dyDescent="0.2">
      <c r="A383" t="s">
        <v>73</v>
      </c>
      <c r="B383" t="s">
        <v>125</v>
      </c>
      <c r="C383" t="s">
        <v>1715</v>
      </c>
      <c r="D383" t="s">
        <v>4324</v>
      </c>
      <c r="E383" t="s">
        <v>3177</v>
      </c>
      <c r="F383" t="s">
        <v>3178</v>
      </c>
      <c r="G383" t="s">
        <v>3609</v>
      </c>
      <c r="H383" t="s">
        <v>2896</v>
      </c>
      <c r="I383" t="s">
        <v>2897</v>
      </c>
      <c r="J383" t="s">
        <v>4325</v>
      </c>
    </row>
    <row r="384" spans="1:10" x14ac:dyDescent="0.2">
      <c r="A384" t="s">
        <v>58</v>
      </c>
      <c r="B384" t="s">
        <v>1867</v>
      </c>
      <c r="C384" t="s">
        <v>4326</v>
      </c>
      <c r="D384" t="s">
        <v>4327</v>
      </c>
      <c r="E384" t="s">
        <v>3427</v>
      </c>
      <c r="F384" t="s">
        <v>2932</v>
      </c>
      <c r="G384" t="s">
        <v>2932</v>
      </c>
      <c r="H384" t="s">
        <v>2904</v>
      </c>
      <c r="I384" t="s">
        <v>2897</v>
      </c>
      <c r="J384" t="s">
        <v>4328</v>
      </c>
    </row>
    <row r="385" spans="1:10" x14ac:dyDescent="0.2">
      <c r="A385" t="s">
        <v>58</v>
      </c>
      <c r="B385" t="s">
        <v>1867</v>
      </c>
      <c r="C385" t="s">
        <v>4329</v>
      </c>
      <c r="D385" t="s">
        <v>4330</v>
      </c>
      <c r="E385" t="s">
        <v>4331</v>
      </c>
      <c r="F385" t="s">
        <v>4067</v>
      </c>
      <c r="G385" t="s">
        <v>4067</v>
      </c>
      <c r="H385" t="s">
        <v>2904</v>
      </c>
      <c r="I385" t="s">
        <v>2897</v>
      </c>
      <c r="J385" t="s">
        <v>4332</v>
      </c>
    </row>
    <row r="386" spans="1:10" x14ac:dyDescent="0.2">
      <c r="A386" t="s">
        <v>58</v>
      </c>
      <c r="B386" t="s">
        <v>1873</v>
      </c>
      <c r="C386" t="s">
        <v>4333</v>
      </c>
      <c r="D386" t="s">
        <v>4334</v>
      </c>
      <c r="E386" t="s">
        <v>2907</v>
      </c>
      <c r="F386" t="s">
        <v>3665</v>
      </c>
      <c r="G386" t="s">
        <v>4250</v>
      </c>
      <c r="H386" t="s">
        <v>2904</v>
      </c>
      <c r="I386" t="s">
        <v>2910</v>
      </c>
      <c r="J386" t="s">
        <v>4335</v>
      </c>
    </row>
    <row r="387" spans="1:10" x14ac:dyDescent="0.2">
      <c r="A387" t="s">
        <v>58</v>
      </c>
      <c r="B387" t="s">
        <v>802</v>
      </c>
      <c r="C387" t="s">
        <v>4336</v>
      </c>
      <c r="D387" t="s">
        <v>3497</v>
      </c>
      <c r="E387" t="s">
        <v>3292</v>
      </c>
      <c r="F387" t="s">
        <v>3692</v>
      </c>
      <c r="G387" t="s">
        <v>3040</v>
      </c>
      <c r="H387" t="s">
        <v>2904</v>
      </c>
      <c r="I387" t="s">
        <v>2959</v>
      </c>
      <c r="J387" t="s">
        <v>4337</v>
      </c>
    </row>
    <row r="388" spans="1:10" x14ac:dyDescent="0.2">
      <c r="A388" t="s">
        <v>58</v>
      </c>
      <c r="B388" t="s">
        <v>802</v>
      </c>
      <c r="C388" t="s">
        <v>4338</v>
      </c>
      <c r="D388" t="s">
        <v>4339</v>
      </c>
      <c r="E388" t="s">
        <v>4340</v>
      </c>
      <c r="F388" t="s">
        <v>4341</v>
      </c>
      <c r="G388" t="s">
        <v>4342</v>
      </c>
      <c r="H388" t="s">
        <v>2896</v>
      </c>
      <c r="I388" t="s">
        <v>2897</v>
      </c>
      <c r="J388" t="s">
        <v>4343</v>
      </c>
    </row>
    <row r="389" spans="1:10" x14ac:dyDescent="0.2">
      <c r="A389" t="s">
        <v>58</v>
      </c>
      <c r="B389" t="s">
        <v>287</v>
      </c>
      <c r="C389" t="s">
        <v>4344</v>
      </c>
      <c r="D389" t="s">
        <v>4345</v>
      </c>
      <c r="E389" t="s">
        <v>4346</v>
      </c>
      <c r="F389" t="s">
        <v>3122</v>
      </c>
      <c r="G389" t="s">
        <v>4347</v>
      </c>
      <c r="H389" t="s">
        <v>2904</v>
      </c>
      <c r="I389" t="s">
        <v>2910</v>
      </c>
      <c r="J389" t="s">
        <v>4348</v>
      </c>
    </row>
    <row r="390" spans="1:10" x14ac:dyDescent="0.2">
      <c r="A390" t="s">
        <v>58</v>
      </c>
      <c r="B390" t="s">
        <v>287</v>
      </c>
      <c r="C390" t="s">
        <v>389</v>
      </c>
      <c r="D390" t="s">
        <v>4349</v>
      </c>
      <c r="E390" t="s">
        <v>4350</v>
      </c>
      <c r="F390" t="s">
        <v>4351</v>
      </c>
      <c r="G390" t="s">
        <v>4352</v>
      </c>
      <c r="H390" t="s">
        <v>2904</v>
      </c>
      <c r="I390" t="s">
        <v>2897</v>
      </c>
      <c r="J390" t="s">
        <v>4353</v>
      </c>
    </row>
    <row r="391" spans="1:10" x14ac:dyDescent="0.2">
      <c r="A391" t="s">
        <v>58</v>
      </c>
      <c r="B391" t="s">
        <v>1845</v>
      </c>
      <c r="C391" t="s">
        <v>4354</v>
      </c>
      <c r="D391" t="s">
        <v>4355</v>
      </c>
      <c r="E391" t="s">
        <v>2968</v>
      </c>
      <c r="F391" t="s">
        <v>4356</v>
      </c>
      <c r="G391" t="s">
        <v>3080</v>
      </c>
      <c r="H391" t="s">
        <v>2896</v>
      </c>
      <c r="I391" t="s">
        <v>3231</v>
      </c>
      <c r="J391" t="s">
        <v>4357</v>
      </c>
    </row>
    <row r="392" spans="1:10" x14ac:dyDescent="0.2">
      <c r="A392" t="s">
        <v>58</v>
      </c>
      <c r="B392" t="s">
        <v>1845</v>
      </c>
      <c r="C392" t="s">
        <v>4358</v>
      </c>
      <c r="D392" t="s">
        <v>4359</v>
      </c>
      <c r="E392" t="s">
        <v>3003</v>
      </c>
      <c r="F392" t="s">
        <v>2954</v>
      </c>
      <c r="G392" t="s">
        <v>2954</v>
      </c>
      <c r="H392" t="s">
        <v>2904</v>
      </c>
      <c r="I392" t="s">
        <v>2910</v>
      </c>
      <c r="J392" t="s">
        <v>4360</v>
      </c>
    </row>
    <row r="393" spans="1:10" x14ac:dyDescent="0.2">
      <c r="A393" t="s">
        <v>58</v>
      </c>
      <c r="B393" t="s">
        <v>1885</v>
      </c>
      <c r="C393" t="s">
        <v>4361</v>
      </c>
      <c r="D393" t="s">
        <v>4362</v>
      </c>
      <c r="E393" t="s">
        <v>4363</v>
      </c>
      <c r="F393" t="s">
        <v>3439</v>
      </c>
      <c r="G393" t="s">
        <v>4364</v>
      </c>
      <c r="H393" t="s">
        <v>2904</v>
      </c>
      <c r="I393" t="s">
        <v>2921</v>
      </c>
      <c r="J393" t="s">
        <v>4365</v>
      </c>
    </row>
    <row r="394" spans="1:10" x14ac:dyDescent="0.2">
      <c r="A394" t="s">
        <v>58</v>
      </c>
      <c r="B394" t="s">
        <v>196</v>
      </c>
      <c r="C394" t="s">
        <v>1970</v>
      </c>
      <c r="D394" t="s">
        <v>4366</v>
      </c>
      <c r="E394" t="s">
        <v>4367</v>
      </c>
      <c r="F394" t="s">
        <v>4257</v>
      </c>
      <c r="G394" t="s">
        <v>3264</v>
      </c>
      <c r="H394" t="s">
        <v>2904</v>
      </c>
      <c r="I394" t="s">
        <v>2910</v>
      </c>
      <c r="J394" t="s">
        <v>4368</v>
      </c>
    </row>
    <row r="395" spans="1:10" x14ac:dyDescent="0.2">
      <c r="A395" t="s">
        <v>58</v>
      </c>
      <c r="B395" t="s">
        <v>166</v>
      </c>
      <c r="C395" t="s">
        <v>4369</v>
      </c>
      <c r="D395" t="s">
        <v>4370</v>
      </c>
      <c r="E395" t="s">
        <v>2932</v>
      </c>
      <c r="F395" t="s">
        <v>3003</v>
      </c>
      <c r="G395" t="s">
        <v>3003</v>
      </c>
      <c r="H395" t="s">
        <v>2904</v>
      </c>
      <c r="I395" t="s">
        <v>2897</v>
      </c>
      <c r="J395" t="s">
        <v>4371</v>
      </c>
    </row>
    <row r="396" spans="1:10" x14ac:dyDescent="0.2">
      <c r="A396" t="s">
        <v>62</v>
      </c>
      <c r="B396" t="s">
        <v>1895</v>
      </c>
      <c r="C396" t="s">
        <v>1896</v>
      </c>
      <c r="D396" t="s">
        <v>4372</v>
      </c>
      <c r="E396" t="s">
        <v>3244</v>
      </c>
      <c r="F396" t="s">
        <v>2954</v>
      </c>
      <c r="G396" t="s">
        <v>2914</v>
      </c>
      <c r="H396" t="s">
        <v>2904</v>
      </c>
      <c r="I396" t="s">
        <v>2897</v>
      </c>
      <c r="J396" t="s">
        <v>4373</v>
      </c>
    </row>
    <row r="397" spans="1:10" x14ac:dyDescent="0.2">
      <c r="A397" t="s">
        <v>62</v>
      </c>
      <c r="B397" t="s">
        <v>1895</v>
      </c>
      <c r="C397" t="s">
        <v>1686</v>
      </c>
      <c r="D397" t="s">
        <v>4374</v>
      </c>
      <c r="E397" t="s">
        <v>4375</v>
      </c>
      <c r="F397" t="s">
        <v>3843</v>
      </c>
      <c r="G397" t="s">
        <v>4150</v>
      </c>
      <c r="H397" t="s">
        <v>2904</v>
      </c>
      <c r="I397" t="s">
        <v>2959</v>
      </c>
      <c r="J397" t="s">
        <v>4376</v>
      </c>
    </row>
    <row r="398" spans="1:10" x14ac:dyDescent="0.2">
      <c r="A398" t="s">
        <v>62</v>
      </c>
      <c r="B398" t="s">
        <v>315</v>
      </c>
      <c r="C398" t="s">
        <v>1909</v>
      </c>
      <c r="D398" t="s">
        <v>4377</v>
      </c>
      <c r="E398" t="s">
        <v>2924</v>
      </c>
      <c r="F398" t="s">
        <v>2926</v>
      </c>
      <c r="G398" t="s">
        <v>2994</v>
      </c>
      <c r="H398" t="s">
        <v>2896</v>
      </c>
      <c r="I398" t="s">
        <v>2897</v>
      </c>
      <c r="J398" t="s">
        <v>4378</v>
      </c>
    </row>
    <row r="399" spans="1:10" x14ac:dyDescent="0.2">
      <c r="A399" t="s">
        <v>62</v>
      </c>
      <c r="B399" t="s">
        <v>315</v>
      </c>
      <c r="C399" t="s">
        <v>1944</v>
      </c>
      <c r="D399" t="s">
        <v>4379</v>
      </c>
      <c r="E399" t="s">
        <v>4380</v>
      </c>
      <c r="F399" t="s">
        <v>4041</v>
      </c>
      <c r="G399" t="s">
        <v>4381</v>
      </c>
      <c r="H399" t="s">
        <v>2904</v>
      </c>
      <c r="I399" t="s">
        <v>2959</v>
      </c>
      <c r="J399" t="s">
        <v>4382</v>
      </c>
    </row>
    <row r="400" spans="1:10" x14ac:dyDescent="0.2">
      <c r="A400" t="s">
        <v>62</v>
      </c>
      <c r="B400" t="s">
        <v>125</v>
      </c>
      <c r="C400" t="s">
        <v>126</v>
      </c>
      <c r="D400" t="s">
        <v>4271</v>
      </c>
      <c r="E400" t="s">
        <v>2915</v>
      </c>
      <c r="F400" t="s">
        <v>2919</v>
      </c>
      <c r="G400" t="s">
        <v>3166</v>
      </c>
      <c r="H400" t="s">
        <v>2904</v>
      </c>
      <c r="I400" t="s">
        <v>2897</v>
      </c>
      <c r="J400" t="s">
        <v>4383</v>
      </c>
    </row>
    <row r="401" spans="1:10" x14ac:dyDescent="0.2">
      <c r="A401" t="s">
        <v>62</v>
      </c>
      <c r="B401" t="s">
        <v>328</v>
      </c>
      <c r="C401" t="s">
        <v>295</v>
      </c>
      <c r="D401" t="s">
        <v>4384</v>
      </c>
      <c r="E401" t="s">
        <v>2925</v>
      </c>
      <c r="F401" t="s">
        <v>3136</v>
      </c>
      <c r="G401" t="s">
        <v>3135</v>
      </c>
      <c r="H401" t="s">
        <v>2896</v>
      </c>
      <c r="I401" t="s">
        <v>2959</v>
      </c>
      <c r="J401" t="s">
        <v>4385</v>
      </c>
    </row>
    <row r="402" spans="1:10" x14ac:dyDescent="0.2">
      <c r="A402" t="s">
        <v>62</v>
      </c>
      <c r="B402" t="s">
        <v>166</v>
      </c>
      <c r="C402" t="s">
        <v>1923</v>
      </c>
      <c r="D402" t="s">
        <v>4386</v>
      </c>
      <c r="E402" t="s">
        <v>2932</v>
      </c>
      <c r="F402" t="s">
        <v>2915</v>
      </c>
      <c r="G402" t="s">
        <v>3003</v>
      </c>
      <c r="H402" t="s">
        <v>2904</v>
      </c>
      <c r="I402" t="s">
        <v>2897</v>
      </c>
      <c r="J402" t="s">
        <v>4387</v>
      </c>
    </row>
    <row r="403" spans="1:10" x14ac:dyDescent="0.2">
      <c r="A403" t="s">
        <v>62</v>
      </c>
      <c r="B403" t="s">
        <v>166</v>
      </c>
      <c r="C403" t="s">
        <v>802</v>
      </c>
      <c r="D403" t="s">
        <v>3497</v>
      </c>
      <c r="E403" t="s">
        <v>3292</v>
      </c>
      <c r="F403" t="s">
        <v>3007</v>
      </c>
      <c r="G403" t="s">
        <v>3110</v>
      </c>
      <c r="H403" t="s">
        <v>2904</v>
      </c>
      <c r="I403" t="s">
        <v>2959</v>
      </c>
      <c r="J403" t="s">
        <v>4388</v>
      </c>
    </row>
    <row r="404" spans="1:10" x14ac:dyDescent="0.2">
      <c r="A404" t="s">
        <v>62</v>
      </c>
      <c r="B404" t="s">
        <v>188</v>
      </c>
      <c r="C404" t="s">
        <v>1013</v>
      </c>
      <c r="D404" t="s">
        <v>3500</v>
      </c>
      <c r="E404" t="s">
        <v>2959</v>
      </c>
      <c r="F404" t="s">
        <v>2910</v>
      </c>
      <c r="G404" t="s">
        <v>2897</v>
      </c>
      <c r="H404" t="s">
        <v>2904</v>
      </c>
      <c r="I404" t="s">
        <v>3032</v>
      </c>
      <c r="J404" t="s">
        <v>4389</v>
      </c>
    </row>
    <row r="405" spans="1:10" x14ac:dyDescent="0.2">
      <c r="A405" t="s">
        <v>62</v>
      </c>
      <c r="B405" t="s">
        <v>1939</v>
      </c>
      <c r="C405" t="s">
        <v>2292</v>
      </c>
      <c r="D405" t="s">
        <v>4390</v>
      </c>
      <c r="E405" t="s">
        <v>3110</v>
      </c>
      <c r="F405" t="s">
        <v>3282</v>
      </c>
      <c r="G405" t="s">
        <v>3975</v>
      </c>
      <c r="H405" t="s">
        <v>2904</v>
      </c>
      <c r="I405" t="s">
        <v>2959</v>
      </c>
      <c r="J405" t="s">
        <v>4391</v>
      </c>
    </row>
    <row r="406" spans="1:10" x14ac:dyDescent="0.2">
      <c r="A406" t="s">
        <v>62</v>
      </c>
      <c r="B406" t="s">
        <v>4392</v>
      </c>
      <c r="C406" t="s">
        <v>4393</v>
      </c>
      <c r="D406" t="s">
        <v>4394</v>
      </c>
      <c r="E406" t="s">
        <v>2921</v>
      </c>
      <c r="F406" t="s">
        <v>4395</v>
      </c>
      <c r="G406" t="s">
        <v>4396</v>
      </c>
      <c r="H406" t="s">
        <v>2904</v>
      </c>
      <c r="I406" t="s">
        <v>3032</v>
      </c>
      <c r="J406" t="s">
        <v>4397</v>
      </c>
    </row>
    <row r="407" spans="1:10" x14ac:dyDescent="0.2">
      <c r="A407" t="s">
        <v>62</v>
      </c>
      <c r="B407" t="s">
        <v>158</v>
      </c>
      <c r="C407" t="s">
        <v>698</v>
      </c>
      <c r="D407" t="s">
        <v>4398</v>
      </c>
      <c r="E407" t="s">
        <v>2979</v>
      </c>
      <c r="F407" t="s">
        <v>3975</v>
      </c>
      <c r="G407" t="s">
        <v>3110</v>
      </c>
      <c r="H407" t="s">
        <v>2904</v>
      </c>
      <c r="I407" t="s">
        <v>2959</v>
      </c>
      <c r="J407" t="s">
        <v>4399</v>
      </c>
    </row>
    <row r="408" spans="1:10" x14ac:dyDescent="0.2">
      <c r="A408" t="s">
        <v>95</v>
      </c>
      <c r="B408" t="s">
        <v>437</v>
      </c>
      <c r="C408" t="s">
        <v>532</v>
      </c>
      <c r="D408" t="s">
        <v>4400</v>
      </c>
      <c r="E408" t="s">
        <v>3215</v>
      </c>
      <c r="F408" t="s">
        <v>2968</v>
      </c>
      <c r="G408" t="s">
        <v>4401</v>
      </c>
      <c r="H408" t="s">
        <v>2896</v>
      </c>
      <c r="I408" t="s">
        <v>2959</v>
      </c>
      <c r="J408" t="s">
        <v>4402</v>
      </c>
    </row>
    <row r="409" spans="1:10" x14ac:dyDescent="0.2">
      <c r="A409" t="s">
        <v>95</v>
      </c>
      <c r="B409" t="s">
        <v>437</v>
      </c>
      <c r="C409" t="s">
        <v>532</v>
      </c>
      <c r="D409" t="s">
        <v>4169</v>
      </c>
      <c r="E409" t="s">
        <v>2930</v>
      </c>
      <c r="F409" t="s">
        <v>3003</v>
      </c>
      <c r="G409" t="s">
        <v>4403</v>
      </c>
      <c r="H409" t="s">
        <v>2904</v>
      </c>
      <c r="I409" t="s">
        <v>2897</v>
      </c>
      <c r="J409" t="s">
        <v>3237</v>
      </c>
    </row>
    <row r="410" spans="1:10" x14ac:dyDescent="0.2">
      <c r="A410" t="s">
        <v>95</v>
      </c>
      <c r="B410" t="s">
        <v>437</v>
      </c>
      <c r="C410" t="s">
        <v>900</v>
      </c>
      <c r="D410" t="s">
        <v>4404</v>
      </c>
      <c r="E410" t="s">
        <v>2991</v>
      </c>
      <c r="F410" t="s">
        <v>3604</v>
      </c>
      <c r="G410" t="s">
        <v>4405</v>
      </c>
      <c r="H410" t="s">
        <v>2904</v>
      </c>
      <c r="I410" t="s">
        <v>2959</v>
      </c>
      <c r="J410" t="s">
        <v>4406</v>
      </c>
    </row>
    <row r="411" spans="1:10" x14ac:dyDescent="0.2">
      <c r="A411" t="s">
        <v>95</v>
      </c>
      <c r="B411" t="s">
        <v>2041</v>
      </c>
      <c r="C411" t="s">
        <v>1247</v>
      </c>
      <c r="D411" t="s">
        <v>4407</v>
      </c>
      <c r="E411" t="s">
        <v>4408</v>
      </c>
      <c r="F411" t="s">
        <v>4409</v>
      </c>
      <c r="G411" t="s">
        <v>4410</v>
      </c>
      <c r="H411" t="s">
        <v>2904</v>
      </c>
      <c r="I411" t="s">
        <v>2897</v>
      </c>
      <c r="J411" t="s">
        <v>4411</v>
      </c>
    </row>
    <row r="412" spans="1:10" x14ac:dyDescent="0.2">
      <c r="A412" t="s">
        <v>95</v>
      </c>
      <c r="B412" t="s">
        <v>2041</v>
      </c>
      <c r="C412" t="s">
        <v>1247</v>
      </c>
      <c r="D412" t="s">
        <v>4412</v>
      </c>
      <c r="E412" t="s">
        <v>3003</v>
      </c>
      <c r="F412" t="s">
        <v>2954</v>
      </c>
      <c r="G412" t="s">
        <v>4413</v>
      </c>
      <c r="H412" t="s">
        <v>2904</v>
      </c>
      <c r="I412" t="s">
        <v>2910</v>
      </c>
      <c r="J412" t="s">
        <v>4414</v>
      </c>
    </row>
    <row r="413" spans="1:10" x14ac:dyDescent="0.2">
      <c r="A413" t="s">
        <v>95</v>
      </c>
      <c r="B413" t="s">
        <v>2041</v>
      </c>
      <c r="C413" t="s">
        <v>4415</v>
      </c>
      <c r="D413" t="s">
        <v>4416</v>
      </c>
      <c r="E413" t="s">
        <v>4417</v>
      </c>
      <c r="F413" t="s">
        <v>4418</v>
      </c>
      <c r="G413" t="s">
        <v>4419</v>
      </c>
      <c r="H413" t="s">
        <v>2904</v>
      </c>
      <c r="I413" t="s">
        <v>2959</v>
      </c>
      <c r="J413" t="s">
        <v>4420</v>
      </c>
    </row>
    <row r="414" spans="1:10" x14ac:dyDescent="0.2">
      <c r="A414" t="s">
        <v>95</v>
      </c>
      <c r="B414" t="s">
        <v>517</v>
      </c>
      <c r="C414" t="s">
        <v>4421</v>
      </c>
      <c r="D414" t="s">
        <v>4422</v>
      </c>
      <c r="E414" t="s">
        <v>3096</v>
      </c>
      <c r="F414" t="s">
        <v>3604</v>
      </c>
      <c r="G414" t="s">
        <v>4423</v>
      </c>
      <c r="H414" t="s">
        <v>2904</v>
      </c>
      <c r="I414" t="s">
        <v>2897</v>
      </c>
      <c r="J414" t="s">
        <v>4424</v>
      </c>
    </row>
    <row r="415" spans="1:10" x14ac:dyDescent="0.2">
      <c r="A415" t="s">
        <v>95</v>
      </c>
      <c r="B415" t="s">
        <v>517</v>
      </c>
      <c r="C415" t="s">
        <v>2037</v>
      </c>
      <c r="D415" t="s">
        <v>4425</v>
      </c>
      <c r="E415" t="s">
        <v>4426</v>
      </c>
      <c r="F415" t="s">
        <v>4427</v>
      </c>
      <c r="G415" t="s">
        <v>4428</v>
      </c>
      <c r="H415" t="s">
        <v>2904</v>
      </c>
      <c r="I415" t="s">
        <v>2897</v>
      </c>
      <c r="J415" t="s">
        <v>4429</v>
      </c>
    </row>
    <row r="416" spans="1:10" x14ac:dyDescent="0.2">
      <c r="A416" t="s">
        <v>95</v>
      </c>
      <c r="B416" t="s">
        <v>329</v>
      </c>
      <c r="C416" t="s">
        <v>1300</v>
      </c>
      <c r="D416" t="s">
        <v>4430</v>
      </c>
      <c r="E416" t="s">
        <v>3135</v>
      </c>
      <c r="F416" t="s">
        <v>3609</v>
      </c>
      <c r="G416" t="s">
        <v>4431</v>
      </c>
      <c r="H416" t="s">
        <v>2896</v>
      </c>
      <c r="I416" t="s">
        <v>3032</v>
      </c>
      <c r="J416" t="s">
        <v>4432</v>
      </c>
    </row>
    <row r="417" spans="1:10" x14ac:dyDescent="0.2">
      <c r="A417" t="s">
        <v>95</v>
      </c>
      <c r="B417" t="s">
        <v>329</v>
      </c>
      <c r="C417" t="s">
        <v>4433</v>
      </c>
      <c r="D417" t="s">
        <v>4434</v>
      </c>
      <c r="E417" t="s">
        <v>4435</v>
      </c>
      <c r="F417" t="s">
        <v>4436</v>
      </c>
      <c r="G417" t="s">
        <v>4437</v>
      </c>
      <c r="H417" t="s">
        <v>2904</v>
      </c>
      <c r="I417" t="s">
        <v>2897</v>
      </c>
      <c r="J417" t="s">
        <v>4438</v>
      </c>
    </row>
    <row r="418" spans="1:10" x14ac:dyDescent="0.2">
      <c r="A418" t="s">
        <v>95</v>
      </c>
      <c r="B418" t="s">
        <v>4439</v>
      </c>
      <c r="C418" t="s">
        <v>4440</v>
      </c>
      <c r="D418" t="s">
        <v>4441</v>
      </c>
      <c r="E418" t="s">
        <v>4442</v>
      </c>
      <c r="F418" t="s">
        <v>3046</v>
      </c>
      <c r="G418" t="s">
        <v>4443</v>
      </c>
      <c r="H418" t="s">
        <v>2896</v>
      </c>
      <c r="I418" t="s">
        <v>2959</v>
      </c>
      <c r="J418" t="s">
        <v>4444</v>
      </c>
    </row>
    <row r="419" spans="1:10" x14ac:dyDescent="0.2">
      <c r="A419" t="s">
        <v>95</v>
      </c>
      <c r="B419" t="s">
        <v>2062</v>
      </c>
      <c r="C419" t="s">
        <v>2063</v>
      </c>
      <c r="D419" t="s">
        <v>4445</v>
      </c>
      <c r="E419" t="s">
        <v>4446</v>
      </c>
      <c r="F419" t="s">
        <v>4447</v>
      </c>
      <c r="G419" t="s">
        <v>4448</v>
      </c>
      <c r="H419" t="s">
        <v>2896</v>
      </c>
      <c r="I419" t="s">
        <v>3032</v>
      </c>
      <c r="J419" t="s">
        <v>4449</v>
      </c>
    </row>
    <row r="420" spans="1:10" x14ac:dyDescent="0.2">
      <c r="A420" t="s">
        <v>67</v>
      </c>
      <c r="B420" t="s">
        <v>135</v>
      </c>
      <c r="C420" t="s">
        <v>1954</v>
      </c>
      <c r="D420" t="s">
        <v>3261</v>
      </c>
      <c r="E420" t="s">
        <v>3391</v>
      </c>
      <c r="F420" t="s">
        <v>2920</v>
      </c>
      <c r="G420" t="s">
        <v>4450</v>
      </c>
      <c r="H420" t="s">
        <v>2904</v>
      </c>
      <c r="I420" t="s">
        <v>2897</v>
      </c>
      <c r="J420" t="s">
        <v>3265</v>
      </c>
    </row>
    <row r="421" spans="1:10" x14ac:dyDescent="0.2">
      <c r="A421" t="s">
        <v>67</v>
      </c>
      <c r="B421" t="s">
        <v>135</v>
      </c>
      <c r="C421" t="s">
        <v>1958</v>
      </c>
      <c r="D421" t="s">
        <v>4451</v>
      </c>
      <c r="E421" t="s">
        <v>4452</v>
      </c>
      <c r="F421" t="s">
        <v>4453</v>
      </c>
      <c r="G421" t="s">
        <v>4454</v>
      </c>
      <c r="H421" t="s">
        <v>2896</v>
      </c>
      <c r="I421" t="s">
        <v>2959</v>
      </c>
      <c r="J421" t="s">
        <v>4455</v>
      </c>
    </row>
    <row r="422" spans="1:10" x14ac:dyDescent="0.2">
      <c r="A422" t="s">
        <v>67</v>
      </c>
      <c r="B422" t="s">
        <v>158</v>
      </c>
      <c r="C422" t="s">
        <v>1944</v>
      </c>
      <c r="D422" t="s">
        <v>4456</v>
      </c>
      <c r="E422" t="s">
        <v>4457</v>
      </c>
      <c r="F422" t="s">
        <v>4458</v>
      </c>
      <c r="G422" t="s">
        <v>4459</v>
      </c>
      <c r="H422" t="s">
        <v>2896</v>
      </c>
      <c r="I422" t="s">
        <v>3032</v>
      </c>
      <c r="J422" t="s">
        <v>4460</v>
      </c>
    </row>
    <row r="423" spans="1:10" x14ac:dyDescent="0.2">
      <c r="A423" t="s">
        <v>67</v>
      </c>
      <c r="B423" t="s">
        <v>158</v>
      </c>
      <c r="C423" t="s">
        <v>4461</v>
      </c>
      <c r="D423" t="s">
        <v>4462</v>
      </c>
      <c r="E423" t="s">
        <v>4463</v>
      </c>
      <c r="F423" t="s">
        <v>4464</v>
      </c>
      <c r="G423" t="s">
        <v>4465</v>
      </c>
      <c r="H423" t="s">
        <v>2896</v>
      </c>
      <c r="I423" t="s">
        <v>2959</v>
      </c>
      <c r="J423" t="s">
        <v>4466</v>
      </c>
    </row>
    <row r="424" spans="1:10" x14ac:dyDescent="0.2">
      <c r="A424" t="s">
        <v>67</v>
      </c>
      <c r="B424" t="s">
        <v>125</v>
      </c>
      <c r="C424" t="s">
        <v>1909</v>
      </c>
      <c r="D424" t="s">
        <v>4266</v>
      </c>
      <c r="E424" t="s">
        <v>4467</v>
      </c>
      <c r="F424" t="s">
        <v>4468</v>
      </c>
      <c r="G424" t="s">
        <v>4469</v>
      </c>
      <c r="H424" t="s">
        <v>2904</v>
      </c>
      <c r="I424" t="s">
        <v>2897</v>
      </c>
      <c r="J424" t="s">
        <v>4470</v>
      </c>
    </row>
    <row r="425" spans="1:10" x14ac:dyDescent="0.2">
      <c r="A425" t="s">
        <v>67</v>
      </c>
      <c r="B425" t="s">
        <v>125</v>
      </c>
      <c r="C425" t="s">
        <v>329</v>
      </c>
      <c r="D425" t="s">
        <v>4471</v>
      </c>
      <c r="E425" t="s">
        <v>4219</v>
      </c>
      <c r="F425" t="s">
        <v>4472</v>
      </c>
      <c r="G425" t="s">
        <v>4473</v>
      </c>
      <c r="H425" t="s">
        <v>2896</v>
      </c>
      <c r="I425" t="s">
        <v>2897</v>
      </c>
      <c r="J425" t="s">
        <v>4474</v>
      </c>
    </row>
    <row r="426" spans="1:10" x14ac:dyDescent="0.2">
      <c r="A426" t="s">
        <v>67</v>
      </c>
      <c r="B426" t="s">
        <v>166</v>
      </c>
      <c r="C426" t="s">
        <v>1965</v>
      </c>
      <c r="D426" t="s">
        <v>4475</v>
      </c>
      <c r="E426" t="s">
        <v>3258</v>
      </c>
      <c r="F426" t="s">
        <v>3021</v>
      </c>
      <c r="G426" t="s">
        <v>4476</v>
      </c>
      <c r="H426" t="s">
        <v>2904</v>
      </c>
      <c r="I426" t="s">
        <v>2959</v>
      </c>
      <c r="J426" t="s">
        <v>4477</v>
      </c>
    </row>
    <row r="427" spans="1:10" x14ac:dyDescent="0.2">
      <c r="A427" t="s">
        <v>67</v>
      </c>
      <c r="B427" t="s">
        <v>166</v>
      </c>
      <c r="C427" t="s">
        <v>4478</v>
      </c>
      <c r="D427" t="s">
        <v>4479</v>
      </c>
      <c r="E427" t="s">
        <v>3243</v>
      </c>
      <c r="F427" t="s">
        <v>2914</v>
      </c>
      <c r="G427" t="s">
        <v>4480</v>
      </c>
      <c r="H427" t="s">
        <v>2904</v>
      </c>
      <c r="I427" t="s">
        <v>2897</v>
      </c>
      <c r="J427" t="s">
        <v>4481</v>
      </c>
    </row>
    <row r="428" spans="1:10" x14ac:dyDescent="0.2">
      <c r="A428" t="s">
        <v>67</v>
      </c>
      <c r="B428" t="s">
        <v>287</v>
      </c>
      <c r="C428" t="s">
        <v>1978</v>
      </c>
      <c r="D428" t="s">
        <v>4482</v>
      </c>
      <c r="E428" t="s">
        <v>2930</v>
      </c>
      <c r="F428" t="s">
        <v>3003</v>
      </c>
      <c r="G428" t="s">
        <v>4483</v>
      </c>
      <c r="H428" t="s">
        <v>2904</v>
      </c>
      <c r="I428" t="s">
        <v>2910</v>
      </c>
      <c r="J428" t="s">
        <v>4484</v>
      </c>
    </row>
    <row r="429" spans="1:10" x14ac:dyDescent="0.2">
      <c r="A429" t="s">
        <v>67</v>
      </c>
      <c r="B429" t="s">
        <v>287</v>
      </c>
      <c r="C429" t="s">
        <v>197</v>
      </c>
      <c r="D429" t="s">
        <v>4485</v>
      </c>
      <c r="E429" t="s">
        <v>4486</v>
      </c>
      <c r="F429" t="s">
        <v>4487</v>
      </c>
      <c r="G429" t="s">
        <v>4488</v>
      </c>
      <c r="H429" t="s">
        <v>2896</v>
      </c>
      <c r="I429" t="s">
        <v>2897</v>
      </c>
      <c r="J429" t="s">
        <v>4489</v>
      </c>
    </row>
    <row r="430" spans="1:10" x14ac:dyDescent="0.2">
      <c r="A430" t="s">
        <v>67</v>
      </c>
      <c r="B430" t="s">
        <v>315</v>
      </c>
      <c r="C430" t="s">
        <v>1548</v>
      </c>
      <c r="D430" t="s">
        <v>4490</v>
      </c>
      <c r="E430" t="s">
        <v>4491</v>
      </c>
      <c r="F430" t="s">
        <v>3824</v>
      </c>
      <c r="G430" t="s">
        <v>4492</v>
      </c>
      <c r="H430" t="s">
        <v>2896</v>
      </c>
      <c r="I430" t="s">
        <v>2959</v>
      </c>
      <c r="J430" t="s">
        <v>4493</v>
      </c>
    </row>
    <row r="431" spans="1:10" x14ac:dyDescent="0.2">
      <c r="A431" t="s">
        <v>67</v>
      </c>
      <c r="B431" t="s">
        <v>315</v>
      </c>
      <c r="C431" t="s">
        <v>2119</v>
      </c>
      <c r="D431" t="s">
        <v>4494</v>
      </c>
      <c r="E431" t="s">
        <v>2991</v>
      </c>
      <c r="F431" t="s">
        <v>3604</v>
      </c>
      <c r="G431" t="s">
        <v>4495</v>
      </c>
      <c r="H431" t="s">
        <v>2904</v>
      </c>
      <c r="I431" t="s">
        <v>3032</v>
      </c>
      <c r="J431" t="s">
        <v>4496</v>
      </c>
    </row>
    <row r="432" spans="1:10" x14ac:dyDescent="0.2">
      <c r="A432" t="s">
        <v>60</v>
      </c>
      <c r="B432" t="s">
        <v>174</v>
      </c>
      <c r="C432" t="s">
        <v>288</v>
      </c>
      <c r="D432" t="s">
        <v>4497</v>
      </c>
      <c r="E432" t="s">
        <v>4498</v>
      </c>
      <c r="F432" t="s">
        <v>3770</v>
      </c>
      <c r="G432" t="s">
        <v>3040</v>
      </c>
      <c r="H432" t="s">
        <v>2904</v>
      </c>
      <c r="I432" t="s">
        <v>2959</v>
      </c>
      <c r="J432" t="s">
        <v>4499</v>
      </c>
    </row>
    <row r="433" spans="1:10" x14ac:dyDescent="0.2">
      <c r="A433" t="s">
        <v>60</v>
      </c>
      <c r="B433" t="s">
        <v>174</v>
      </c>
      <c r="C433" t="s">
        <v>4500</v>
      </c>
      <c r="D433" t="s">
        <v>4501</v>
      </c>
      <c r="E433" t="s">
        <v>4502</v>
      </c>
      <c r="F433" t="s">
        <v>4503</v>
      </c>
      <c r="G433" t="s">
        <v>4504</v>
      </c>
      <c r="H433" t="s">
        <v>2904</v>
      </c>
      <c r="I433" t="s">
        <v>3032</v>
      </c>
      <c r="J433" t="s">
        <v>4505</v>
      </c>
    </row>
    <row r="434" spans="1:10" x14ac:dyDescent="0.2">
      <c r="A434" t="s">
        <v>60</v>
      </c>
      <c r="B434" t="s">
        <v>1988</v>
      </c>
      <c r="C434" t="s">
        <v>1333</v>
      </c>
      <c r="D434" t="s">
        <v>4506</v>
      </c>
      <c r="E434" t="s">
        <v>4507</v>
      </c>
      <c r="F434" t="s">
        <v>4508</v>
      </c>
      <c r="G434" t="s">
        <v>4509</v>
      </c>
      <c r="H434" t="s">
        <v>2904</v>
      </c>
      <c r="I434" t="s">
        <v>2897</v>
      </c>
      <c r="J434" t="s">
        <v>4510</v>
      </c>
    </row>
    <row r="435" spans="1:10" x14ac:dyDescent="0.2">
      <c r="A435" t="s">
        <v>60</v>
      </c>
      <c r="B435" t="s">
        <v>1988</v>
      </c>
      <c r="C435" t="s">
        <v>588</v>
      </c>
      <c r="D435" t="s">
        <v>3315</v>
      </c>
      <c r="E435" t="s">
        <v>4511</v>
      </c>
      <c r="F435" t="s">
        <v>3179</v>
      </c>
      <c r="G435" t="s">
        <v>3015</v>
      </c>
      <c r="H435" t="s">
        <v>2896</v>
      </c>
      <c r="I435" t="s">
        <v>2897</v>
      </c>
      <c r="J435" t="s">
        <v>4512</v>
      </c>
    </row>
    <row r="436" spans="1:10" x14ac:dyDescent="0.2">
      <c r="A436" t="s">
        <v>60</v>
      </c>
      <c r="B436" t="s">
        <v>328</v>
      </c>
      <c r="C436" t="s">
        <v>2001</v>
      </c>
      <c r="D436" t="s">
        <v>4513</v>
      </c>
      <c r="E436" t="s">
        <v>4514</v>
      </c>
      <c r="F436" t="s">
        <v>3427</v>
      </c>
      <c r="G436" t="s">
        <v>3041</v>
      </c>
      <c r="H436" t="s">
        <v>2904</v>
      </c>
      <c r="I436" t="s">
        <v>2910</v>
      </c>
      <c r="J436" t="s">
        <v>4515</v>
      </c>
    </row>
    <row r="437" spans="1:10" x14ac:dyDescent="0.2">
      <c r="A437" t="s">
        <v>60</v>
      </c>
      <c r="B437" t="s">
        <v>328</v>
      </c>
      <c r="C437" t="s">
        <v>900</v>
      </c>
      <c r="D437" t="s">
        <v>4516</v>
      </c>
      <c r="E437" t="s">
        <v>4517</v>
      </c>
      <c r="F437" t="s">
        <v>4518</v>
      </c>
      <c r="G437" t="s">
        <v>4519</v>
      </c>
      <c r="H437" t="s">
        <v>2904</v>
      </c>
      <c r="I437" t="s">
        <v>3032</v>
      </c>
      <c r="J437" t="s">
        <v>4520</v>
      </c>
    </row>
    <row r="438" spans="1:10" x14ac:dyDescent="0.2">
      <c r="A438" t="s">
        <v>60</v>
      </c>
      <c r="B438" t="s">
        <v>125</v>
      </c>
      <c r="C438" t="s">
        <v>709</v>
      </c>
      <c r="D438" t="s">
        <v>2967</v>
      </c>
      <c r="E438" t="s">
        <v>4521</v>
      </c>
      <c r="F438" t="s">
        <v>3285</v>
      </c>
      <c r="G438" t="s">
        <v>2895</v>
      </c>
      <c r="H438" t="s">
        <v>2896</v>
      </c>
      <c r="I438" t="s">
        <v>2897</v>
      </c>
      <c r="J438" t="s">
        <v>4522</v>
      </c>
    </row>
    <row r="439" spans="1:10" x14ac:dyDescent="0.2">
      <c r="A439" t="s">
        <v>60</v>
      </c>
      <c r="B439" t="s">
        <v>125</v>
      </c>
      <c r="C439" t="s">
        <v>1026</v>
      </c>
      <c r="D439" t="s">
        <v>4523</v>
      </c>
      <c r="E439" t="s">
        <v>4524</v>
      </c>
      <c r="F439" t="s">
        <v>2973</v>
      </c>
      <c r="G439" t="s">
        <v>4525</v>
      </c>
      <c r="H439" t="s">
        <v>2904</v>
      </c>
      <c r="I439" t="s">
        <v>2959</v>
      </c>
      <c r="J439" t="s">
        <v>4526</v>
      </c>
    </row>
    <row r="440" spans="1:10" x14ac:dyDescent="0.2">
      <c r="A440" t="s">
        <v>60</v>
      </c>
      <c r="B440" t="s">
        <v>547</v>
      </c>
      <c r="C440" t="s">
        <v>2010</v>
      </c>
      <c r="D440" t="s">
        <v>4527</v>
      </c>
      <c r="E440" t="s">
        <v>4528</v>
      </c>
      <c r="F440" t="s">
        <v>3172</v>
      </c>
      <c r="G440" t="s">
        <v>3285</v>
      </c>
      <c r="H440" t="s">
        <v>2896</v>
      </c>
      <c r="I440" t="s">
        <v>2959</v>
      </c>
      <c r="J440" t="s">
        <v>4529</v>
      </c>
    </row>
    <row r="441" spans="1:10" x14ac:dyDescent="0.2">
      <c r="A441" t="s">
        <v>60</v>
      </c>
      <c r="B441" t="s">
        <v>547</v>
      </c>
      <c r="C441" t="s">
        <v>4530</v>
      </c>
      <c r="D441" t="s">
        <v>4531</v>
      </c>
      <c r="E441" t="s">
        <v>4532</v>
      </c>
      <c r="F441" t="s">
        <v>4533</v>
      </c>
      <c r="G441" t="s">
        <v>4534</v>
      </c>
      <c r="H441" t="s">
        <v>2904</v>
      </c>
      <c r="I441" t="s">
        <v>4535</v>
      </c>
      <c r="J441" t="s">
        <v>4536</v>
      </c>
    </row>
    <row r="442" spans="1:10" x14ac:dyDescent="0.2">
      <c r="A442" t="s">
        <v>60</v>
      </c>
      <c r="B442" t="s">
        <v>595</v>
      </c>
      <c r="C442" t="s">
        <v>158</v>
      </c>
      <c r="D442" t="s">
        <v>4537</v>
      </c>
      <c r="E442" t="s">
        <v>4538</v>
      </c>
      <c r="F442" t="s">
        <v>4539</v>
      </c>
      <c r="G442" t="s">
        <v>4540</v>
      </c>
      <c r="H442" t="s">
        <v>2904</v>
      </c>
      <c r="I442" t="s">
        <v>2959</v>
      </c>
      <c r="J442" t="s">
        <v>4541</v>
      </c>
    </row>
    <row r="443" spans="1:10" x14ac:dyDescent="0.2">
      <c r="A443" t="s">
        <v>60</v>
      </c>
      <c r="B443" t="s">
        <v>166</v>
      </c>
      <c r="C443" t="s">
        <v>1677</v>
      </c>
      <c r="D443" t="s">
        <v>3497</v>
      </c>
      <c r="E443" t="s">
        <v>3599</v>
      </c>
      <c r="F443" t="s">
        <v>3292</v>
      </c>
      <c r="G443" t="s">
        <v>3327</v>
      </c>
      <c r="H443" t="s">
        <v>2904</v>
      </c>
      <c r="I443" t="s">
        <v>2897</v>
      </c>
      <c r="J443" t="s">
        <v>4542</v>
      </c>
    </row>
    <row r="444" spans="1:10" x14ac:dyDescent="0.2">
      <c r="A444" t="s">
        <v>77</v>
      </c>
      <c r="B444" t="s">
        <v>504</v>
      </c>
      <c r="C444" t="s">
        <v>705</v>
      </c>
      <c r="D444" t="s">
        <v>4543</v>
      </c>
      <c r="E444" t="s">
        <v>4544</v>
      </c>
      <c r="F444" t="s">
        <v>2918</v>
      </c>
      <c r="G444" t="s">
        <v>4545</v>
      </c>
      <c r="H444" t="s">
        <v>2904</v>
      </c>
      <c r="I444" t="s">
        <v>2959</v>
      </c>
      <c r="J444" t="s">
        <v>4546</v>
      </c>
    </row>
    <row r="445" spans="1:10" x14ac:dyDescent="0.2">
      <c r="A445" t="s">
        <v>77</v>
      </c>
      <c r="B445" t="s">
        <v>504</v>
      </c>
      <c r="C445" t="s">
        <v>532</v>
      </c>
      <c r="D445" t="s">
        <v>4547</v>
      </c>
      <c r="E445" t="s">
        <v>4548</v>
      </c>
      <c r="F445" t="s">
        <v>4549</v>
      </c>
      <c r="G445" t="s">
        <v>4550</v>
      </c>
      <c r="H445" t="s">
        <v>2904</v>
      </c>
      <c r="I445" t="s">
        <v>2897</v>
      </c>
      <c r="J445" t="s">
        <v>4551</v>
      </c>
    </row>
    <row r="446" spans="1:10" x14ac:dyDescent="0.2">
      <c r="A446" t="s">
        <v>77</v>
      </c>
      <c r="B446" t="s">
        <v>328</v>
      </c>
      <c r="C446" t="s">
        <v>4400</v>
      </c>
      <c r="D446" t="s">
        <v>4552</v>
      </c>
      <c r="E446" t="s">
        <v>2991</v>
      </c>
      <c r="F446" t="s">
        <v>3365</v>
      </c>
      <c r="G446" t="s">
        <v>4553</v>
      </c>
      <c r="H446" t="s">
        <v>2896</v>
      </c>
      <c r="I446" t="s">
        <v>2959</v>
      </c>
      <c r="J446" t="s">
        <v>4554</v>
      </c>
    </row>
    <row r="447" spans="1:10" x14ac:dyDescent="0.2">
      <c r="A447" t="s">
        <v>77</v>
      </c>
      <c r="B447" t="s">
        <v>1026</v>
      </c>
      <c r="C447" t="s">
        <v>2128</v>
      </c>
      <c r="D447" t="s">
        <v>4555</v>
      </c>
      <c r="E447" t="s">
        <v>4556</v>
      </c>
      <c r="F447" t="s">
        <v>4557</v>
      </c>
      <c r="G447" t="s">
        <v>4558</v>
      </c>
      <c r="H447" t="s">
        <v>2896</v>
      </c>
      <c r="I447" t="s">
        <v>3032</v>
      </c>
      <c r="J447" t="s">
        <v>4559</v>
      </c>
    </row>
    <row r="448" spans="1:10" x14ac:dyDescent="0.2">
      <c r="A448" t="s">
        <v>77</v>
      </c>
      <c r="B448" t="s">
        <v>1026</v>
      </c>
      <c r="C448" t="s">
        <v>4560</v>
      </c>
      <c r="D448" t="s">
        <v>4561</v>
      </c>
      <c r="E448" t="s">
        <v>3364</v>
      </c>
      <c r="F448" t="s">
        <v>3030</v>
      </c>
      <c r="G448" t="s">
        <v>4562</v>
      </c>
      <c r="H448" t="s">
        <v>2904</v>
      </c>
      <c r="I448" t="s">
        <v>2897</v>
      </c>
      <c r="J448" t="s">
        <v>4563</v>
      </c>
    </row>
    <row r="449" spans="1:10" x14ac:dyDescent="0.2">
      <c r="A449" t="s">
        <v>77</v>
      </c>
      <c r="B449" t="s">
        <v>595</v>
      </c>
      <c r="C449" t="s">
        <v>431</v>
      </c>
      <c r="D449" t="s">
        <v>4564</v>
      </c>
      <c r="E449" t="s">
        <v>2930</v>
      </c>
      <c r="F449" t="s">
        <v>3003</v>
      </c>
      <c r="G449" t="s">
        <v>4565</v>
      </c>
      <c r="H449" t="s">
        <v>2904</v>
      </c>
      <c r="I449" t="s">
        <v>2959</v>
      </c>
      <c r="J449" t="s">
        <v>4566</v>
      </c>
    </row>
    <row r="450" spans="1:10" x14ac:dyDescent="0.2">
      <c r="A450" t="s">
        <v>77</v>
      </c>
      <c r="B450" t="s">
        <v>595</v>
      </c>
      <c r="C450" t="s">
        <v>4567</v>
      </c>
      <c r="D450" t="s">
        <v>4568</v>
      </c>
      <c r="E450" t="s">
        <v>4569</v>
      </c>
      <c r="F450" t="s">
        <v>4570</v>
      </c>
      <c r="G450" t="s">
        <v>4571</v>
      </c>
      <c r="H450" t="s">
        <v>2904</v>
      </c>
      <c r="I450" t="s">
        <v>3032</v>
      </c>
      <c r="J450" t="s">
        <v>4572</v>
      </c>
    </row>
    <row r="451" spans="1:10" x14ac:dyDescent="0.2">
      <c r="A451" t="s">
        <v>77</v>
      </c>
      <c r="B451" t="s">
        <v>287</v>
      </c>
      <c r="C451" t="s">
        <v>4573</v>
      </c>
      <c r="D451" t="s">
        <v>4574</v>
      </c>
      <c r="E451" t="s">
        <v>3201</v>
      </c>
      <c r="F451" t="s">
        <v>3117</v>
      </c>
      <c r="G451" t="s">
        <v>4575</v>
      </c>
      <c r="H451" t="s">
        <v>2904</v>
      </c>
      <c r="I451" t="s">
        <v>2959</v>
      </c>
      <c r="J451" t="s">
        <v>4576</v>
      </c>
    </row>
    <row r="452" spans="1:10" x14ac:dyDescent="0.2">
      <c r="A452" t="s">
        <v>77</v>
      </c>
      <c r="B452" t="s">
        <v>481</v>
      </c>
      <c r="C452" t="s">
        <v>709</v>
      </c>
      <c r="D452" t="s">
        <v>2967</v>
      </c>
      <c r="E452" t="s">
        <v>3889</v>
      </c>
      <c r="F452" t="s">
        <v>2969</v>
      </c>
      <c r="G452" t="s">
        <v>4577</v>
      </c>
      <c r="H452" t="s">
        <v>2896</v>
      </c>
      <c r="I452" t="s">
        <v>2897</v>
      </c>
      <c r="J452" t="s">
        <v>4578</v>
      </c>
    </row>
    <row r="453" spans="1:10" x14ac:dyDescent="0.2">
      <c r="A453" t="s">
        <v>77</v>
      </c>
      <c r="B453" t="s">
        <v>1247</v>
      </c>
      <c r="C453" t="s">
        <v>4579</v>
      </c>
      <c r="D453" t="s">
        <v>4580</v>
      </c>
      <c r="E453" t="s">
        <v>4581</v>
      </c>
      <c r="F453" t="s">
        <v>4582</v>
      </c>
      <c r="G453" t="s">
        <v>4583</v>
      </c>
      <c r="H453" t="s">
        <v>2904</v>
      </c>
      <c r="I453" t="s">
        <v>3032</v>
      </c>
      <c r="J453" t="s">
        <v>4584</v>
      </c>
    </row>
    <row r="454" spans="1:10" x14ac:dyDescent="0.2">
      <c r="A454" t="s">
        <v>77</v>
      </c>
      <c r="B454" t="s">
        <v>166</v>
      </c>
      <c r="C454" t="s">
        <v>564</v>
      </c>
      <c r="D454" t="s">
        <v>4585</v>
      </c>
      <c r="E454" t="s">
        <v>3691</v>
      </c>
      <c r="F454" t="s">
        <v>3498</v>
      </c>
      <c r="G454" t="s">
        <v>4586</v>
      </c>
      <c r="H454" t="s">
        <v>2904</v>
      </c>
      <c r="I454" t="s">
        <v>2959</v>
      </c>
      <c r="J454" t="s">
        <v>4587</v>
      </c>
    </row>
    <row r="455" spans="1:10" x14ac:dyDescent="0.2">
      <c r="A455" t="s">
        <v>77</v>
      </c>
      <c r="B455" t="s">
        <v>188</v>
      </c>
      <c r="C455" t="s">
        <v>4588</v>
      </c>
      <c r="D455" t="s">
        <v>4589</v>
      </c>
      <c r="E455" t="s">
        <v>2957</v>
      </c>
      <c r="F455" t="s">
        <v>2958</v>
      </c>
      <c r="G455" t="s">
        <v>4590</v>
      </c>
      <c r="H455" t="s">
        <v>2904</v>
      </c>
      <c r="I455" t="s">
        <v>2959</v>
      </c>
      <c r="J455" t="s">
        <v>4591</v>
      </c>
    </row>
    <row r="456" spans="1:10" x14ac:dyDescent="0.2">
      <c r="A456" t="s">
        <v>65</v>
      </c>
      <c r="B456" t="s">
        <v>2087</v>
      </c>
      <c r="C456" t="s">
        <v>2088</v>
      </c>
      <c r="D456" t="s">
        <v>4592</v>
      </c>
      <c r="E456" t="s">
        <v>4593</v>
      </c>
      <c r="F456" t="s">
        <v>4594</v>
      </c>
      <c r="G456" t="s">
        <v>4595</v>
      </c>
      <c r="H456" t="s">
        <v>2896</v>
      </c>
      <c r="I456" t="s">
        <v>2959</v>
      </c>
      <c r="J456" t="s">
        <v>4596</v>
      </c>
    </row>
    <row r="457" spans="1:10" x14ac:dyDescent="0.2">
      <c r="A457" t="s">
        <v>65</v>
      </c>
      <c r="B457" t="s">
        <v>2087</v>
      </c>
      <c r="C457" t="s">
        <v>1686</v>
      </c>
      <c r="D457" t="s">
        <v>4597</v>
      </c>
      <c r="E457" t="s">
        <v>3489</v>
      </c>
      <c r="F457" t="s">
        <v>3804</v>
      </c>
      <c r="G457" t="s">
        <v>2918</v>
      </c>
      <c r="H457" t="s">
        <v>2904</v>
      </c>
      <c r="I457" t="s">
        <v>2897</v>
      </c>
      <c r="J457" t="s">
        <v>4598</v>
      </c>
    </row>
    <row r="458" spans="1:10" x14ac:dyDescent="0.2">
      <c r="A458" t="s">
        <v>65</v>
      </c>
      <c r="B458" t="s">
        <v>1542</v>
      </c>
      <c r="C458" t="s">
        <v>2097</v>
      </c>
      <c r="D458" t="s">
        <v>4599</v>
      </c>
      <c r="E458" t="s">
        <v>3101</v>
      </c>
      <c r="F458" t="s">
        <v>3234</v>
      </c>
      <c r="G458" t="s">
        <v>3046</v>
      </c>
      <c r="H458" t="s">
        <v>2896</v>
      </c>
      <c r="I458" t="s">
        <v>2897</v>
      </c>
      <c r="J458" t="s">
        <v>4600</v>
      </c>
    </row>
    <row r="459" spans="1:10" x14ac:dyDescent="0.2">
      <c r="A459" t="s">
        <v>65</v>
      </c>
      <c r="B459" t="s">
        <v>1542</v>
      </c>
      <c r="C459" t="s">
        <v>4601</v>
      </c>
      <c r="D459" t="s">
        <v>4602</v>
      </c>
      <c r="E459" t="s">
        <v>2973</v>
      </c>
      <c r="F459" t="s">
        <v>2975</v>
      </c>
      <c r="G459" t="s">
        <v>4257</v>
      </c>
      <c r="H459" t="s">
        <v>2904</v>
      </c>
      <c r="I459" t="s">
        <v>2910</v>
      </c>
      <c r="J459" t="s">
        <v>4603</v>
      </c>
    </row>
    <row r="460" spans="1:10" x14ac:dyDescent="0.2">
      <c r="A460" t="s">
        <v>65</v>
      </c>
      <c r="B460" t="s">
        <v>125</v>
      </c>
      <c r="C460" t="s">
        <v>1580</v>
      </c>
      <c r="D460" t="s">
        <v>4604</v>
      </c>
      <c r="E460" t="s">
        <v>3215</v>
      </c>
      <c r="F460" t="s">
        <v>3742</v>
      </c>
      <c r="G460" t="s">
        <v>3097</v>
      </c>
      <c r="H460" t="s">
        <v>2896</v>
      </c>
      <c r="I460" t="s">
        <v>3231</v>
      </c>
      <c r="J460" t="s">
        <v>4605</v>
      </c>
    </row>
    <row r="461" spans="1:10" x14ac:dyDescent="0.2">
      <c r="A461" t="s">
        <v>65</v>
      </c>
      <c r="B461" t="s">
        <v>125</v>
      </c>
      <c r="C461" t="s">
        <v>4606</v>
      </c>
      <c r="D461" t="s">
        <v>4271</v>
      </c>
      <c r="E461" t="s">
        <v>4118</v>
      </c>
      <c r="F461" t="s">
        <v>3407</v>
      </c>
      <c r="G461" t="s">
        <v>3439</v>
      </c>
      <c r="H461" t="s">
        <v>2904</v>
      </c>
      <c r="I461" t="s">
        <v>2897</v>
      </c>
      <c r="J461" t="s">
        <v>4607</v>
      </c>
    </row>
    <row r="462" spans="1:10" x14ac:dyDescent="0.2">
      <c r="A462" t="s">
        <v>65</v>
      </c>
      <c r="B462" t="s">
        <v>135</v>
      </c>
      <c r="C462" t="s">
        <v>295</v>
      </c>
      <c r="D462" t="s">
        <v>4608</v>
      </c>
      <c r="E462" t="s">
        <v>2893</v>
      </c>
      <c r="F462" t="s">
        <v>3508</v>
      </c>
      <c r="G462" t="s">
        <v>3273</v>
      </c>
      <c r="H462" t="s">
        <v>2896</v>
      </c>
      <c r="I462" t="s">
        <v>2959</v>
      </c>
      <c r="J462" t="s">
        <v>4609</v>
      </c>
    </row>
    <row r="463" spans="1:10" x14ac:dyDescent="0.2">
      <c r="A463" t="s">
        <v>65</v>
      </c>
      <c r="B463" t="s">
        <v>135</v>
      </c>
      <c r="C463" t="s">
        <v>334</v>
      </c>
      <c r="D463" t="s">
        <v>3261</v>
      </c>
      <c r="E463" t="s">
        <v>4610</v>
      </c>
      <c r="F463" t="s">
        <v>3264</v>
      </c>
      <c r="G463" t="s">
        <v>4611</v>
      </c>
      <c r="H463" t="s">
        <v>2904</v>
      </c>
      <c r="I463" t="s">
        <v>2897</v>
      </c>
      <c r="J463" t="s">
        <v>4612</v>
      </c>
    </row>
    <row r="464" spans="1:10" x14ac:dyDescent="0.2">
      <c r="A464" t="s">
        <v>65</v>
      </c>
      <c r="B464" t="s">
        <v>2080</v>
      </c>
      <c r="C464" t="s">
        <v>2081</v>
      </c>
      <c r="D464" t="s">
        <v>4613</v>
      </c>
      <c r="E464" t="s">
        <v>4280</v>
      </c>
      <c r="F464" t="s">
        <v>3970</v>
      </c>
      <c r="G464" t="s">
        <v>4614</v>
      </c>
      <c r="H464" t="s">
        <v>2904</v>
      </c>
      <c r="I464" t="s">
        <v>3231</v>
      </c>
      <c r="J464" t="s">
        <v>4615</v>
      </c>
    </row>
    <row r="465" spans="1:10" x14ac:dyDescent="0.2">
      <c r="A465" t="s">
        <v>65</v>
      </c>
      <c r="B465" t="s">
        <v>2080</v>
      </c>
      <c r="C465" t="s">
        <v>4616</v>
      </c>
      <c r="D465" t="s">
        <v>3497</v>
      </c>
      <c r="E465" t="s">
        <v>3691</v>
      </c>
      <c r="F465" t="s">
        <v>3498</v>
      </c>
      <c r="G465" t="s">
        <v>3040</v>
      </c>
      <c r="H465" t="s">
        <v>2904</v>
      </c>
      <c r="I465" t="s">
        <v>2959</v>
      </c>
      <c r="J465" t="s">
        <v>4617</v>
      </c>
    </row>
    <row r="466" spans="1:10" x14ac:dyDescent="0.2">
      <c r="A466" t="s">
        <v>65</v>
      </c>
      <c r="B466" t="s">
        <v>2118</v>
      </c>
      <c r="C466" t="s">
        <v>2119</v>
      </c>
      <c r="D466" t="s">
        <v>4618</v>
      </c>
      <c r="E466" t="s">
        <v>4051</v>
      </c>
      <c r="F466" t="s">
        <v>3285</v>
      </c>
      <c r="G466" t="s">
        <v>3101</v>
      </c>
      <c r="H466" t="s">
        <v>2896</v>
      </c>
      <c r="I466" t="s">
        <v>3231</v>
      </c>
      <c r="J466" t="s">
        <v>4619</v>
      </c>
    </row>
    <row r="467" spans="1:10" x14ac:dyDescent="0.2">
      <c r="A467" t="s">
        <v>65</v>
      </c>
      <c r="B467" t="s">
        <v>2118</v>
      </c>
      <c r="C467" t="s">
        <v>4620</v>
      </c>
      <c r="D467" t="s">
        <v>4621</v>
      </c>
      <c r="E467" t="s">
        <v>3020</v>
      </c>
      <c r="F467" t="s">
        <v>3106</v>
      </c>
      <c r="G467" t="s">
        <v>2924</v>
      </c>
      <c r="H467" t="s">
        <v>2904</v>
      </c>
      <c r="I467" t="s">
        <v>2897</v>
      </c>
      <c r="J467" t="s">
        <v>4622</v>
      </c>
    </row>
    <row r="468" spans="1:10" x14ac:dyDescent="0.2">
      <c r="A468" t="s">
        <v>87</v>
      </c>
      <c r="B468" t="s">
        <v>328</v>
      </c>
      <c r="C468" t="s">
        <v>2170</v>
      </c>
      <c r="D468" t="s">
        <v>4169</v>
      </c>
      <c r="E468" t="s">
        <v>3691</v>
      </c>
      <c r="F468" t="s">
        <v>3770</v>
      </c>
      <c r="G468" t="s">
        <v>3498</v>
      </c>
      <c r="H468" t="s">
        <v>2904</v>
      </c>
      <c r="I468" t="s">
        <v>2897</v>
      </c>
      <c r="J468" t="s">
        <v>3560</v>
      </c>
    </row>
    <row r="469" spans="1:10" x14ac:dyDescent="0.2">
      <c r="A469" t="s">
        <v>87</v>
      </c>
      <c r="B469" t="s">
        <v>328</v>
      </c>
      <c r="C469" t="s">
        <v>1958</v>
      </c>
      <c r="D469" t="s">
        <v>3362</v>
      </c>
      <c r="E469" t="s">
        <v>3364</v>
      </c>
      <c r="F469" t="s">
        <v>3096</v>
      </c>
      <c r="G469" t="s">
        <v>2994</v>
      </c>
      <c r="H469" t="s">
        <v>2896</v>
      </c>
      <c r="I469" t="s">
        <v>2959</v>
      </c>
      <c r="J469" t="s">
        <v>4623</v>
      </c>
    </row>
    <row r="470" spans="1:10" x14ac:dyDescent="0.2">
      <c r="A470" t="s">
        <v>87</v>
      </c>
      <c r="B470" t="s">
        <v>2193</v>
      </c>
      <c r="C470" t="s">
        <v>1026</v>
      </c>
      <c r="D470" t="s">
        <v>4624</v>
      </c>
      <c r="E470" t="s">
        <v>3096</v>
      </c>
      <c r="F470" t="s">
        <v>2995</v>
      </c>
      <c r="G470" t="s">
        <v>3020</v>
      </c>
      <c r="H470" t="s">
        <v>2904</v>
      </c>
      <c r="I470" t="s">
        <v>2897</v>
      </c>
      <c r="J470" t="s">
        <v>4625</v>
      </c>
    </row>
    <row r="471" spans="1:10" x14ac:dyDescent="0.2">
      <c r="A471" t="s">
        <v>87</v>
      </c>
      <c r="B471" t="s">
        <v>2193</v>
      </c>
      <c r="C471" t="s">
        <v>481</v>
      </c>
      <c r="D471" t="s">
        <v>4626</v>
      </c>
      <c r="E471" t="s">
        <v>4627</v>
      </c>
      <c r="F471" t="s">
        <v>4628</v>
      </c>
      <c r="G471" t="s">
        <v>4629</v>
      </c>
      <c r="H471" t="s">
        <v>2896</v>
      </c>
      <c r="I471" t="s">
        <v>2959</v>
      </c>
      <c r="J471" t="s">
        <v>4630</v>
      </c>
    </row>
    <row r="472" spans="1:10" x14ac:dyDescent="0.2">
      <c r="A472" t="s">
        <v>87</v>
      </c>
      <c r="B472" t="s">
        <v>595</v>
      </c>
      <c r="C472" t="s">
        <v>680</v>
      </c>
      <c r="D472" t="s">
        <v>3481</v>
      </c>
      <c r="E472" t="s">
        <v>3080</v>
      </c>
      <c r="F472" t="s">
        <v>3046</v>
      </c>
      <c r="G472" t="s">
        <v>3135</v>
      </c>
      <c r="H472" t="s">
        <v>2896</v>
      </c>
      <c r="I472" t="s">
        <v>2897</v>
      </c>
      <c r="J472" t="s">
        <v>4631</v>
      </c>
    </row>
    <row r="473" spans="1:10" x14ac:dyDescent="0.2">
      <c r="A473" t="s">
        <v>87</v>
      </c>
      <c r="B473" t="s">
        <v>595</v>
      </c>
      <c r="C473" t="s">
        <v>431</v>
      </c>
      <c r="D473" t="s">
        <v>3325</v>
      </c>
      <c r="E473" t="s">
        <v>3520</v>
      </c>
      <c r="F473" t="s">
        <v>4632</v>
      </c>
      <c r="G473" t="s">
        <v>4633</v>
      </c>
      <c r="H473" t="s">
        <v>2904</v>
      </c>
      <c r="I473" t="s">
        <v>2959</v>
      </c>
      <c r="J473" t="s">
        <v>4634</v>
      </c>
    </row>
    <row r="474" spans="1:10" x14ac:dyDescent="0.2">
      <c r="A474" t="s">
        <v>87</v>
      </c>
      <c r="B474" t="s">
        <v>1988</v>
      </c>
      <c r="C474" t="s">
        <v>841</v>
      </c>
      <c r="D474" t="s">
        <v>4635</v>
      </c>
      <c r="E474" t="s">
        <v>3016</v>
      </c>
      <c r="F474" t="s">
        <v>3173</v>
      </c>
      <c r="G474" t="s">
        <v>3174</v>
      </c>
      <c r="H474" t="s">
        <v>2896</v>
      </c>
      <c r="I474" t="s">
        <v>2897</v>
      </c>
      <c r="J474" t="s">
        <v>4636</v>
      </c>
    </row>
    <row r="475" spans="1:10" x14ac:dyDescent="0.2">
      <c r="A475" t="s">
        <v>87</v>
      </c>
      <c r="B475" t="s">
        <v>1988</v>
      </c>
      <c r="C475" t="s">
        <v>588</v>
      </c>
      <c r="D475" t="s">
        <v>3315</v>
      </c>
      <c r="E475" t="s">
        <v>4637</v>
      </c>
      <c r="F475" t="s">
        <v>3620</v>
      </c>
      <c r="G475" t="s">
        <v>3179</v>
      </c>
      <c r="H475" t="s">
        <v>2896</v>
      </c>
      <c r="I475" t="s">
        <v>2897</v>
      </c>
      <c r="J475" t="s">
        <v>4638</v>
      </c>
    </row>
    <row r="476" spans="1:10" x14ac:dyDescent="0.2">
      <c r="A476" t="s">
        <v>87</v>
      </c>
      <c r="B476" t="s">
        <v>166</v>
      </c>
      <c r="C476" t="s">
        <v>1677</v>
      </c>
      <c r="D476" t="s">
        <v>3497</v>
      </c>
      <c r="E476" t="s">
        <v>3327</v>
      </c>
      <c r="F476" t="s">
        <v>4639</v>
      </c>
      <c r="G476" t="s">
        <v>3110</v>
      </c>
      <c r="H476" t="s">
        <v>2904</v>
      </c>
      <c r="I476" t="s">
        <v>2897</v>
      </c>
      <c r="J476" t="s">
        <v>4640</v>
      </c>
    </row>
    <row r="477" spans="1:10" x14ac:dyDescent="0.2">
      <c r="A477" t="s">
        <v>87</v>
      </c>
      <c r="B477" t="s">
        <v>188</v>
      </c>
      <c r="C477" t="s">
        <v>1265</v>
      </c>
      <c r="D477" t="s">
        <v>3861</v>
      </c>
      <c r="E477" t="s">
        <v>3110</v>
      </c>
      <c r="F477" t="s">
        <v>3770</v>
      </c>
      <c r="G477" t="s">
        <v>3117</v>
      </c>
      <c r="H477" t="s">
        <v>2904</v>
      </c>
      <c r="I477" t="s">
        <v>2897</v>
      </c>
      <c r="J477" t="s">
        <v>4641</v>
      </c>
    </row>
    <row r="478" spans="1:10" x14ac:dyDescent="0.2">
      <c r="A478" t="s">
        <v>87</v>
      </c>
      <c r="B478" t="s">
        <v>540</v>
      </c>
      <c r="C478" t="s">
        <v>197</v>
      </c>
      <c r="D478" t="s">
        <v>3564</v>
      </c>
      <c r="E478" t="s">
        <v>2930</v>
      </c>
      <c r="F478" t="s">
        <v>2913</v>
      </c>
      <c r="G478" t="s">
        <v>2931</v>
      </c>
      <c r="H478" t="s">
        <v>2904</v>
      </c>
      <c r="I478" t="s">
        <v>2910</v>
      </c>
      <c r="J478" t="s">
        <v>4642</v>
      </c>
    </row>
    <row r="479" spans="1:10" x14ac:dyDescent="0.2">
      <c r="A479" t="s">
        <v>87</v>
      </c>
      <c r="B479" t="s">
        <v>504</v>
      </c>
      <c r="C479" t="s">
        <v>4643</v>
      </c>
      <c r="D479" t="s">
        <v>4644</v>
      </c>
      <c r="E479" t="s">
        <v>3172</v>
      </c>
      <c r="F479" t="s">
        <v>3612</v>
      </c>
      <c r="G479" t="s">
        <v>3173</v>
      </c>
      <c r="H479" t="s">
        <v>2896</v>
      </c>
      <c r="I479" t="s">
        <v>2897</v>
      </c>
      <c r="J479" t="s">
        <v>4645</v>
      </c>
    </row>
    <row r="480" spans="1:10" x14ac:dyDescent="0.2">
      <c r="A480" t="s">
        <v>70</v>
      </c>
      <c r="B480" t="s">
        <v>2235</v>
      </c>
      <c r="C480" t="s">
        <v>2236</v>
      </c>
      <c r="D480" t="s">
        <v>4646</v>
      </c>
      <c r="E480" t="s">
        <v>3262</v>
      </c>
      <c r="F480" t="s">
        <v>2975</v>
      </c>
      <c r="G480" t="s">
        <v>3264</v>
      </c>
      <c r="H480" t="s">
        <v>2904</v>
      </c>
      <c r="I480" t="s">
        <v>2897</v>
      </c>
      <c r="J480" t="s">
        <v>4647</v>
      </c>
    </row>
    <row r="481" spans="1:10" x14ac:dyDescent="0.2">
      <c r="A481" t="s">
        <v>70</v>
      </c>
      <c r="B481" t="s">
        <v>2235</v>
      </c>
      <c r="C481" t="s">
        <v>2236</v>
      </c>
      <c r="D481" t="s">
        <v>4648</v>
      </c>
      <c r="E481" t="s">
        <v>4649</v>
      </c>
      <c r="F481" t="s">
        <v>4650</v>
      </c>
      <c r="G481" t="s">
        <v>4651</v>
      </c>
      <c r="H481" t="s">
        <v>2904</v>
      </c>
      <c r="I481" t="s">
        <v>2897</v>
      </c>
      <c r="J481" t="s">
        <v>4652</v>
      </c>
    </row>
    <row r="482" spans="1:10" x14ac:dyDescent="0.2">
      <c r="A482" t="s">
        <v>70</v>
      </c>
      <c r="B482" t="s">
        <v>2243</v>
      </c>
      <c r="C482" t="s">
        <v>2244</v>
      </c>
      <c r="D482" t="s">
        <v>4653</v>
      </c>
      <c r="E482" t="s">
        <v>4654</v>
      </c>
      <c r="F482" t="s">
        <v>4655</v>
      </c>
      <c r="G482" t="s">
        <v>4656</v>
      </c>
      <c r="H482" t="s">
        <v>2904</v>
      </c>
      <c r="I482" t="s">
        <v>2959</v>
      </c>
      <c r="J482" t="s">
        <v>4657</v>
      </c>
    </row>
    <row r="483" spans="1:10" x14ac:dyDescent="0.2">
      <c r="A483" t="s">
        <v>70</v>
      </c>
      <c r="B483" t="s">
        <v>2243</v>
      </c>
      <c r="C483" t="s">
        <v>4658</v>
      </c>
      <c r="D483" t="s">
        <v>4659</v>
      </c>
      <c r="E483" t="s">
        <v>4660</v>
      </c>
      <c r="F483" t="s">
        <v>3297</v>
      </c>
      <c r="G483" t="s">
        <v>4610</v>
      </c>
      <c r="H483" t="s">
        <v>2904</v>
      </c>
      <c r="I483" t="s">
        <v>2897</v>
      </c>
      <c r="J483" t="s">
        <v>4661</v>
      </c>
    </row>
    <row r="484" spans="1:10" x14ac:dyDescent="0.2">
      <c r="A484" t="s">
        <v>70</v>
      </c>
      <c r="B484" t="s">
        <v>2211</v>
      </c>
      <c r="C484" t="s">
        <v>2212</v>
      </c>
      <c r="D484" t="s">
        <v>4662</v>
      </c>
      <c r="E484" t="s">
        <v>4663</v>
      </c>
      <c r="F484" t="s">
        <v>4664</v>
      </c>
      <c r="G484" t="s">
        <v>4665</v>
      </c>
      <c r="H484" t="s">
        <v>2904</v>
      </c>
      <c r="I484" t="s">
        <v>2910</v>
      </c>
      <c r="J484" t="s">
        <v>4666</v>
      </c>
    </row>
    <row r="485" spans="1:10" x14ac:dyDescent="0.2">
      <c r="A485" t="s">
        <v>70</v>
      </c>
      <c r="B485" t="s">
        <v>2211</v>
      </c>
      <c r="C485" t="s">
        <v>717</v>
      </c>
      <c r="D485" t="s">
        <v>4667</v>
      </c>
      <c r="E485" t="s">
        <v>4668</v>
      </c>
      <c r="F485" t="s">
        <v>4669</v>
      </c>
      <c r="G485" t="s">
        <v>4670</v>
      </c>
      <c r="H485" t="s">
        <v>2904</v>
      </c>
      <c r="I485" t="s">
        <v>3032</v>
      </c>
      <c r="J485" t="s">
        <v>4671</v>
      </c>
    </row>
    <row r="486" spans="1:10" x14ac:dyDescent="0.2">
      <c r="A486" t="s">
        <v>70</v>
      </c>
      <c r="B486" t="s">
        <v>481</v>
      </c>
      <c r="C486" t="s">
        <v>1152</v>
      </c>
      <c r="D486" t="s">
        <v>4672</v>
      </c>
      <c r="E486" t="s">
        <v>3691</v>
      </c>
      <c r="F486" t="s">
        <v>3770</v>
      </c>
      <c r="G486" t="s">
        <v>3498</v>
      </c>
      <c r="H486" t="s">
        <v>2904</v>
      </c>
      <c r="I486" t="s">
        <v>2897</v>
      </c>
      <c r="J486" t="s">
        <v>4673</v>
      </c>
    </row>
    <row r="487" spans="1:10" x14ac:dyDescent="0.2">
      <c r="A487" t="s">
        <v>70</v>
      </c>
      <c r="B487" t="s">
        <v>481</v>
      </c>
      <c r="C487" t="s">
        <v>784</v>
      </c>
      <c r="D487" t="s">
        <v>4674</v>
      </c>
      <c r="E487" t="s">
        <v>3045</v>
      </c>
      <c r="F487" t="s">
        <v>3135</v>
      </c>
      <c r="G487" t="s">
        <v>2895</v>
      </c>
      <c r="H487" t="s">
        <v>2896</v>
      </c>
      <c r="I487" t="s">
        <v>2910</v>
      </c>
      <c r="J487" t="s">
        <v>4675</v>
      </c>
    </row>
    <row r="488" spans="1:10" x14ac:dyDescent="0.2">
      <c r="A488" t="s">
        <v>70</v>
      </c>
      <c r="B488" t="s">
        <v>1357</v>
      </c>
      <c r="C488" t="s">
        <v>1166</v>
      </c>
      <c r="D488" t="s">
        <v>4676</v>
      </c>
      <c r="E488" t="s">
        <v>2924</v>
      </c>
      <c r="F488" t="s">
        <v>2996</v>
      </c>
      <c r="G488" t="s">
        <v>3020</v>
      </c>
      <c r="H488" t="s">
        <v>2896</v>
      </c>
      <c r="I488" t="s">
        <v>2897</v>
      </c>
      <c r="J488" t="s">
        <v>4677</v>
      </c>
    </row>
    <row r="489" spans="1:10" x14ac:dyDescent="0.2">
      <c r="A489" t="s">
        <v>70</v>
      </c>
      <c r="B489" t="s">
        <v>166</v>
      </c>
      <c r="C489" t="s">
        <v>564</v>
      </c>
      <c r="D489" t="s">
        <v>4175</v>
      </c>
      <c r="E489" t="s">
        <v>3960</v>
      </c>
      <c r="F489" t="s">
        <v>4367</v>
      </c>
      <c r="G489" t="s">
        <v>4610</v>
      </c>
      <c r="H489" t="s">
        <v>2904</v>
      </c>
      <c r="I489" t="s">
        <v>3231</v>
      </c>
      <c r="J489" t="s">
        <v>4678</v>
      </c>
    </row>
    <row r="490" spans="1:10" x14ac:dyDescent="0.2">
      <c r="A490" t="s">
        <v>70</v>
      </c>
      <c r="B490" t="s">
        <v>547</v>
      </c>
      <c r="C490" t="s">
        <v>1296</v>
      </c>
      <c r="D490" t="s">
        <v>4679</v>
      </c>
      <c r="E490" t="s">
        <v>3228</v>
      </c>
      <c r="F490" t="s">
        <v>3142</v>
      </c>
      <c r="G490" t="s">
        <v>4170</v>
      </c>
      <c r="H490" t="s">
        <v>2904</v>
      </c>
      <c r="I490" t="s">
        <v>2897</v>
      </c>
      <c r="J490" t="s">
        <v>4680</v>
      </c>
    </row>
    <row r="491" spans="1:10" x14ac:dyDescent="0.2">
      <c r="A491" t="s">
        <v>70</v>
      </c>
      <c r="B491" t="s">
        <v>540</v>
      </c>
      <c r="C491" t="s">
        <v>1970</v>
      </c>
      <c r="D491" t="s">
        <v>4681</v>
      </c>
      <c r="E491" t="s">
        <v>3961</v>
      </c>
      <c r="F491" t="s">
        <v>3263</v>
      </c>
      <c r="G491" t="s">
        <v>2973</v>
      </c>
      <c r="H491" t="s">
        <v>2904</v>
      </c>
      <c r="I491" t="s">
        <v>2910</v>
      </c>
      <c r="J491" t="s">
        <v>4682</v>
      </c>
    </row>
    <row r="492" spans="1:10" x14ac:dyDescent="0.2">
      <c r="A492" t="s">
        <v>83</v>
      </c>
      <c r="B492" t="s">
        <v>504</v>
      </c>
      <c r="C492" t="s">
        <v>547</v>
      </c>
      <c r="D492" t="s">
        <v>4683</v>
      </c>
      <c r="E492" t="s">
        <v>3007</v>
      </c>
      <c r="F492" t="s">
        <v>4684</v>
      </c>
      <c r="G492" t="s">
        <v>3239</v>
      </c>
      <c r="H492" t="s">
        <v>2904</v>
      </c>
      <c r="I492" t="s">
        <v>2897</v>
      </c>
      <c r="J492" t="s">
        <v>4685</v>
      </c>
    </row>
    <row r="493" spans="1:10" x14ac:dyDescent="0.2">
      <c r="A493" t="s">
        <v>83</v>
      </c>
      <c r="B493" t="s">
        <v>504</v>
      </c>
      <c r="C493" t="s">
        <v>705</v>
      </c>
      <c r="D493" t="s">
        <v>4686</v>
      </c>
      <c r="E493" t="s">
        <v>4687</v>
      </c>
      <c r="F493" t="s">
        <v>4688</v>
      </c>
      <c r="G493" t="s">
        <v>4689</v>
      </c>
      <c r="H493" t="s">
        <v>2904</v>
      </c>
      <c r="I493" t="s">
        <v>2959</v>
      </c>
      <c r="J493" t="s">
        <v>4690</v>
      </c>
    </row>
    <row r="494" spans="1:10" x14ac:dyDescent="0.2">
      <c r="A494" t="s">
        <v>83</v>
      </c>
      <c r="B494" t="s">
        <v>1496</v>
      </c>
      <c r="C494" t="s">
        <v>1119</v>
      </c>
      <c r="D494" t="s">
        <v>4691</v>
      </c>
      <c r="E494" t="s">
        <v>3239</v>
      </c>
      <c r="F494" t="s">
        <v>2932</v>
      </c>
      <c r="G494" t="s">
        <v>2931</v>
      </c>
      <c r="H494" t="s">
        <v>2904</v>
      </c>
      <c r="I494" t="s">
        <v>2910</v>
      </c>
      <c r="J494" t="s">
        <v>4692</v>
      </c>
    </row>
    <row r="495" spans="1:10" x14ac:dyDescent="0.2">
      <c r="A495" t="s">
        <v>83</v>
      </c>
      <c r="B495" t="s">
        <v>1496</v>
      </c>
      <c r="C495" t="s">
        <v>4693</v>
      </c>
      <c r="D495" t="s">
        <v>4694</v>
      </c>
      <c r="E495" t="s">
        <v>4695</v>
      </c>
      <c r="F495" t="s">
        <v>4594</v>
      </c>
      <c r="G495" t="s">
        <v>4696</v>
      </c>
      <c r="H495" t="s">
        <v>2896</v>
      </c>
      <c r="I495" t="s">
        <v>2897</v>
      </c>
      <c r="J495" t="s">
        <v>4697</v>
      </c>
    </row>
    <row r="496" spans="1:10" x14ac:dyDescent="0.2">
      <c r="A496" t="s">
        <v>83</v>
      </c>
      <c r="B496" t="s">
        <v>328</v>
      </c>
      <c r="C496" t="s">
        <v>1949</v>
      </c>
      <c r="D496" t="s">
        <v>4698</v>
      </c>
      <c r="E496" t="s">
        <v>3110</v>
      </c>
      <c r="F496" t="s">
        <v>3239</v>
      </c>
      <c r="G496" t="s">
        <v>3247</v>
      </c>
      <c r="H496" t="s">
        <v>2904</v>
      </c>
      <c r="I496" t="s">
        <v>2921</v>
      </c>
      <c r="J496" t="s">
        <v>4699</v>
      </c>
    </row>
    <row r="497" spans="1:10" x14ac:dyDescent="0.2">
      <c r="A497" t="s">
        <v>83</v>
      </c>
      <c r="B497" t="s">
        <v>328</v>
      </c>
      <c r="C497" t="s">
        <v>2421</v>
      </c>
      <c r="D497" t="s">
        <v>4700</v>
      </c>
      <c r="E497" t="s">
        <v>2991</v>
      </c>
      <c r="F497" t="s">
        <v>2994</v>
      </c>
      <c r="G497" t="s">
        <v>3365</v>
      </c>
      <c r="H497" t="s">
        <v>2896</v>
      </c>
      <c r="I497" t="s">
        <v>3032</v>
      </c>
      <c r="J497" t="s">
        <v>4701</v>
      </c>
    </row>
    <row r="498" spans="1:10" x14ac:dyDescent="0.2">
      <c r="A498" t="s">
        <v>83</v>
      </c>
      <c r="B498" t="s">
        <v>595</v>
      </c>
      <c r="C498" t="s">
        <v>2491</v>
      </c>
      <c r="D498" t="s">
        <v>4702</v>
      </c>
      <c r="E498" t="s">
        <v>2957</v>
      </c>
      <c r="F498" t="s">
        <v>3110</v>
      </c>
      <c r="G498" t="s">
        <v>2979</v>
      </c>
      <c r="H498" t="s">
        <v>2904</v>
      </c>
      <c r="I498" t="s">
        <v>2897</v>
      </c>
      <c r="J498" t="s">
        <v>4703</v>
      </c>
    </row>
    <row r="499" spans="1:10" x14ac:dyDescent="0.2">
      <c r="A499" t="s">
        <v>83</v>
      </c>
      <c r="B499" t="s">
        <v>595</v>
      </c>
      <c r="C499" t="s">
        <v>1828</v>
      </c>
      <c r="D499" t="s">
        <v>4704</v>
      </c>
      <c r="E499" t="s">
        <v>4705</v>
      </c>
      <c r="F499" t="s">
        <v>4706</v>
      </c>
      <c r="G499" t="s">
        <v>4707</v>
      </c>
      <c r="H499" t="s">
        <v>2904</v>
      </c>
      <c r="I499" t="s">
        <v>3231</v>
      </c>
      <c r="J499" t="s">
        <v>4708</v>
      </c>
    </row>
    <row r="500" spans="1:10" x14ac:dyDescent="0.2">
      <c r="A500" t="s">
        <v>83</v>
      </c>
      <c r="B500" t="s">
        <v>287</v>
      </c>
      <c r="C500" t="s">
        <v>4709</v>
      </c>
      <c r="D500" t="s">
        <v>4710</v>
      </c>
      <c r="E500" t="s">
        <v>3201</v>
      </c>
      <c r="F500" t="s">
        <v>4684</v>
      </c>
      <c r="G500" t="s">
        <v>3975</v>
      </c>
      <c r="H500" t="s">
        <v>2904</v>
      </c>
      <c r="I500" t="s">
        <v>2897</v>
      </c>
      <c r="J500" t="s">
        <v>4711</v>
      </c>
    </row>
    <row r="501" spans="1:10" x14ac:dyDescent="0.2">
      <c r="A501" t="s">
        <v>83</v>
      </c>
      <c r="B501" t="s">
        <v>166</v>
      </c>
      <c r="C501" t="s">
        <v>4712</v>
      </c>
      <c r="D501" t="s">
        <v>4713</v>
      </c>
      <c r="E501" t="s">
        <v>3117</v>
      </c>
      <c r="F501" t="s">
        <v>3240</v>
      </c>
      <c r="G501" t="s">
        <v>2930</v>
      </c>
      <c r="H501" t="s">
        <v>2904</v>
      </c>
      <c r="I501" t="s">
        <v>2910</v>
      </c>
      <c r="J501" t="s">
        <v>4714</v>
      </c>
    </row>
    <row r="502" spans="1:10" x14ac:dyDescent="0.2">
      <c r="A502" t="s">
        <v>83</v>
      </c>
      <c r="B502" t="s">
        <v>1988</v>
      </c>
      <c r="C502" t="s">
        <v>588</v>
      </c>
      <c r="D502" t="s">
        <v>4715</v>
      </c>
      <c r="E502" t="s">
        <v>3046</v>
      </c>
      <c r="F502" t="s">
        <v>3620</v>
      </c>
      <c r="G502" t="s">
        <v>3178</v>
      </c>
      <c r="H502" t="s">
        <v>2896</v>
      </c>
      <c r="I502" t="s">
        <v>2959</v>
      </c>
      <c r="J502" t="s">
        <v>4716</v>
      </c>
    </row>
    <row r="503" spans="1:10" x14ac:dyDescent="0.2">
      <c r="A503" t="s">
        <v>83</v>
      </c>
      <c r="B503" t="s">
        <v>125</v>
      </c>
      <c r="C503" t="s">
        <v>709</v>
      </c>
      <c r="D503" t="s">
        <v>3271</v>
      </c>
      <c r="E503" t="s">
        <v>3064</v>
      </c>
      <c r="F503" t="s">
        <v>2969</v>
      </c>
      <c r="G503" t="s">
        <v>3742</v>
      </c>
      <c r="H503" t="s">
        <v>2896</v>
      </c>
      <c r="I503" t="s">
        <v>2897</v>
      </c>
      <c r="J503" t="s">
        <v>4717</v>
      </c>
    </row>
    <row r="504" spans="1:10" x14ac:dyDescent="0.2">
      <c r="A504" t="s">
        <v>26</v>
      </c>
      <c r="B504" t="s">
        <v>2311</v>
      </c>
      <c r="C504" t="s">
        <v>526</v>
      </c>
      <c r="D504" t="s">
        <v>4718</v>
      </c>
      <c r="E504" t="s">
        <v>3016</v>
      </c>
      <c r="F504" t="s">
        <v>3174</v>
      </c>
      <c r="G504" t="s">
        <v>3169</v>
      </c>
      <c r="H504" t="s">
        <v>2896</v>
      </c>
      <c r="I504" t="s">
        <v>2897</v>
      </c>
      <c r="J504" t="s">
        <v>4719</v>
      </c>
    </row>
    <row r="505" spans="1:10" x14ac:dyDescent="0.2">
      <c r="A505" t="s">
        <v>26</v>
      </c>
      <c r="B505" t="s">
        <v>2311</v>
      </c>
      <c r="C505" t="s">
        <v>2333</v>
      </c>
      <c r="D505" t="s">
        <v>4720</v>
      </c>
      <c r="E505" t="s">
        <v>3258</v>
      </c>
      <c r="F505" t="s">
        <v>3063</v>
      </c>
      <c r="G505" t="s">
        <v>3020</v>
      </c>
      <c r="H505" t="s">
        <v>2896</v>
      </c>
      <c r="I505" t="s">
        <v>2897</v>
      </c>
      <c r="J505" t="s">
        <v>4721</v>
      </c>
    </row>
    <row r="506" spans="1:10" x14ac:dyDescent="0.2">
      <c r="A506" t="s">
        <v>26</v>
      </c>
      <c r="B506" t="s">
        <v>2349</v>
      </c>
      <c r="C506" t="s">
        <v>4722</v>
      </c>
      <c r="D506" t="s">
        <v>4723</v>
      </c>
      <c r="E506" t="s">
        <v>2918</v>
      </c>
      <c r="F506" t="s">
        <v>3166</v>
      </c>
      <c r="G506" t="s">
        <v>3165</v>
      </c>
      <c r="H506" t="s">
        <v>2904</v>
      </c>
      <c r="I506" t="s">
        <v>2959</v>
      </c>
      <c r="J506" t="s">
        <v>4724</v>
      </c>
    </row>
    <row r="507" spans="1:10" x14ac:dyDescent="0.2">
      <c r="A507" t="s">
        <v>26</v>
      </c>
      <c r="B507" t="s">
        <v>2349</v>
      </c>
      <c r="C507" t="s">
        <v>4725</v>
      </c>
      <c r="D507" t="s">
        <v>4726</v>
      </c>
      <c r="E507" t="s">
        <v>4727</v>
      </c>
      <c r="F507" t="s">
        <v>4728</v>
      </c>
      <c r="G507" t="s">
        <v>4729</v>
      </c>
      <c r="H507" t="s">
        <v>2896</v>
      </c>
      <c r="I507" t="s">
        <v>2897</v>
      </c>
      <c r="J507" t="s">
        <v>4730</v>
      </c>
    </row>
    <row r="508" spans="1:10" x14ac:dyDescent="0.2">
      <c r="A508" t="s">
        <v>26</v>
      </c>
      <c r="B508" t="s">
        <v>2317</v>
      </c>
      <c r="C508" t="s">
        <v>4731</v>
      </c>
      <c r="D508" t="s">
        <v>4732</v>
      </c>
      <c r="E508" t="s">
        <v>4733</v>
      </c>
      <c r="F508" t="s">
        <v>4734</v>
      </c>
      <c r="G508" t="s">
        <v>4734</v>
      </c>
      <c r="H508" t="s">
        <v>2904</v>
      </c>
      <c r="I508" t="s">
        <v>2897</v>
      </c>
      <c r="J508" t="s">
        <v>4735</v>
      </c>
    </row>
    <row r="509" spans="1:10" x14ac:dyDescent="0.2">
      <c r="A509" t="s">
        <v>26</v>
      </c>
      <c r="B509" t="s">
        <v>2317</v>
      </c>
      <c r="C509" t="s">
        <v>4736</v>
      </c>
      <c r="D509" t="s">
        <v>4737</v>
      </c>
      <c r="E509" t="s">
        <v>2930</v>
      </c>
      <c r="F509" t="s">
        <v>2915</v>
      </c>
      <c r="G509" t="s">
        <v>3003</v>
      </c>
      <c r="H509" t="s">
        <v>2904</v>
      </c>
      <c r="I509" t="s">
        <v>2897</v>
      </c>
      <c r="J509" t="s">
        <v>4738</v>
      </c>
    </row>
    <row r="510" spans="1:10" x14ac:dyDescent="0.2">
      <c r="A510" t="s">
        <v>26</v>
      </c>
      <c r="B510" t="s">
        <v>188</v>
      </c>
      <c r="C510" t="s">
        <v>3710</v>
      </c>
      <c r="D510" t="s">
        <v>4739</v>
      </c>
      <c r="E510" t="s">
        <v>2893</v>
      </c>
      <c r="F510" t="s">
        <v>3683</v>
      </c>
      <c r="G510" t="s">
        <v>4740</v>
      </c>
      <c r="H510" t="s">
        <v>2904</v>
      </c>
      <c r="I510" t="s">
        <v>2959</v>
      </c>
      <c r="J510" t="s">
        <v>4741</v>
      </c>
    </row>
    <row r="511" spans="1:10" x14ac:dyDescent="0.2">
      <c r="A511" t="s">
        <v>26</v>
      </c>
      <c r="B511" t="s">
        <v>188</v>
      </c>
      <c r="C511" t="s">
        <v>835</v>
      </c>
      <c r="D511" t="s">
        <v>4742</v>
      </c>
      <c r="E511" t="s">
        <v>3803</v>
      </c>
      <c r="F511" t="s">
        <v>4743</v>
      </c>
      <c r="G511" t="s">
        <v>3489</v>
      </c>
      <c r="H511" t="s">
        <v>2904</v>
      </c>
      <c r="I511" t="s">
        <v>2897</v>
      </c>
      <c r="J511" t="s">
        <v>4744</v>
      </c>
    </row>
    <row r="512" spans="1:10" x14ac:dyDescent="0.2">
      <c r="A512" t="s">
        <v>26</v>
      </c>
      <c r="B512" t="s">
        <v>125</v>
      </c>
      <c r="C512" t="s">
        <v>4745</v>
      </c>
      <c r="D512" t="s">
        <v>4746</v>
      </c>
      <c r="E512" t="s">
        <v>3262</v>
      </c>
      <c r="F512" t="s">
        <v>2974</v>
      </c>
      <c r="G512" t="s">
        <v>3263</v>
      </c>
      <c r="H512" t="s">
        <v>2904</v>
      </c>
      <c r="I512" t="s">
        <v>2897</v>
      </c>
      <c r="J512" t="s">
        <v>4747</v>
      </c>
    </row>
    <row r="513" spans="1:10" x14ac:dyDescent="0.2">
      <c r="A513" t="s">
        <v>26</v>
      </c>
      <c r="B513" t="s">
        <v>2356</v>
      </c>
      <c r="C513" t="s">
        <v>2357</v>
      </c>
      <c r="D513" t="s">
        <v>4748</v>
      </c>
      <c r="E513" t="s">
        <v>3032</v>
      </c>
      <c r="F513" t="s">
        <v>2959</v>
      </c>
      <c r="G513" t="s">
        <v>4749</v>
      </c>
      <c r="H513" t="s">
        <v>2904</v>
      </c>
      <c r="I513" t="s">
        <v>3032</v>
      </c>
      <c r="J513" t="s">
        <v>4750</v>
      </c>
    </row>
    <row r="514" spans="1:10" x14ac:dyDescent="0.2">
      <c r="A514" t="s">
        <v>26</v>
      </c>
      <c r="B514" t="s">
        <v>166</v>
      </c>
      <c r="C514" t="s">
        <v>4751</v>
      </c>
      <c r="D514" t="s">
        <v>4752</v>
      </c>
      <c r="E514" t="s">
        <v>2968</v>
      </c>
      <c r="F514" t="s">
        <v>3742</v>
      </c>
      <c r="G514" t="s">
        <v>3045</v>
      </c>
      <c r="H514" t="s">
        <v>2896</v>
      </c>
      <c r="I514" t="s">
        <v>2897</v>
      </c>
      <c r="J514" t="s">
        <v>4753</v>
      </c>
    </row>
    <row r="515" spans="1:10" x14ac:dyDescent="0.2">
      <c r="A515" t="s">
        <v>26</v>
      </c>
      <c r="B515" t="s">
        <v>181</v>
      </c>
      <c r="C515" t="s">
        <v>4754</v>
      </c>
      <c r="D515" t="s">
        <v>4755</v>
      </c>
      <c r="E515" t="s">
        <v>4756</v>
      </c>
      <c r="F515" t="s">
        <v>4757</v>
      </c>
      <c r="G515" t="s">
        <v>4758</v>
      </c>
      <c r="H515" t="s">
        <v>2904</v>
      </c>
      <c r="I515" t="s">
        <v>2897</v>
      </c>
      <c r="J515" t="s">
        <v>4759</v>
      </c>
    </row>
    <row r="516" spans="1:10" x14ac:dyDescent="0.2">
      <c r="A516" t="s">
        <v>22</v>
      </c>
      <c r="B516" t="s">
        <v>2369</v>
      </c>
      <c r="C516" t="s">
        <v>2370</v>
      </c>
      <c r="D516" t="s">
        <v>4760</v>
      </c>
      <c r="E516" t="s">
        <v>3420</v>
      </c>
      <c r="F516" t="s">
        <v>3390</v>
      </c>
      <c r="G516" t="s">
        <v>4689</v>
      </c>
      <c r="H516" t="s">
        <v>2904</v>
      </c>
      <c r="I516" t="s">
        <v>2897</v>
      </c>
      <c r="J516" t="s">
        <v>4761</v>
      </c>
    </row>
    <row r="517" spans="1:10" x14ac:dyDescent="0.2">
      <c r="A517" t="s">
        <v>22</v>
      </c>
      <c r="B517" t="s">
        <v>2369</v>
      </c>
      <c r="C517" t="s">
        <v>555</v>
      </c>
      <c r="D517" t="s">
        <v>4762</v>
      </c>
      <c r="E517" t="s">
        <v>4763</v>
      </c>
      <c r="F517" t="s">
        <v>4764</v>
      </c>
      <c r="G517" t="s">
        <v>4765</v>
      </c>
      <c r="H517" t="s">
        <v>2904</v>
      </c>
      <c r="I517" t="s">
        <v>2910</v>
      </c>
      <c r="J517" t="s">
        <v>4766</v>
      </c>
    </row>
    <row r="518" spans="1:10" x14ac:dyDescent="0.2">
      <c r="A518" t="s">
        <v>22</v>
      </c>
      <c r="B518" t="s">
        <v>525</v>
      </c>
      <c r="C518" t="s">
        <v>2400</v>
      </c>
      <c r="D518" t="s">
        <v>4767</v>
      </c>
      <c r="E518" t="s">
        <v>2918</v>
      </c>
      <c r="F518" t="s">
        <v>4768</v>
      </c>
      <c r="G518" t="s">
        <v>3727</v>
      </c>
      <c r="H518" t="s">
        <v>2904</v>
      </c>
      <c r="I518" t="s">
        <v>2921</v>
      </c>
      <c r="J518" t="s">
        <v>4769</v>
      </c>
    </row>
    <row r="519" spans="1:10" x14ac:dyDescent="0.2">
      <c r="A519" t="s">
        <v>22</v>
      </c>
      <c r="B519" t="s">
        <v>525</v>
      </c>
      <c r="C519" t="s">
        <v>2382</v>
      </c>
      <c r="D519" t="s">
        <v>4770</v>
      </c>
      <c r="E519" t="s">
        <v>3606</v>
      </c>
      <c r="F519" t="s">
        <v>3263</v>
      </c>
      <c r="G519" t="s">
        <v>3264</v>
      </c>
      <c r="H519" t="s">
        <v>2904</v>
      </c>
      <c r="I519" t="s">
        <v>2921</v>
      </c>
      <c r="J519" t="s">
        <v>4771</v>
      </c>
    </row>
    <row r="520" spans="1:10" x14ac:dyDescent="0.2">
      <c r="A520" t="s">
        <v>22</v>
      </c>
      <c r="B520" t="s">
        <v>2405</v>
      </c>
      <c r="C520" t="s">
        <v>4772</v>
      </c>
      <c r="D520" t="s">
        <v>4773</v>
      </c>
      <c r="E520" t="s">
        <v>4774</v>
      </c>
      <c r="F520" t="s">
        <v>4775</v>
      </c>
      <c r="G520" t="s">
        <v>4102</v>
      </c>
      <c r="H520" t="s">
        <v>2904</v>
      </c>
      <c r="I520" t="s">
        <v>3231</v>
      </c>
      <c r="J520" t="s">
        <v>4776</v>
      </c>
    </row>
    <row r="521" spans="1:10" x14ac:dyDescent="0.2">
      <c r="A521" t="s">
        <v>22</v>
      </c>
      <c r="B521" t="s">
        <v>2405</v>
      </c>
      <c r="C521" t="s">
        <v>2406</v>
      </c>
      <c r="D521" t="s">
        <v>4777</v>
      </c>
      <c r="E521" t="s">
        <v>4778</v>
      </c>
      <c r="F521" t="s">
        <v>3166</v>
      </c>
      <c r="G521" t="s">
        <v>4067</v>
      </c>
      <c r="H521" t="s">
        <v>2904</v>
      </c>
      <c r="I521" t="s">
        <v>2910</v>
      </c>
      <c r="J521" t="s">
        <v>4779</v>
      </c>
    </row>
    <row r="522" spans="1:10" x14ac:dyDescent="0.2">
      <c r="A522" t="s">
        <v>22</v>
      </c>
      <c r="B522" t="s">
        <v>1001</v>
      </c>
      <c r="C522" t="s">
        <v>2411</v>
      </c>
      <c r="D522" t="s">
        <v>4780</v>
      </c>
      <c r="E522" t="s">
        <v>4781</v>
      </c>
      <c r="F522" t="s">
        <v>4782</v>
      </c>
      <c r="G522" t="s">
        <v>4783</v>
      </c>
      <c r="H522" t="s">
        <v>2904</v>
      </c>
      <c r="I522" t="s">
        <v>2921</v>
      </c>
      <c r="J522" t="s">
        <v>4784</v>
      </c>
    </row>
    <row r="523" spans="1:10" x14ac:dyDescent="0.2">
      <c r="A523" t="s">
        <v>22</v>
      </c>
      <c r="B523" t="s">
        <v>2375</v>
      </c>
      <c r="C523" t="s">
        <v>2376</v>
      </c>
      <c r="D523" t="s">
        <v>4785</v>
      </c>
      <c r="E523" t="s">
        <v>3096</v>
      </c>
      <c r="F523" t="s">
        <v>3742</v>
      </c>
      <c r="G523" t="s">
        <v>3080</v>
      </c>
      <c r="H523" t="s">
        <v>2896</v>
      </c>
      <c r="I523" t="s">
        <v>2897</v>
      </c>
      <c r="J523" t="s">
        <v>4786</v>
      </c>
    </row>
    <row r="524" spans="1:10" x14ac:dyDescent="0.2">
      <c r="A524" t="s">
        <v>22</v>
      </c>
      <c r="B524" t="s">
        <v>464</v>
      </c>
      <c r="C524" t="s">
        <v>2416</v>
      </c>
      <c r="D524" t="s">
        <v>4787</v>
      </c>
      <c r="E524" t="s">
        <v>3239</v>
      </c>
      <c r="F524" t="s">
        <v>2913</v>
      </c>
      <c r="G524" t="s">
        <v>3003</v>
      </c>
      <c r="H524" t="s">
        <v>2904</v>
      </c>
      <c r="I524" t="s">
        <v>2910</v>
      </c>
      <c r="J524" t="s">
        <v>4788</v>
      </c>
    </row>
    <row r="525" spans="1:10" x14ac:dyDescent="0.2">
      <c r="A525" t="s">
        <v>22</v>
      </c>
      <c r="B525" t="s">
        <v>540</v>
      </c>
      <c r="C525" t="s">
        <v>1970</v>
      </c>
      <c r="D525" t="s">
        <v>4789</v>
      </c>
      <c r="E525" t="s">
        <v>3804</v>
      </c>
      <c r="F525" t="s">
        <v>4768</v>
      </c>
      <c r="G525" t="s">
        <v>4272</v>
      </c>
      <c r="H525" t="s">
        <v>2904</v>
      </c>
      <c r="I525" t="s">
        <v>2921</v>
      </c>
      <c r="J525" t="s">
        <v>4790</v>
      </c>
    </row>
    <row r="526" spans="1:10" x14ac:dyDescent="0.2">
      <c r="A526" t="s">
        <v>22</v>
      </c>
      <c r="B526" t="s">
        <v>166</v>
      </c>
      <c r="C526" t="s">
        <v>564</v>
      </c>
      <c r="D526" t="s">
        <v>4791</v>
      </c>
      <c r="E526" t="s">
        <v>3142</v>
      </c>
      <c r="F526" t="s">
        <v>2931</v>
      </c>
      <c r="G526" t="s">
        <v>2913</v>
      </c>
      <c r="H526" t="s">
        <v>2904</v>
      </c>
      <c r="I526" t="s">
        <v>2910</v>
      </c>
      <c r="J526" t="s">
        <v>4792</v>
      </c>
    </row>
    <row r="527" spans="1:10" x14ac:dyDescent="0.2">
      <c r="A527" t="s">
        <v>22</v>
      </c>
      <c r="B527" t="s">
        <v>504</v>
      </c>
      <c r="C527" t="s">
        <v>2394</v>
      </c>
      <c r="D527" t="s">
        <v>4793</v>
      </c>
      <c r="E527" t="s">
        <v>4794</v>
      </c>
      <c r="F527" t="s">
        <v>3489</v>
      </c>
      <c r="G527" t="s">
        <v>4253</v>
      </c>
      <c r="H527" t="s">
        <v>2904</v>
      </c>
      <c r="I527" t="s">
        <v>2897</v>
      </c>
      <c r="J527" t="s">
        <v>4795</v>
      </c>
    </row>
    <row r="528" spans="1:10" x14ac:dyDescent="0.2">
      <c r="A528" t="s">
        <v>80</v>
      </c>
      <c r="B528" t="s">
        <v>2421</v>
      </c>
      <c r="C528" t="s">
        <v>2422</v>
      </c>
      <c r="D528" t="s">
        <v>4796</v>
      </c>
      <c r="E528" t="s">
        <v>3212</v>
      </c>
      <c r="F528" t="s">
        <v>2932</v>
      </c>
      <c r="G528" t="s">
        <v>4797</v>
      </c>
      <c r="H528" t="s">
        <v>2904</v>
      </c>
      <c r="I528" t="s">
        <v>2897</v>
      </c>
      <c r="J528" t="s">
        <v>4798</v>
      </c>
    </row>
    <row r="529" spans="1:10" x14ac:dyDescent="0.2">
      <c r="A529" t="s">
        <v>80</v>
      </c>
      <c r="B529" t="s">
        <v>2421</v>
      </c>
      <c r="C529" t="s">
        <v>2422</v>
      </c>
      <c r="D529" t="s">
        <v>4799</v>
      </c>
      <c r="E529" t="s">
        <v>3364</v>
      </c>
      <c r="F529" t="s">
        <v>3064</v>
      </c>
      <c r="G529" t="s">
        <v>4800</v>
      </c>
      <c r="H529" t="s">
        <v>2896</v>
      </c>
      <c r="I529" t="s">
        <v>2959</v>
      </c>
      <c r="J529" t="s">
        <v>4801</v>
      </c>
    </row>
    <row r="530" spans="1:10" x14ac:dyDescent="0.2">
      <c r="A530" t="s">
        <v>80</v>
      </c>
      <c r="B530" t="s">
        <v>517</v>
      </c>
      <c r="C530" t="s">
        <v>2439</v>
      </c>
      <c r="D530" t="s">
        <v>4802</v>
      </c>
      <c r="E530" t="s">
        <v>4133</v>
      </c>
      <c r="F530" t="s">
        <v>3085</v>
      </c>
      <c r="G530" t="s">
        <v>4803</v>
      </c>
      <c r="H530" t="s">
        <v>2904</v>
      </c>
      <c r="I530" t="s">
        <v>2910</v>
      </c>
      <c r="J530" t="s">
        <v>4804</v>
      </c>
    </row>
    <row r="531" spans="1:10" x14ac:dyDescent="0.2">
      <c r="A531" t="s">
        <v>80</v>
      </c>
      <c r="B531" t="s">
        <v>413</v>
      </c>
      <c r="C531" t="s">
        <v>266</v>
      </c>
      <c r="D531" t="s">
        <v>4805</v>
      </c>
      <c r="E531" t="s">
        <v>4806</v>
      </c>
      <c r="F531" t="s">
        <v>4807</v>
      </c>
      <c r="G531" t="s">
        <v>4808</v>
      </c>
      <c r="H531" t="s">
        <v>2904</v>
      </c>
      <c r="I531" t="s">
        <v>2897</v>
      </c>
      <c r="J531" t="s">
        <v>4809</v>
      </c>
    </row>
    <row r="532" spans="1:10" x14ac:dyDescent="0.2">
      <c r="A532" t="s">
        <v>80</v>
      </c>
      <c r="B532" t="s">
        <v>1242</v>
      </c>
      <c r="C532" t="s">
        <v>2448</v>
      </c>
      <c r="D532" t="s">
        <v>4810</v>
      </c>
      <c r="E532" t="s">
        <v>2968</v>
      </c>
      <c r="F532" t="s">
        <v>2893</v>
      </c>
      <c r="G532" t="s">
        <v>4811</v>
      </c>
      <c r="H532" t="s">
        <v>2896</v>
      </c>
      <c r="I532" t="s">
        <v>3231</v>
      </c>
      <c r="J532" t="s">
        <v>4812</v>
      </c>
    </row>
    <row r="533" spans="1:10" x14ac:dyDescent="0.2">
      <c r="A533" t="s">
        <v>80</v>
      </c>
      <c r="B533" t="s">
        <v>1242</v>
      </c>
      <c r="C533" t="s">
        <v>2448</v>
      </c>
      <c r="D533" t="s">
        <v>3536</v>
      </c>
      <c r="E533" t="s">
        <v>3695</v>
      </c>
      <c r="F533" t="s">
        <v>3247</v>
      </c>
      <c r="G533" t="s">
        <v>4813</v>
      </c>
      <c r="H533" t="s">
        <v>2904</v>
      </c>
      <c r="I533" t="s">
        <v>2897</v>
      </c>
      <c r="J533" t="s">
        <v>4814</v>
      </c>
    </row>
    <row r="534" spans="1:10" x14ac:dyDescent="0.2">
      <c r="A534" t="s">
        <v>80</v>
      </c>
      <c r="B534" t="s">
        <v>1265</v>
      </c>
      <c r="C534" t="s">
        <v>1152</v>
      </c>
      <c r="D534" t="s">
        <v>3652</v>
      </c>
      <c r="E534" t="s">
        <v>2957</v>
      </c>
      <c r="F534" t="s">
        <v>2958</v>
      </c>
      <c r="G534" t="s">
        <v>4815</v>
      </c>
      <c r="H534" t="s">
        <v>2904</v>
      </c>
      <c r="I534" t="s">
        <v>2959</v>
      </c>
      <c r="J534" t="s">
        <v>4816</v>
      </c>
    </row>
    <row r="535" spans="1:10" x14ac:dyDescent="0.2">
      <c r="A535" t="s">
        <v>80</v>
      </c>
      <c r="B535" t="s">
        <v>635</v>
      </c>
      <c r="C535" t="s">
        <v>819</v>
      </c>
      <c r="D535" t="s">
        <v>3387</v>
      </c>
      <c r="E535" t="s">
        <v>3142</v>
      </c>
      <c r="F535" t="s">
        <v>3244</v>
      </c>
      <c r="G535" t="s">
        <v>4817</v>
      </c>
      <c r="H535" t="s">
        <v>2904</v>
      </c>
      <c r="I535" t="s">
        <v>2910</v>
      </c>
      <c r="J535" t="s">
        <v>4818</v>
      </c>
    </row>
    <row r="536" spans="1:10" x14ac:dyDescent="0.2">
      <c r="A536" t="s">
        <v>80</v>
      </c>
      <c r="B536" t="s">
        <v>166</v>
      </c>
      <c r="C536" t="s">
        <v>564</v>
      </c>
      <c r="D536" t="s">
        <v>2934</v>
      </c>
      <c r="E536" t="s">
        <v>2932</v>
      </c>
      <c r="F536" t="s">
        <v>2915</v>
      </c>
      <c r="G536" t="s">
        <v>4819</v>
      </c>
      <c r="H536" t="s">
        <v>2904</v>
      </c>
      <c r="I536" t="s">
        <v>2897</v>
      </c>
      <c r="J536" t="s">
        <v>4820</v>
      </c>
    </row>
    <row r="537" spans="1:10" x14ac:dyDescent="0.2">
      <c r="A537" t="s">
        <v>80</v>
      </c>
      <c r="B537" t="s">
        <v>540</v>
      </c>
      <c r="C537" t="s">
        <v>197</v>
      </c>
      <c r="D537" t="s">
        <v>2953</v>
      </c>
      <c r="E537" t="s">
        <v>4170</v>
      </c>
      <c r="F537" t="s">
        <v>2913</v>
      </c>
      <c r="G537" t="s">
        <v>4821</v>
      </c>
      <c r="H537" t="s">
        <v>2904</v>
      </c>
      <c r="I537" t="s">
        <v>2897</v>
      </c>
      <c r="J537" t="s">
        <v>4822</v>
      </c>
    </row>
    <row r="538" spans="1:10" x14ac:dyDescent="0.2">
      <c r="A538" t="s">
        <v>80</v>
      </c>
      <c r="B538" t="s">
        <v>315</v>
      </c>
      <c r="C538" t="s">
        <v>2461</v>
      </c>
      <c r="D538" t="s">
        <v>4823</v>
      </c>
      <c r="E538" t="s">
        <v>2924</v>
      </c>
      <c r="F538" t="s">
        <v>3259</v>
      </c>
      <c r="G538" t="s">
        <v>4824</v>
      </c>
      <c r="H538" t="s">
        <v>2904</v>
      </c>
      <c r="I538" t="s">
        <v>3231</v>
      </c>
      <c r="J538" t="s">
        <v>4825</v>
      </c>
    </row>
    <row r="539" spans="1:10" x14ac:dyDescent="0.2">
      <c r="A539" t="s">
        <v>80</v>
      </c>
      <c r="B539" t="s">
        <v>4392</v>
      </c>
      <c r="C539" t="s">
        <v>4393</v>
      </c>
      <c r="D539" t="s">
        <v>4826</v>
      </c>
      <c r="E539" t="s">
        <v>4827</v>
      </c>
      <c r="F539" t="s">
        <v>4828</v>
      </c>
      <c r="G539" t="s">
        <v>4829</v>
      </c>
      <c r="H539" t="s">
        <v>2904</v>
      </c>
      <c r="I539" t="s">
        <v>2959</v>
      </c>
      <c r="J539" t="s">
        <v>4830</v>
      </c>
    </row>
    <row r="540" spans="1:10" x14ac:dyDescent="0.2">
      <c r="A540" t="s">
        <v>99</v>
      </c>
      <c r="B540" t="s">
        <v>2472</v>
      </c>
      <c r="C540" t="s">
        <v>2473</v>
      </c>
      <c r="D540" t="s">
        <v>4831</v>
      </c>
      <c r="E540" t="s">
        <v>3110</v>
      </c>
      <c r="F540" t="s">
        <v>2931</v>
      </c>
      <c r="G540" t="s">
        <v>4170</v>
      </c>
      <c r="H540" t="s">
        <v>2904</v>
      </c>
      <c r="I540" t="s">
        <v>2897</v>
      </c>
      <c r="J540" t="s">
        <v>4832</v>
      </c>
    </row>
    <row r="541" spans="1:10" x14ac:dyDescent="0.2">
      <c r="A541" t="s">
        <v>99</v>
      </c>
      <c r="B541" t="s">
        <v>2472</v>
      </c>
      <c r="C541" t="s">
        <v>4833</v>
      </c>
      <c r="D541" t="s">
        <v>4834</v>
      </c>
      <c r="E541" t="s">
        <v>3080</v>
      </c>
      <c r="F541" t="s">
        <v>3173</v>
      </c>
      <c r="G541" t="s">
        <v>3136</v>
      </c>
      <c r="H541" t="s">
        <v>2896</v>
      </c>
      <c r="I541" t="s">
        <v>2959</v>
      </c>
      <c r="J541" t="s">
        <v>4835</v>
      </c>
    </row>
    <row r="542" spans="1:10" x14ac:dyDescent="0.2">
      <c r="A542" t="s">
        <v>99</v>
      </c>
      <c r="B542" t="s">
        <v>125</v>
      </c>
      <c r="C542" t="s">
        <v>1048</v>
      </c>
      <c r="D542" t="s">
        <v>3895</v>
      </c>
      <c r="E542" t="s">
        <v>3084</v>
      </c>
      <c r="F542" t="s">
        <v>4347</v>
      </c>
      <c r="G542" t="s">
        <v>3122</v>
      </c>
      <c r="H542" t="s">
        <v>2904</v>
      </c>
      <c r="I542" t="s">
        <v>2910</v>
      </c>
      <c r="J542" t="s">
        <v>4836</v>
      </c>
    </row>
    <row r="543" spans="1:10" x14ac:dyDescent="0.2">
      <c r="A543" t="s">
        <v>99</v>
      </c>
      <c r="B543" t="s">
        <v>125</v>
      </c>
      <c r="C543" t="s">
        <v>3681</v>
      </c>
      <c r="D543" t="s">
        <v>4837</v>
      </c>
      <c r="E543" t="s">
        <v>3020</v>
      </c>
      <c r="F543" t="s">
        <v>4740</v>
      </c>
      <c r="G543" t="s">
        <v>2968</v>
      </c>
      <c r="H543" t="s">
        <v>2896</v>
      </c>
      <c r="I543" t="s">
        <v>2897</v>
      </c>
      <c r="J543" t="s">
        <v>4838</v>
      </c>
    </row>
    <row r="544" spans="1:10" x14ac:dyDescent="0.2">
      <c r="A544" t="s">
        <v>99</v>
      </c>
      <c r="B544" t="s">
        <v>595</v>
      </c>
      <c r="C544" t="s">
        <v>1041</v>
      </c>
      <c r="D544" t="s">
        <v>4839</v>
      </c>
      <c r="E544" t="s">
        <v>4840</v>
      </c>
      <c r="F544" t="s">
        <v>2908</v>
      </c>
      <c r="G544" t="s">
        <v>2909</v>
      </c>
      <c r="H544" t="s">
        <v>2904</v>
      </c>
      <c r="I544" t="s">
        <v>3231</v>
      </c>
      <c r="J544" t="s">
        <v>4841</v>
      </c>
    </row>
    <row r="545" spans="1:10" x14ac:dyDescent="0.2">
      <c r="A545" t="s">
        <v>99</v>
      </c>
      <c r="B545" t="s">
        <v>595</v>
      </c>
      <c r="C545" t="s">
        <v>1041</v>
      </c>
      <c r="D545" t="s">
        <v>4842</v>
      </c>
      <c r="E545" t="s">
        <v>2991</v>
      </c>
      <c r="F545" t="s">
        <v>2924</v>
      </c>
      <c r="G545" t="s">
        <v>3030</v>
      </c>
      <c r="H545" t="s">
        <v>2904</v>
      </c>
      <c r="I545" t="s">
        <v>2959</v>
      </c>
      <c r="J545" t="s">
        <v>4843</v>
      </c>
    </row>
    <row r="546" spans="1:10" x14ac:dyDescent="0.2">
      <c r="A546" t="s">
        <v>99</v>
      </c>
      <c r="B546" t="s">
        <v>328</v>
      </c>
      <c r="C546" t="s">
        <v>4844</v>
      </c>
      <c r="D546" t="s">
        <v>2977</v>
      </c>
      <c r="E546" t="s">
        <v>2979</v>
      </c>
      <c r="F546" t="s">
        <v>3117</v>
      </c>
      <c r="G546" t="s">
        <v>3110</v>
      </c>
      <c r="H546" t="s">
        <v>2904</v>
      </c>
      <c r="I546" t="s">
        <v>2897</v>
      </c>
      <c r="J546" t="s">
        <v>4845</v>
      </c>
    </row>
    <row r="547" spans="1:10" x14ac:dyDescent="0.2">
      <c r="A547" t="s">
        <v>99</v>
      </c>
      <c r="B547" t="s">
        <v>328</v>
      </c>
      <c r="C547" t="s">
        <v>4844</v>
      </c>
      <c r="D547" t="s">
        <v>4846</v>
      </c>
      <c r="E547" t="s">
        <v>4847</v>
      </c>
      <c r="F547" t="s">
        <v>2902</v>
      </c>
      <c r="G547" t="s">
        <v>2901</v>
      </c>
      <c r="H547" t="s">
        <v>2904</v>
      </c>
      <c r="I547" t="s">
        <v>3231</v>
      </c>
      <c r="J547" t="s">
        <v>4848</v>
      </c>
    </row>
    <row r="548" spans="1:10" x14ac:dyDescent="0.2">
      <c r="A548" t="s">
        <v>99</v>
      </c>
      <c r="B548" t="s">
        <v>181</v>
      </c>
      <c r="C548" t="s">
        <v>4849</v>
      </c>
      <c r="D548" t="s">
        <v>4850</v>
      </c>
      <c r="E548" t="s">
        <v>4851</v>
      </c>
      <c r="F548" t="s">
        <v>4852</v>
      </c>
      <c r="G548" t="s">
        <v>4853</v>
      </c>
      <c r="H548" t="s">
        <v>2896</v>
      </c>
      <c r="I548" t="s">
        <v>2910</v>
      </c>
      <c r="J548" t="s">
        <v>4854</v>
      </c>
    </row>
    <row r="549" spans="1:10" x14ac:dyDescent="0.2">
      <c r="A549" t="s">
        <v>99</v>
      </c>
      <c r="B549" t="s">
        <v>315</v>
      </c>
      <c r="C549" t="s">
        <v>2491</v>
      </c>
      <c r="D549" t="s">
        <v>4855</v>
      </c>
      <c r="E549" t="s">
        <v>3030</v>
      </c>
      <c r="F549" t="s">
        <v>3604</v>
      </c>
      <c r="G549" t="s">
        <v>4229</v>
      </c>
      <c r="H549" t="s">
        <v>2904</v>
      </c>
      <c r="I549" t="s">
        <v>2897</v>
      </c>
      <c r="J549" t="s">
        <v>4856</v>
      </c>
    </row>
    <row r="550" spans="1:10" x14ac:dyDescent="0.2">
      <c r="A550" t="s">
        <v>99</v>
      </c>
      <c r="B550" t="s">
        <v>166</v>
      </c>
      <c r="C550" t="s">
        <v>3959</v>
      </c>
      <c r="D550" t="s">
        <v>3325</v>
      </c>
      <c r="E550" t="s">
        <v>4231</v>
      </c>
      <c r="F550" t="s">
        <v>2980</v>
      </c>
      <c r="G550" t="s">
        <v>3599</v>
      </c>
      <c r="H550" t="s">
        <v>2904</v>
      </c>
      <c r="I550" t="s">
        <v>2959</v>
      </c>
      <c r="J550" t="s">
        <v>4857</v>
      </c>
    </row>
    <row r="551" spans="1:10" x14ac:dyDescent="0.2">
      <c r="A551" t="s">
        <v>99</v>
      </c>
      <c r="B551" t="s">
        <v>830</v>
      </c>
      <c r="C551" t="s">
        <v>4858</v>
      </c>
      <c r="D551" t="s">
        <v>4859</v>
      </c>
      <c r="E551" t="s">
        <v>2983</v>
      </c>
      <c r="F551" t="s">
        <v>3494</v>
      </c>
      <c r="G551" t="s">
        <v>4860</v>
      </c>
      <c r="H551" t="s">
        <v>2896</v>
      </c>
      <c r="I551" t="s">
        <v>2897</v>
      </c>
      <c r="J551" t="s">
        <v>4861</v>
      </c>
    </row>
    <row r="552" spans="1:10" x14ac:dyDescent="0.2">
      <c r="A552" t="s">
        <v>34</v>
      </c>
      <c r="B552" t="s">
        <v>125</v>
      </c>
      <c r="C552" t="s">
        <v>2532</v>
      </c>
      <c r="D552" t="s">
        <v>4862</v>
      </c>
      <c r="E552" t="s">
        <v>3243</v>
      </c>
      <c r="F552" t="s">
        <v>2915</v>
      </c>
      <c r="G552" t="s">
        <v>3244</v>
      </c>
      <c r="H552" t="s">
        <v>2904</v>
      </c>
      <c r="I552" t="s">
        <v>2897</v>
      </c>
      <c r="J552" t="s">
        <v>4863</v>
      </c>
    </row>
    <row r="553" spans="1:10" x14ac:dyDescent="0.2">
      <c r="A553" t="s">
        <v>34</v>
      </c>
      <c r="B553" t="s">
        <v>125</v>
      </c>
      <c r="C553" t="s">
        <v>709</v>
      </c>
      <c r="D553" t="s">
        <v>3271</v>
      </c>
      <c r="E553" t="s">
        <v>3045</v>
      </c>
      <c r="F553" t="s">
        <v>2894</v>
      </c>
      <c r="G553" t="s">
        <v>2895</v>
      </c>
      <c r="H553" t="s">
        <v>2896</v>
      </c>
      <c r="I553" t="s">
        <v>2897</v>
      </c>
      <c r="J553" t="s">
        <v>4864</v>
      </c>
    </row>
    <row r="554" spans="1:10" x14ac:dyDescent="0.2">
      <c r="A554" t="s">
        <v>34</v>
      </c>
      <c r="B554" t="s">
        <v>547</v>
      </c>
      <c r="C554" t="s">
        <v>2510</v>
      </c>
      <c r="D554" t="s">
        <v>4865</v>
      </c>
      <c r="E554" t="s">
        <v>3110</v>
      </c>
      <c r="F554" t="s">
        <v>2930</v>
      </c>
      <c r="G554" t="s">
        <v>3282</v>
      </c>
      <c r="H554" t="s">
        <v>2904</v>
      </c>
      <c r="I554" t="s">
        <v>2910</v>
      </c>
      <c r="J554" t="s">
        <v>4866</v>
      </c>
    </row>
    <row r="555" spans="1:10" x14ac:dyDescent="0.2">
      <c r="A555" t="s">
        <v>34</v>
      </c>
      <c r="B555" t="s">
        <v>547</v>
      </c>
      <c r="C555" t="s">
        <v>1218</v>
      </c>
      <c r="D555" t="s">
        <v>4867</v>
      </c>
      <c r="E555" t="s">
        <v>4868</v>
      </c>
      <c r="F555" t="s">
        <v>4869</v>
      </c>
      <c r="G555" t="s">
        <v>4870</v>
      </c>
      <c r="H555" t="s">
        <v>2896</v>
      </c>
      <c r="I555" t="s">
        <v>2921</v>
      </c>
      <c r="J555" t="s">
        <v>4871</v>
      </c>
    </row>
    <row r="556" spans="1:10" x14ac:dyDescent="0.2">
      <c r="A556" t="s">
        <v>34</v>
      </c>
      <c r="B556" t="s">
        <v>595</v>
      </c>
      <c r="C556" t="s">
        <v>680</v>
      </c>
      <c r="D556" t="s">
        <v>4872</v>
      </c>
      <c r="E556" t="s">
        <v>3046</v>
      </c>
      <c r="F556" t="s">
        <v>3169</v>
      </c>
      <c r="G556" t="s">
        <v>3178</v>
      </c>
      <c r="H556" t="s">
        <v>2896</v>
      </c>
      <c r="I556" t="s">
        <v>2897</v>
      </c>
      <c r="J556" t="s">
        <v>4873</v>
      </c>
    </row>
    <row r="557" spans="1:10" x14ac:dyDescent="0.2">
      <c r="A557" t="s">
        <v>34</v>
      </c>
      <c r="B557" t="s">
        <v>595</v>
      </c>
      <c r="C557" t="s">
        <v>431</v>
      </c>
      <c r="D557" t="s">
        <v>3325</v>
      </c>
      <c r="E557" t="s">
        <v>4231</v>
      </c>
      <c r="F557" t="s">
        <v>3599</v>
      </c>
      <c r="G557" t="s">
        <v>3501</v>
      </c>
      <c r="H557" t="s">
        <v>2904</v>
      </c>
      <c r="I557" t="s">
        <v>2959</v>
      </c>
      <c r="J557" t="s">
        <v>4874</v>
      </c>
    </row>
    <row r="558" spans="1:10" x14ac:dyDescent="0.2">
      <c r="A558" t="s">
        <v>34</v>
      </c>
      <c r="B558" t="s">
        <v>181</v>
      </c>
      <c r="C558" t="s">
        <v>182</v>
      </c>
      <c r="D558" t="s">
        <v>4875</v>
      </c>
      <c r="E558" t="s">
        <v>4876</v>
      </c>
      <c r="F558" t="s">
        <v>4877</v>
      </c>
      <c r="G558" t="s">
        <v>4878</v>
      </c>
      <c r="H558" t="s">
        <v>2896</v>
      </c>
      <c r="I558" t="s">
        <v>2897</v>
      </c>
      <c r="J558" t="s">
        <v>4879</v>
      </c>
    </row>
    <row r="559" spans="1:10" x14ac:dyDescent="0.2">
      <c r="A559" t="s">
        <v>34</v>
      </c>
      <c r="B559" t="s">
        <v>181</v>
      </c>
      <c r="C559" t="s">
        <v>2522</v>
      </c>
      <c r="D559" t="s">
        <v>4880</v>
      </c>
      <c r="E559" t="s">
        <v>4881</v>
      </c>
      <c r="F559" t="s">
        <v>4882</v>
      </c>
      <c r="G559" t="s">
        <v>4883</v>
      </c>
      <c r="H559" t="s">
        <v>2896</v>
      </c>
      <c r="I559" t="s">
        <v>2897</v>
      </c>
      <c r="J559" t="s">
        <v>4884</v>
      </c>
    </row>
    <row r="560" spans="1:10" x14ac:dyDescent="0.2">
      <c r="A560" t="s">
        <v>34</v>
      </c>
      <c r="B560" t="s">
        <v>135</v>
      </c>
      <c r="C560" t="s">
        <v>2546</v>
      </c>
      <c r="D560" t="s">
        <v>4885</v>
      </c>
      <c r="E560" t="s">
        <v>4868</v>
      </c>
      <c r="F560" t="s">
        <v>4886</v>
      </c>
      <c r="G560" t="s">
        <v>4870</v>
      </c>
      <c r="H560" t="s">
        <v>2896</v>
      </c>
      <c r="I560" t="s">
        <v>2910</v>
      </c>
      <c r="J560" t="s">
        <v>4887</v>
      </c>
    </row>
    <row r="561" spans="1:10" x14ac:dyDescent="0.2">
      <c r="A561" t="s">
        <v>34</v>
      </c>
      <c r="B561" t="s">
        <v>166</v>
      </c>
      <c r="C561" t="s">
        <v>626</v>
      </c>
      <c r="D561" t="s">
        <v>3002</v>
      </c>
      <c r="E561" t="s">
        <v>2930</v>
      </c>
      <c r="F561" t="s">
        <v>2931</v>
      </c>
      <c r="G561" t="s">
        <v>2932</v>
      </c>
      <c r="H561" t="s">
        <v>2904</v>
      </c>
      <c r="I561" t="s">
        <v>2897</v>
      </c>
      <c r="J561" t="s">
        <v>4888</v>
      </c>
    </row>
    <row r="562" spans="1:10" x14ac:dyDescent="0.2">
      <c r="A562" t="s">
        <v>34</v>
      </c>
      <c r="B562" t="s">
        <v>188</v>
      </c>
      <c r="C562" t="s">
        <v>932</v>
      </c>
      <c r="D562" t="s">
        <v>4889</v>
      </c>
      <c r="E562" t="s">
        <v>3292</v>
      </c>
      <c r="F562" t="s">
        <v>3117</v>
      </c>
      <c r="G562" t="s">
        <v>3040</v>
      </c>
      <c r="H562" t="s">
        <v>2904</v>
      </c>
      <c r="I562" t="s">
        <v>2910</v>
      </c>
      <c r="J562" t="s">
        <v>4890</v>
      </c>
    </row>
    <row r="563" spans="1:10" x14ac:dyDescent="0.2">
      <c r="A563" t="s">
        <v>34</v>
      </c>
      <c r="B563" t="s">
        <v>540</v>
      </c>
      <c r="C563" t="s">
        <v>197</v>
      </c>
      <c r="D563" t="s">
        <v>4891</v>
      </c>
      <c r="E563" t="s">
        <v>2932</v>
      </c>
      <c r="F563" t="s">
        <v>2915</v>
      </c>
      <c r="G563" t="s">
        <v>3244</v>
      </c>
      <c r="H563" t="s">
        <v>2904</v>
      </c>
      <c r="I563" t="s">
        <v>2921</v>
      </c>
      <c r="J563" t="s">
        <v>4892</v>
      </c>
    </row>
    <row r="564" spans="1:10" x14ac:dyDescent="0.2">
      <c r="A564" t="s">
        <v>71</v>
      </c>
      <c r="B564" t="s">
        <v>2551</v>
      </c>
      <c r="C564" t="s">
        <v>2552</v>
      </c>
      <c r="D564" t="s">
        <v>4893</v>
      </c>
      <c r="E564" t="s">
        <v>2930</v>
      </c>
      <c r="F564" t="s">
        <v>3244</v>
      </c>
      <c r="G564" t="s">
        <v>2932</v>
      </c>
      <c r="H564" t="s">
        <v>2904</v>
      </c>
      <c r="I564" t="s">
        <v>2897</v>
      </c>
      <c r="J564" t="s">
        <v>4894</v>
      </c>
    </row>
    <row r="565" spans="1:10" x14ac:dyDescent="0.2">
      <c r="A565" t="s">
        <v>71</v>
      </c>
      <c r="B565" t="s">
        <v>2551</v>
      </c>
      <c r="C565" t="s">
        <v>2928</v>
      </c>
      <c r="D565" t="s">
        <v>4895</v>
      </c>
      <c r="E565" t="s">
        <v>4896</v>
      </c>
      <c r="F565" t="s">
        <v>4897</v>
      </c>
      <c r="G565" t="s">
        <v>4898</v>
      </c>
      <c r="H565" t="s">
        <v>2904</v>
      </c>
      <c r="I565" t="s">
        <v>2897</v>
      </c>
      <c r="J565" t="s">
        <v>4899</v>
      </c>
    </row>
    <row r="566" spans="1:10" x14ac:dyDescent="0.2">
      <c r="A566" t="s">
        <v>71</v>
      </c>
      <c r="B566" t="s">
        <v>2565</v>
      </c>
      <c r="C566" t="s">
        <v>295</v>
      </c>
      <c r="D566" t="s">
        <v>3261</v>
      </c>
      <c r="E566" t="s">
        <v>4900</v>
      </c>
      <c r="F566" t="s">
        <v>2975</v>
      </c>
      <c r="G566" t="s">
        <v>3978</v>
      </c>
      <c r="H566" t="s">
        <v>2904</v>
      </c>
      <c r="I566" t="s">
        <v>2910</v>
      </c>
      <c r="J566" t="s">
        <v>4901</v>
      </c>
    </row>
    <row r="567" spans="1:10" x14ac:dyDescent="0.2">
      <c r="A567" t="s">
        <v>71</v>
      </c>
      <c r="B567" t="s">
        <v>2565</v>
      </c>
      <c r="C567" t="s">
        <v>4902</v>
      </c>
      <c r="D567" t="s">
        <v>3158</v>
      </c>
      <c r="E567" t="s">
        <v>3064</v>
      </c>
      <c r="F567" t="s">
        <v>3683</v>
      </c>
      <c r="G567" t="s">
        <v>3160</v>
      </c>
      <c r="H567" t="s">
        <v>2896</v>
      </c>
      <c r="I567" t="s">
        <v>2897</v>
      </c>
      <c r="J567" t="s">
        <v>4903</v>
      </c>
    </row>
    <row r="568" spans="1:10" x14ac:dyDescent="0.2">
      <c r="A568" t="s">
        <v>71</v>
      </c>
      <c r="B568" t="s">
        <v>2557</v>
      </c>
      <c r="C568" t="s">
        <v>431</v>
      </c>
      <c r="D568" t="s">
        <v>4904</v>
      </c>
      <c r="E568" t="s">
        <v>3172</v>
      </c>
      <c r="F568" t="s">
        <v>3174</v>
      </c>
      <c r="G568" t="s">
        <v>3178</v>
      </c>
      <c r="H568" t="s">
        <v>2896</v>
      </c>
      <c r="I568" t="s">
        <v>3231</v>
      </c>
      <c r="J568" t="s">
        <v>4905</v>
      </c>
    </row>
    <row r="569" spans="1:10" x14ac:dyDescent="0.2">
      <c r="A569" t="s">
        <v>71</v>
      </c>
      <c r="B569" t="s">
        <v>2557</v>
      </c>
      <c r="C569" t="s">
        <v>680</v>
      </c>
      <c r="D569" t="s">
        <v>4906</v>
      </c>
      <c r="E569" t="s">
        <v>4907</v>
      </c>
      <c r="F569" t="s">
        <v>4908</v>
      </c>
      <c r="G569" t="s">
        <v>4909</v>
      </c>
      <c r="H569" t="s">
        <v>2904</v>
      </c>
      <c r="I569" t="s">
        <v>2959</v>
      </c>
      <c r="J569" t="s">
        <v>4910</v>
      </c>
    </row>
    <row r="570" spans="1:10" x14ac:dyDescent="0.2">
      <c r="A570" t="s">
        <v>71</v>
      </c>
      <c r="B570" t="s">
        <v>2557</v>
      </c>
      <c r="C570" t="s">
        <v>4911</v>
      </c>
      <c r="D570" t="s">
        <v>4912</v>
      </c>
      <c r="E570" t="s">
        <v>2932</v>
      </c>
      <c r="F570" t="s">
        <v>2915</v>
      </c>
      <c r="G570" t="s">
        <v>3003</v>
      </c>
      <c r="H570" t="s">
        <v>2904</v>
      </c>
      <c r="I570" t="s">
        <v>2897</v>
      </c>
      <c r="J570" t="s">
        <v>4913</v>
      </c>
    </row>
    <row r="571" spans="1:10" x14ac:dyDescent="0.2">
      <c r="A571" t="s">
        <v>71</v>
      </c>
      <c r="B571" t="s">
        <v>540</v>
      </c>
      <c r="C571" t="s">
        <v>1686</v>
      </c>
      <c r="D571" t="s">
        <v>4914</v>
      </c>
      <c r="E571" t="s">
        <v>3727</v>
      </c>
      <c r="F571" t="s">
        <v>3594</v>
      </c>
      <c r="G571" t="s">
        <v>4915</v>
      </c>
      <c r="H571" t="s">
        <v>2904</v>
      </c>
      <c r="I571" t="s">
        <v>2921</v>
      </c>
      <c r="J571" t="s">
        <v>4916</v>
      </c>
    </row>
    <row r="572" spans="1:10" x14ac:dyDescent="0.2">
      <c r="A572" t="s">
        <v>71</v>
      </c>
      <c r="B572" t="s">
        <v>1633</v>
      </c>
      <c r="C572" t="s">
        <v>197</v>
      </c>
      <c r="D572" t="s">
        <v>2953</v>
      </c>
      <c r="E572" t="s">
        <v>3606</v>
      </c>
      <c r="F572" t="s">
        <v>4257</v>
      </c>
      <c r="G572" t="s">
        <v>3262</v>
      </c>
      <c r="H572" t="s">
        <v>2904</v>
      </c>
      <c r="I572" t="s">
        <v>2910</v>
      </c>
      <c r="J572" t="s">
        <v>4917</v>
      </c>
    </row>
    <row r="573" spans="1:10" x14ac:dyDescent="0.2">
      <c r="A573" t="s">
        <v>71</v>
      </c>
      <c r="B573" t="s">
        <v>2585</v>
      </c>
      <c r="C573" t="s">
        <v>4918</v>
      </c>
      <c r="D573" t="s">
        <v>4919</v>
      </c>
      <c r="E573" t="s">
        <v>4920</v>
      </c>
      <c r="F573" t="s">
        <v>4921</v>
      </c>
      <c r="G573" t="s">
        <v>4922</v>
      </c>
      <c r="H573" t="s">
        <v>2904</v>
      </c>
      <c r="I573" t="s">
        <v>2897</v>
      </c>
      <c r="J573" t="s">
        <v>4923</v>
      </c>
    </row>
    <row r="574" spans="1:10" x14ac:dyDescent="0.2">
      <c r="A574" t="s">
        <v>71</v>
      </c>
      <c r="B574" t="s">
        <v>4924</v>
      </c>
      <c r="C574" t="s">
        <v>4393</v>
      </c>
      <c r="D574" t="s">
        <v>4925</v>
      </c>
      <c r="E574" t="s">
        <v>2918</v>
      </c>
      <c r="F574" t="s">
        <v>3071</v>
      </c>
      <c r="G574" t="s">
        <v>2919</v>
      </c>
      <c r="H574" t="s">
        <v>2904</v>
      </c>
      <c r="I574" t="s">
        <v>3231</v>
      </c>
      <c r="J574" t="s">
        <v>4926</v>
      </c>
    </row>
    <row r="575" spans="1:10" x14ac:dyDescent="0.2">
      <c r="A575" t="s">
        <v>71</v>
      </c>
      <c r="B575" t="s">
        <v>481</v>
      </c>
      <c r="C575" t="s">
        <v>709</v>
      </c>
      <c r="D575" t="s">
        <v>4927</v>
      </c>
      <c r="E575" t="s">
        <v>2968</v>
      </c>
      <c r="F575" t="s">
        <v>2893</v>
      </c>
      <c r="G575" t="s">
        <v>4027</v>
      </c>
      <c r="H575" t="s">
        <v>2896</v>
      </c>
      <c r="I575" t="s">
        <v>2910</v>
      </c>
      <c r="J575" t="s">
        <v>4928</v>
      </c>
    </row>
    <row r="576" spans="1:10" x14ac:dyDescent="0.2">
      <c r="A576" t="s">
        <v>68</v>
      </c>
      <c r="B576" t="s">
        <v>174</v>
      </c>
      <c r="C576" t="s">
        <v>581</v>
      </c>
      <c r="D576" t="s">
        <v>4929</v>
      </c>
      <c r="E576" t="s">
        <v>3405</v>
      </c>
      <c r="F576" t="s">
        <v>3594</v>
      </c>
      <c r="G576" t="s">
        <v>4930</v>
      </c>
      <c r="H576" t="s">
        <v>2904</v>
      </c>
      <c r="I576" t="s">
        <v>2897</v>
      </c>
      <c r="J576" t="s">
        <v>4931</v>
      </c>
    </row>
    <row r="577" spans="1:10" x14ac:dyDescent="0.2">
      <c r="A577" t="s">
        <v>68</v>
      </c>
      <c r="B577" t="s">
        <v>174</v>
      </c>
      <c r="C577" t="s">
        <v>2617</v>
      </c>
      <c r="D577" t="s">
        <v>4932</v>
      </c>
      <c r="E577" t="s">
        <v>3243</v>
      </c>
      <c r="F577" t="s">
        <v>3003</v>
      </c>
      <c r="G577" t="s">
        <v>4933</v>
      </c>
      <c r="H577" t="s">
        <v>2904</v>
      </c>
      <c r="I577" t="s">
        <v>2959</v>
      </c>
      <c r="J577" t="s">
        <v>4934</v>
      </c>
    </row>
    <row r="578" spans="1:10" x14ac:dyDescent="0.2">
      <c r="A578" t="s">
        <v>68</v>
      </c>
      <c r="B578" t="s">
        <v>595</v>
      </c>
      <c r="C578" t="s">
        <v>158</v>
      </c>
      <c r="D578" t="s">
        <v>4935</v>
      </c>
      <c r="E578" t="s">
        <v>2893</v>
      </c>
      <c r="F578" t="s">
        <v>3135</v>
      </c>
      <c r="G578" t="s">
        <v>4936</v>
      </c>
      <c r="H578" t="s">
        <v>2896</v>
      </c>
      <c r="I578" t="s">
        <v>2897</v>
      </c>
      <c r="J578" t="s">
        <v>4937</v>
      </c>
    </row>
    <row r="579" spans="1:10" x14ac:dyDescent="0.2">
      <c r="A579" t="s">
        <v>68</v>
      </c>
      <c r="B579" t="s">
        <v>595</v>
      </c>
      <c r="C579" t="s">
        <v>431</v>
      </c>
      <c r="D579" t="s">
        <v>4938</v>
      </c>
      <c r="E579" t="s">
        <v>4939</v>
      </c>
      <c r="F579" t="s">
        <v>4840</v>
      </c>
      <c r="G579" t="s">
        <v>4940</v>
      </c>
      <c r="H579" t="s">
        <v>2904</v>
      </c>
      <c r="I579" t="s">
        <v>3032</v>
      </c>
      <c r="J579" t="s">
        <v>4941</v>
      </c>
    </row>
    <row r="580" spans="1:10" x14ac:dyDescent="0.2">
      <c r="A580" t="s">
        <v>68</v>
      </c>
      <c r="B580" t="s">
        <v>504</v>
      </c>
      <c r="C580" t="s">
        <v>1513</v>
      </c>
      <c r="D580" t="s">
        <v>4942</v>
      </c>
      <c r="E580" t="s">
        <v>3212</v>
      </c>
      <c r="F580" t="s">
        <v>3243</v>
      </c>
      <c r="G580" t="s">
        <v>4943</v>
      </c>
      <c r="H580" t="s">
        <v>2904</v>
      </c>
      <c r="I580" t="s">
        <v>2897</v>
      </c>
      <c r="J580" t="s">
        <v>4944</v>
      </c>
    </row>
    <row r="581" spans="1:10" x14ac:dyDescent="0.2">
      <c r="A581" t="s">
        <v>68</v>
      </c>
      <c r="B581" t="s">
        <v>504</v>
      </c>
      <c r="C581" t="s">
        <v>1480</v>
      </c>
      <c r="D581" t="s">
        <v>4945</v>
      </c>
      <c r="E581" t="s">
        <v>4946</v>
      </c>
      <c r="F581" t="s">
        <v>4947</v>
      </c>
      <c r="G581" t="s">
        <v>4948</v>
      </c>
      <c r="H581" t="s">
        <v>2904</v>
      </c>
      <c r="I581" t="s">
        <v>2959</v>
      </c>
      <c r="J581" t="s">
        <v>4949</v>
      </c>
    </row>
    <row r="582" spans="1:10" x14ac:dyDescent="0.2">
      <c r="A582" t="s">
        <v>68</v>
      </c>
      <c r="B582" t="s">
        <v>1617</v>
      </c>
      <c r="C582" t="s">
        <v>532</v>
      </c>
      <c r="D582" t="s">
        <v>3644</v>
      </c>
      <c r="E582" t="s">
        <v>4950</v>
      </c>
      <c r="F582" t="s">
        <v>4951</v>
      </c>
      <c r="G582" t="s">
        <v>4952</v>
      </c>
      <c r="H582" t="s">
        <v>2904</v>
      </c>
      <c r="I582" t="s">
        <v>2897</v>
      </c>
      <c r="J582" t="s">
        <v>4953</v>
      </c>
    </row>
    <row r="583" spans="1:10" x14ac:dyDescent="0.2">
      <c r="A583" t="s">
        <v>68</v>
      </c>
      <c r="B583" t="s">
        <v>1617</v>
      </c>
      <c r="C583" t="s">
        <v>4954</v>
      </c>
      <c r="D583" t="s">
        <v>4955</v>
      </c>
      <c r="E583" t="s">
        <v>4956</v>
      </c>
      <c r="F583" t="s">
        <v>4957</v>
      </c>
      <c r="G583" t="s">
        <v>4958</v>
      </c>
      <c r="H583" t="s">
        <v>2904</v>
      </c>
      <c r="I583" t="s">
        <v>2959</v>
      </c>
      <c r="J583" t="s">
        <v>4959</v>
      </c>
    </row>
    <row r="584" spans="1:10" x14ac:dyDescent="0.2">
      <c r="A584" t="s">
        <v>68</v>
      </c>
      <c r="B584" t="s">
        <v>287</v>
      </c>
      <c r="C584" t="s">
        <v>646</v>
      </c>
      <c r="D584" t="s">
        <v>4960</v>
      </c>
      <c r="E584" t="s">
        <v>3691</v>
      </c>
      <c r="F584" t="s">
        <v>3975</v>
      </c>
      <c r="G584" t="s">
        <v>4961</v>
      </c>
      <c r="H584" t="s">
        <v>2904</v>
      </c>
      <c r="I584" t="s">
        <v>2897</v>
      </c>
      <c r="J584" t="s">
        <v>4962</v>
      </c>
    </row>
    <row r="585" spans="1:10" x14ac:dyDescent="0.2">
      <c r="A585" t="s">
        <v>68</v>
      </c>
      <c r="B585" t="s">
        <v>588</v>
      </c>
      <c r="C585" t="s">
        <v>1716</v>
      </c>
      <c r="D585" t="s">
        <v>3153</v>
      </c>
      <c r="E585" t="s">
        <v>3172</v>
      </c>
      <c r="F585" t="s">
        <v>3178</v>
      </c>
      <c r="G585" t="s">
        <v>4963</v>
      </c>
      <c r="H585" t="s">
        <v>2896</v>
      </c>
      <c r="I585" t="s">
        <v>2959</v>
      </c>
      <c r="J585" t="s">
        <v>4964</v>
      </c>
    </row>
    <row r="586" spans="1:10" x14ac:dyDescent="0.2">
      <c r="A586" t="s">
        <v>68</v>
      </c>
      <c r="B586" t="s">
        <v>2602</v>
      </c>
      <c r="C586" t="s">
        <v>4965</v>
      </c>
      <c r="D586" t="s">
        <v>4966</v>
      </c>
      <c r="E586" t="s">
        <v>4967</v>
      </c>
      <c r="F586" t="s">
        <v>4968</v>
      </c>
      <c r="G586" t="s">
        <v>4969</v>
      </c>
      <c r="H586" t="s">
        <v>2904</v>
      </c>
      <c r="I586" t="s">
        <v>3032</v>
      </c>
      <c r="J586" t="s">
        <v>4970</v>
      </c>
    </row>
    <row r="587" spans="1:10" x14ac:dyDescent="0.2">
      <c r="A587" t="s">
        <v>68</v>
      </c>
      <c r="B587" t="s">
        <v>517</v>
      </c>
      <c r="C587" t="s">
        <v>4971</v>
      </c>
      <c r="D587" t="s">
        <v>4972</v>
      </c>
      <c r="E587" t="s">
        <v>4973</v>
      </c>
      <c r="F587" t="s">
        <v>3135</v>
      </c>
      <c r="G587" t="s">
        <v>4974</v>
      </c>
      <c r="H587" t="s">
        <v>2896</v>
      </c>
      <c r="I587" t="s">
        <v>3032</v>
      </c>
      <c r="J587" t="s">
        <v>4975</v>
      </c>
    </row>
    <row r="588" spans="1:10" x14ac:dyDescent="0.2">
      <c r="A588" t="s">
        <v>90</v>
      </c>
      <c r="B588" t="s">
        <v>1103</v>
      </c>
      <c r="C588" t="s">
        <v>2658</v>
      </c>
      <c r="D588" t="s">
        <v>4976</v>
      </c>
      <c r="E588" t="s">
        <v>3110</v>
      </c>
      <c r="F588" t="s">
        <v>3770</v>
      </c>
      <c r="G588" t="s">
        <v>3498</v>
      </c>
      <c r="H588" t="s">
        <v>2904</v>
      </c>
      <c r="I588" t="s">
        <v>2897</v>
      </c>
      <c r="J588" t="s">
        <v>4977</v>
      </c>
    </row>
    <row r="589" spans="1:10" x14ac:dyDescent="0.2">
      <c r="A589" t="s">
        <v>90</v>
      </c>
      <c r="B589" t="s">
        <v>1103</v>
      </c>
      <c r="C589" t="s">
        <v>796</v>
      </c>
      <c r="D589" t="s">
        <v>4978</v>
      </c>
      <c r="E589" t="s">
        <v>2938</v>
      </c>
      <c r="F589" t="s">
        <v>4979</v>
      </c>
      <c r="G589" t="s">
        <v>4980</v>
      </c>
      <c r="H589" t="s">
        <v>2904</v>
      </c>
      <c r="I589" t="s">
        <v>2959</v>
      </c>
      <c r="J589" t="s">
        <v>4981</v>
      </c>
    </row>
    <row r="590" spans="1:10" x14ac:dyDescent="0.2">
      <c r="A590" t="s">
        <v>90</v>
      </c>
      <c r="B590" t="s">
        <v>2646</v>
      </c>
      <c r="C590" t="s">
        <v>2647</v>
      </c>
      <c r="D590" t="s">
        <v>4982</v>
      </c>
      <c r="E590" t="s">
        <v>4983</v>
      </c>
      <c r="F590" t="s">
        <v>4984</v>
      </c>
      <c r="G590" t="s">
        <v>4985</v>
      </c>
      <c r="H590" t="s">
        <v>2896</v>
      </c>
      <c r="I590" t="s">
        <v>3032</v>
      </c>
      <c r="J590" t="s">
        <v>4986</v>
      </c>
    </row>
    <row r="591" spans="1:10" x14ac:dyDescent="0.2">
      <c r="A591" t="s">
        <v>90</v>
      </c>
      <c r="B591" t="s">
        <v>2646</v>
      </c>
      <c r="C591" t="s">
        <v>4987</v>
      </c>
      <c r="D591" t="s">
        <v>4988</v>
      </c>
      <c r="E591" t="s">
        <v>2973</v>
      </c>
      <c r="F591" t="s">
        <v>2974</v>
      </c>
      <c r="G591" t="s">
        <v>2975</v>
      </c>
      <c r="H591" t="s">
        <v>2904</v>
      </c>
      <c r="I591" t="s">
        <v>2897</v>
      </c>
      <c r="J591" t="s">
        <v>4989</v>
      </c>
    </row>
    <row r="592" spans="1:10" x14ac:dyDescent="0.2">
      <c r="A592" t="s">
        <v>90</v>
      </c>
      <c r="B592" t="s">
        <v>1988</v>
      </c>
      <c r="C592" t="s">
        <v>174</v>
      </c>
      <c r="D592" t="s">
        <v>4990</v>
      </c>
      <c r="E592" t="s">
        <v>2930</v>
      </c>
      <c r="F592" t="s">
        <v>2932</v>
      </c>
      <c r="G592" t="s">
        <v>2932</v>
      </c>
      <c r="H592" t="s">
        <v>2904</v>
      </c>
      <c r="I592" t="s">
        <v>2959</v>
      </c>
      <c r="J592" t="s">
        <v>4991</v>
      </c>
    </row>
    <row r="593" spans="1:10" x14ac:dyDescent="0.2">
      <c r="A593" t="s">
        <v>90</v>
      </c>
      <c r="B593" t="s">
        <v>1988</v>
      </c>
      <c r="C593" t="s">
        <v>4992</v>
      </c>
      <c r="D593" t="s">
        <v>4993</v>
      </c>
      <c r="E593" t="s">
        <v>4994</v>
      </c>
      <c r="F593" t="s">
        <v>3223</v>
      </c>
      <c r="G593" t="s">
        <v>4995</v>
      </c>
      <c r="H593" t="s">
        <v>2904</v>
      </c>
      <c r="I593" t="s">
        <v>2959</v>
      </c>
      <c r="J593" t="s">
        <v>4996</v>
      </c>
    </row>
    <row r="594" spans="1:10" x14ac:dyDescent="0.2">
      <c r="A594" t="s">
        <v>90</v>
      </c>
      <c r="B594" t="s">
        <v>595</v>
      </c>
      <c r="C594" t="s">
        <v>680</v>
      </c>
      <c r="D594" t="s">
        <v>3481</v>
      </c>
      <c r="E594" t="s">
        <v>3273</v>
      </c>
      <c r="F594" t="s">
        <v>3015</v>
      </c>
      <c r="G594" t="s">
        <v>3046</v>
      </c>
      <c r="H594" t="s">
        <v>2896</v>
      </c>
      <c r="I594" t="s">
        <v>2897</v>
      </c>
      <c r="J594" t="s">
        <v>4997</v>
      </c>
    </row>
    <row r="595" spans="1:10" x14ac:dyDescent="0.2">
      <c r="A595" t="s">
        <v>90</v>
      </c>
      <c r="B595" t="s">
        <v>595</v>
      </c>
      <c r="C595" t="s">
        <v>431</v>
      </c>
      <c r="D595" t="s">
        <v>3325</v>
      </c>
      <c r="E595" t="s">
        <v>3599</v>
      </c>
      <c r="F595" t="s">
        <v>4998</v>
      </c>
      <c r="G595" t="s">
        <v>4999</v>
      </c>
      <c r="H595" t="s">
        <v>2904</v>
      </c>
      <c r="I595" t="s">
        <v>3032</v>
      </c>
      <c r="J595" t="s">
        <v>5000</v>
      </c>
    </row>
    <row r="596" spans="1:10" x14ac:dyDescent="0.2">
      <c r="A596" t="s">
        <v>90</v>
      </c>
      <c r="B596" t="s">
        <v>2672</v>
      </c>
      <c r="C596" t="s">
        <v>2673</v>
      </c>
      <c r="D596" t="s">
        <v>5001</v>
      </c>
      <c r="E596" t="s">
        <v>5002</v>
      </c>
      <c r="F596" t="s">
        <v>5003</v>
      </c>
      <c r="G596" t="s">
        <v>4687</v>
      </c>
      <c r="H596" t="s">
        <v>2904</v>
      </c>
      <c r="I596" t="s">
        <v>2897</v>
      </c>
      <c r="J596" t="s">
        <v>5004</v>
      </c>
    </row>
    <row r="597" spans="1:10" x14ac:dyDescent="0.2">
      <c r="A597" t="s">
        <v>90</v>
      </c>
      <c r="B597" t="s">
        <v>125</v>
      </c>
      <c r="C597" t="s">
        <v>709</v>
      </c>
      <c r="D597" t="s">
        <v>3271</v>
      </c>
      <c r="E597" t="s">
        <v>3045</v>
      </c>
      <c r="F597" t="s">
        <v>3206</v>
      </c>
      <c r="G597" t="s">
        <v>2895</v>
      </c>
      <c r="H597" t="s">
        <v>2896</v>
      </c>
      <c r="I597" t="s">
        <v>2897</v>
      </c>
      <c r="J597" t="s">
        <v>5005</v>
      </c>
    </row>
    <row r="598" spans="1:10" x14ac:dyDescent="0.2">
      <c r="A598" t="s">
        <v>90</v>
      </c>
      <c r="B598" t="s">
        <v>166</v>
      </c>
      <c r="C598" t="s">
        <v>1677</v>
      </c>
      <c r="D598" t="s">
        <v>3497</v>
      </c>
      <c r="E598" t="s">
        <v>3292</v>
      </c>
      <c r="F598" t="s">
        <v>5006</v>
      </c>
      <c r="G598" t="s">
        <v>5007</v>
      </c>
      <c r="H598" t="s">
        <v>2904</v>
      </c>
      <c r="I598" t="s">
        <v>2959</v>
      </c>
      <c r="J598" t="s">
        <v>5008</v>
      </c>
    </row>
    <row r="599" spans="1:10" x14ac:dyDescent="0.2">
      <c r="A599" t="s">
        <v>90</v>
      </c>
      <c r="B599" t="s">
        <v>188</v>
      </c>
      <c r="C599" t="s">
        <v>2686</v>
      </c>
      <c r="D599" t="s">
        <v>5009</v>
      </c>
      <c r="E599" t="s">
        <v>4231</v>
      </c>
      <c r="F599" t="s">
        <v>3327</v>
      </c>
      <c r="G599" t="s">
        <v>2980</v>
      </c>
      <c r="H599" t="s">
        <v>2904</v>
      </c>
      <c r="I599" t="s">
        <v>2959</v>
      </c>
      <c r="J599" t="s">
        <v>5010</v>
      </c>
    </row>
    <row r="600" spans="1:10" x14ac:dyDescent="0.2">
      <c r="A600" t="s">
        <v>96</v>
      </c>
      <c r="B600" t="s">
        <v>135</v>
      </c>
      <c r="C600" t="s">
        <v>2690</v>
      </c>
      <c r="D600" t="s">
        <v>5011</v>
      </c>
      <c r="E600" t="s">
        <v>5012</v>
      </c>
      <c r="F600" t="s">
        <v>5013</v>
      </c>
      <c r="G600" t="s">
        <v>5014</v>
      </c>
      <c r="H600" t="s">
        <v>2904</v>
      </c>
      <c r="I600" t="s">
        <v>2959</v>
      </c>
      <c r="J600" t="s">
        <v>5015</v>
      </c>
    </row>
    <row r="601" spans="1:10" x14ac:dyDescent="0.2">
      <c r="A601" t="s">
        <v>96</v>
      </c>
      <c r="B601" t="s">
        <v>135</v>
      </c>
      <c r="C601" t="s">
        <v>295</v>
      </c>
      <c r="D601" t="s">
        <v>3261</v>
      </c>
      <c r="E601" t="s">
        <v>3262</v>
      </c>
      <c r="F601" t="s">
        <v>2974</v>
      </c>
      <c r="G601" t="s">
        <v>5016</v>
      </c>
      <c r="H601" t="s">
        <v>2904</v>
      </c>
      <c r="I601" t="s">
        <v>2897</v>
      </c>
      <c r="J601" t="s">
        <v>5017</v>
      </c>
    </row>
    <row r="602" spans="1:10" x14ac:dyDescent="0.2">
      <c r="A602" t="s">
        <v>96</v>
      </c>
      <c r="B602" t="s">
        <v>125</v>
      </c>
      <c r="C602" t="s">
        <v>709</v>
      </c>
      <c r="D602" t="s">
        <v>5018</v>
      </c>
      <c r="E602" t="s">
        <v>5019</v>
      </c>
      <c r="F602" t="s">
        <v>5020</v>
      </c>
      <c r="G602" t="s">
        <v>5021</v>
      </c>
      <c r="H602" t="s">
        <v>2904</v>
      </c>
      <c r="I602" t="s">
        <v>3231</v>
      </c>
      <c r="J602" t="s">
        <v>5022</v>
      </c>
    </row>
    <row r="603" spans="1:10" x14ac:dyDescent="0.2">
      <c r="A603" t="s">
        <v>96</v>
      </c>
      <c r="B603" t="s">
        <v>125</v>
      </c>
      <c r="C603" t="s">
        <v>709</v>
      </c>
      <c r="D603" t="s">
        <v>5023</v>
      </c>
      <c r="E603" t="s">
        <v>2991</v>
      </c>
      <c r="F603" t="s">
        <v>2924</v>
      </c>
      <c r="G603" t="s">
        <v>5024</v>
      </c>
      <c r="H603" t="s">
        <v>2904</v>
      </c>
      <c r="I603" t="s">
        <v>3231</v>
      </c>
      <c r="J603" t="s">
        <v>5025</v>
      </c>
    </row>
    <row r="604" spans="1:10" x14ac:dyDescent="0.2">
      <c r="A604" t="s">
        <v>96</v>
      </c>
      <c r="B604" t="s">
        <v>464</v>
      </c>
      <c r="C604" t="s">
        <v>1072</v>
      </c>
      <c r="D604" t="s">
        <v>5026</v>
      </c>
      <c r="E604" t="s">
        <v>3110</v>
      </c>
      <c r="F604" t="s">
        <v>3282</v>
      </c>
      <c r="G604" t="s">
        <v>5027</v>
      </c>
      <c r="H604" t="s">
        <v>2904</v>
      </c>
      <c r="I604" t="s">
        <v>2959</v>
      </c>
      <c r="J604" t="s">
        <v>5028</v>
      </c>
    </row>
    <row r="605" spans="1:10" x14ac:dyDescent="0.2">
      <c r="A605" t="s">
        <v>96</v>
      </c>
      <c r="B605" t="s">
        <v>464</v>
      </c>
      <c r="C605" t="s">
        <v>5029</v>
      </c>
      <c r="D605" t="s">
        <v>5030</v>
      </c>
      <c r="E605" t="s">
        <v>5031</v>
      </c>
      <c r="F605" t="s">
        <v>5032</v>
      </c>
      <c r="G605" t="s">
        <v>5033</v>
      </c>
      <c r="H605" t="s">
        <v>2904</v>
      </c>
      <c r="I605" t="s">
        <v>3032</v>
      </c>
      <c r="J605" t="s">
        <v>5034</v>
      </c>
    </row>
    <row r="606" spans="1:10" x14ac:dyDescent="0.2">
      <c r="A606" t="s">
        <v>96</v>
      </c>
      <c r="B606" t="s">
        <v>1438</v>
      </c>
      <c r="C606" t="s">
        <v>5035</v>
      </c>
      <c r="D606" t="s">
        <v>5036</v>
      </c>
      <c r="E606" t="s">
        <v>4219</v>
      </c>
      <c r="F606" t="s">
        <v>5037</v>
      </c>
      <c r="G606" t="s">
        <v>5038</v>
      </c>
      <c r="H606" t="s">
        <v>2904</v>
      </c>
      <c r="I606" t="s">
        <v>2959</v>
      </c>
      <c r="J606" t="s">
        <v>5039</v>
      </c>
    </row>
    <row r="607" spans="1:10" x14ac:dyDescent="0.2">
      <c r="A607" t="s">
        <v>96</v>
      </c>
      <c r="B607" t="s">
        <v>1438</v>
      </c>
      <c r="C607" t="s">
        <v>2292</v>
      </c>
      <c r="D607" t="s">
        <v>5040</v>
      </c>
      <c r="E607" t="s">
        <v>5041</v>
      </c>
      <c r="F607" t="s">
        <v>5042</v>
      </c>
      <c r="G607" t="s">
        <v>5043</v>
      </c>
      <c r="H607" t="s">
        <v>2904</v>
      </c>
      <c r="I607" t="s">
        <v>3032</v>
      </c>
      <c r="J607" t="s">
        <v>5044</v>
      </c>
    </row>
    <row r="608" spans="1:10" x14ac:dyDescent="0.2">
      <c r="A608" t="s">
        <v>96</v>
      </c>
      <c r="B608" t="s">
        <v>595</v>
      </c>
      <c r="C608" t="s">
        <v>680</v>
      </c>
      <c r="D608" t="s">
        <v>5045</v>
      </c>
      <c r="E608" t="s">
        <v>2895</v>
      </c>
      <c r="F608" t="s">
        <v>3609</v>
      </c>
      <c r="G608" t="s">
        <v>5046</v>
      </c>
      <c r="H608" t="s">
        <v>2896</v>
      </c>
      <c r="I608" t="s">
        <v>2959</v>
      </c>
      <c r="J608" t="s">
        <v>5047</v>
      </c>
    </row>
    <row r="609" spans="1:10" x14ac:dyDescent="0.2">
      <c r="A609" t="s">
        <v>96</v>
      </c>
      <c r="B609" t="s">
        <v>595</v>
      </c>
      <c r="C609" t="s">
        <v>431</v>
      </c>
      <c r="D609" t="s">
        <v>5048</v>
      </c>
      <c r="E609" t="s">
        <v>3040</v>
      </c>
      <c r="F609" t="s">
        <v>3110</v>
      </c>
      <c r="G609" t="s">
        <v>5049</v>
      </c>
      <c r="H609" t="s">
        <v>2896</v>
      </c>
      <c r="I609" t="s">
        <v>3032</v>
      </c>
      <c r="J609" t="s">
        <v>5050</v>
      </c>
    </row>
    <row r="610" spans="1:10" x14ac:dyDescent="0.2">
      <c r="A610" t="s">
        <v>96</v>
      </c>
      <c r="B610" t="s">
        <v>166</v>
      </c>
      <c r="C610" t="s">
        <v>2714</v>
      </c>
      <c r="D610" t="s">
        <v>3497</v>
      </c>
      <c r="E610" t="s">
        <v>3692</v>
      </c>
      <c r="F610" t="s">
        <v>3498</v>
      </c>
      <c r="G610" t="s">
        <v>5051</v>
      </c>
      <c r="H610" t="s">
        <v>2904</v>
      </c>
      <c r="I610" t="s">
        <v>2959</v>
      </c>
      <c r="J610" t="s">
        <v>4232</v>
      </c>
    </row>
    <row r="611" spans="1:10" x14ac:dyDescent="0.2">
      <c r="A611" t="s">
        <v>96</v>
      </c>
      <c r="B611" t="s">
        <v>188</v>
      </c>
      <c r="C611" t="s">
        <v>1013</v>
      </c>
      <c r="D611" t="s">
        <v>3500</v>
      </c>
      <c r="E611" t="s">
        <v>3006</v>
      </c>
      <c r="F611" t="s">
        <v>3007</v>
      </c>
      <c r="G611" t="s">
        <v>5049</v>
      </c>
      <c r="H611" t="s">
        <v>2904</v>
      </c>
      <c r="I611" t="s">
        <v>3231</v>
      </c>
      <c r="J611" t="s">
        <v>5052</v>
      </c>
    </row>
    <row r="612" spans="1:10" x14ac:dyDescent="0.2">
      <c r="A612" t="s">
        <v>86</v>
      </c>
      <c r="B612" t="s">
        <v>1357</v>
      </c>
      <c r="C612" t="s">
        <v>2733</v>
      </c>
      <c r="D612" t="s">
        <v>5053</v>
      </c>
      <c r="E612" t="s">
        <v>3244</v>
      </c>
      <c r="F612" t="s">
        <v>2954</v>
      </c>
      <c r="G612" t="s">
        <v>2914</v>
      </c>
      <c r="H612" t="s">
        <v>2904</v>
      </c>
      <c r="I612" t="s">
        <v>2897</v>
      </c>
      <c r="J612" t="s">
        <v>5054</v>
      </c>
    </row>
    <row r="613" spans="1:10" x14ac:dyDescent="0.2">
      <c r="A613" t="s">
        <v>86</v>
      </c>
      <c r="B613" t="s">
        <v>1357</v>
      </c>
      <c r="C613" t="s">
        <v>2743</v>
      </c>
      <c r="D613" t="s">
        <v>5055</v>
      </c>
      <c r="E613" t="s">
        <v>3030</v>
      </c>
      <c r="F613" t="s">
        <v>3186</v>
      </c>
      <c r="G613" t="s">
        <v>3604</v>
      </c>
      <c r="H613" t="s">
        <v>2904</v>
      </c>
      <c r="I613" t="s">
        <v>2910</v>
      </c>
      <c r="J613" t="s">
        <v>5056</v>
      </c>
    </row>
    <row r="614" spans="1:10" x14ac:dyDescent="0.2">
      <c r="A614" t="s">
        <v>86</v>
      </c>
      <c r="B614" t="s">
        <v>595</v>
      </c>
      <c r="C614" t="s">
        <v>680</v>
      </c>
      <c r="D614" t="s">
        <v>4872</v>
      </c>
      <c r="E614" t="s">
        <v>3177</v>
      </c>
      <c r="F614" t="s">
        <v>3179</v>
      </c>
      <c r="G614" t="s">
        <v>3136</v>
      </c>
      <c r="H614" t="s">
        <v>2896</v>
      </c>
      <c r="I614" t="s">
        <v>2959</v>
      </c>
      <c r="J614" t="s">
        <v>5057</v>
      </c>
    </row>
    <row r="615" spans="1:10" x14ac:dyDescent="0.2">
      <c r="A615" t="s">
        <v>86</v>
      </c>
      <c r="B615" t="s">
        <v>595</v>
      </c>
      <c r="C615" t="s">
        <v>431</v>
      </c>
      <c r="D615" t="s">
        <v>5058</v>
      </c>
      <c r="E615" t="s">
        <v>5059</v>
      </c>
      <c r="F615" t="s">
        <v>5060</v>
      </c>
      <c r="G615" t="s">
        <v>5061</v>
      </c>
      <c r="H615" t="s">
        <v>2904</v>
      </c>
      <c r="I615" t="s">
        <v>3032</v>
      </c>
      <c r="J615" t="s">
        <v>5062</v>
      </c>
    </row>
    <row r="616" spans="1:10" x14ac:dyDescent="0.2">
      <c r="A616" t="s">
        <v>86</v>
      </c>
      <c r="B616" t="s">
        <v>1988</v>
      </c>
      <c r="C616" t="s">
        <v>174</v>
      </c>
      <c r="D616" t="s">
        <v>5063</v>
      </c>
      <c r="E616" t="s">
        <v>2913</v>
      </c>
      <c r="F616" t="s">
        <v>2915</v>
      </c>
      <c r="G616" t="s">
        <v>2915</v>
      </c>
      <c r="H616" t="s">
        <v>2904</v>
      </c>
      <c r="I616" t="s">
        <v>2897</v>
      </c>
      <c r="J616" t="s">
        <v>5064</v>
      </c>
    </row>
    <row r="617" spans="1:10" x14ac:dyDescent="0.2">
      <c r="A617" t="s">
        <v>86</v>
      </c>
      <c r="B617" t="s">
        <v>1988</v>
      </c>
      <c r="C617" t="s">
        <v>174</v>
      </c>
      <c r="D617" t="s">
        <v>3757</v>
      </c>
      <c r="E617" t="s">
        <v>5065</v>
      </c>
      <c r="F617" t="s">
        <v>5066</v>
      </c>
      <c r="G617" t="s">
        <v>5066</v>
      </c>
      <c r="H617" t="s">
        <v>2904</v>
      </c>
      <c r="I617" t="s">
        <v>3231</v>
      </c>
      <c r="J617" t="s">
        <v>5067</v>
      </c>
    </row>
    <row r="618" spans="1:10" x14ac:dyDescent="0.2">
      <c r="A618" t="s">
        <v>86</v>
      </c>
      <c r="B618" t="s">
        <v>547</v>
      </c>
      <c r="C618" t="s">
        <v>5068</v>
      </c>
      <c r="D618" t="s">
        <v>5069</v>
      </c>
      <c r="E618" t="s">
        <v>2959</v>
      </c>
      <c r="F618" t="s">
        <v>2897</v>
      </c>
      <c r="G618" t="s">
        <v>4518</v>
      </c>
      <c r="H618" t="s">
        <v>2904</v>
      </c>
      <c r="I618" t="s">
        <v>3032</v>
      </c>
      <c r="J618" t="s">
        <v>5070</v>
      </c>
    </row>
    <row r="619" spans="1:10" x14ac:dyDescent="0.2">
      <c r="A619" t="s">
        <v>86</v>
      </c>
      <c r="B619" t="s">
        <v>547</v>
      </c>
      <c r="C619" t="s">
        <v>635</v>
      </c>
      <c r="D619" t="s">
        <v>5071</v>
      </c>
      <c r="E619" t="s">
        <v>2995</v>
      </c>
      <c r="F619" t="s">
        <v>2925</v>
      </c>
      <c r="G619" t="s">
        <v>2926</v>
      </c>
      <c r="H619" t="s">
        <v>2896</v>
      </c>
      <c r="I619" t="s">
        <v>2959</v>
      </c>
      <c r="J619" t="s">
        <v>5072</v>
      </c>
    </row>
    <row r="620" spans="1:10" x14ac:dyDescent="0.2">
      <c r="A620" t="s">
        <v>86</v>
      </c>
      <c r="B620" t="s">
        <v>166</v>
      </c>
      <c r="C620" t="s">
        <v>1677</v>
      </c>
      <c r="D620" t="s">
        <v>3497</v>
      </c>
      <c r="E620" t="s">
        <v>3007</v>
      </c>
      <c r="F620" t="s">
        <v>3117</v>
      </c>
      <c r="G620" t="s">
        <v>3117</v>
      </c>
      <c r="H620" t="s">
        <v>2904</v>
      </c>
      <c r="I620" t="s">
        <v>2897</v>
      </c>
      <c r="J620" t="s">
        <v>5073</v>
      </c>
    </row>
    <row r="621" spans="1:10" x14ac:dyDescent="0.2">
      <c r="A621" t="s">
        <v>86</v>
      </c>
      <c r="B621" t="s">
        <v>125</v>
      </c>
      <c r="C621" t="s">
        <v>709</v>
      </c>
      <c r="D621" t="s">
        <v>3271</v>
      </c>
      <c r="E621" t="s">
        <v>3742</v>
      </c>
      <c r="F621" t="s">
        <v>3824</v>
      </c>
      <c r="G621" t="s">
        <v>2894</v>
      </c>
      <c r="H621" t="s">
        <v>2896</v>
      </c>
      <c r="I621" t="s">
        <v>2910</v>
      </c>
      <c r="J621" t="s">
        <v>5074</v>
      </c>
    </row>
    <row r="622" spans="1:10" x14ac:dyDescent="0.2">
      <c r="A622" t="s">
        <v>86</v>
      </c>
      <c r="B622" t="s">
        <v>540</v>
      </c>
      <c r="C622" t="s">
        <v>197</v>
      </c>
      <c r="D622" t="s">
        <v>2953</v>
      </c>
      <c r="E622" t="s">
        <v>2932</v>
      </c>
      <c r="F622" t="s">
        <v>3244</v>
      </c>
      <c r="G622" t="s">
        <v>3003</v>
      </c>
      <c r="H622" t="s">
        <v>2904</v>
      </c>
      <c r="I622" t="s">
        <v>2897</v>
      </c>
      <c r="J622" t="s">
        <v>5075</v>
      </c>
    </row>
    <row r="623" spans="1:10" x14ac:dyDescent="0.2">
      <c r="A623" t="s">
        <v>86</v>
      </c>
      <c r="B623" t="s">
        <v>188</v>
      </c>
      <c r="C623" t="s">
        <v>932</v>
      </c>
      <c r="D623" t="s">
        <v>5076</v>
      </c>
      <c r="E623" t="s">
        <v>3006</v>
      </c>
      <c r="F623" t="s">
        <v>3110</v>
      </c>
      <c r="G623" t="s">
        <v>3292</v>
      </c>
      <c r="H623" t="s">
        <v>2904</v>
      </c>
      <c r="I623" t="s">
        <v>3231</v>
      </c>
      <c r="J623" t="s">
        <v>5077</v>
      </c>
    </row>
    <row r="624" spans="1:10" x14ac:dyDescent="0.2">
      <c r="A624" t="s">
        <v>69</v>
      </c>
      <c r="B624" t="s">
        <v>135</v>
      </c>
      <c r="C624" t="s">
        <v>2899</v>
      </c>
      <c r="D624" t="s">
        <v>5078</v>
      </c>
      <c r="E624" t="s">
        <v>3795</v>
      </c>
      <c r="F624" t="s">
        <v>3687</v>
      </c>
      <c r="G624" t="s">
        <v>3364</v>
      </c>
      <c r="H624" t="s">
        <v>2896</v>
      </c>
      <c r="I624" t="s">
        <v>2897</v>
      </c>
      <c r="J624" t="s">
        <v>5079</v>
      </c>
    </row>
    <row r="625" spans="1:10" x14ac:dyDescent="0.2">
      <c r="A625" t="s">
        <v>69</v>
      </c>
      <c r="B625" t="s">
        <v>135</v>
      </c>
      <c r="C625" t="s">
        <v>151</v>
      </c>
      <c r="D625" t="s">
        <v>5080</v>
      </c>
      <c r="E625" t="s">
        <v>5081</v>
      </c>
      <c r="F625" t="s">
        <v>5082</v>
      </c>
      <c r="G625" t="s">
        <v>5083</v>
      </c>
      <c r="H625" t="s">
        <v>2896</v>
      </c>
      <c r="I625" t="s">
        <v>2910</v>
      </c>
      <c r="J625" t="s">
        <v>5084</v>
      </c>
    </row>
    <row r="626" spans="1:10" x14ac:dyDescent="0.2">
      <c r="A626" t="s">
        <v>69</v>
      </c>
      <c r="B626" t="s">
        <v>2776</v>
      </c>
      <c r="C626" t="s">
        <v>2777</v>
      </c>
      <c r="D626" t="s">
        <v>5085</v>
      </c>
      <c r="E626" t="s">
        <v>4170</v>
      </c>
      <c r="F626" t="s">
        <v>2913</v>
      </c>
      <c r="G626" t="s">
        <v>2932</v>
      </c>
      <c r="H626" t="s">
        <v>2904</v>
      </c>
      <c r="I626" t="s">
        <v>2897</v>
      </c>
      <c r="J626" t="s">
        <v>5086</v>
      </c>
    </row>
    <row r="627" spans="1:10" x14ac:dyDescent="0.2">
      <c r="A627" t="s">
        <v>69</v>
      </c>
      <c r="B627" t="s">
        <v>2776</v>
      </c>
      <c r="C627" t="s">
        <v>5087</v>
      </c>
      <c r="D627" t="s">
        <v>5088</v>
      </c>
      <c r="E627" t="s">
        <v>3080</v>
      </c>
      <c r="F627" t="s">
        <v>3046</v>
      </c>
      <c r="G627" t="s">
        <v>2894</v>
      </c>
      <c r="H627" t="s">
        <v>2896</v>
      </c>
      <c r="I627" t="s">
        <v>2959</v>
      </c>
      <c r="J627" t="s">
        <v>5089</v>
      </c>
    </row>
    <row r="628" spans="1:10" x14ac:dyDescent="0.2">
      <c r="A628" t="s">
        <v>69</v>
      </c>
      <c r="B628" t="s">
        <v>2776</v>
      </c>
      <c r="C628" t="s">
        <v>5090</v>
      </c>
      <c r="D628" t="s">
        <v>5091</v>
      </c>
      <c r="E628" t="s">
        <v>3020</v>
      </c>
      <c r="F628" t="s">
        <v>3259</v>
      </c>
      <c r="G628" t="s">
        <v>3106</v>
      </c>
      <c r="H628" t="s">
        <v>2904</v>
      </c>
      <c r="I628" t="s">
        <v>2910</v>
      </c>
      <c r="J628" t="s">
        <v>5092</v>
      </c>
    </row>
    <row r="629" spans="1:10" x14ac:dyDescent="0.2">
      <c r="A629" t="s">
        <v>69</v>
      </c>
      <c r="B629" t="s">
        <v>174</v>
      </c>
      <c r="C629" t="s">
        <v>2811</v>
      </c>
      <c r="D629" t="s">
        <v>5093</v>
      </c>
      <c r="E629" t="s">
        <v>3101</v>
      </c>
      <c r="F629" t="s">
        <v>3016</v>
      </c>
      <c r="G629" t="s">
        <v>3136</v>
      </c>
      <c r="H629" t="s">
        <v>2896</v>
      </c>
      <c r="I629" t="s">
        <v>2897</v>
      </c>
      <c r="J629" t="s">
        <v>5094</v>
      </c>
    </row>
    <row r="630" spans="1:10" x14ac:dyDescent="0.2">
      <c r="A630" t="s">
        <v>69</v>
      </c>
      <c r="B630" t="s">
        <v>125</v>
      </c>
      <c r="C630" t="s">
        <v>5095</v>
      </c>
      <c r="D630" t="s">
        <v>3638</v>
      </c>
      <c r="E630" t="s">
        <v>3243</v>
      </c>
      <c r="F630" t="s">
        <v>2915</v>
      </c>
      <c r="G630" t="s">
        <v>3003</v>
      </c>
      <c r="H630" t="s">
        <v>2904</v>
      </c>
      <c r="I630" t="s">
        <v>2910</v>
      </c>
      <c r="J630" t="s">
        <v>5096</v>
      </c>
    </row>
    <row r="631" spans="1:10" x14ac:dyDescent="0.2">
      <c r="A631" t="s">
        <v>69</v>
      </c>
      <c r="B631" t="s">
        <v>125</v>
      </c>
      <c r="C631" t="s">
        <v>5097</v>
      </c>
      <c r="D631" t="s">
        <v>5098</v>
      </c>
      <c r="E631" t="s">
        <v>5099</v>
      </c>
      <c r="F631" t="s">
        <v>5100</v>
      </c>
      <c r="G631" t="s">
        <v>5101</v>
      </c>
      <c r="H631" t="s">
        <v>2904</v>
      </c>
      <c r="I631" t="s">
        <v>2897</v>
      </c>
      <c r="J631" t="s">
        <v>5102</v>
      </c>
    </row>
    <row r="632" spans="1:10" x14ac:dyDescent="0.2">
      <c r="A632" t="s">
        <v>69</v>
      </c>
      <c r="B632" t="s">
        <v>595</v>
      </c>
      <c r="C632" t="s">
        <v>431</v>
      </c>
      <c r="D632" t="s">
        <v>5103</v>
      </c>
      <c r="E632" t="s">
        <v>3650</v>
      </c>
      <c r="F632" t="s">
        <v>3025</v>
      </c>
      <c r="G632" t="s">
        <v>3021</v>
      </c>
      <c r="H632" t="s">
        <v>2904</v>
      </c>
      <c r="I632" t="s">
        <v>2897</v>
      </c>
      <c r="J632" t="s">
        <v>5104</v>
      </c>
    </row>
    <row r="633" spans="1:10" x14ac:dyDescent="0.2">
      <c r="A633" t="s">
        <v>69</v>
      </c>
      <c r="B633" t="s">
        <v>595</v>
      </c>
      <c r="C633" t="s">
        <v>3959</v>
      </c>
      <c r="D633" t="s">
        <v>5105</v>
      </c>
      <c r="E633" t="s">
        <v>5106</v>
      </c>
      <c r="F633" t="s">
        <v>3268</v>
      </c>
      <c r="G633" t="s">
        <v>5107</v>
      </c>
      <c r="H633" t="s">
        <v>2904</v>
      </c>
      <c r="I633" t="s">
        <v>2959</v>
      </c>
      <c r="J633" t="s">
        <v>5108</v>
      </c>
    </row>
    <row r="634" spans="1:10" x14ac:dyDescent="0.2">
      <c r="A634" t="s">
        <v>69</v>
      </c>
      <c r="B634" t="s">
        <v>166</v>
      </c>
      <c r="C634" t="s">
        <v>1677</v>
      </c>
      <c r="D634" t="s">
        <v>3497</v>
      </c>
      <c r="E634" t="s">
        <v>3040</v>
      </c>
      <c r="F634" t="s">
        <v>3901</v>
      </c>
      <c r="G634" t="s">
        <v>3770</v>
      </c>
      <c r="H634" t="s">
        <v>2904</v>
      </c>
      <c r="I634" t="s">
        <v>2897</v>
      </c>
      <c r="J634" t="s">
        <v>5109</v>
      </c>
    </row>
    <row r="635" spans="1:10" x14ac:dyDescent="0.2">
      <c r="A635" t="s">
        <v>69</v>
      </c>
      <c r="B635" t="s">
        <v>181</v>
      </c>
      <c r="C635" t="s">
        <v>5110</v>
      </c>
      <c r="D635" t="s">
        <v>5111</v>
      </c>
      <c r="E635" t="s">
        <v>5112</v>
      </c>
      <c r="F635" t="s">
        <v>5113</v>
      </c>
      <c r="G635" t="s">
        <v>5114</v>
      </c>
      <c r="H635" t="s">
        <v>2904</v>
      </c>
      <c r="I635" t="s">
        <v>2897</v>
      </c>
      <c r="J635" t="s">
        <v>5115</v>
      </c>
    </row>
    <row r="636" spans="1:10" x14ac:dyDescent="0.2">
      <c r="A636" t="s">
        <v>61</v>
      </c>
      <c r="B636" t="s">
        <v>2824</v>
      </c>
      <c r="C636" t="s">
        <v>2636</v>
      </c>
      <c r="D636" t="s">
        <v>5116</v>
      </c>
      <c r="E636" t="s">
        <v>3212</v>
      </c>
      <c r="F636" t="s">
        <v>3142</v>
      </c>
      <c r="G636" t="s">
        <v>2930</v>
      </c>
      <c r="H636" t="s">
        <v>2904</v>
      </c>
      <c r="I636" t="s">
        <v>2897</v>
      </c>
      <c r="J636" t="s">
        <v>5117</v>
      </c>
    </row>
    <row r="637" spans="1:10" x14ac:dyDescent="0.2">
      <c r="A637" t="s">
        <v>61</v>
      </c>
      <c r="B637" t="s">
        <v>2824</v>
      </c>
      <c r="C637" t="s">
        <v>532</v>
      </c>
      <c r="D637" t="s">
        <v>5118</v>
      </c>
      <c r="E637" t="s">
        <v>5119</v>
      </c>
      <c r="F637" t="s">
        <v>5120</v>
      </c>
      <c r="G637" t="s">
        <v>5121</v>
      </c>
      <c r="H637" t="s">
        <v>2896</v>
      </c>
      <c r="I637" t="s">
        <v>2959</v>
      </c>
      <c r="J637" t="s">
        <v>5122</v>
      </c>
    </row>
    <row r="638" spans="1:10" x14ac:dyDescent="0.2">
      <c r="A638" t="s">
        <v>61</v>
      </c>
      <c r="B638" t="s">
        <v>1247</v>
      </c>
      <c r="C638" t="s">
        <v>2840</v>
      </c>
      <c r="D638" t="s">
        <v>5123</v>
      </c>
      <c r="E638" t="s">
        <v>3101</v>
      </c>
      <c r="F638" t="s">
        <v>3046</v>
      </c>
      <c r="G638" t="s">
        <v>3285</v>
      </c>
      <c r="H638" t="s">
        <v>2896</v>
      </c>
      <c r="I638" t="s">
        <v>2897</v>
      </c>
      <c r="J638" t="s">
        <v>4444</v>
      </c>
    </row>
    <row r="639" spans="1:10" x14ac:dyDescent="0.2">
      <c r="A639" t="s">
        <v>61</v>
      </c>
      <c r="B639" t="s">
        <v>1247</v>
      </c>
      <c r="C639" t="s">
        <v>4198</v>
      </c>
      <c r="D639" t="s">
        <v>5124</v>
      </c>
      <c r="E639" t="s">
        <v>3228</v>
      </c>
      <c r="F639" t="s">
        <v>3243</v>
      </c>
      <c r="G639" t="s">
        <v>3142</v>
      </c>
      <c r="H639" t="s">
        <v>2904</v>
      </c>
      <c r="I639" t="s">
        <v>2959</v>
      </c>
      <c r="J639" t="s">
        <v>5125</v>
      </c>
    </row>
    <row r="640" spans="1:10" x14ac:dyDescent="0.2">
      <c r="A640" t="s">
        <v>61</v>
      </c>
      <c r="B640" t="s">
        <v>158</v>
      </c>
      <c r="C640" t="s">
        <v>2845</v>
      </c>
      <c r="D640" t="s">
        <v>5126</v>
      </c>
      <c r="E640" t="s">
        <v>3771</v>
      </c>
      <c r="F640" t="s">
        <v>3247</v>
      </c>
      <c r="G640" t="s">
        <v>3041</v>
      </c>
      <c r="H640" t="s">
        <v>2904</v>
      </c>
      <c r="I640" t="s">
        <v>2897</v>
      </c>
      <c r="J640" t="s">
        <v>5127</v>
      </c>
    </row>
    <row r="641" spans="1:10" x14ac:dyDescent="0.2">
      <c r="A641" t="s">
        <v>61</v>
      </c>
      <c r="B641" t="s">
        <v>158</v>
      </c>
      <c r="C641" t="s">
        <v>4620</v>
      </c>
      <c r="D641" t="s">
        <v>5128</v>
      </c>
      <c r="E641" t="s">
        <v>5129</v>
      </c>
      <c r="F641" t="s">
        <v>5130</v>
      </c>
      <c r="G641" t="s">
        <v>5131</v>
      </c>
      <c r="H641" t="s">
        <v>2904</v>
      </c>
      <c r="I641" t="s">
        <v>2897</v>
      </c>
      <c r="J641" t="s">
        <v>5132</v>
      </c>
    </row>
    <row r="642" spans="1:10" x14ac:dyDescent="0.2">
      <c r="A642" t="s">
        <v>61</v>
      </c>
      <c r="B642" t="s">
        <v>1633</v>
      </c>
      <c r="C642" t="s">
        <v>5133</v>
      </c>
      <c r="D642" t="s">
        <v>3497</v>
      </c>
      <c r="E642" t="s">
        <v>3327</v>
      </c>
      <c r="F642" t="s">
        <v>3110</v>
      </c>
      <c r="G642" t="s">
        <v>3691</v>
      </c>
      <c r="H642" t="s">
        <v>2904</v>
      </c>
      <c r="I642" t="s">
        <v>2959</v>
      </c>
      <c r="J642" t="s">
        <v>5134</v>
      </c>
    </row>
    <row r="643" spans="1:10" x14ac:dyDescent="0.2">
      <c r="A643" t="s">
        <v>61</v>
      </c>
      <c r="B643" t="s">
        <v>2211</v>
      </c>
      <c r="C643" t="s">
        <v>3275</v>
      </c>
      <c r="D643" t="s">
        <v>3276</v>
      </c>
      <c r="E643" t="s">
        <v>5135</v>
      </c>
      <c r="F643" t="s">
        <v>5136</v>
      </c>
      <c r="G643" t="s">
        <v>5137</v>
      </c>
      <c r="H643" t="s">
        <v>2904</v>
      </c>
      <c r="I643" t="s">
        <v>3032</v>
      </c>
      <c r="J643" t="s">
        <v>5138</v>
      </c>
    </row>
    <row r="644" spans="1:10" x14ac:dyDescent="0.2">
      <c r="A644" t="s">
        <v>61</v>
      </c>
      <c r="B644" t="s">
        <v>2211</v>
      </c>
      <c r="C644" t="s">
        <v>2834</v>
      </c>
      <c r="D644" t="s">
        <v>5139</v>
      </c>
      <c r="E644" t="s">
        <v>5140</v>
      </c>
      <c r="F644" t="s">
        <v>5141</v>
      </c>
      <c r="G644" t="s">
        <v>5142</v>
      </c>
      <c r="H644" t="s">
        <v>2904</v>
      </c>
      <c r="I644" t="s">
        <v>2897</v>
      </c>
      <c r="J644" t="s">
        <v>5143</v>
      </c>
    </row>
    <row r="645" spans="1:10" x14ac:dyDescent="0.2">
      <c r="A645" t="s">
        <v>61</v>
      </c>
      <c r="B645" t="s">
        <v>188</v>
      </c>
      <c r="C645" t="s">
        <v>5144</v>
      </c>
      <c r="D645" t="s">
        <v>5145</v>
      </c>
      <c r="E645" t="s">
        <v>3020</v>
      </c>
      <c r="F645" t="s">
        <v>3650</v>
      </c>
      <c r="G645" t="s">
        <v>5146</v>
      </c>
      <c r="H645" t="s">
        <v>2904</v>
      </c>
      <c r="I645" t="s">
        <v>2959</v>
      </c>
      <c r="J645" t="s">
        <v>5147</v>
      </c>
    </row>
    <row r="646" spans="1:10" x14ac:dyDescent="0.2">
      <c r="A646" t="s">
        <v>61</v>
      </c>
      <c r="B646" t="s">
        <v>1661</v>
      </c>
      <c r="C646" t="s">
        <v>2855</v>
      </c>
      <c r="D646" t="s">
        <v>5148</v>
      </c>
      <c r="E646" t="s">
        <v>5149</v>
      </c>
      <c r="F646" t="s">
        <v>4170</v>
      </c>
      <c r="G646" t="s">
        <v>5150</v>
      </c>
      <c r="H646" t="s">
        <v>2904</v>
      </c>
      <c r="I646" t="s">
        <v>2897</v>
      </c>
      <c r="J646" t="s">
        <v>5151</v>
      </c>
    </row>
    <row r="647" spans="1:10" x14ac:dyDescent="0.2">
      <c r="A647" t="s">
        <v>61</v>
      </c>
      <c r="B647" t="s">
        <v>174</v>
      </c>
      <c r="C647" t="s">
        <v>5152</v>
      </c>
      <c r="D647" t="s">
        <v>5153</v>
      </c>
      <c r="E647" t="s">
        <v>3206</v>
      </c>
      <c r="F647" t="s">
        <v>3172</v>
      </c>
      <c r="G647" t="s">
        <v>3015</v>
      </c>
      <c r="H647" t="s">
        <v>2896</v>
      </c>
      <c r="I647" t="s">
        <v>2959</v>
      </c>
      <c r="J647" t="s">
        <v>5154</v>
      </c>
    </row>
  </sheetData>
  <pageMargins left="0.7" right="0.7" top="0.75" bottom="0.75" header="0.3" footer="0.3"/>
  <ignoredErrors>
    <ignoredError sqref="A1:J64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5"/>
  <sheetViews>
    <sheetView topLeftCell="E105" workbookViewId="0">
      <selection activeCell="E1" sqref="E1:E1048576"/>
    </sheetView>
  </sheetViews>
  <sheetFormatPr baseColWidth="10" defaultRowHeight="16" x14ac:dyDescent="0.2"/>
  <cols>
    <col min="1" max="1" width="25.83203125" customWidth="1"/>
    <col min="2" max="2" width="28.5" bestFit="1" customWidth="1"/>
    <col min="3" max="3" width="29.83203125" bestFit="1" customWidth="1"/>
    <col min="4" max="4" width="10.83203125" customWidth="1"/>
    <col min="5" max="5" width="182.33203125" bestFit="1" customWidth="1"/>
    <col min="6" max="6" width="29.6640625" bestFit="1" customWidth="1"/>
    <col min="7" max="7" width="89" bestFit="1" customWidth="1"/>
  </cols>
  <sheetData>
    <row r="1" spans="1:7" x14ac:dyDescent="0.2">
      <c r="A1" t="s">
        <v>17</v>
      </c>
      <c r="B1" t="s">
        <v>106</v>
      </c>
      <c r="C1" t="s">
        <v>107</v>
      </c>
      <c r="D1" t="s">
        <v>5155</v>
      </c>
      <c r="E1" t="s">
        <v>5156</v>
      </c>
      <c r="F1" t="s">
        <v>5157</v>
      </c>
      <c r="G1" t="s">
        <v>5158</v>
      </c>
    </row>
    <row r="2" spans="1:7" x14ac:dyDescent="0.2">
      <c r="A2" t="s">
        <v>93</v>
      </c>
      <c r="B2" t="s">
        <v>125</v>
      </c>
      <c r="C2" t="s">
        <v>126</v>
      </c>
      <c r="D2" t="s">
        <v>24</v>
      </c>
      <c r="E2" t="s">
        <v>5159</v>
      </c>
      <c r="F2" t="s">
        <v>5160</v>
      </c>
      <c r="G2" t="s">
        <v>5161</v>
      </c>
    </row>
    <row r="3" spans="1:7" x14ac:dyDescent="0.2">
      <c r="A3" t="s">
        <v>93</v>
      </c>
      <c r="B3" t="s">
        <v>135</v>
      </c>
      <c r="C3" t="s">
        <v>151</v>
      </c>
      <c r="D3" t="s">
        <v>24</v>
      </c>
      <c r="E3" t="s">
        <v>5162</v>
      </c>
      <c r="F3" t="s">
        <v>5163</v>
      </c>
      <c r="G3" t="s">
        <v>5164</v>
      </c>
    </row>
    <row r="4" spans="1:7" x14ac:dyDescent="0.2">
      <c r="A4" t="s">
        <v>93</v>
      </c>
      <c r="B4" t="s">
        <v>135</v>
      </c>
      <c r="C4" t="s">
        <v>136</v>
      </c>
      <c r="D4" t="s">
        <v>24</v>
      </c>
      <c r="E4" t="s">
        <v>5165</v>
      </c>
      <c r="F4" t="s">
        <v>5163</v>
      </c>
      <c r="G4" t="s">
        <v>4569</v>
      </c>
    </row>
    <row r="5" spans="1:7" x14ac:dyDescent="0.2">
      <c r="A5" t="s">
        <v>93</v>
      </c>
      <c r="B5" t="s">
        <v>158</v>
      </c>
      <c r="C5" t="s">
        <v>159</v>
      </c>
      <c r="D5" t="s">
        <v>24</v>
      </c>
      <c r="E5" t="s">
        <v>5166</v>
      </c>
      <c r="F5" t="s">
        <v>5160</v>
      </c>
      <c r="G5" t="s">
        <v>5167</v>
      </c>
    </row>
    <row r="6" spans="1:7" x14ac:dyDescent="0.2">
      <c r="A6" t="s">
        <v>93</v>
      </c>
      <c r="B6" t="s">
        <v>174</v>
      </c>
      <c r="C6" t="s">
        <v>175</v>
      </c>
      <c r="D6" t="s">
        <v>24</v>
      </c>
      <c r="E6" t="s">
        <v>5168</v>
      </c>
      <c r="F6" t="s">
        <v>5169</v>
      </c>
      <c r="G6" t="s">
        <v>4570</v>
      </c>
    </row>
    <row r="7" spans="1:7" x14ac:dyDescent="0.2">
      <c r="A7" t="s">
        <v>93</v>
      </c>
      <c r="B7" t="s">
        <v>315</v>
      </c>
      <c r="C7" t="s">
        <v>5170</v>
      </c>
      <c r="D7" t="s">
        <v>24</v>
      </c>
      <c r="E7" t="s">
        <v>5171</v>
      </c>
      <c r="F7" t="s">
        <v>5160</v>
      </c>
      <c r="G7" t="s">
        <v>5172</v>
      </c>
    </row>
    <row r="8" spans="1:7" x14ac:dyDescent="0.2">
      <c r="A8" t="s">
        <v>92</v>
      </c>
      <c r="B8" t="s">
        <v>456</v>
      </c>
      <c r="C8" t="s">
        <v>5173</v>
      </c>
      <c r="D8" t="s">
        <v>24</v>
      </c>
      <c r="E8" t="s">
        <v>5174</v>
      </c>
      <c r="F8" t="s">
        <v>5160</v>
      </c>
      <c r="G8" t="s">
        <v>5175</v>
      </c>
    </row>
    <row r="9" spans="1:7" x14ac:dyDescent="0.2">
      <c r="A9" t="s">
        <v>92</v>
      </c>
      <c r="B9" t="s">
        <v>487</v>
      </c>
      <c r="C9" t="s">
        <v>5176</v>
      </c>
      <c r="D9" t="s">
        <v>24</v>
      </c>
      <c r="E9" t="s">
        <v>5177</v>
      </c>
      <c r="F9" t="s">
        <v>5160</v>
      </c>
      <c r="G9" t="s">
        <v>5172</v>
      </c>
    </row>
    <row r="10" spans="1:7" x14ac:dyDescent="0.2">
      <c r="A10" t="s">
        <v>92</v>
      </c>
      <c r="B10" t="s">
        <v>328</v>
      </c>
      <c r="C10" t="s">
        <v>151</v>
      </c>
      <c r="D10" t="s">
        <v>24</v>
      </c>
      <c r="E10" t="s">
        <v>5178</v>
      </c>
      <c r="F10" t="s">
        <v>5163</v>
      </c>
      <c r="G10" t="s">
        <v>5179</v>
      </c>
    </row>
    <row r="11" spans="1:7" x14ac:dyDescent="0.2">
      <c r="A11" t="s">
        <v>92</v>
      </c>
      <c r="B11" t="s">
        <v>464</v>
      </c>
      <c r="C11" t="s">
        <v>251</v>
      </c>
      <c r="D11" t="s">
        <v>24</v>
      </c>
      <c r="E11" t="s">
        <v>5180</v>
      </c>
      <c r="F11" t="s">
        <v>5169</v>
      </c>
      <c r="G11" t="s">
        <v>5181</v>
      </c>
    </row>
    <row r="12" spans="1:7" x14ac:dyDescent="0.2">
      <c r="A12" t="s">
        <v>53</v>
      </c>
      <c r="B12" t="s">
        <v>413</v>
      </c>
      <c r="C12" t="s">
        <v>205</v>
      </c>
      <c r="D12" t="s">
        <v>24</v>
      </c>
      <c r="E12" t="s">
        <v>5182</v>
      </c>
      <c r="F12" t="s">
        <v>5163</v>
      </c>
      <c r="G12" t="s">
        <v>5183</v>
      </c>
    </row>
    <row r="13" spans="1:7" x14ac:dyDescent="0.2">
      <c r="A13" t="s">
        <v>53</v>
      </c>
      <c r="B13" t="s">
        <v>413</v>
      </c>
      <c r="C13" t="s">
        <v>420</v>
      </c>
      <c r="D13" t="s">
        <v>24</v>
      </c>
      <c r="E13" t="s">
        <v>5184</v>
      </c>
      <c r="F13" t="s">
        <v>5163</v>
      </c>
      <c r="G13" t="s">
        <v>5185</v>
      </c>
    </row>
    <row r="14" spans="1:7" x14ac:dyDescent="0.2">
      <c r="A14" t="s">
        <v>53</v>
      </c>
      <c r="B14" t="s">
        <v>250</v>
      </c>
      <c r="C14" t="s">
        <v>5186</v>
      </c>
      <c r="D14" t="s">
        <v>24</v>
      </c>
      <c r="E14" t="s">
        <v>5187</v>
      </c>
      <c r="F14" t="s">
        <v>5163</v>
      </c>
      <c r="G14" t="s">
        <v>5061</v>
      </c>
    </row>
    <row r="15" spans="1:7" x14ac:dyDescent="0.2">
      <c r="A15" t="s">
        <v>53</v>
      </c>
      <c r="B15" t="s">
        <v>426</v>
      </c>
      <c r="C15" t="s">
        <v>288</v>
      </c>
      <c r="D15" t="s">
        <v>24</v>
      </c>
      <c r="E15" t="s">
        <v>5188</v>
      </c>
      <c r="F15" t="s">
        <v>5169</v>
      </c>
      <c r="G15" t="s">
        <v>5189</v>
      </c>
    </row>
    <row r="16" spans="1:7" x14ac:dyDescent="0.2">
      <c r="A16" t="s">
        <v>57</v>
      </c>
      <c r="B16" t="s">
        <v>181</v>
      </c>
      <c r="C16" t="s">
        <v>214</v>
      </c>
      <c r="D16" t="s">
        <v>24</v>
      </c>
      <c r="E16" t="s">
        <v>5190</v>
      </c>
      <c r="F16" t="s">
        <v>5163</v>
      </c>
      <c r="G16" t="s">
        <v>5191</v>
      </c>
    </row>
    <row r="17" spans="1:7" x14ac:dyDescent="0.2">
      <c r="A17" t="s">
        <v>57</v>
      </c>
      <c r="B17" t="s">
        <v>236</v>
      </c>
      <c r="C17" t="s">
        <v>258</v>
      </c>
      <c r="D17" t="s">
        <v>24</v>
      </c>
      <c r="E17" t="s">
        <v>5192</v>
      </c>
      <c r="F17" t="s">
        <v>5193</v>
      </c>
      <c r="G17" t="s">
        <v>5194</v>
      </c>
    </row>
    <row r="18" spans="1:7" x14ac:dyDescent="0.2">
      <c r="A18" t="s">
        <v>57</v>
      </c>
      <c r="B18" t="s">
        <v>221</v>
      </c>
      <c r="C18" t="s">
        <v>222</v>
      </c>
      <c r="D18" t="s">
        <v>24</v>
      </c>
      <c r="E18" t="s">
        <v>5195</v>
      </c>
      <c r="F18" t="s">
        <v>5169</v>
      </c>
      <c r="G18" t="s">
        <v>5106</v>
      </c>
    </row>
    <row r="19" spans="1:7" x14ac:dyDescent="0.2">
      <c r="A19" t="s">
        <v>57</v>
      </c>
      <c r="B19" t="s">
        <v>265</v>
      </c>
      <c r="C19" t="s">
        <v>266</v>
      </c>
      <c r="D19" t="s">
        <v>24</v>
      </c>
      <c r="E19" t="s">
        <v>5196</v>
      </c>
      <c r="F19" t="s">
        <v>5163</v>
      </c>
      <c r="G19" t="s">
        <v>5107</v>
      </c>
    </row>
    <row r="20" spans="1:7" x14ac:dyDescent="0.2">
      <c r="A20" t="s">
        <v>102</v>
      </c>
      <c r="B20" t="s">
        <v>125</v>
      </c>
      <c r="C20" t="s">
        <v>280</v>
      </c>
      <c r="D20" t="s">
        <v>24</v>
      </c>
      <c r="E20" t="s">
        <v>5197</v>
      </c>
      <c r="F20" t="s">
        <v>5160</v>
      </c>
      <c r="G20" t="s">
        <v>5198</v>
      </c>
    </row>
    <row r="21" spans="1:7" x14ac:dyDescent="0.2">
      <c r="A21" t="s">
        <v>102</v>
      </c>
      <c r="B21" t="s">
        <v>315</v>
      </c>
      <c r="C21" t="s">
        <v>316</v>
      </c>
      <c r="D21" t="s">
        <v>24</v>
      </c>
      <c r="E21" t="s">
        <v>5199</v>
      </c>
      <c r="F21" t="s">
        <v>5169</v>
      </c>
      <c r="G21" t="s">
        <v>5200</v>
      </c>
    </row>
    <row r="22" spans="1:7" x14ac:dyDescent="0.2">
      <c r="A22" t="s">
        <v>102</v>
      </c>
      <c r="B22" t="s">
        <v>315</v>
      </c>
      <c r="C22" t="s">
        <v>323</v>
      </c>
      <c r="D22" t="s">
        <v>24</v>
      </c>
      <c r="E22" t="s">
        <v>5201</v>
      </c>
      <c r="F22" t="s">
        <v>5160</v>
      </c>
      <c r="G22" t="s">
        <v>5202</v>
      </c>
    </row>
    <row r="23" spans="1:7" x14ac:dyDescent="0.2">
      <c r="A23" t="s">
        <v>102</v>
      </c>
      <c r="B23" t="s">
        <v>287</v>
      </c>
      <c r="C23" t="s">
        <v>288</v>
      </c>
      <c r="D23" t="s">
        <v>24</v>
      </c>
      <c r="E23" t="s">
        <v>5203</v>
      </c>
      <c r="F23" t="s">
        <v>5169</v>
      </c>
      <c r="G23" t="s">
        <v>5204</v>
      </c>
    </row>
    <row r="24" spans="1:7" x14ac:dyDescent="0.2">
      <c r="A24" t="s">
        <v>103</v>
      </c>
      <c r="B24" t="s">
        <v>250</v>
      </c>
      <c r="C24" t="s">
        <v>369</v>
      </c>
      <c r="D24" t="s">
        <v>24</v>
      </c>
      <c r="E24" t="s">
        <v>5205</v>
      </c>
      <c r="F24" t="s">
        <v>5169</v>
      </c>
      <c r="G24" t="s">
        <v>5206</v>
      </c>
    </row>
    <row r="25" spans="1:7" x14ac:dyDescent="0.2">
      <c r="A25" t="s">
        <v>103</v>
      </c>
      <c r="B25" t="s">
        <v>236</v>
      </c>
      <c r="C25" t="s">
        <v>237</v>
      </c>
      <c r="D25" t="s">
        <v>24</v>
      </c>
      <c r="E25" t="s">
        <v>5207</v>
      </c>
      <c r="F25" t="s">
        <v>5163</v>
      </c>
      <c r="G25" t="s">
        <v>5208</v>
      </c>
    </row>
    <row r="26" spans="1:7" x14ac:dyDescent="0.2">
      <c r="A26" t="s">
        <v>103</v>
      </c>
      <c r="B26" t="s">
        <v>236</v>
      </c>
      <c r="C26" t="s">
        <v>379</v>
      </c>
      <c r="D26" t="s">
        <v>24</v>
      </c>
      <c r="E26" t="s">
        <v>5209</v>
      </c>
      <c r="F26" t="s">
        <v>5163</v>
      </c>
      <c r="G26" t="s">
        <v>5210</v>
      </c>
    </row>
    <row r="27" spans="1:7" x14ac:dyDescent="0.2">
      <c r="A27" t="s">
        <v>103</v>
      </c>
      <c r="B27" t="s">
        <v>3203</v>
      </c>
      <c r="C27" t="s">
        <v>3204</v>
      </c>
      <c r="D27" t="s">
        <v>24</v>
      </c>
      <c r="E27" t="s">
        <v>5211</v>
      </c>
      <c r="F27" t="s">
        <v>5163</v>
      </c>
      <c r="G27" t="s">
        <v>5107</v>
      </c>
    </row>
    <row r="28" spans="1:7" x14ac:dyDescent="0.2">
      <c r="A28" t="s">
        <v>66</v>
      </c>
      <c r="B28" t="s">
        <v>516</v>
      </c>
      <c r="C28" t="s">
        <v>517</v>
      </c>
      <c r="D28" t="s">
        <v>24</v>
      </c>
      <c r="E28" t="s">
        <v>5212</v>
      </c>
      <c r="F28" t="s">
        <v>5160</v>
      </c>
      <c r="G28" t="s">
        <v>5213</v>
      </c>
    </row>
    <row r="29" spans="1:7" x14ac:dyDescent="0.2">
      <c r="A29" t="s">
        <v>66</v>
      </c>
      <c r="B29" t="s">
        <v>516</v>
      </c>
      <c r="C29" t="s">
        <v>511</v>
      </c>
      <c r="D29" t="s">
        <v>24</v>
      </c>
      <c r="E29" t="s">
        <v>5214</v>
      </c>
      <c r="F29" t="s">
        <v>5160</v>
      </c>
      <c r="G29" t="s">
        <v>5172</v>
      </c>
    </row>
    <row r="30" spans="1:7" x14ac:dyDescent="0.2">
      <c r="A30" t="s">
        <v>66</v>
      </c>
      <c r="B30" t="s">
        <v>181</v>
      </c>
      <c r="C30" t="s">
        <v>560</v>
      </c>
      <c r="D30" t="s">
        <v>24</v>
      </c>
      <c r="E30" t="s">
        <v>5215</v>
      </c>
      <c r="F30" t="s">
        <v>5160</v>
      </c>
      <c r="G30" t="s">
        <v>5061</v>
      </c>
    </row>
    <row r="31" spans="1:7" x14ac:dyDescent="0.2">
      <c r="A31" t="s">
        <v>66</v>
      </c>
      <c r="B31" t="s">
        <v>181</v>
      </c>
      <c r="C31" t="s">
        <v>2899</v>
      </c>
      <c r="D31" t="s">
        <v>24</v>
      </c>
      <c r="E31" t="s">
        <v>5216</v>
      </c>
      <c r="F31" t="s">
        <v>5163</v>
      </c>
      <c r="G31" t="s">
        <v>5217</v>
      </c>
    </row>
    <row r="32" spans="1:7" x14ac:dyDescent="0.2">
      <c r="A32" t="s">
        <v>66</v>
      </c>
      <c r="B32" t="s">
        <v>525</v>
      </c>
      <c r="C32" t="s">
        <v>575</v>
      </c>
      <c r="D32" t="s">
        <v>24</v>
      </c>
      <c r="E32" t="s">
        <v>5218</v>
      </c>
      <c r="F32" t="s">
        <v>5169</v>
      </c>
      <c r="G32" t="s">
        <v>5191</v>
      </c>
    </row>
    <row r="33" spans="1:7" x14ac:dyDescent="0.2">
      <c r="A33" t="s">
        <v>75</v>
      </c>
      <c r="B33" t="s">
        <v>328</v>
      </c>
      <c r="C33" t="s">
        <v>686</v>
      </c>
      <c r="D33" t="s">
        <v>24</v>
      </c>
      <c r="E33" t="s">
        <v>5219</v>
      </c>
      <c r="F33" t="s">
        <v>5163</v>
      </c>
      <c r="G33" t="s">
        <v>5220</v>
      </c>
    </row>
    <row r="34" spans="1:7" x14ac:dyDescent="0.2">
      <c r="A34" t="s">
        <v>75</v>
      </c>
      <c r="B34" t="s">
        <v>125</v>
      </c>
      <c r="C34" t="s">
        <v>709</v>
      </c>
      <c r="D34" t="s">
        <v>24</v>
      </c>
      <c r="E34" t="s">
        <v>5221</v>
      </c>
      <c r="F34" t="s">
        <v>5160</v>
      </c>
      <c r="G34" t="s">
        <v>5106</v>
      </c>
    </row>
    <row r="35" spans="1:7" x14ac:dyDescent="0.2">
      <c r="A35" t="s">
        <v>75</v>
      </c>
      <c r="B35" t="s">
        <v>692</v>
      </c>
      <c r="C35" t="s">
        <v>693</v>
      </c>
      <c r="D35" t="s">
        <v>24</v>
      </c>
      <c r="E35" t="s">
        <v>5222</v>
      </c>
      <c r="F35" t="s">
        <v>5169</v>
      </c>
      <c r="G35" t="s">
        <v>5223</v>
      </c>
    </row>
    <row r="36" spans="1:7" x14ac:dyDescent="0.2">
      <c r="A36" t="s">
        <v>75</v>
      </c>
      <c r="B36" t="s">
        <v>166</v>
      </c>
      <c r="C36" t="s">
        <v>626</v>
      </c>
      <c r="D36" t="s">
        <v>24</v>
      </c>
      <c r="E36" t="s">
        <v>5224</v>
      </c>
      <c r="F36" t="s">
        <v>5193</v>
      </c>
      <c r="G36" t="s">
        <v>5225</v>
      </c>
    </row>
    <row r="37" spans="1:7" x14ac:dyDescent="0.2">
      <c r="A37" t="s">
        <v>75</v>
      </c>
      <c r="B37" t="s">
        <v>692</v>
      </c>
      <c r="C37" t="s">
        <v>717</v>
      </c>
      <c r="D37" t="s">
        <v>24</v>
      </c>
      <c r="E37" t="s">
        <v>5226</v>
      </c>
      <c r="F37" t="s">
        <v>5169</v>
      </c>
      <c r="G37" t="s">
        <v>5227</v>
      </c>
    </row>
    <row r="38" spans="1:7" x14ac:dyDescent="0.2">
      <c r="A38" t="s">
        <v>81</v>
      </c>
      <c r="B38" t="s">
        <v>580</v>
      </c>
      <c r="C38" t="s">
        <v>5228</v>
      </c>
      <c r="D38" t="s">
        <v>24</v>
      </c>
      <c r="E38" t="s">
        <v>5229</v>
      </c>
      <c r="F38" t="s">
        <v>5160</v>
      </c>
      <c r="G38" t="s">
        <v>5208</v>
      </c>
    </row>
    <row r="39" spans="1:7" x14ac:dyDescent="0.2">
      <c r="A39" t="s">
        <v>81</v>
      </c>
      <c r="B39" t="s">
        <v>587</v>
      </c>
      <c r="C39" t="s">
        <v>588</v>
      </c>
      <c r="D39" t="s">
        <v>24</v>
      </c>
      <c r="E39" t="s">
        <v>5230</v>
      </c>
      <c r="F39" t="s">
        <v>5160</v>
      </c>
      <c r="G39" t="s">
        <v>5231</v>
      </c>
    </row>
    <row r="40" spans="1:7" x14ac:dyDescent="0.2">
      <c r="A40" t="s">
        <v>81</v>
      </c>
      <c r="B40" t="s">
        <v>587</v>
      </c>
      <c r="C40" t="s">
        <v>5232</v>
      </c>
      <c r="D40" t="s">
        <v>24</v>
      </c>
      <c r="E40" t="s">
        <v>5233</v>
      </c>
      <c r="F40" t="s">
        <v>5193</v>
      </c>
      <c r="G40" t="s">
        <v>5234</v>
      </c>
    </row>
    <row r="41" spans="1:7" x14ac:dyDescent="0.2">
      <c r="A41" t="s">
        <v>81</v>
      </c>
      <c r="B41" t="s">
        <v>595</v>
      </c>
      <c r="C41" t="s">
        <v>618</v>
      </c>
      <c r="D41" t="s">
        <v>24</v>
      </c>
      <c r="E41" t="s">
        <v>5235</v>
      </c>
      <c r="F41" t="s">
        <v>5160</v>
      </c>
      <c r="G41" t="s">
        <v>5236</v>
      </c>
    </row>
    <row r="42" spans="1:7" x14ac:dyDescent="0.2">
      <c r="A42" t="s">
        <v>81</v>
      </c>
      <c r="B42" t="s">
        <v>504</v>
      </c>
      <c r="C42" t="s">
        <v>5237</v>
      </c>
      <c r="D42" t="s">
        <v>24</v>
      </c>
      <c r="E42" t="s">
        <v>5238</v>
      </c>
      <c r="F42" t="s">
        <v>5160</v>
      </c>
      <c r="G42" t="s">
        <v>5239</v>
      </c>
    </row>
    <row r="43" spans="1:7" x14ac:dyDescent="0.2">
      <c r="A43" t="s">
        <v>29</v>
      </c>
      <c r="B43" t="s">
        <v>437</v>
      </c>
      <c r="C43" t="s">
        <v>635</v>
      </c>
      <c r="D43" t="s">
        <v>24</v>
      </c>
      <c r="E43" t="s">
        <v>5240</v>
      </c>
      <c r="F43" t="s">
        <v>5160</v>
      </c>
      <c r="G43" t="s">
        <v>5241</v>
      </c>
    </row>
    <row r="44" spans="1:7" x14ac:dyDescent="0.2">
      <c r="A44" t="s">
        <v>29</v>
      </c>
      <c r="B44" t="s">
        <v>664</v>
      </c>
      <c r="C44" t="s">
        <v>5242</v>
      </c>
      <c r="D44" t="s">
        <v>24</v>
      </c>
      <c r="E44" t="s">
        <v>5243</v>
      </c>
      <c r="F44" t="s">
        <v>5160</v>
      </c>
      <c r="G44" t="s">
        <v>5244</v>
      </c>
    </row>
    <row r="45" spans="1:7" x14ac:dyDescent="0.2">
      <c r="A45" t="s">
        <v>29</v>
      </c>
      <c r="B45" t="s">
        <v>629</v>
      </c>
      <c r="C45" t="s">
        <v>630</v>
      </c>
      <c r="D45" t="s">
        <v>24</v>
      </c>
      <c r="E45" t="s">
        <v>5245</v>
      </c>
      <c r="F45" t="s">
        <v>5163</v>
      </c>
      <c r="G45" t="s">
        <v>5246</v>
      </c>
    </row>
    <row r="46" spans="1:7" x14ac:dyDescent="0.2">
      <c r="A46" t="s">
        <v>29</v>
      </c>
      <c r="B46" t="s">
        <v>517</v>
      </c>
      <c r="C46" t="s">
        <v>651</v>
      </c>
      <c r="D46" t="s">
        <v>24</v>
      </c>
      <c r="E46" t="s">
        <v>5247</v>
      </c>
      <c r="F46" t="s">
        <v>5160</v>
      </c>
      <c r="G46" t="s">
        <v>5248</v>
      </c>
    </row>
    <row r="47" spans="1:7" x14ac:dyDescent="0.2">
      <c r="A47" t="s">
        <v>29</v>
      </c>
      <c r="B47" t="s">
        <v>640</v>
      </c>
      <c r="C47" t="s">
        <v>660</v>
      </c>
      <c r="D47" t="s">
        <v>24</v>
      </c>
      <c r="E47" t="s">
        <v>5249</v>
      </c>
      <c r="F47" t="s">
        <v>5160</v>
      </c>
      <c r="G47" t="s">
        <v>5250</v>
      </c>
    </row>
    <row r="48" spans="1:7" x14ac:dyDescent="0.2">
      <c r="A48" t="s">
        <v>29</v>
      </c>
      <c r="B48" t="s">
        <v>3399</v>
      </c>
      <c r="C48" t="s">
        <v>3400</v>
      </c>
      <c r="D48" t="s">
        <v>24</v>
      </c>
      <c r="E48" t="s">
        <v>5251</v>
      </c>
      <c r="F48" t="s">
        <v>5169</v>
      </c>
      <c r="G48" t="s">
        <v>5252</v>
      </c>
    </row>
    <row r="49" spans="1:7" x14ac:dyDescent="0.2">
      <c r="A49" t="s">
        <v>97</v>
      </c>
      <c r="B49" t="s">
        <v>250</v>
      </c>
      <c r="C49" t="s">
        <v>743</v>
      </c>
      <c r="D49" t="s">
        <v>24</v>
      </c>
      <c r="E49" t="s">
        <v>5253</v>
      </c>
      <c r="F49" t="s">
        <v>5169</v>
      </c>
      <c r="G49" t="s">
        <v>5164</v>
      </c>
    </row>
    <row r="50" spans="1:7" x14ac:dyDescent="0.2">
      <c r="A50" t="s">
        <v>97</v>
      </c>
      <c r="B50" t="s">
        <v>250</v>
      </c>
      <c r="C50" t="s">
        <v>767</v>
      </c>
      <c r="D50" t="s">
        <v>24</v>
      </c>
      <c r="E50" t="s">
        <v>5254</v>
      </c>
      <c r="F50" t="s">
        <v>5193</v>
      </c>
      <c r="G50" t="s">
        <v>5255</v>
      </c>
    </row>
    <row r="51" spans="1:7" x14ac:dyDescent="0.2">
      <c r="A51" t="s">
        <v>97</v>
      </c>
      <c r="B51" t="s">
        <v>204</v>
      </c>
      <c r="C51" t="s">
        <v>754</v>
      </c>
      <c r="D51" t="s">
        <v>24</v>
      </c>
      <c r="E51" t="s">
        <v>5256</v>
      </c>
      <c r="F51" t="s">
        <v>5163</v>
      </c>
      <c r="G51" t="s">
        <v>4447</v>
      </c>
    </row>
    <row r="52" spans="1:7" x14ac:dyDescent="0.2">
      <c r="A52" t="s">
        <v>97</v>
      </c>
      <c r="B52" t="s">
        <v>437</v>
      </c>
      <c r="C52" t="s">
        <v>749</v>
      </c>
      <c r="D52" t="s">
        <v>24</v>
      </c>
      <c r="E52" t="s">
        <v>5257</v>
      </c>
      <c r="F52" t="s">
        <v>5163</v>
      </c>
      <c r="G52" t="s">
        <v>4570</v>
      </c>
    </row>
    <row r="53" spans="1:7" x14ac:dyDescent="0.2">
      <c r="A53" t="s">
        <v>97</v>
      </c>
      <c r="B53" t="s">
        <v>204</v>
      </c>
      <c r="C53" t="s">
        <v>772</v>
      </c>
      <c r="D53" t="s">
        <v>24</v>
      </c>
      <c r="E53" t="s">
        <v>5258</v>
      </c>
      <c r="F53" t="s">
        <v>5163</v>
      </c>
      <c r="G53" t="s">
        <v>5259</v>
      </c>
    </row>
    <row r="54" spans="1:7" x14ac:dyDescent="0.2">
      <c r="A54" t="s">
        <v>78</v>
      </c>
      <c r="B54" t="s">
        <v>125</v>
      </c>
      <c r="C54" t="s">
        <v>784</v>
      </c>
      <c r="D54" t="s">
        <v>24</v>
      </c>
      <c r="E54" t="s">
        <v>5260</v>
      </c>
      <c r="F54" t="s">
        <v>5160</v>
      </c>
      <c r="G54" t="s">
        <v>5261</v>
      </c>
    </row>
    <row r="55" spans="1:7" x14ac:dyDescent="0.2">
      <c r="A55" t="s">
        <v>78</v>
      </c>
      <c r="B55" t="s">
        <v>287</v>
      </c>
      <c r="C55" t="s">
        <v>796</v>
      </c>
      <c r="D55" t="s">
        <v>24</v>
      </c>
      <c r="E55" t="s">
        <v>5262</v>
      </c>
      <c r="F55" t="s">
        <v>5169</v>
      </c>
      <c r="G55" t="s">
        <v>5263</v>
      </c>
    </row>
    <row r="56" spans="1:7" x14ac:dyDescent="0.2">
      <c r="A56" t="s">
        <v>78</v>
      </c>
      <c r="B56" t="s">
        <v>328</v>
      </c>
      <c r="C56" t="s">
        <v>824</v>
      </c>
      <c r="D56" t="s">
        <v>24</v>
      </c>
      <c r="E56" t="s">
        <v>5264</v>
      </c>
      <c r="F56" t="s">
        <v>5163</v>
      </c>
      <c r="G56" t="s">
        <v>5265</v>
      </c>
    </row>
    <row r="57" spans="1:7" x14ac:dyDescent="0.2">
      <c r="A57" t="s">
        <v>78</v>
      </c>
      <c r="B57" t="s">
        <v>830</v>
      </c>
      <c r="C57" t="s">
        <v>831</v>
      </c>
      <c r="D57" t="s">
        <v>24</v>
      </c>
      <c r="E57" t="s">
        <v>5266</v>
      </c>
      <c r="F57" t="s">
        <v>5163</v>
      </c>
      <c r="G57" t="s">
        <v>5267</v>
      </c>
    </row>
    <row r="58" spans="1:7" x14ac:dyDescent="0.2">
      <c r="A58" t="s">
        <v>78</v>
      </c>
      <c r="B58" t="s">
        <v>315</v>
      </c>
      <c r="C58" t="s">
        <v>841</v>
      </c>
      <c r="D58" t="s">
        <v>24</v>
      </c>
      <c r="E58" t="s">
        <v>5268</v>
      </c>
      <c r="F58" t="s">
        <v>5160</v>
      </c>
      <c r="G58" t="s">
        <v>5269</v>
      </c>
    </row>
    <row r="59" spans="1:7" x14ac:dyDescent="0.2">
      <c r="A59" t="s">
        <v>54</v>
      </c>
      <c r="B59" t="s">
        <v>587</v>
      </c>
      <c r="C59" t="s">
        <v>880</v>
      </c>
      <c r="D59" t="s">
        <v>24</v>
      </c>
      <c r="E59" t="s">
        <v>5270</v>
      </c>
      <c r="F59" t="s">
        <v>5160</v>
      </c>
      <c r="G59" t="s">
        <v>5271</v>
      </c>
    </row>
    <row r="60" spans="1:7" x14ac:dyDescent="0.2">
      <c r="A60" t="s">
        <v>54</v>
      </c>
      <c r="B60" t="s">
        <v>595</v>
      </c>
      <c r="C60" t="s">
        <v>680</v>
      </c>
      <c r="D60" t="s">
        <v>24</v>
      </c>
      <c r="E60" t="s">
        <v>5272</v>
      </c>
      <c r="F60" t="s">
        <v>5193</v>
      </c>
      <c r="G60" t="s">
        <v>5220</v>
      </c>
    </row>
    <row r="61" spans="1:7" x14ac:dyDescent="0.2">
      <c r="A61" t="s">
        <v>54</v>
      </c>
      <c r="B61" t="s">
        <v>595</v>
      </c>
      <c r="C61" t="s">
        <v>158</v>
      </c>
      <c r="D61" t="s">
        <v>24</v>
      </c>
      <c r="E61" t="s">
        <v>5273</v>
      </c>
      <c r="F61" t="s">
        <v>5160</v>
      </c>
      <c r="G61" t="s">
        <v>5274</v>
      </c>
    </row>
    <row r="62" spans="1:7" x14ac:dyDescent="0.2">
      <c r="A62" t="s">
        <v>54</v>
      </c>
      <c r="B62" t="s">
        <v>874</v>
      </c>
      <c r="C62" t="s">
        <v>875</v>
      </c>
      <c r="D62" t="s">
        <v>24</v>
      </c>
      <c r="E62" t="s">
        <v>5275</v>
      </c>
      <c r="F62" t="s">
        <v>5163</v>
      </c>
      <c r="G62" t="s">
        <v>5276</v>
      </c>
    </row>
    <row r="63" spans="1:7" x14ac:dyDescent="0.2">
      <c r="A63" t="s">
        <v>54</v>
      </c>
      <c r="B63" t="s">
        <v>587</v>
      </c>
      <c r="C63" t="s">
        <v>588</v>
      </c>
      <c r="D63" t="s">
        <v>24</v>
      </c>
      <c r="E63" t="s">
        <v>5277</v>
      </c>
      <c r="F63" t="s">
        <v>5160</v>
      </c>
      <c r="G63" t="s">
        <v>5278</v>
      </c>
    </row>
    <row r="64" spans="1:7" x14ac:dyDescent="0.2">
      <c r="A64" t="s">
        <v>54</v>
      </c>
      <c r="B64" t="s">
        <v>856</v>
      </c>
      <c r="C64" t="s">
        <v>857</v>
      </c>
      <c r="D64" t="s">
        <v>24</v>
      </c>
      <c r="E64" t="s">
        <v>5279</v>
      </c>
      <c r="F64" t="s">
        <v>5169</v>
      </c>
      <c r="G64" t="s">
        <v>5280</v>
      </c>
    </row>
    <row r="65" spans="1:7" x14ac:dyDescent="0.2">
      <c r="A65" t="s">
        <v>84</v>
      </c>
      <c r="B65" t="s">
        <v>481</v>
      </c>
      <c r="C65" t="s">
        <v>784</v>
      </c>
      <c r="D65" t="s">
        <v>24</v>
      </c>
      <c r="E65" t="s">
        <v>5281</v>
      </c>
      <c r="F65" t="s">
        <v>5160</v>
      </c>
      <c r="G65" t="s">
        <v>3268</v>
      </c>
    </row>
    <row r="66" spans="1:7" x14ac:dyDescent="0.2">
      <c r="A66" t="s">
        <v>84</v>
      </c>
      <c r="B66" t="s">
        <v>328</v>
      </c>
      <c r="C66" t="s">
        <v>900</v>
      </c>
      <c r="D66" t="s">
        <v>24</v>
      </c>
      <c r="E66" t="s">
        <v>5282</v>
      </c>
      <c r="F66" t="s">
        <v>5163</v>
      </c>
      <c r="G66" t="s">
        <v>5283</v>
      </c>
    </row>
    <row r="67" spans="1:7" x14ac:dyDescent="0.2">
      <c r="A67" t="s">
        <v>84</v>
      </c>
      <c r="B67" t="s">
        <v>464</v>
      </c>
      <c r="C67" t="s">
        <v>917</v>
      </c>
      <c r="D67" t="s">
        <v>24</v>
      </c>
      <c r="E67" t="s">
        <v>5284</v>
      </c>
      <c r="F67" t="s">
        <v>5163</v>
      </c>
      <c r="G67" t="s">
        <v>5285</v>
      </c>
    </row>
    <row r="68" spans="1:7" x14ac:dyDescent="0.2">
      <c r="A68" t="s">
        <v>84</v>
      </c>
      <c r="B68" t="s">
        <v>504</v>
      </c>
      <c r="C68" t="s">
        <v>922</v>
      </c>
      <c r="D68" t="s">
        <v>24</v>
      </c>
      <c r="E68" t="s">
        <v>5286</v>
      </c>
      <c r="F68" t="s">
        <v>5169</v>
      </c>
      <c r="G68" t="s">
        <v>5236</v>
      </c>
    </row>
    <row r="69" spans="1:7" x14ac:dyDescent="0.2">
      <c r="A69" t="s">
        <v>100</v>
      </c>
      <c r="B69" t="s">
        <v>250</v>
      </c>
      <c r="C69" t="s">
        <v>995</v>
      </c>
      <c r="D69" t="s">
        <v>24</v>
      </c>
      <c r="E69" t="s">
        <v>5287</v>
      </c>
      <c r="F69" t="s">
        <v>5193</v>
      </c>
      <c r="G69" t="s">
        <v>5288</v>
      </c>
    </row>
    <row r="70" spans="1:7" x14ac:dyDescent="0.2">
      <c r="A70" t="s">
        <v>100</v>
      </c>
      <c r="B70" t="s">
        <v>943</v>
      </c>
      <c r="C70" t="s">
        <v>983</v>
      </c>
      <c r="D70" t="s">
        <v>24</v>
      </c>
      <c r="E70" t="s">
        <v>5289</v>
      </c>
      <c r="F70" t="s">
        <v>5160</v>
      </c>
      <c r="G70" t="s">
        <v>5290</v>
      </c>
    </row>
    <row r="71" spans="1:7" x14ac:dyDescent="0.2">
      <c r="A71" t="s">
        <v>100</v>
      </c>
      <c r="B71" t="s">
        <v>236</v>
      </c>
      <c r="C71" t="s">
        <v>237</v>
      </c>
      <c r="D71" t="s">
        <v>24</v>
      </c>
      <c r="E71" t="s">
        <v>5291</v>
      </c>
      <c r="F71" t="s">
        <v>5193</v>
      </c>
      <c r="G71" t="s">
        <v>5292</v>
      </c>
    </row>
    <row r="72" spans="1:7" x14ac:dyDescent="0.2">
      <c r="A72" t="s">
        <v>100</v>
      </c>
      <c r="B72" t="s">
        <v>236</v>
      </c>
      <c r="C72" t="s">
        <v>379</v>
      </c>
      <c r="D72" t="s">
        <v>24</v>
      </c>
      <c r="E72" t="s">
        <v>5293</v>
      </c>
      <c r="F72" t="s">
        <v>5163</v>
      </c>
      <c r="G72" t="s">
        <v>5294</v>
      </c>
    </row>
    <row r="73" spans="1:7" x14ac:dyDescent="0.2">
      <c r="A73" t="s">
        <v>100</v>
      </c>
      <c r="B73" t="s">
        <v>962</v>
      </c>
      <c r="C73" t="s">
        <v>243</v>
      </c>
      <c r="D73" t="s">
        <v>24</v>
      </c>
      <c r="E73" t="s">
        <v>5295</v>
      </c>
      <c r="F73" t="s">
        <v>5163</v>
      </c>
      <c r="G73" t="s">
        <v>5296</v>
      </c>
    </row>
    <row r="74" spans="1:7" x14ac:dyDescent="0.2">
      <c r="A74" t="s">
        <v>100</v>
      </c>
      <c r="B74" t="s">
        <v>962</v>
      </c>
      <c r="C74" t="s">
        <v>5297</v>
      </c>
      <c r="D74" t="s">
        <v>24</v>
      </c>
      <c r="E74" t="s">
        <v>5298</v>
      </c>
      <c r="F74" t="s">
        <v>5163</v>
      </c>
      <c r="G74" t="s">
        <v>5299</v>
      </c>
    </row>
    <row r="75" spans="1:7" x14ac:dyDescent="0.2">
      <c r="A75" t="s">
        <v>98</v>
      </c>
      <c r="B75" t="s">
        <v>1001</v>
      </c>
      <c r="C75" t="s">
        <v>3631</v>
      </c>
      <c r="D75" t="s">
        <v>24</v>
      </c>
      <c r="E75" t="s">
        <v>5300</v>
      </c>
      <c r="F75" t="s">
        <v>5160</v>
      </c>
      <c r="G75" t="s">
        <v>5164</v>
      </c>
    </row>
    <row r="76" spans="1:7" x14ac:dyDescent="0.2">
      <c r="A76" t="s">
        <v>98</v>
      </c>
      <c r="B76" t="s">
        <v>125</v>
      </c>
      <c r="C76" t="s">
        <v>709</v>
      </c>
      <c r="D76" t="s">
        <v>24</v>
      </c>
      <c r="E76" t="s">
        <v>5301</v>
      </c>
      <c r="F76" t="s">
        <v>5160</v>
      </c>
      <c r="G76" t="s">
        <v>5181</v>
      </c>
    </row>
    <row r="77" spans="1:7" x14ac:dyDescent="0.2">
      <c r="A77" t="s">
        <v>98</v>
      </c>
      <c r="B77" t="s">
        <v>437</v>
      </c>
      <c r="C77" t="s">
        <v>1021</v>
      </c>
      <c r="D77" t="s">
        <v>24</v>
      </c>
      <c r="E77" t="s">
        <v>5302</v>
      </c>
      <c r="F77" t="s">
        <v>5303</v>
      </c>
      <c r="G77" t="s">
        <v>5172</v>
      </c>
    </row>
    <row r="78" spans="1:7" x14ac:dyDescent="0.2">
      <c r="A78" t="s">
        <v>98</v>
      </c>
      <c r="B78" t="s">
        <v>158</v>
      </c>
      <c r="C78" t="s">
        <v>1037</v>
      </c>
      <c r="D78" t="s">
        <v>24</v>
      </c>
      <c r="E78" t="s">
        <v>5304</v>
      </c>
      <c r="F78" t="s">
        <v>5160</v>
      </c>
      <c r="G78" t="s">
        <v>5167</v>
      </c>
    </row>
    <row r="79" spans="1:7" x14ac:dyDescent="0.2">
      <c r="A79" t="s">
        <v>76</v>
      </c>
      <c r="B79" t="s">
        <v>464</v>
      </c>
      <c r="C79" t="s">
        <v>693</v>
      </c>
      <c r="D79" t="s">
        <v>24</v>
      </c>
      <c r="E79" t="s">
        <v>5305</v>
      </c>
      <c r="F79" t="s">
        <v>5169</v>
      </c>
      <c r="G79" t="s">
        <v>5181</v>
      </c>
    </row>
    <row r="80" spans="1:7" x14ac:dyDescent="0.2">
      <c r="A80" t="s">
        <v>76</v>
      </c>
      <c r="B80" t="s">
        <v>595</v>
      </c>
      <c r="C80" t="s">
        <v>1085</v>
      </c>
      <c r="D80" t="s">
        <v>24</v>
      </c>
      <c r="E80" t="s">
        <v>5306</v>
      </c>
      <c r="F80" t="s">
        <v>5160</v>
      </c>
      <c r="G80" t="s">
        <v>5307</v>
      </c>
    </row>
    <row r="81" spans="1:7" x14ac:dyDescent="0.2">
      <c r="A81" t="s">
        <v>76</v>
      </c>
      <c r="B81" t="s">
        <v>125</v>
      </c>
      <c r="C81" t="s">
        <v>1048</v>
      </c>
      <c r="D81" t="s">
        <v>24</v>
      </c>
      <c r="E81" t="s">
        <v>5308</v>
      </c>
      <c r="F81" t="s">
        <v>5160</v>
      </c>
      <c r="G81" t="s">
        <v>5309</v>
      </c>
    </row>
    <row r="82" spans="1:7" x14ac:dyDescent="0.2">
      <c r="A82" t="s">
        <v>76</v>
      </c>
      <c r="B82" t="s">
        <v>328</v>
      </c>
      <c r="C82" t="s">
        <v>151</v>
      </c>
      <c r="D82" t="s">
        <v>24</v>
      </c>
      <c r="E82" t="s">
        <v>5310</v>
      </c>
      <c r="F82" t="s">
        <v>5163</v>
      </c>
      <c r="G82" t="s">
        <v>5283</v>
      </c>
    </row>
    <row r="83" spans="1:7" x14ac:dyDescent="0.2">
      <c r="A83" t="s">
        <v>82</v>
      </c>
      <c r="B83" t="s">
        <v>481</v>
      </c>
      <c r="C83" t="s">
        <v>329</v>
      </c>
      <c r="D83" t="s">
        <v>24</v>
      </c>
      <c r="E83" t="s">
        <v>5311</v>
      </c>
      <c r="F83" t="s">
        <v>5160</v>
      </c>
      <c r="G83" t="s">
        <v>5312</v>
      </c>
    </row>
    <row r="84" spans="1:7" x14ac:dyDescent="0.2">
      <c r="A84" t="s">
        <v>82</v>
      </c>
      <c r="B84" t="s">
        <v>464</v>
      </c>
      <c r="C84" t="s">
        <v>1132</v>
      </c>
      <c r="D84" t="s">
        <v>24</v>
      </c>
      <c r="E84" t="s">
        <v>5313</v>
      </c>
      <c r="F84" t="s">
        <v>5163</v>
      </c>
      <c r="G84" t="s">
        <v>5283</v>
      </c>
    </row>
    <row r="85" spans="1:7" x14ac:dyDescent="0.2">
      <c r="A85" t="s">
        <v>82</v>
      </c>
      <c r="B85" t="s">
        <v>328</v>
      </c>
      <c r="C85" t="s">
        <v>1166</v>
      </c>
      <c r="D85" t="s">
        <v>24</v>
      </c>
      <c r="E85" t="s">
        <v>5314</v>
      </c>
      <c r="F85" t="s">
        <v>5163</v>
      </c>
      <c r="G85" t="s">
        <v>5285</v>
      </c>
    </row>
    <row r="86" spans="1:7" x14ac:dyDescent="0.2">
      <c r="A86" t="s">
        <v>82</v>
      </c>
      <c r="B86" t="s">
        <v>487</v>
      </c>
      <c r="C86" t="s">
        <v>251</v>
      </c>
      <c r="D86" t="s">
        <v>24</v>
      </c>
      <c r="E86" t="s">
        <v>5315</v>
      </c>
      <c r="F86" t="s">
        <v>5169</v>
      </c>
      <c r="G86" t="s">
        <v>4447</v>
      </c>
    </row>
    <row r="87" spans="1:7" x14ac:dyDescent="0.2">
      <c r="A87" t="s">
        <v>82</v>
      </c>
      <c r="B87" t="s">
        <v>504</v>
      </c>
      <c r="C87" t="s">
        <v>1175</v>
      </c>
      <c r="D87" t="s">
        <v>24</v>
      </c>
      <c r="E87" t="s">
        <v>5316</v>
      </c>
      <c r="F87" t="s">
        <v>5163</v>
      </c>
      <c r="G87" t="s">
        <v>5172</v>
      </c>
    </row>
    <row r="88" spans="1:7" x14ac:dyDescent="0.2">
      <c r="A88" t="s">
        <v>82</v>
      </c>
      <c r="B88" t="s">
        <v>166</v>
      </c>
      <c r="C88" t="s">
        <v>5317</v>
      </c>
      <c r="D88" t="s">
        <v>24</v>
      </c>
      <c r="E88" t="s">
        <v>5318</v>
      </c>
      <c r="F88" t="s">
        <v>5163</v>
      </c>
      <c r="G88" t="s">
        <v>5319</v>
      </c>
    </row>
    <row r="89" spans="1:7" x14ac:dyDescent="0.2">
      <c r="A89" t="s">
        <v>88</v>
      </c>
      <c r="B89" t="s">
        <v>504</v>
      </c>
      <c r="C89" t="s">
        <v>1124</v>
      </c>
      <c r="D89" t="s">
        <v>24</v>
      </c>
      <c r="E89" t="s">
        <v>5320</v>
      </c>
      <c r="F89" t="s">
        <v>5160</v>
      </c>
      <c r="G89" t="s">
        <v>5167</v>
      </c>
    </row>
    <row r="90" spans="1:7" x14ac:dyDescent="0.2">
      <c r="A90" t="s">
        <v>88</v>
      </c>
      <c r="B90" t="s">
        <v>174</v>
      </c>
      <c r="C90" t="s">
        <v>1119</v>
      </c>
      <c r="D90" t="s">
        <v>24</v>
      </c>
      <c r="E90" t="s">
        <v>5321</v>
      </c>
      <c r="F90" t="s">
        <v>5169</v>
      </c>
      <c r="G90" t="s">
        <v>5322</v>
      </c>
    </row>
    <row r="91" spans="1:7" x14ac:dyDescent="0.2">
      <c r="A91" t="s">
        <v>88</v>
      </c>
      <c r="B91" t="s">
        <v>328</v>
      </c>
      <c r="C91" t="s">
        <v>437</v>
      </c>
      <c r="D91" t="s">
        <v>24</v>
      </c>
      <c r="E91" t="s">
        <v>5323</v>
      </c>
      <c r="F91" t="s">
        <v>5163</v>
      </c>
      <c r="G91" t="s">
        <v>5164</v>
      </c>
    </row>
    <row r="92" spans="1:7" x14ac:dyDescent="0.2">
      <c r="A92" t="s">
        <v>88</v>
      </c>
      <c r="B92" t="s">
        <v>595</v>
      </c>
      <c r="C92" t="s">
        <v>158</v>
      </c>
      <c r="D92" t="s">
        <v>24</v>
      </c>
      <c r="E92" t="s">
        <v>5324</v>
      </c>
      <c r="F92" t="s">
        <v>5169</v>
      </c>
      <c r="G92" t="s">
        <v>5255</v>
      </c>
    </row>
    <row r="93" spans="1:7" x14ac:dyDescent="0.2">
      <c r="A93" t="s">
        <v>88</v>
      </c>
      <c r="B93" t="s">
        <v>287</v>
      </c>
      <c r="C93" t="s">
        <v>1103</v>
      </c>
      <c r="D93" t="s">
        <v>24</v>
      </c>
      <c r="E93" t="s">
        <v>5325</v>
      </c>
      <c r="F93" t="s">
        <v>5169</v>
      </c>
      <c r="G93" t="s">
        <v>5326</v>
      </c>
    </row>
    <row r="94" spans="1:7" x14ac:dyDescent="0.2">
      <c r="A94" t="s">
        <v>88</v>
      </c>
      <c r="B94" t="s">
        <v>1988</v>
      </c>
      <c r="C94" t="s">
        <v>588</v>
      </c>
      <c r="D94" t="s">
        <v>24</v>
      </c>
      <c r="E94" t="s">
        <v>5327</v>
      </c>
      <c r="F94" t="s">
        <v>5160</v>
      </c>
      <c r="G94" t="s">
        <v>5328</v>
      </c>
    </row>
    <row r="95" spans="1:7" x14ac:dyDescent="0.2">
      <c r="A95" t="s">
        <v>94</v>
      </c>
      <c r="B95" t="s">
        <v>437</v>
      </c>
      <c r="C95" t="s">
        <v>1197</v>
      </c>
      <c r="D95" t="s">
        <v>24</v>
      </c>
      <c r="E95" t="s">
        <v>5329</v>
      </c>
      <c r="F95" t="s">
        <v>5160</v>
      </c>
      <c r="G95" t="s">
        <v>5208</v>
      </c>
    </row>
    <row r="96" spans="1:7" x14ac:dyDescent="0.2">
      <c r="A96" t="s">
        <v>94</v>
      </c>
      <c r="B96" t="s">
        <v>511</v>
      </c>
      <c r="C96" t="s">
        <v>1186</v>
      </c>
      <c r="D96" t="s">
        <v>24</v>
      </c>
      <c r="E96" t="s">
        <v>5330</v>
      </c>
      <c r="F96" t="s">
        <v>5169</v>
      </c>
      <c r="G96" t="s">
        <v>5331</v>
      </c>
    </row>
    <row r="97" spans="1:7" x14ac:dyDescent="0.2">
      <c r="A97" t="s">
        <v>94</v>
      </c>
      <c r="B97" t="s">
        <v>511</v>
      </c>
      <c r="C97" t="s">
        <v>1192</v>
      </c>
      <c r="D97" t="s">
        <v>24</v>
      </c>
      <c r="E97" t="s">
        <v>5332</v>
      </c>
      <c r="F97" t="s">
        <v>5160</v>
      </c>
      <c r="G97" t="s">
        <v>4569</v>
      </c>
    </row>
    <row r="98" spans="1:7" x14ac:dyDescent="0.2">
      <c r="A98" t="s">
        <v>94</v>
      </c>
      <c r="B98" t="s">
        <v>315</v>
      </c>
      <c r="C98" t="s">
        <v>517</v>
      </c>
      <c r="D98" t="s">
        <v>24</v>
      </c>
      <c r="E98" t="s">
        <v>5333</v>
      </c>
      <c r="F98" t="s">
        <v>5160</v>
      </c>
      <c r="G98" t="s">
        <v>5283</v>
      </c>
    </row>
    <row r="99" spans="1:7" x14ac:dyDescent="0.2">
      <c r="A99" t="s">
        <v>94</v>
      </c>
      <c r="B99" t="s">
        <v>1213</v>
      </c>
      <c r="C99" t="s">
        <v>5334</v>
      </c>
      <c r="D99" t="s">
        <v>24</v>
      </c>
      <c r="E99" t="s">
        <v>5335</v>
      </c>
      <c r="F99" t="s">
        <v>5163</v>
      </c>
      <c r="G99" t="s">
        <v>5227</v>
      </c>
    </row>
    <row r="100" spans="1:7" x14ac:dyDescent="0.2">
      <c r="A100" t="s">
        <v>89</v>
      </c>
      <c r="B100" t="s">
        <v>437</v>
      </c>
      <c r="C100" t="s">
        <v>1218</v>
      </c>
      <c r="D100" t="s">
        <v>24</v>
      </c>
      <c r="E100" t="s">
        <v>5336</v>
      </c>
      <c r="F100" t="s">
        <v>5160</v>
      </c>
      <c r="G100" t="s">
        <v>4569</v>
      </c>
    </row>
    <row r="101" spans="1:7" x14ac:dyDescent="0.2">
      <c r="A101" t="s">
        <v>89</v>
      </c>
      <c r="B101" t="s">
        <v>1242</v>
      </c>
      <c r="C101" t="s">
        <v>1257</v>
      </c>
      <c r="D101" t="s">
        <v>24</v>
      </c>
      <c r="E101" t="s">
        <v>5337</v>
      </c>
      <c r="F101" t="s">
        <v>5169</v>
      </c>
      <c r="G101" t="s">
        <v>5283</v>
      </c>
    </row>
    <row r="102" spans="1:7" x14ac:dyDescent="0.2">
      <c r="A102" t="s">
        <v>89</v>
      </c>
      <c r="B102" t="s">
        <v>1247</v>
      </c>
      <c r="C102" t="s">
        <v>1261</v>
      </c>
      <c r="D102" t="s">
        <v>24</v>
      </c>
      <c r="E102" t="s">
        <v>5338</v>
      </c>
      <c r="F102" t="s">
        <v>5160</v>
      </c>
      <c r="G102" t="s">
        <v>5339</v>
      </c>
    </row>
    <row r="103" spans="1:7" x14ac:dyDescent="0.2">
      <c r="A103" t="s">
        <v>89</v>
      </c>
      <c r="B103" t="s">
        <v>1253</v>
      </c>
      <c r="C103" t="s">
        <v>1254</v>
      </c>
      <c r="D103" t="s">
        <v>24</v>
      </c>
      <c r="E103" t="s">
        <v>5340</v>
      </c>
      <c r="F103" t="s">
        <v>5160</v>
      </c>
      <c r="G103" t="s">
        <v>5210</v>
      </c>
    </row>
    <row r="104" spans="1:7" x14ac:dyDescent="0.2">
      <c r="A104" t="s">
        <v>89</v>
      </c>
      <c r="B104" t="s">
        <v>1265</v>
      </c>
      <c r="C104" t="s">
        <v>5341</v>
      </c>
      <c r="D104" t="s">
        <v>24</v>
      </c>
      <c r="E104" t="s">
        <v>5342</v>
      </c>
      <c r="F104" t="s">
        <v>5169</v>
      </c>
      <c r="G104" t="s">
        <v>5236</v>
      </c>
    </row>
    <row r="105" spans="1:7" x14ac:dyDescent="0.2">
      <c r="A105" t="s">
        <v>89</v>
      </c>
      <c r="B105" t="s">
        <v>517</v>
      </c>
      <c r="C105" t="s">
        <v>1234</v>
      </c>
      <c r="D105" t="s">
        <v>24</v>
      </c>
      <c r="E105" t="s">
        <v>5343</v>
      </c>
      <c r="F105" t="s">
        <v>5160</v>
      </c>
      <c r="G105" t="s">
        <v>5181</v>
      </c>
    </row>
    <row r="106" spans="1:7" x14ac:dyDescent="0.2">
      <c r="A106" t="s">
        <v>63</v>
      </c>
      <c r="B106" t="s">
        <v>1286</v>
      </c>
      <c r="C106" t="s">
        <v>1287</v>
      </c>
      <c r="D106" t="s">
        <v>24</v>
      </c>
      <c r="E106" t="s">
        <v>5344</v>
      </c>
      <c r="F106" t="s">
        <v>5163</v>
      </c>
      <c r="G106" t="s">
        <v>5345</v>
      </c>
    </row>
    <row r="107" spans="1:7" x14ac:dyDescent="0.2">
      <c r="A107" t="s">
        <v>63</v>
      </c>
      <c r="B107" t="s">
        <v>487</v>
      </c>
      <c r="C107" t="s">
        <v>1282</v>
      </c>
      <c r="D107" t="s">
        <v>24</v>
      </c>
      <c r="E107" t="s">
        <v>5346</v>
      </c>
      <c r="F107" t="s">
        <v>5160</v>
      </c>
      <c r="G107" t="s">
        <v>5347</v>
      </c>
    </row>
    <row r="108" spans="1:7" x14ac:dyDescent="0.2">
      <c r="A108" t="s">
        <v>63</v>
      </c>
      <c r="B108" t="s">
        <v>135</v>
      </c>
      <c r="C108" t="s">
        <v>532</v>
      </c>
      <c r="D108" t="s">
        <v>24</v>
      </c>
      <c r="E108" t="s">
        <v>5348</v>
      </c>
      <c r="F108" t="s">
        <v>5193</v>
      </c>
      <c r="G108" t="s">
        <v>5349</v>
      </c>
    </row>
    <row r="109" spans="1:7" x14ac:dyDescent="0.2">
      <c r="A109" t="s">
        <v>63</v>
      </c>
      <c r="B109" t="s">
        <v>1309</v>
      </c>
      <c r="C109" t="s">
        <v>1310</v>
      </c>
      <c r="D109" t="s">
        <v>24</v>
      </c>
      <c r="E109" t="s">
        <v>5350</v>
      </c>
      <c r="F109" t="s">
        <v>5160</v>
      </c>
      <c r="G109" t="s">
        <v>5206</v>
      </c>
    </row>
    <row r="110" spans="1:7" x14ac:dyDescent="0.2">
      <c r="A110" t="s">
        <v>79</v>
      </c>
      <c r="B110" t="s">
        <v>221</v>
      </c>
      <c r="C110" t="s">
        <v>1327</v>
      </c>
      <c r="D110" t="s">
        <v>24</v>
      </c>
      <c r="E110" t="s">
        <v>5351</v>
      </c>
      <c r="F110" t="s">
        <v>5352</v>
      </c>
      <c r="G110" t="s">
        <v>5208</v>
      </c>
    </row>
    <row r="111" spans="1:7" x14ac:dyDescent="0.2">
      <c r="A111" t="s">
        <v>79</v>
      </c>
      <c r="B111" t="s">
        <v>315</v>
      </c>
      <c r="C111" t="s">
        <v>5353</v>
      </c>
      <c r="D111" t="s">
        <v>24</v>
      </c>
      <c r="E111" t="s">
        <v>5354</v>
      </c>
      <c r="F111" t="s">
        <v>5160</v>
      </c>
      <c r="G111" t="s">
        <v>5355</v>
      </c>
    </row>
    <row r="112" spans="1:7" x14ac:dyDescent="0.2">
      <c r="A112" t="s">
        <v>79</v>
      </c>
      <c r="B112" t="s">
        <v>315</v>
      </c>
      <c r="C112" t="s">
        <v>1333</v>
      </c>
      <c r="D112" t="s">
        <v>24</v>
      </c>
      <c r="E112" t="s">
        <v>5356</v>
      </c>
      <c r="F112" t="s">
        <v>5352</v>
      </c>
      <c r="G112" t="s">
        <v>5357</v>
      </c>
    </row>
    <row r="113" spans="1:7" x14ac:dyDescent="0.2">
      <c r="A113" t="s">
        <v>74</v>
      </c>
      <c r="B113" t="s">
        <v>1384</v>
      </c>
      <c r="C113" t="s">
        <v>3980</v>
      </c>
      <c r="D113" t="s">
        <v>24</v>
      </c>
      <c r="E113" t="s">
        <v>5358</v>
      </c>
      <c r="F113" t="s">
        <v>5160</v>
      </c>
      <c r="G113" t="s">
        <v>4447</v>
      </c>
    </row>
    <row r="114" spans="1:7" x14ac:dyDescent="0.2">
      <c r="A114" t="s">
        <v>74</v>
      </c>
      <c r="B114" t="s">
        <v>1384</v>
      </c>
      <c r="C114" t="s">
        <v>1428</v>
      </c>
      <c r="D114" t="s">
        <v>24</v>
      </c>
      <c r="E114" t="s">
        <v>5359</v>
      </c>
      <c r="F114" t="s">
        <v>5160</v>
      </c>
      <c r="G114" t="s">
        <v>5322</v>
      </c>
    </row>
    <row r="115" spans="1:7" x14ac:dyDescent="0.2">
      <c r="A115" t="s">
        <v>74</v>
      </c>
      <c r="B115" t="s">
        <v>1390</v>
      </c>
      <c r="C115" t="s">
        <v>1391</v>
      </c>
      <c r="D115" t="s">
        <v>24</v>
      </c>
      <c r="E115" t="s">
        <v>5360</v>
      </c>
      <c r="F115" t="s">
        <v>5163</v>
      </c>
      <c r="G115" t="s">
        <v>4263</v>
      </c>
    </row>
    <row r="116" spans="1:7" x14ac:dyDescent="0.2">
      <c r="A116" t="s">
        <v>74</v>
      </c>
      <c r="B116" t="s">
        <v>1390</v>
      </c>
      <c r="C116" t="s">
        <v>1403</v>
      </c>
      <c r="D116" t="s">
        <v>24</v>
      </c>
      <c r="E116" t="s">
        <v>5361</v>
      </c>
      <c r="F116" t="s">
        <v>5160</v>
      </c>
      <c r="G116" t="s">
        <v>5362</v>
      </c>
    </row>
    <row r="117" spans="1:7" x14ac:dyDescent="0.2">
      <c r="A117" t="s">
        <v>74</v>
      </c>
      <c r="B117" t="s">
        <v>1396</v>
      </c>
      <c r="C117" t="s">
        <v>1397</v>
      </c>
      <c r="D117" t="s">
        <v>24</v>
      </c>
      <c r="E117" t="s">
        <v>5363</v>
      </c>
      <c r="F117" t="s">
        <v>5163</v>
      </c>
      <c r="G117" t="s">
        <v>5364</v>
      </c>
    </row>
    <row r="118" spans="1:7" x14ac:dyDescent="0.2">
      <c r="A118" t="s">
        <v>74</v>
      </c>
      <c r="B118" t="s">
        <v>413</v>
      </c>
      <c r="C118" t="s">
        <v>1413</v>
      </c>
      <c r="D118" t="s">
        <v>24</v>
      </c>
      <c r="E118" t="s">
        <v>5365</v>
      </c>
      <c r="F118" t="s">
        <v>5163</v>
      </c>
      <c r="G118" t="s">
        <v>5339</v>
      </c>
    </row>
    <row r="119" spans="1:7" x14ac:dyDescent="0.2">
      <c r="A119" t="s">
        <v>74</v>
      </c>
      <c r="B119" t="s">
        <v>413</v>
      </c>
      <c r="C119" t="s">
        <v>1419</v>
      </c>
      <c r="D119" t="s">
        <v>24</v>
      </c>
      <c r="E119" t="s">
        <v>5366</v>
      </c>
      <c r="F119" t="s">
        <v>5163</v>
      </c>
      <c r="G119" t="s">
        <v>5283</v>
      </c>
    </row>
    <row r="120" spans="1:7" x14ac:dyDescent="0.2">
      <c r="A120" t="s">
        <v>74</v>
      </c>
      <c r="B120" t="s">
        <v>470</v>
      </c>
      <c r="C120" t="s">
        <v>1379</v>
      </c>
      <c r="D120" t="s">
        <v>24</v>
      </c>
      <c r="E120" t="s">
        <v>5367</v>
      </c>
      <c r="F120" t="s">
        <v>5163</v>
      </c>
      <c r="G120" t="s">
        <v>3268</v>
      </c>
    </row>
    <row r="121" spans="1:7" x14ac:dyDescent="0.2">
      <c r="A121" t="s">
        <v>101</v>
      </c>
      <c r="B121" t="s">
        <v>1432</v>
      </c>
      <c r="C121" t="s">
        <v>1433</v>
      </c>
      <c r="D121" t="s">
        <v>24</v>
      </c>
      <c r="E121" t="s">
        <v>5368</v>
      </c>
      <c r="F121" t="s">
        <v>5160</v>
      </c>
      <c r="G121" t="s">
        <v>5369</v>
      </c>
    </row>
    <row r="122" spans="1:7" x14ac:dyDescent="0.2">
      <c r="A122" t="s">
        <v>101</v>
      </c>
      <c r="B122" t="s">
        <v>125</v>
      </c>
      <c r="C122" t="s">
        <v>1048</v>
      </c>
      <c r="D122" t="s">
        <v>24</v>
      </c>
      <c r="E122" t="s">
        <v>5370</v>
      </c>
      <c r="F122" t="s">
        <v>5160</v>
      </c>
      <c r="G122" t="s">
        <v>5319</v>
      </c>
    </row>
    <row r="123" spans="1:7" x14ac:dyDescent="0.2">
      <c r="A123" t="s">
        <v>101</v>
      </c>
      <c r="B123" t="s">
        <v>1462</v>
      </c>
      <c r="C123" t="s">
        <v>1463</v>
      </c>
      <c r="D123" t="s">
        <v>24</v>
      </c>
      <c r="E123" t="s">
        <v>5371</v>
      </c>
      <c r="F123" t="s">
        <v>5160</v>
      </c>
      <c r="G123" t="s">
        <v>5372</v>
      </c>
    </row>
    <row r="124" spans="1:7" x14ac:dyDescent="0.2">
      <c r="A124" t="s">
        <v>101</v>
      </c>
      <c r="B124" t="s">
        <v>504</v>
      </c>
      <c r="C124" t="s">
        <v>1475</v>
      </c>
      <c r="D124" t="s">
        <v>24</v>
      </c>
      <c r="E124" t="s">
        <v>5373</v>
      </c>
      <c r="F124" t="s">
        <v>5193</v>
      </c>
      <c r="G124" t="s">
        <v>5164</v>
      </c>
    </row>
    <row r="125" spans="1:7" x14ac:dyDescent="0.2">
      <c r="A125" t="s">
        <v>101</v>
      </c>
      <c r="B125" t="s">
        <v>196</v>
      </c>
      <c r="C125" t="s">
        <v>1686</v>
      </c>
      <c r="D125" t="s">
        <v>24</v>
      </c>
      <c r="E125" t="s">
        <v>5374</v>
      </c>
      <c r="F125" t="s">
        <v>5169</v>
      </c>
      <c r="G125" t="s">
        <v>5375</v>
      </c>
    </row>
    <row r="126" spans="1:7" x14ac:dyDescent="0.2">
      <c r="A126" t="s">
        <v>101</v>
      </c>
      <c r="B126" t="s">
        <v>166</v>
      </c>
      <c r="C126" t="s">
        <v>5376</v>
      </c>
      <c r="D126" t="s">
        <v>24</v>
      </c>
      <c r="E126" t="s">
        <v>5377</v>
      </c>
      <c r="F126" t="s">
        <v>5160</v>
      </c>
      <c r="G126" t="s">
        <v>4447</v>
      </c>
    </row>
    <row r="127" spans="1:7" x14ac:dyDescent="0.2">
      <c r="A127" t="s">
        <v>55</v>
      </c>
      <c r="B127" t="s">
        <v>504</v>
      </c>
      <c r="C127" t="s">
        <v>705</v>
      </c>
      <c r="D127" t="s">
        <v>24</v>
      </c>
      <c r="E127" t="s">
        <v>5378</v>
      </c>
      <c r="F127" t="s">
        <v>5160</v>
      </c>
      <c r="G127" t="s">
        <v>5379</v>
      </c>
    </row>
    <row r="128" spans="1:7" x14ac:dyDescent="0.2">
      <c r="A128" t="s">
        <v>55</v>
      </c>
      <c r="B128" t="s">
        <v>1496</v>
      </c>
      <c r="C128" t="s">
        <v>1119</v>
      </c>
      <c r="D128" t="s">
        <v>24</v>
      </c>
      <c r="E128" t="s">
        <v>5380</v>
      </c>
      <c r="F128" t="s">
        <v>5169</v>
      </c>
      <c r="G128" t="s">
        <v>5217</v>
      </c>
    </row>
    <row r="129" spans="1:7" x14ac:dyDescent="0.2">
      <c r="A129" t="s">
        <v>55</v>
      </c>
      <c r="B129" t="s">
        <v>595</v>
      </c>
      <c r="C129" t="s">
        <v>1529</v>
      </c>
      <c r="D129" t="s">
        <v>24</v>
      </c>
      <c r="E129" t="s">
        <v>5381</v>
      </c>
      <c r="F129" t="s">
        <v>5193</v>
      </c>
      <c r="G129" t="s">
        <v>5382</v>
      </c>
    </row>
    <row r="130" spans="1:7" x14ac:dyDescent="0.2">
      <c r="A130" t="s">
        <v>55</v>
      </c>
      <c r="B130" t="s">
        <v>125</v>
      </c>
      <c r="C130" t="s">
        <v>2608</v>
      </c>
      <c r="D130" t="s">
        <v>24</v>
      </c>
      <c r="E130" t="s">
        <v>5383</v>
      </c>
      <c r="F130" t="s">
        <v>5160</v>
      </c>
      <c r="G130" t="s">
        <v>5384</v>
      </c>
    </row>
    <row r="131" spans="1:7" x14ac:dyDescent="0.2">
      <c r="A131" t="s">
        <v>55</v>
      </c>
      <c r="B131" t="s">
        <v>328</v>
      </c>
      <c r="C131" t="s">
        <v>1490</v>
      </c>
      <c r="D131" t="s">
        <v>24</v>
      </c>
      <c r="E131" t="s">
        <v>5385</v>
      </c>
      <c r="F131" t="s">
        <v>5163</v>
      </c>
      <c r="G131" t="s">
        <v>5278</v>
      </c>
    </row>
    <row r="132" spans="1:7" x14ac:dyDescent="0.2">
      <c r="A132" t="s">
        <v>55</v>
      </c>
      <c r="B132" t="s">
        <v>1988</v>
      </c>
      <c r="C132" t="s">
        <v>5386</v>
      </c>
      <c r="D132" t="s">
        <v>24</v>
      </c>
      <c r="E132" t="s">
        <v>5387</v>
      </c>
      <c r="F132" t="s">
        <v>5169</v>
      </c>
      <c r="G132" t="s">
        <v>5388</v>
      </c>
    </row>
    <row r="133" spans="1:7" x14ac:dyDescent="0.2">
      <c r="A133" t="s">
        <v>55</v>
      </c>
      <c r="B133" t="s">
        <v>188</v>
      </c>
      <c r="C133" t="s">
        <v>1444</v>
      </c>
      <c r="D133" t="s">
        <v>24</v>
      </c>
      <c r="E133" t="s">
        <v>5389</v>
      </c>
      <c r="F133" t="s">
        <v>5169</v>
      </c>
      <c r="G133" t="s">
        <v>5390</v>
      </c>
    </row>
    <row r="134" spans="1:7" x14ac:dyDescent="0.2">
      <c r="A134" t="s">
        <v>72</v>
      </c>
      <c r="B134" t="s">
        <v>125</v>
      </c>
      <c r="C134" t="s">
        <v>1580</v>
      </c>
      <c r="D134" t="s">
        <v>24</v>
      </c>
      <c r="E134" t="s">
        <v>5391</v>
      </c>
      <c r="F134" t="s">
        <v>5160</v>
      </c>
      <c r="G134" t="s">
        <v>5379</v>
      </c>
    </row>
    <row r="135" spans="1:7" x14ac:dyDescent="0.2">
      <c r="A135" t="s">
        <v>72</v>
      </c>
      <c r="B135" t="s">
        <v>1586</v>
      </c>
      <c r="C135" t="s">
        <v>1587</v>
      </c>
      <c r="D135" t="s">
        <v>24</v>
      </c>
      <c r="E135" t="s">
        <v>5392</v>
      </c>
      <c r="F135" t="s">
        <v>5193</v>
      </c>
      <c r="G135" t="s">
        <v>5382</v>
      </c>
    </row>
    <row r="136" spans="1:7" x14ac:dyDescent="0.2">
      <c r="A136" t="s">
        <v>72</v>
      </c>
      <c r="B136" t="s">
        <v>1536</v>
      </c>
      <c r="C136" t="s">
        <v>295</v>
      </c>
      <c r="D136" t="s">
        <v>24</v>
      </c>
      <c r="E136" t="s">
        <v>5393</v>
      </c>
      <c r="F136" t="s">
        <v>5163</v>
      </c>
      <c r="G136" t="s">
        <v>5394</v>
      </c>
    </row>
    <row r="137" spans="1:7" x14ac:dyDescent="0.2">
      <c r="A137" t="s">
        <v>72</v>
      </c>
      <c r="B137" t="s">
        <v>328</v>
      </c>
      <c r="C137" t="s">
        <v>1553</v>
      </c>
      <c r="D137" t="s">
        <v>24</v>
      </c>
      <c r="E137" t="s">
        <v>5395</v>
      </c>
      <c r="F137" t="s">
        <v>5163</v>
      </c>
      <c r="G137" t="s">
        <v>5396</v>
      </c>
    </row>
    <row r="138" spans="1:7" x14ac:dyDescent="0.2">
      <c r="A138" t="s">
        <v>72</v>
      </c>
      <c r="B138" t="s">
        <v>1542</v>
      </c>
      <c r="C138" t="s">
        <v>1570</v>
      </c>
      <c r="D138" t="s">
        <v>24</v>
      </c>
      <c r="E138" t="s">
        <v>5397</v>
      </c>
      <c r="F138" t="s">
        <v>5169</v>
      </c>
      <c r="G138" t="s">
        <v>5210</v>
      </c>
    </row>
    <row r="139" spans="1:7" x14ac:dyDescent="0.2">
      <c r="A139" t="s">
        <v>56</v>
      </c>
      <c r="B139" t="s">
        <v>315</v>
      </c>
      <c r="C139" t="s">
        <v>1656</v>
      </c>
      <c r="D139" t="s">
        <v>24</v>
      </c>
      <c r="E139" t="s">
        <v>5398</v>
      </c>
      <c r="F139" t="s">
        <v>5160</v>
      </c>
      <c r="G139" t="s">
        <v>5399</v>
      </c>
    </row>
    <row r="140" spans="1:7" x14ac:dyDescent="0.2">
      <c r="A140" t="s">
        <v>56</v>
      </c>
      <c r="B140" t="s">
        <v>315</v>
      </c>
      <c r="C140" t="s">
        <v>1661</v>
      </c>
      <c r="D140" t="s">
        <v>24</v>
      </c>
      <c r="E140" t="s">
        <v>5400</v>
      </c>
      <c r="F140" t="s">
        <v>5160</v>
      </c>
      <c r="G140" t="s">
        <v>5401</v>
      </c>
    </row>
    <row r="141" spans="1:7" x14ac:dyDescent="0.2">
      <c r="A141" t="s">
        <v>56</v>
      </c>
      <c r="B141" t="s">
        <v>166</v>
      </c>
      <c r="C141" t="s">
        <v>1677</v>
      </c>
      <c r="D141" t="s">
        <v>24</v>
      </c>
      <c r="E141" t="s">
        <v>5402</v>
      </c>
      <c r="F141" t="s">
        <v>5193</v>
      </c>
      <c r="G141" t="s">
        <v>5403</v>
      </c>
    </row>
    <row r="142" spans="1:7" x14ac:dyDescent="0.2">
      <c r="A142" t="s">
        <v>56</v>
      </c>
      <c r="B142" t="s">
        <v>540</v>
      </c>
      <c r="C142" t="s">
        <v>1686</v>
      </c>
      <c r="D142" t="s">
        <v>24</v>
      </c>
      <c r="E142" t="s">
        <v>5404</v>
      </c>
      <c r="F142" t="s">
        <v>5169</v>
      </c>
      <c r="G142" t="s">
        <v>5405</v>
      </c>
    </row>
    <row r="143" spans="1:7" x14ac:dyDescent="0.2">
      <c r="A143" t="s">
        <v>56</v>
      </c>
      <c r="B143" t="s">
        <v>517</v>
      </c>
      <c r="C143" t="s">
        <v>705</v>
      </c>
      <c r="D143" t="s">
        <v>24</v>
      </c>
      <c r="E143" t="s">
        <v>5406</v>
      </c>
      <c r="F143" t="s">
        <v>5160</v>
      </c>
      <c r="G143" t="s">
        <v>5407</v>
      </c>
    </row>
    <row r="144" spans="1:7" x14ac:dyDescent="0.2">
      <c r="A144" t="s">
        <v>64</v>
      </c>
      <c r="B144" t="s">
        <v>1617</v>
      </c>
      <c r="C144" t="s">
        <v>1623</v>
      </c>
      <c r="D144" t="s">
        <v>24</v>
      </c>
      <c r="E144" t="s">
        <v>5408</v>
      </c>
      <c r="F144" t="s">
        <v>5409</v>
      </c>
      <c r="G144" t="s">
        <v>5208</v>
      </c>
    </row>
    <row r="145" spans="1:7" x14ac:dyDescent="0.2">
      <c r="A145" t="s">
        <v>64</v>
      </c>
      <c r="B145" t="s">
        <v>1432</v>
      </c>
      <c r="C145" t="s">
        <v>796</v>
      </c>
      <c r="D145" t="s">
        <v>24</v>
      </c>
      <c r="E145" t="s">
        <v>5410</v>
      </c>
      <c r="F145" t="s">
        <v>5352</v>
      </c>
      <c r="G145" t="s">
        <v>4569</v>
      </c>
    </row>
    <row r="146" spans="1:7" x14ac:dyDescent="0.2">
      <c r="A146" t="s">
        <v>64</v>
      </c>
      <c r="B146" t="s">
        <v>1247</v>
      </c>
      <c r="C146" t="s">
        <v>1601</v>
      </c>
      <c r="D146" t="s">
        <v>24</v>
      </c>
      <c r="E146" t="s">
        <v>5411</v>
      </c>
      <c r="F146" t="s">
        <v>5412</v>
      </c>
      <c r="G146" t="s">
        <v>5401</v>
      </c>
    </row>
    <row r="147" spans="1:7" x14ac:dyDescent="0.2">
      <c r="A147" t="s">
        <v>64</v>
      </c>
      <c r="B147" t="s">
        <v>4211</v>
      </c>
      <c r="C147" t="s">
        <v>717</v>
      </c>
      <c r="D147" t="s">
        <v>24</v>
      </c>
      <c r="E147" t="s">
        <v>5413</v>
      </c>
      <c r="F147" t="s">
        <v>5169</v>
      </c>
      <c r="G147" t="s">
        <v>5106</v>
      </c>
    </row>
    <row r="148" spans="1:7" x14ac:dyDescent="0.2">
      <c r="A148" t="s">
        <v>64</v>
      </c>
      <c r="B148" t="s">
        <v>188</v>
      </c>
      <c r="C148" t="s">
        <v>1612</v>
      </c>
      <c r="D148" t="s">
        <v>24</v>
      </c>
      <c r="E148" t="s">
        <v>5414</v>
      </c>
      <c r="F148" t="s">
        <v>5409</v>
      </c>
      <c r="G148" t="s">
        <v>5364</v>
      </c>
    </row>
    <row r="149" spans="1:7" x14ac:dyDescent="0.2">
      <c r="A149" t="s">
        <v>64</v>
      </c>
      <c r="B149" t="s">
        <v>1633</v>
      </c>
      <c r="C149" t="s">
        <v>1634</v>
      </c>
      <c r="D149" t="s">
        <v>24</v>
      </c>
      <c r="E149" t="s">
        <v>5415</v>
      </c>
      <c r="F149" t="s">
        <v>5193</v>
      </c>
      <c r="G149" t="s">
        <v>5223</v>
      </c>
    </row>
    <row r="150" spans="1:7" x14ac:dyDescent="0.2">
      <c r="A150" t="s">
        <v>59</v>
      </c>
      <c r="B150" t="s">
        <v>595</v>
      </c>
      <c r="C150" t="s">
        <v>431</v>
      </c>
      <c r="D150" t="s">
        <v>24</v>
      </c>
      <c r="E150" t="s">
        <v>5416</v>
      </c>
      <c r="F150" t="s">
        <v>5160</v>
      </c>
      <c r="G150" t="s">
        <v>5276</v>
      </c>
    </row>
    <row r="151" spans="1:7" x14ac:dyDescent="0.2">
      <c r="A151" t="s">
        <v>59</v>
      </c>
      <c r="B151" t="s">
        <v>250</v>
      </c>
      <c r="C151" t="s">
        <v>1700</v>
      </c>
      <c r="D151" t="s">
        <v>24</v>
      </c>
      <c r="E151" t="s">
        <v>5417</v>
      </c>
      <c r="F151" t="s">
        <v>5160</v>
      </c>
      <c r="G151" t="s">
        <v>5191</v>
      </c>
    </row>
    <row r="152" spans="1:7" x14ac:dyDescent="0.2">
      <c r="A152" t="s">
        <v>59</v>
      </c>
      <c r="B152" t="s">
        <v>125</v>
      </c>
      <c r="C152" t="s">
        <v>1048</v>
      </c>
      <c r="D152" t="s">
        <v>24</v>
      </c>
      <c r="E152" t="s">
        <v>5418</v>
      </c>
      <c r="F152" t="s">
        <v>5160</v>
      </c>
      <c r="G152" t="s">
        <v>5419</v>
      </c>
    </row>
    <row r="153" spans="1:7" x14ac:dyDescent="0.2">
      <c r="A153" t="s">
        <v>59</v>
      </c>
      <c r="B153" t="s">
        <v>287</v>
      </c>
      <c r="C153" t="s">
        <v>1733</v>
      </c>
      <c r="D153" t="s">
        <v>24</v>
      </c>
      <c r="E153" t="s">
        <v>5420</v>
      </c>
      <c r="F153" t="s">
        <v>5169</v>
      </c>
      <c r="G153" t="s">
        <v>5307</v>
      </c>
    </row>
    <row r="154" spans="1:7" x14ac:dyDescent="0.2">
      <c r="A154" t="s">
        <v>91</v>
      </c>
      <c r="B154" t="s">
        <v>125</v>
      </c>
      <c r="C154" t="s">
        <v>1748</v>
      </c>
      <c r="D154" t="s">
        <v>24</v>
      </c>
      <c r="E154" t="s">
        <v>5421</v>
      </c>
      <c r="F154" t="s">
        <v>5160</v>
      </c>
      <c r="G154" t="s">
        <v>5422</v>
      </c>
    </row>
    <row r="155" spans="1:7" x14ac:dyDescent="0.2">
      <c r="A155" t="s">
        <v>91</v>
      </c>
      <c r="B155" t="s">
        <v>287</v>
      </c>
      <c r="C155" t="s">
        <v>251</v>
      </c>
      <c r="D155" t="s">
        <v>24</v>
      </c>
      <c r="E155" t="s">
        <v>5423</v>
      </c>
      <c r="F155" t="s">
        <v>5169</v>
      </c>
      <c r="G155" t="s">
        <v>5164</v>
      </c>
    </row>
    <row r="156" spans="1:7" x14ac:dyDescent="0.2">
      <c r="A156" t="s">
        <v>91</v>
      </c>
      <c r="B156" t="s">
        <v>328</v>
      </c>
      <c r="C156" t="s">
        <v>437</v>
      </c>
      <c r="D156" t="s">
        <v>24</v>
      </c>
      <c r="E156" t="s">
        <v>5424</v>
      </c>
      <c r="F156" t="s">
        <v>5163</v>
      </c>
      <c r="G156" t="s">
        <v>5425</v>
      </c>
    </row>
    <row r="157" spans="1:7" x14ac:dyDescent="0.2">
      <c r="A157" t="s">
        <v>91</v>
      </c>
      <c r="B157" t="s">
        <v>166</v>
      </c>
      <c r="C157" t="s">
        <v>237</v>
      </c>
      <c r="D157" t="s">
        <v>24</v>
      </c>
      <c r="E157" t="s">
        <v>5426</v>
      </c>
      <c r="F157" t="s">
        <v>5193</v>
      </c>
      <c r="G157" t="s">
        <v>4447</v>
      </c>
    </row>
    <row r="158" spans="1:7" x14ac:dyDescent="0.2">
      <c r="A158" t="s">
        <v>91</v>
      </c>
      <c r="B158" t="s">
        <v>125</v>
      </c>
      <c r="C158" t="s">
        <v>316</v>
      </c>
      <c r="D158" t="s">
        <v>24</v>
      </c>
      <c r="E158" t="s">
        <v>5427</v>
      </c>
      <c r="F158" t="s">
        <v>5163</v>
      </c>
      <c r="G158" t="s">
        <v>5357</v>
      </c>
    </row>
    <row r="159" spans="1:7" x14ac:dyDescent="0.2">
      <c r="A159" t="s">
        <v>73</v>
      </c>
      <c r="B159" t="s">
        <v>166</v>
      </c>
      <c r="C159" t="s">
        <v>1661</v>
      </c>
      <c r="D159" t="s">
        <v>24</v>
      </c>
      <c r="E159" t="s">
        <v>5428</v>
      </c>
      <c r="F159" t="s">
        <v>5193</v>
      </c>
      <c r="G159" t="s">
        <v>5191</v>
      </c>
    </row>
    <row r="160" spans="1:7" x14ac:dyDescent="0.2">
      <c r="A160" t="s">
        <v>73</v>
      </c>
      <c r="B160" t="s">
        <v>287</v>
      </c>
      <c r="C160" t="s">
        <v>288</v>
      </c>
      <c r="D160" t="s">
        <v>24</v>
      </c>
      <c r="E160" t="s">
        <v>5429</v>
      </c>
      <c r="F160" t="s">
        <v>5169</v>
      </c>
      <c r="G160" t="s">
        <v>5430</v>
      </c>
    </row>
    <row r="161" spans="1:7" x14ac:dyDescent="0.2">
      <c r="A161" t="s">
        <v>73</v>
      </c>
      <c r="B161" t="s">
        <v>315</v>
      </c>
      <c r="C161" t="s">
        <v>1804</v>
      </c>
      <c r="D161" t="s">
        <v>24</v>
      </c>
      <c r="E161" t="s">
        <v>5431</v>
      </c>
      <c r="F161" t="s">
        <v>5160</v>
      </c>
      <c r="G161" t="s">
        <v>5432</v>
      </c>
    </row>
    <row r="162" spans="1:7" x14ac:dyDescent="0.2">
      <c r="A162" t="s">
        <v>73</v>
      </c>
      <c r="B162" t="s">
        <v>315</v>
      </c>
      <c r="C162" t="s">
        <v>841</v>
      </c>
      <c r="D162" t="s">
        <v>24</v>
      </c>
      <c r="E162" t="s">
        <v>5433</v>
      </c>
      <c r="F162" t="s">
        <v>5169</v>
      </c>
      <c r="G162" t="s">
        <v>5217</v>
      </c>
    </row>
    <row r="163" spans="1:7" x14ac:dyDescent="0.2">
      <c r="A163" t="s">
        <v>58</v>
      </c>
      <c r="B163" t="s">
        <v>1867</v>
      </c>
      <c r="C163" t="s">
        <v>5434</v>
      </c>
      <c r="D163" t="s">
        <v>24</v>
      </c>
      <c r="E163" t="s">
        <v>5435</v>
      </c>
      <c r="F163" t="s">
        <v>5160</v>
      </c>
      <c r="G163" t="s">
        <v>5436</v>
      </c>
    </row>
    <row r="164" spans="1:7" x14ac:dyDescent="0.2">
      <c r="A164" t="s">
        <v>58</v>
      </c>
      <c r="B164" t="s">
        <v>802</v>
      </c>
      <c r="C164" t="s">
        <v>1879</v>
      </c>
      <c r="D164" t="s">
        <v>24</v>
      </c>
      <c r="E164" t="s">
        <v>5437</v>
      </c>
      <c r="F164" t="s">
        <v>5438</v>
      </c>
      <c r="G164" t="s">
        <v>5439</v>
      </c>
    </row>
    <row r="165" spans="1:7" x14ac:dyDescent="0.2">
      <c r="A165" t="s">
        <v>58</v>
      </c>
      <c r="B165" t="s">
        <v>287</v>
      </c>
      <c r="C165" t="s">
        <v>1851</v>
      </c>
      <c r="D165" t="s">
        <v>24</v>
      </c>
      <c r="E165" t="s">
        <v>5440</v>
      </c>
      <c r="F165" t="s">
        <v>5441</v>
      </c>
      <c r="G165" t="s">
        <v>5191</v>
      </c>
    </row>
    <row r="166" spans="1:7" x14ac:dyDescent="0.2">
      <c r="A166" t="s">
        <v>58</v>
      </c>
      <c r="B166" t="s">
        <v>287</v>
      </c>
      <c r="C166" t="s">
        <v>389</v>
      </c>
      <c r="D166" t="s">
        <v>24</v>
      </c>
      <c r="E166" t="s">
        <v>5442</v>
      </c>
      <c r="F166" t="s">
        <v>5160</v>
      </c>
      <c r="G166" t="s">
        <v>5443</v>
      </c>
    </row>
    <row r="167" spans="1:7" x14ac:dyDescent="0.2">
      <c r="A167" t="s">
        <v>62</v>
      </c>
      <c r="B167" t="s">
        <v>1895</v>
      </c>
      <c r="C167" t="s">
        <v>1903</v>
      </c>
      <c r="D167" t="s">
        <v>24</v>
      </c>
      <c r="E167" t="s">
        <v>5444</v>
      </c>
      <c r="F167" t="s">
        <v>5169</v>
      </c>
      <c r="G167" t="s">
        <v>5445</v>
      </c>
    </row>
    <row r="168" spans="1:7" x14ac:dyDescent="0.2">
      <c r="A168" t="s">
        <v>62</v>
      </c>
      <c r="B168" t="s">
        <v>315</v>
      </c>
      <c r="C168" t="s">
        <v>1548</v>
      </c>
      <c r="D168" t="s">
        <v>24</v>
      </c>
      <c r="E168" t="s">
        <v>5446</v>
      </c>
      <c r="F168" t="s">
        <v>5163</v>
      </c>
      <c r="G168" t="s">
        <v>5447</v>
      </c>
    </row>
    <row r="169" spans="1:7" x14ac:dyDescent="0.2">
      <c r="A169" t="s">
        <v>62</v>
      </c>
      <c r="B169" t="s">
        <v>125</v>
      </c>
      <c r="C169" t="s">
        <v>280</v>
      </c>
      <c r="D169" t="s">
        <v>24</v>
      </c>
      <c r="E169" t="s">
        <v>5448</v>
      </c>
      <c r="F169" t="s">
        <v>5160</v>
      </c>
      <c r="G169" t="s">
        <v>5449</v>
      </c>
    </row>
    <row r="170" spans="1:7" x14ac:dyDescent="0.2">
      <c r="A170" t="s">
        <v>62</v>
      </c>
      <c r="B170" t="s">
        <v>328</v>
      </c>
      <c r="C170" t="s">
        <v>295</v>
      </c>
      <c r="D170" t="s">
        <v>24</v>
      </c>
      <c r="E170" t="s">
        <v>5450</v>
      </c>
      <c r="F170" t="s">
        <v>5163</v>
      </c>
      <c r="G170" t="s">
        <v>5388</v>
      </c>
    </row>
    <row r="171" spans="1:7" x14ac:dyDescent="0.2">
      <c r="A171" t="s">
        <v>62</v>
      </c>
      <c r="B171" t="s">
        <v>166</v>
      </c>
      <c r="C171" t="s">
        <v>1928</v>
      </c>
      <c r="D171" t="s">
        <v>24</v>
      </c>
      <c r="E171" t="s">
        <v>5451</v>
      </c>
      <c r="F171" t="s">
        <v>5193</v>
      </c>
      <c r="G171" t="s">
        <v>5231</v>
      </c>
    </row>
    <row r="172" spans="1:7" x14ac:dyDescent="0.2">
      <c r="A172" t="s">
        <v>62</v>
      </c>
      <c r="B172" t="s">
        <v>4392</v>
      </c>
      <c r="C172" t="s">
        <v>5452</v>
      </c>
      <c r="D172" t="s">
        <v>24</v>
      </c>
      <c r="E172" t="s">
        <v>5453</v>
      </c>
      <c r="F172" t="s">
        <v>5163</v>
      </c>
      <c r="G172" t="s">
        <v>5454</v>
      </c>
    </row>
    <row r="173" spans="1:7" x14ac:dyDescent="0.2">
      <c r="A173" t="s">
        <v>95</v>
      </c>
      <c r="B173" t="s">
        <v>437</v>
      </c>
      <c r="C173" t="s">
        <v>2067</v>
      </c>
      <c r="D173" t="s">
        <v>24</v>
      </c>
      <c r="E173" t="s">
        <v>5455</v>
      </c>
      <c r="F173" t="s">
        <v>5163</v>
      </c>
      <c r="G173" t="s">
        <v>5443</v>
      </c>
    </row>
    <row r="174" spans="1:7" x14ac:dyDescent="0.2">
      <c r="A174" t="s">
        <v>95</v>
      </c>
      <c r="B174" t="s">
        <v>2041</v>
      </c>
      <c r="C174" t="s">
        <v>2054</v>
      </c>
      <c r="D174" t="s">
        <v>24</v>
      </c>
      <c r="E174" t="s">
        <v>5456</v>
      </c>
      <c r="F174" t="s">
        <v>5160</v>
      </c>
      <c r="G174" t="s">
        <v>5457</v>
      </c>
    </row>
    <row r="175" spans="1:7" x14ac:dyDescent="0.2">
      <c r="A175" t="s">
        <v>95</v>
      </c>
      <c r="B175" t="s">
        <v>2041</v>
      </c>
      <c r="C175" t="s">
        <v>2046</v>
      </c>
      <c r="D175" t="s">
        <v>24</v>
      </c>
      <c r="E175" t="s">
        <v>5458</v>
      </c>
      <c r="F175" t="s">
        <v>5160</v>
      </c>
      <c r="G175" t="s">
        <v>5172</v>
      </c>
    </row>
    <row r="176" spans="1:7" x14ac:dyDescent="0.2">
      <c r="A176" t="s">
        <v>95</v>
      </c>
      <c r="B176" t="s">
        <v>517</v>
      </c>
      <c r="C176" t="s">
        <v>2037</v>
      </c>
      <c r="D176" t="s">
        <v>24</v>
      </c>
      <c r="E176" t="s">
        <v>5459</v>
      </c>
      <c r="F176" t="s">
        <v>5160</v>
      </c>
      <c r="G176" t="s">
        <v>5460</v>
      </c>
    </row>
    <row r="177" spans="1:7" x14ac:dyDescent="0.2">
      <c r="A177" t="s">
        <v>95</v>
      </c>
      <c r="B177" t="s">
        <v>329</v>
      </c>
      <c r="C177" t="s">
        <v>1300</v>
      </c>
      <c r="D177" t="s">
        <v>24</v>
      </c>
      <c r="E177" t="s">
        <v>5461</v>
      </c>
      <c r="F177" t="s">
        <v>5163</v>
      </c>
      <c r="G177" t="s">
        <v>5357</v>
      </c>
    </row>
    <row r="178" spans="1:7" x14ac:dyDescent="0.2">
      <c r="A178" t="s">
        <v>95</v>
      </c>
      <c r="B178" t="s">
        <v>2041</v>
      </c>
      <c r="C178" t="s">
        <v>2042</v>
      </c>
      <c r="D178" t="s">
        <v>24</v>
      </c>
      <c r="E178" t="s">
        <v>5462</v>
      </c>
      <c r="F178" t="s">
        <v>5169</v>
      </c>
      <c r="G178" t="s">
        <v>5259</v>
      </c>
    </row>
    <row r="179" spans="1:7" x14ac:dyDescent="0.2">
      <c r="A179" t="s">
        <v>67</v>
      </c>
      <c r="B179" t="s">
        <v>158</v>
      </c>
      <c r="C179" t="s">
        <v>1944</v>
      </c>
      <c r="D179" t="s">
        <v>24</v>
      </c>
      <c r="E179" t="s">
        <v>5463</v>
      </c>
      <c r="F179" t="s">
        <v>5163</v>
      </c>
      <c r="G179" t="s">
        <v>5464</v>
      </c>
    </row>
    <row r="180" spans="1:7" x14ac:dyDescent="0.2">
      <c r="A180" t="s">
        <v>67</v>
      </c>
      <c r="B180" t="s">
        <v>158</v>
      </c>
      <c r="C180" t="s">
        <v>5465</v>
      </c>
      <c r="D180" t="s">
        <v>24</v>
      </c>
      <c r="E180" t="s">
        <v>5466</v>
      </c>
      <c r="F180" t="s">
        <v>5169</v>
      </c>
      <c r="G180" t="s">
        <v>5467</v>
      </c>
    </row>
    <row r="181" spans="1:7" x14ac:dyDescent="0.2">
      <c r="A181" t="s">
        <v>67</v>
      </c>
      <c r="B181" t="s">
        <v>125</v>
      </c>
      <c r="C181" t="s">
        <v>1909</v>
      </c>
      <c r="D181" t="s">
        <v>24</v>
      </c>
      <c r="E181" t="s">
        <v>5468</v>
      </c>
      <c r="F181" t="s">
        <v>5160</v>
      </c>
      <c r="G181" t="s">
        <v>5331</v>
      </c>
    </row>
    <row r="182" spans="1:7" x14ac:dyDescent="0.2">
      <c r="A182" t="s">
        <v>67</v>
      </c>
      <c r="B182" t="s">
        <v>166</v>
      </c>
      <c r="C182" t="s">
        <v>5133</v>
      </c>
      <c r="D182" t="s">
        <v>24</v>
      </c>
      <c r="E182" t="s">
        <v>5469</v>
      </c>
      <c r="F182" t="s">
        <v>5193</v>
      </c>
      <c r="G182" t="s">
        <v>4570</v>
      </c>
    </row>
    <row r="183" spans="1:7" x14ac:dyDescent="0.2">
      <c r="A183" t="s">
        <v>67</v>
      </c>
      <c r="B183" t="s">
        <v>287</v>
      </c>
      <c r="C183" t="s">
        <v>1970</v>
      </c>
      <c r="D183" t="s">
        <v>24</v>
      </c>
      <c r="E183" t="s">
        <v>5470</v>
      </c>
      <c r="F183" t="s">
        <v>5169</v>
      </c>
      <c r="G183" t="s">
        <v>4569</v>
      </c>
    </row>
    <row r="184" spans="1:7" x14ac:dyDescent="0.2">
      <c r="A184" t="s">
        <v>60</v>
      </c>
      <c r="B184" t="s">
        <v>174</v>
      </c>
      <c r="C184" t="s">
        <v>2015</v>
      </c>
      <c r="D184" t="s">
        <v>24</v>
      </c>
      <c r="E184" t="s">
        <v>5471</v>
      </c>
      <c r="F184" t="s">
        <v>5169</v>
      </c>
      <c r="G184" t="s">
        <v>5472</v>
      </c>
    </row>
    <row r="185" spans="1:7" x14ac:dyDescent="0.2">
      <c r="A185" t="s">
        <v>60</v>
      </c>
      <c r="B185" t="s">
        <v>1988</v>
      </c>
      <c r="C185" t="s">
        <v>841</v>
      </c>
      <c r="D185" t="s">
        <v>24</v>
      </c>
      <c r="E185" t="s">
        <v>5473</v>
      </c>
      <c r="F185" t="s">
        <v>5169</v>
      </c>
      <c r="G185" t="s">
        <v>5276</v>
      </c>
    </row>
    <row r="186" spans="1:7" x14ac:dyDescent="0.2">
      <c r="A186" t="s">
        <v>60</v>
      </c>
      <c r="B186" t="s">
        <v>328</v>
      </c>
      <c r="C186" t="s">
        <v>2001</v>
      </c>
      <c r="D186" t="s">
        <v>24</v>
      </c>
      <c r="E186" t="s">
        <v>5474</v>
      </c>
      <c r="F186" t="s">
        <v>5163</v>
      </c>
      <c r="G186" t="s">
        <v>5475</v>
      </c>
    </row>
    <row r="187" spans="1:7" x14ac:dyDescent="0.2">
      <c r="A187" t="s">
        <v>60</v>
      </c>
      <c r="B187" t="s">
        <v>125</v>
      </c>
      <c r="C187" t="s">
        <v>709</v>
      </c>
      <c r="D187" t="s">
        <v>24</v>
      </c>
      <c r="E187" t="s">
        <v>5476</v>
      </c>
      <c r="F187" t="s">
        <v>5160</v>
      </c>
      <c r="G187" t="s">
        <v>5445</v>
      </c>
    </row>
    <row r="188" spans="1:7" x14ac:dyDescent="0.2">
      <c r="A188" t="s">
        <v>60</v>
      </c>
      <c r="B188" t="s">
        <v>595</v>
      </c>
      <c r="C188" t="s">
        <v>680</v>
      </c>
      <c r="D188" t="s">
        <v>24</v>
      </c>
      <c r="E188" t="s">
        <v>5477</v>
      </c>
      <c r="F188" t="s">
        <v>5193</v>
      </c>
      <c r="G188" t="s">
        <v>5478</v>
      </c>
    </row>
    <row r="189" spans="1:7" x14ac:dyDescent="0.2">
      <c r="A189" t="s">
        <v>60</v>
      </c>
      <c r="B189" t="s">
        <v>166</v>
      </c>
      <c r="C189" t="s">
        <v>802</v>
      </c>
      <c r="D189" t="s">
        <v>24</v>
      </c>
      <c r="E189" t="s">
        <v>5479</v>
      </c>
      <c r="F189" t="s">
        <v>5193</v>
      </c>
      <c r="G189" t="s">
        <v>5480</v>
      </c>
    </row>
    <row r="190" spans="1:7" x14ac:dyDescent="0.2">
      <c r="A190" t="s">
        <v>77</v>
      </c>
      <c r="B190" t="s">
        <v>1026</v>
      </c>
      <c r="C190" t="s">
        <v>2128</v>
      </c>
      <c r="D190" t="s">
        <v>24</v>
      </c>
      <c r="E190" t="s">
        <v>5481</v>
      </c>
      <c r="F190" t="s">
        <v>5160</v>
      </c>
      <c r="G190" t="s">
        <v>5482</v>
      </c>
    </row>
    <row r="191" spans="1:7" x14ac:dyDescent="0.2">
      <c r="A191" t="s">
        <v>77</v>
      </c>
      <c r="B191" t="s">
        <v>1026</v>
      </c>
      <c r="C191" t="s">
        <v>2133</v>
      </c>
      <c r="D191" t="s">
        <v>24</v>
      </c>
      <c r="E191" t="s">
        <v>5483</v>
      </c>
      <c r="F191" t="s">
        <v>5160</v>
      </c>
      <c r="G191" t="s">
        <v>5355</v>
      </c>
    </row>
    <row r="192" spans="1:7" x14ac:dyDescent="0.2">
      <c r="A192" t="s">
        <v>77</v>
      </c>
      <c r="B192" t="s">
        <v>595</v>
      </c>
      <c r="C192" t="s">
        <v>431</v>
      </c>
      <c r="D192" t="s">
        <v>24</v>
      </c>
      <c r="E192" t="s">
        <v>5484</v>
      </c>
      <c r="F192" t="s">
        <v>5193</v>
      </c>
      <c r="G192" t="s">
        <v>4569</v>
      </c>
    </row>
    <row r="193" spans="1:7" x14ac:dyDescent="0.2">
      <c r="A193" t="s">
        <v>77</v>
      </c>
      <c r="B193" t="s">
        <v>328</v>
      </c>
      <c r="C193" t="s">
        <v>5485</v>
      </c>
      <c r="D193" t="s">
        <v>24</v>
      </c>
      <c r="E193" t="s">
        <v>5486</v>
      </c>
      <c r="F193" t="s">
        <v>5163</v>
      </c>
      <c r="G193" t="s">
        <v>5487</v>
      </c>
    </row>
    <row r="194" spans="1:7" x14ac:dyDescent="0.2">
      <c r="A194" t="s">
        <v>77</v>
      </c>
      <c r="B194" t="s">
        <v>1247</v>
      </c>
      <c r="C194" t="s">
        <v>2042</v>
      </c>
      <c r="D194" t="s">
        <v>24</v>
      </c>
      <c r="E194" t="s">
        <v>5488</v>
      </c>
      <c r="F194" t="s">
        <v>5169</v>
      </c>
      <c r="G194" t="s">
        <v>5208</v>
      </c>
    </row>
    <row r="195" spans="1:7" x14ac:dyDescent="0.2">
      <c r="A195" t="s">
        <v>77</v>
      </c>
      <c r="B195" t="s">
        <v>504</v>
      </c>
      <c r="C195" t="s">
        <v>2164</v>
      </c>
      <c r="D195" t="s">
        <v>24</v>
      </c>
      <c r="E195" t="s">
        <v>5489</v>
      </c>
      <c r="F195" t="s">
        <v>5160</v>
      </c>
      <c r="G195" t="s">
        <v>5407</v>
      </c>
    </row>
    <row r="196" spans="1:7" x14ac:dyDescent="0.2">
      <c r="A196" t="s">
        <v>65</v>
      </c>
      <c r="B196" t="s">
        <v>2087</v>
      </c>
      <c r="C196" t="s">
        <v>1686</v>
      </c>
      <c r="D196" t="s">
        <v>24</v>
      </c>
      <c r="E196" t="s">
        <v>5490</v>
      </c>
      <c r="F196" t="s">
        <v>5169</v>
      </c>
      <c r="G196" t="s">
        <v>5491</v>
      </c>
    </row>
    <row r="197" spans="1:7" x14ac:dyDescent="0.2">
      <c r="A197" t="s">
        <v>65</v>
      </c>
      <c r="B197" t="s">
        <v>1542</v>
      </c>
      <c r="C197" t="s">
        <v>2102</v>
      </c>
      <c r="D197" t="s">
        <v>24</v>
      </c>
      <c r="E197" t="s">
        <v>5492</v>
      </c>
      <c r="F197" t="s">
        <v>5160</v>
      </c>
      <c r="G197" t="s">
        <v>5493</v>
      </c>
    </row>
    <row r="198" spans="1:7" x14ac:dyDescent="0.2">
      <c r="A198" t="s">
        <v>65</v>
      </c>
      <c r="B198" t="s">
        <v>125</v>
      </c>
      <c r="C198" t="s">
        <v>2110</v>
      </c>
      <c r="D198" t="s">
        <v>24</v>
      </c>
      <c r="E198" t="s">
        <v>5494</v>
      </c>
      <c r="F198" t="s">
        <v>5160</v>
      </c>
      <c r="G198" t="s">
        <v>5495</v>
      </c>
    </row>
    <row r="199" spans="1:7" x14ac:dyDescent="0.2">
      <c r="A199" t="s">
        <v>65</v>
      </c>
      <c r="B199" t="s">
        <v>135</v>
      </c>
      <c r="C199" t="s">
        <v>295</v>
      </c>
      <c r="D199" t="s">
        <v>24</v>
      </c>
      <c r="E199" t="s">
        <v>5496</v>
      </c>
      <c r="F199" t="s">
        <v>5163</v>
      </c>
      <c r="G199" t="s">
        <v>5497</v>
      </c>
    </row>
    <row r="200" spans="1:7" x14ac:dyDescent="0.2">
      <c r="A200" t="s">
        <v>65</v>
      </c>
      <c r="B200" t="s">
        <v>2080</v>
      </c>
      <c r="C200" t="s">
        <v>2081</v>
      </c>
      <c r="D200" t="s">
        <v>24</v>
      </c>
      <c r="E200" t="s">
        <v>5498</v>
      </c>
      <c r="F200" t="s">
        <v>5193</v>
      </c>
      <c r="G200" t="s">
        <v>5499</v>
      </c>
    </row>
    <row r="201" spans="1:7" x14ac:dyDescent="0.2">
      <c r="A201" t="s">
        <v>65</v>
      </c>
      <c r="B201" t="s">
        <v>2118</v>
      </c>
      <c r="C201" t="s">
        <v>2119</v>
      </c>
      <c r="D201" t="s">
        <v>24</v>
      </c>
      <c r="E201" t="s">
        <v>5500</v>
      </c>
      <c r="F201" t="s">
        <v>5160</v>
      </c>
      <c r="G201" t="s">
        <v>5501</v>
      </c>
    </row>
    <row r="202" spans="1:7" x14ac:dyDescent="0.2">
      <c r="A202" t="s">
        <v>87</v>
      </c>
      <c r="B202" t="s">
        <v>328</v>
      </c>
      <c r="C202" t="s">
        <v>1949</v>
      </c>
      <c r="D202" t="s">
        <v>24</v>
      </c>
      <c r="E202" t="s">
        <v>5502</v>
      </c>
      <c r="F202" t="s">
        <v>5160</v>
      </c>
      <c r="G202" t="s">
        <v>5164</v>
      </c>
    </row>
    <row r="203" spans="1:7" x14ac:dyDescent="0.2">
      <c r="A203" t="s">
        <v>87</v>
      </c>
      <c r="B203" t="s">
        <v>2193</v>
      </c>
      <c r="C203" t="s">
        <v>2199</v>
      </c>
      <c r="D203" t="s">
        <v>24</v>
      </c>
      <c r="E203" t="s">
        <v>5503</v>
      </c>
      <c r="F203" t="s">
        <v>5160</v>
      </c>
      <c r="G203" t="s">
        <v>5236</v>
      </c>
    </row>
    <row r="204" spans="1:7" x14ac:dyDescent="0.2">
      <c r="A204" t="s">
        <v>87</v>
      </c>
      <c r="B204" t="s">
        <v>1988</v>
      </c>
      <c r="C204" t="s">
        <v>841</v>
      </c>
      <c r="D204" t="s">
        <v>24</v>
      </c>
      <c r="E204" t="s">
        <v>5504</v>
      </c>
      <c r="F204" t="s">
        <v>5505</v>
      </c>
      <c r="G204" t="s">
        <v>5339</v>
      </c>
    </row>
    <row r="205" spans="1:7" x14ac:dyDescent="0.2">
      <c r="A205" t="s">
        <v>87</v>
      </c>
      <c r="B205" t="s">
        <v>1988</v>
      </c>
      <c r="C205" t="s">
        <v>588</v>
      </c>
      <c r="D205" t="s">
        <v>24</v>
      </c>
      <c r="E205" t="s">
        <v>5506</v>
      </c>
      <c r="F205" t="s">
        <v>5160</v>
      </c>
      <c r="G205" t="s">
        <v>5172</v>
      </c>
    </row>
    <row r="206" spans="1:7" x14ac:dyDescent="0.2">
      <c r="A206" t="s">
        <v>87</v>
      </c>
      <c r="B206" t="s">
        <v>188</v>
      </c>
      <c r="C206" t="s">
        <v>835</v>
      </c>
      <c r="D206" t="s">
        <v>24</v>
      </c>
      <c r="E206" t="s">
        <v>5507</v>
      </c>
      <c r="F206" t="s">
        <v>5160</v>
      </c>
      <c r="G206" t="s">
        <v>5322</v>
      </c>
    </row>
    <row r="207" spans="1:7" x14ac:dyDescent="0.2">
      <c r="A207" t="s">
        <v>70</v>
      </c>
      <c r="B207" t="s">
        <v>2243</v>
      </c>
      <c r="C207" t="s">
        <v>2244</v>
      </c>
      <c r="D207" t="s">
        <v>24</v>
      </c>
      <c r="E207" t="s">
        <v>5508</v>
      </c>
      <c r="F207" t="s">
        <v>5169</v>
      </c>
      <c r="G207" t="s">
        <v>5364</v>
      </c>
    </row>
    <row r="208" spans="1:7" x14ac:dyDescent="0.2">
      <c r="A208" t="s">
        <v>70</v>
      </c>
      <c r="B208" t="s">
        <v>2243</v>
      </c>
      <c r="C208" t="s">
        <v>4658</v>
      </c>
      <c r="D208" t="s">
        <v>24</v>
      </c>
      <c r="E208" t="s">
        <v>5509</v>
      </c>
      <c r="F208" t="s">
        <v>5160</v>
      </c>
      <c r="G208" t="s">
        <v>5164</v>
      </c>
    </row>
    <row r="209" spans="1:7" x14ac:dyDescent="0.2">
      <c r="A209" t="s">
        <v>70</v>
      </c>
      <c r="B209" t="s">
        <v>2211</v>
      </c>
      <c r="C209" t="s">
        <v>2212</v>
      </c>
      <c r="D209" t="s">
        <v>24</v>
      </c>
      <c r="E209" t="s">
        <v>5510</v>
      </c>
      <c r="F209" t="s">
        <v>5160</v>
      </c>
      <c r="G209" t="s">
        <v>5285</v>
      </c>
    </row>
    <row r="210" spans="1:7" x14ac:dyDescent="0.2">
      <c r="A210" t="s">
        <v>70</v>
      </c>
      <c r="B210" t="s">
        <v>481</v>
      </c>
      <c r="C210" t="s">
        <v>1152</v>
      </c>
      <c r="D210" t="s">
        <v>24</v>
      </c>
      <c r="E210" t="s">
        <v>5511</v>
      </c>
      <c r="F210" t="s">
        <v>5163</v>
      </c>
      <c r="G210" t="s">
        <v>5172</v>
      </c>
    </row>
    <row r="211" spans="1:7" x14ac:dyDescent="0.2">
      <c r="A211" t="s">
        <v>70</v>
      </c>
      <c r="B211" t="s">
        <v>481</v>
      </c>
      <c r="C211" t="s">
        <v>784</v>
      </c>
      <c r="D211" t="s">
        <v>24</v>
      </c>
      <c r="E211" t="s">
        <v>5512</v>
      </c>
      <c r="F211" t="s">
        <v>5160</v>
      </c>
      <c r="G211" t="s">
        <v>4447</v>
      </c>
    </row>
    <row r="212" spans="1:7" x14ac:dyDescent="0.2">
      <c r="A212" t="s">
        <v>83</v>
      </c>
      <c r="B212" t="s">
        <v>504</v>
      </c>
      <c r="C212" t="s">
        <v>2282</v>
      </c>
      <c r="D212" t="s">
        <v>24</v>
      </c>
      <c r="E212" t="s">
        <v>5513</v>
      </c>
      <c r="F212" t="s">
        <v>5163</v>
      </c>
      <c r="G212" t="s">
        <v>5181</v>
      </c>
    </row>
    <row r="213" spans="1:7" x14ac:dyDescent="0.2">
      <c r="A213" t="s">
        <v>83</v>
      </c>
      <c r="B213" t="s">
        <v>1496</v>
      </c>
      <c r="C213" t="s">
        <v>5514</v>
      </c>
      <c r="D213" t="s">
        <v>24</v>
      </c>
      <c r="E213" t="s">
        <v>5515</v>
      </c>
      <c r="F213" t="s">
        <v>5160</v>
      </c>
      <c r="G213" t="s">
        <v>5236</v>
      </c>
    </row>
    <row r="214" spans="1:7" x14ac:dyDescent="0.2">
      <c r="A214" t="s">
        <v>83</v>
      </c>
      <c r="B214" t="s">
        <v>595</v>
      </c>
      <c r="C214" t="s">
        <v>2277</v>
      </c>
      <c r="D214" t="s">
        <v>24</v>
      </c>
      <c r="E214" t="s">
        <v>5516</v>
      </c>
      <c r="F214" t="s">
        <v>5193</v>
      </c>
      <c r="G214" t="s">
        <v>5517</v>
      </c>
    </row>
    <row r="215" spans="1:7" x14ac:dyDescent="0.2">
      <c r="A215" t="s">
        <v>83</v>
      </c>
      <c r="B215" t="s">
        <v>595</v>
      </c>
      <c r="C215" t="s">
        <v>2287</v>
      </c>
      <c r="D215" t="s">
        <v>24</v>
      </c>
      <c r="E215" t="s">
        <v>5518</v>
      </c>
      <c r="F215" t="s">
        <v>5169</v>
      </c>
      <c r="G215" t="s">
        <v>5519</v>
      </c>
    </row>
    <row r="216" spans="1:7" x14ac:dyDescent="0.2">
      <c r="A216" t="s">
        <v>83</v>
      </c>
      <c r="B216" t="s">
        <v>287</v>
      </c>
      <c r="C216" t="s">
        <v>2292</v>
      </c>
      <c r="D216" t="s">
        <v>24</v>
      </c>
      <c r="E216" t="s">
        <v>5520</v>
      </c>
      <c r="F216" t="s">
        <v>5169</v>
      </c>
      <c r="G216" t="s">
        <v>5357</v>
      </c>
    </row>
    <row r="217" spans="1:7" x14ac:dyDescent="0.2">
      <c r="A217" t="s">
        <v>83</v>
      </c>
      <c r="B217" t="s">
        <v>125</v>
      </c>
      <c r="C217" t="s">
        <v>709</v>
      </c>
      <c r="D217" t="s">
        <v>24</v>
      </c>
      <c r="E217" t="s">
        <v>5521</v>
      </c>
      <c r="F217" t="s">
        <v>5160</v>
      </c>
      <c r="G217" t="s">
        <v>5339</v>
      </c>
    </row>
    <row r="218" spans="1:7" x14ac:dyDescent="0.2">
      <c r="A218" t="s">
        <v>26</v>
      </c>
      <c r="B218" t="s">
        <v>2349</v>
      </c>
      <c r="C218" t="s">
        <v>2350</v>
      </c>
      <c r="D218" t="s">
        <v>24</v>
      </c>
      <c r="E218" t="s">
        <v>5522</v>
      </c>
      <c r="F218" t="s">
        <v>5193</v>
      </c>
      <c r="G218" t="s">
        <v>5241</v>
      </c>
    </row>
    <row r="219" spans="1:7" x14ac:dyDescent="0.2">
      <c r="A219" t="s">
        <v>26</v>
      </c>
      <c r="B219" t="s">
        <v>188</v>
      </c>
      <c r="C219" t="s">
        <v>835</v>
      </c>
      <c r="D219" t="s">
        <v>24</v>
      </c>
      <c r="E219" t="s">
        <v>5523</v>
      </c>
      <c r="F219" t="s">
        <v>5160</v>
      </c>
      <c r="G219" t="s">
        <v>5524</v>
      </c>
    </row>
    <row r="220" spans="1:7" x14ac:dyDescent="0.2">
      <c r="A220" t="s">
        <v>26</v>
      </c>
      <c r="B220" t="s">
        <v>125</v>
      </c>
      <c r="C220" t="s">
        <v>2329</v>
      </c>
      <c r="D220" t="s">
        <v>24</v>
      </c>
      <c r="E220" t="s">
        <v>5525</v>
      </c>
      <c r="F220" t="s">
        <v>5169</v>
      </c>
      <c r="G220" t="s">
        <v>5526</v>
      </c>
    </row>
    <row r="221" spans="1:7" x14ac:dyDescent="0.2">
      <c r="A221" t="s">
        <v>26</v>
      </c>
      <c r="B221" t="s">
        <v>2311</v>
      </c>
      <c r="C221" t="s">
        <v>2333</v>
      </c>
      <c r="D221" t="s">
        <v>24</v>
      </c>
      <c r="E221" t="s">
        <v>5527</v>
      </c>
      <c r="F221" t="s">
        <v>5163</v>
      </c>
      <c r="G221" t="s">
        <v>5528</v>
      </c>
    </row>
    <row r="222" spans="1:7" x14ac:dyDescent="0.2">
      <c r="A222" t="s">
        <v>26</v>
      </c>
      <c r="B222" t="s">
        <v>2317</v>
      </c>
      <c r="C222" t="s">
        <v>5529</v>
      </c>
      <c r="D222" t="s">
        <v>24</v>
      </c>
      <c r="E222" t="s">
        <v>5530</v>
      </c>
      <c r="F222" t="s">
        <v>5160</v>
      </c>
      <c r="G222" t="s">
        <v>5531</v>
      </c>
    </row>
    <row r="223" spans="1:7" x14ac:dyDescent="0.2">
      <c r="A223" t="s">
        <v>22</v>
      </c>
      <c r="B223" t="s">
        <v>2369</v>
      </c>
      <c r="C223" t="s">
        <v>555</v>
      </c>
      <c r="D223" t="s">
        <v>24</v>
      </c>
      <c r="E223" t="s">
        <v>5532</v>
      </c>
      <c r="F223" t="s">
        <v>5160</v>
      </c>
      <c r="G223" t="s">
        <v>5288</v>
      </c>
    </row>
    <row r="224" spans="1:7" x14ac:dyDescent="0.2">
      <c r="A224" t="s">
        <v>22</v>
      </c>
      <c r="B224" t="s">
        <v>525</v>
      </c>
      <c r="C224" t="s">
        <v>2382</v>
      </c>
      <c r="D224" t="s">
        <v>24</v>
      </c>
      <c r="E224" t="s">
        <v>5533</v>
      </c>
      <c r="F224" t="s">
        <v>5160</v>
      </c>
      <c r="G224" t="s">
        <v>5534</v>
      </c>
    </row>
    <row r="225" spans="1:7" x14ac:dyDescent="0.2">
      <c r="A225" t="s">
        <v>22</v>
      </c>
      <c r="B225" t="s">
        <v>2405</v>
      </c>
      <c r="C225" t="s">
        <v>2406</v>
      </c>
      <c r="D225" t="s">
        <v>24</v>
      </c>
      <c r="E225" t="s">
        <v>5535</v>
      </c>
      <c r="F225" t="s">
        <v>5160</v>
      </c>
      <c r="G225" t="s">
        <v>5536</v>
      </c>
    </row>
    <row r="226" spans="1:7" x14ac:dyDescent="0.2">
      <c r="A226" t="s">
        <v>22</v>
      </c>
      <c r="B226" t="s">
        <v>1001</v>
      </c>
      <c r="C226" t="s">
        <v>2411</v>
      </c>
      <c r="D226" t="s">
        <v>24</v>
      </c>
      <c r="E226" t="s">
        <v>5537</v>
      </c>
      <c r="F226" t="s">
        <v>5163</v>
      </c>
      <c r="G226" t="s">
        <v>5538</v>
      </c>
    </row>
    <row r="227" spans="1:7" x14ac:dyDescent="0.2">
      <c r="A227" t="s">
        <v>22</v>
      </c>
      <c r="B227" t="s">
        <v>166</v>
      </c>
      <c r="C227" t="s">
        <v>564</v>
      </c>
      <c r="D227" t="s">
        <v>24</v>
      </c>
      <c r="E227" t="s">
        <v>5539</v>
      </c>
      <c r="F227" t="s">
        <v>5193</v>
      </c>
      <c r="G227" t="s">
        <v>5540</v>
      </c>
    </row>
    <row r="228" spans="1:7" x14ac:dyDescent="0.2">
      <c r="A228" t="s">
        <v>22</v>
      </c>
      <c r="B228" t="s">
        <v>504</v>
      </c>
      <c r="C228" t="s">
        <v>2394</v>
      </c>
      <c r="D228" t="s">
        <v>24</v>
      </c>
      <c r="E228" t="s">
        <v>5541</v>
      </c>
      <c r="F228" t="s">
        <v>5193</v>
      </c>
      <c r="G228" t="s">
        <v>5542</v>
      </c>
    </row>
    <row r="229" spans="1:7" x14ac:dyDescent="0.2">
      <c r="A229" t="s">
        <v>80</v>
      </c>
      <c r="B229" t="s">
        <v>413</v>
      </c>
      <c r="C229" t="s">
        <v>266</v>
      </c>
      <c r="D229" t="s">
        <v>24</v>
      </c>
      <c r="E229" t="s">
        <v>5543</v>
      </c>
      <c r="F229" t="s">
        <v>5169</v>
      </c>
      <c r="G229" t="s">
        <v>5309</v>
      </c>
    </row>
    <row r="230" spans="1:7" x14ac:dyDescent="0.2">
      <c r="A230" t="s">
        <v>80</v>
      </c>
      <c r="B230" t="s">
        <v>1265</v>
      </c>
      <c r="C230" t="s">
        <v>1152</v>
      </c>
      <c r="D230" t="s">
        <v>24</v>
      </c>
      <c r="E230" t="s">
        <v>5544</v>
      </c>
      <c r="F230" t="s">
        <v>5160</v>
      </c>
      <c r="G230" t="s">
        <v>5396</v>
      </c>
    </row>
    <row r="231" spans="1:7" x14ac:dyDescent="0.2">
      <c r="A231" t="s">
        <v>80</v>
      </c>
      <c r="B231" t="s">
        <v>635</v>
      </c>
      <c r="C231" t="s">
        <v>819</v>
      </c>
      <c r="D231" t="s">
        <v>24</v>
      </c>
      <c r="E231" t="s">
        <v>5545</v>
      </c>
      <c r="F231" t="s">
        <v>5163</v>
      </c>
      <c r="G231" t="s">
        <v>5239</v>
      </c>
    </row>
    <row r="232" spans="1:7" x14ac:dyDescent="0.2">
      <c r="A232" t="s">
        <v>80</v>
      </c>
      <c r="B232" t="s">
        <v>315</v>
      </c>
      <c r="C232" t="s">
        <v>2461</v>
      </c>
      <c r="D232" t="s">
        <v>24</v>
      </c>
      <c r="E232" t="s">
        <v>5546</v>
      </c>
      <c r="F232" t="s">
        <v>5160</v>
      </c>
      <c r="G232" t="s">
        <v>5271</v>
      </c>
    </row>
    <row r="233" spans="1:7" x14ac:dyDescent="0.2">
      <c r="A233" t="s">
        <v>80</v>
      </c>
      <c r="B233" t="s">
        <v>413</v>
      </c>
      <c r="C233" t="s">
        <v>1067</v>
      </c>
      <c r="D233" t="s">
        <v>24</v>
      </c>
      <c r="E233" t="s">
        <v>5547</v>
      </c>
      <c r="F233" t="s">
        <v>5169</v>
      </c>
      <c r="G233" t="s">
        <v>5419</v>
      </c>
    </row>
    <row r="234" spans="1:7" x14ac:dyDescent="0.2">
      <c r="A234" t="s">
        <v>99</v>
      </c>
      <c r="B234" t="s">
        <v>2472</v>
      </c>
      <c r="C234" t="s">
        <v>2719</v>
      </c>
      <c r="D234" t="s">
        <v>24</v>
      </c>
      <c r="E234" t="s">
        <v>5548</v>
      </c>
      <c r="F234" t="s">
        <v>5163</v>
      </c>
      <c r="G234" t="s">
        <v>5288</v>
      </c>
    </row>
    <row r="235" spans="1:7" x14ac:dyDescent="0.2">
      <c r="A235" t="s">
        <v>99</v>
      </c>
      <c r="B235" t="s">
        <v>125</v>
      </c>
      <c r="C235" t="s">
        <v>2487</v>
      </c>
      <c r="D235" t="s">
        <v>24</v>
      </c>
      <c r="E235" t="s">
        <v>5549</v>
      </c>
      <c r="F235" t="s">
        <v>5163</v>
      </c>
      <c r="G235" t="s">
        <v>5550</v>
      </c>
    </row>
    <row r="236" spans="1:7" x14ac:dyDescent="0.2">
      <c r="A236" t="s">
        <v>99</v>
      </c>
      <c r="B236" t="s">
        <v>328</v>
      </c>
      <c r="C236" t="s">
        <v>2483</v>
      </c>
      <c r="D236" t="s">
        <v>24</v>
      </c>
      <c r="E236" t="s">
        <v>5551</v>
      </c>
      <c r="F236" t="s">
        <v>5163</v>
      </c>
      <c r="G236" t="s">
        <v>5552</v>
      </c>
    </row>
    <row r="237" spans="1:7" x14ac:dyDescent="0.2">
      <c r="A237" t="s">
        <v>99</v>
      </c>
      <c r="B237" t="s">
        <v>181</v>
      </c>
      <c r="C237" t="s">
        <v>511</v>
      </c>
      <c r="D237" t="s">
        <v>24</v>
      </c>
      <c r="E237" t="s">
        <v>5553</v>
      </c>
      <c r="F237" t="s">
        <v>5163</v>
      </c>
      <c r="G237" t="s">
        <v>5292</v>
      </c>
    </row>
    <row r="238" spans="1:7" x14ac:dyDescent="0.2">
      <c r="A238" t="s">
        <v>99</v>
      </c>
      <c r="B238" t="s">
        <v>315</v>
      </c>
      <c r="C238" t="s">
        <v>159</v>
      </c>
      <c r="D238" t="s">
        <v>24</v>
      </c>
      <c r="E238" t="s">
        <v>5554</v>
      </c>
      <c r="F238" t="s">
        <v>5169</v>
      </c>
      <c r="G238" t="s">
        <v>5555</v>
      </c>
    </row>
    <row r="239" spans="1:7" x14ac:dyDescent="0.2">
      <c r="A239" t="s">
        <v>99</v>
      </c>
      <c r="B239" t="s">
        <v>830</v>
      </c>
      <c r="C239" t="s">
        <v>5556</v>
      </c>
      <c r="D239" t="s">
        <v>24</v>
      </c>
      <c r="E239" t="s">
        <v>5557</v>
      </c>
      <c r="F239" t="s">
        <v>5163</v>
      </c>
      <c r="G239" t="s">
        <v>5558</v>
      </c>
    </row>
    <row r="240" spans="1:7" x14ac:dyDescent="0.2">
      <c r="A240" t="s">
        <v>34</v>
      </c>
      <c r="B240" t="s">
        <v>125</v>
      </c>
      <c r="C240" t="s">
        <v>709</v>
      </c>
      <c r="D240" t="s">
        <v>24</v>
      </c>
      <c r="E240" t="s">
        <v>5559</v>
      </c>
      <c r="F240" t="s">
        <v>5160</v>
      </c>
      <c r="G240" t="s">
        <v>5265</v>
      </c>
    </row>
    <row r="241" spans="1:7" x14ac:dyDescent="0.2">
      <c r="A241" t="s">
        <v>34</v>
      </c>
      <c r="B241" t="s">
        <v>547</v>
      </c>
      <c r="C241" t="s">
        <v>1218</v>
      </c>
      <c r="D241" t="s">
        <v>24</v>
      </c>
      <c r="E241" t="s">
        <v>5560</v>
      </c>
      <c r="F241" t="s">
        <v>5163</v>
      </c>
      <c r="G241" t="s">
        <v>5561</v>
      </c>
    </row>
    <row r="242" spans="1:7" x14ac:dyDescent="0.2">
      <c r="A242" t="s">
        <v>34</v>
      </c>
      <c r="B242" t="s">
        <v>181</v>
      </c>
      <c r="C242" t="s">
        <v>182</v>
      </c>
      <c r="D242" t="s">
        <v>24</v>
      </c>
      <c r="E242" t="s">
        <v>5562</v>
      </c>
      <c r="F242" t="s">
        <v>5163</v>
      </c>
      <c r="G242" t="s">
        <v>5563</v>
      </c>
    </row>
    <row r="243" spans="1:7" x14ac:dyDescent="0.2">
      <c r="A243" t="s">
        <v>34</v>
      </c>
      <c r="B243" t="s">
        <v>135</v>
      </c>
      <c r="C243" t="s">
        <v>2546</v>
      </c>
      <c r="D243" t="s">
        <v>24</v>
      </c>
      <c r="E243" t="s">
        <v>5564</v>
      </c>
      <c r="F243" t="s">
        <v>5163</v>
      </c>
      <c r="G243" t="s">
        <v>5565</v>
      </c>
    </row>
    <row r="244" spans="1:7" x14ac:dyDescent="0.2">
      <c r="A244" t="s">
        <v>34</v>
      </c>
      <c r="B244" t="s">
        <v>540</v>
      </c>
      <c r="C244" t="s">
        <v>197</v>
      </c>
      <c r="D244" t="s">
        <v>24</v>
      </c>
      <c r="E244" t="s">
        <v>5566</v>
      </c>
      <c r="F244" t="s">
        <v>5169</v>
      </c>
      <c r="G244" t="s">
        <v>5567</v>
      </c>
    </row>
    <row r="245" spans="1:7" x14ac:dyDescent="0.2">
      <c r="A245" t="s">
        <v>71</v>
      </c>
      <c r="B245" t="s">
        <v>2551</v>
      </c>
      <c r="C245" t="s">
        <v>5568</v>
      </c>
      <c r="D245" t="s">
        <v>24</v>
      </c>
      <c r="E245" t="s">
        <v>5569</v>
      </c>
      <c r="F245" t="s">
        <v>5160</v>
      </c>
      <c r="G245" t="s">
        <v>5285</v>
      </c>
    </row>
    <row r="246" spans="1:7" x14ac:dyDescent="0.2">
      <c r="A246" t="s">
        <v>71</v>
      </c>
      <c r="B246" t="s">
        <v>2565</v>
      </c>
      <c r="C246" t="s">
        <v>2487</v>
      </c>
      <c r="D246" t="s">
        <v>24</v>
      </c>
      <c r="E246" t="s">
        <v>5570</v>
      </c>
      <c r="F246" t="s">
        <v>5163</v>
      </c>
      <c r="G246" t="s">
        <v>5106</v>
      </c>
    </row>
    <row r="247" spans="1:7" x14ac:dyDescent="0.2">
      <c r="A247" t="s">
        <v>71</v>
      </c>
      <c r="B247" t="s">
        <v>2557</v>
      </c>
      <c r="C247" t="s">
        <v>2570</v>
      </c>
      <c r="D247" t="s">
        <v>24</v>
      </c>
      <c r="E247" t="s">
        <v>5571</v>
      </c>
      <c r="F247" t="s">
        <v>5169</v>
      </c>
      <c r="G247" t="s">
        <v>5181</v>
      </c>
    </row>
    <row r="248" spans="1:7" x14ac:dyDescent="0.2">
      <c r="A248" t="s">
        <v>71</v>
      </c>
      <c r="B248" t="s">
        <v>2557</v>
      </c>
      <c r="C248" t="s">
        <v>2591</v>
      </c>
      <c r="D248" t="s">
        <v>24</v>
      </c>
      <c r="E248" t="s">
        <v>5572</v>
      </c>
      <c r="F248" t="s">
        <v>5193</v>
      </c>
      <c r="G248" t="s">
        <v>5319</v>
      </c>
    </row>
    <row r="249" spans="1:7" x14ac:dyDescent="0.2">
      <c r="A249" t="s">
        <v>71</v>
      </c>
      <c r="B249" t="s">
        <v>1633</v>
      </c>
      <c r="C249" t="s">
        <v>1970</v>
      </c>
      <c r="D249" t="s">
        <v>24</v>
      </c>
      <c r="E249" t="s">
        <v>5573</v>
      </c>
      <c r="F249" t="s">
        <v>5160</v>
      </c>
      <c r="G249" t="s">
        <v>3267</v>
      </c>
    </row>
    <row r="250" spans="1:7" x14ac:dyDescent="0.2">
      <c r="A250" t="s">
        <v>71</v>
      </c>
      <c r="B250" t="s">
        <v>2585</v>
      </c>
      <c r="C250" t="s">
        <v>2586</v>
      </c>
      <c r="D250" t="s">
        <v>24</v>
      </c>
      <c r="E250" t="s">
        <v>5574</v>
      </c>
      <c r="F250" t="s">
        <v>5169</v>
      </c>
      <c r="G250" t="s">
        <v>5172</v>
      </c>
    </row>
    <row r="251" spans="1:7" x14ac:dyDescent="0.2">
      <c r="A251" t="s">
        <v>71</v>
      </c>
      <c r="B251" t="s">
        <v>4924</v>
      </c>
      <c r="C251" t="s">
        <v>5575</v>
      </c>
      <c r="D251" t="s">
        <v>24</v>
      </c>
      <c r="E251" t="s">
        <v>5576</v>
      </c>
      <c r="F251" t="s">
        <v>5160</v>
      </c>
      <c r="G251" t="s">
        <v>5164</v>
      </c>
    </row>
    <row r="252" spans="1:7" x14ac:dyDescent="0.2">
      <c r="A252" t="s">
        <v>68</v>
      </c>
      <c r="B252" t="s">
        <v>174</v>
      </c>
      <c r="C252" t="s">
        <v>5577</v>
      </c>
      <c r="D252" t="s">
        <v>24</v>
      </c>
      <c r="E252" t="s">
        <v>5578</v>
      </c>
      <c r="F252" t="s">
        <v>5160</v>
      </c>
      <c r="G252" t="s">
        <v>5478</v>
      </c>
    </row>
    <row r="253" spans="1:7" x14ac:dyDescent="0.2">
      <c r="A253" t="s">
        <v>68</v>
      </c>
      <c r="B253" t="s">
        <v>504</v>
      </c>
      <c r="C253" t="s">
        <v>2596</v>
      </c>
      <c r="D253" t="s">
        <v>24</v>
      </c>
      <c r="E253" t="s">
        <v>5579</v>
      </c>
      <c r="F253" t="s">
        <v>5160</v>
      </c>
      <c r="G253" t="s">
        <v>5161</v>
      </c>
    </row>
    <row r="254" spans="1:7" x14ac:dyDescent="0.2">
      <c r="A254" t="s">
        <v>68</v>
      </c>
      <c r="B254" t="s">
        <v>504</v>
      </c>
      <c r="C254" t="s">
        <v>705</v>
      </c>
      <c r="D254" t="s">
        <v>24</v>
      </c>
      <c r="E254" t="s">
        <v>5580</v>
      </c>
      <c r="F254" t="s">
        <v>5160</v>
      </c>
      <c r="G254" t="s">
        <v>5482</v>
      </c>
    </row>
    <row r="255" spans="1:7" x14ac:dyDescent="0.2">
      <c r="A255" t="s">
        <v>68</v>
      </c>
      <c r="B255" t="s">
        <v>1617</v>
      </c>
      <c r="C255" t="s">
        <v>2636</v>
      </c>
      <c r="D255" t="s">
        <v>24</v>
      </c>
      <c r="E255" t="s">
        <v>5581</v>
      </c>
      <c r="F255" t="s">
        <v>5163</v>
      </c>
      <c r="G255" t="s">
        <v>5364</v>
      </c>
    </row>
    <row r="256" spans="1:7" x14ac:dyDescent="0.2">
      <c r="A256" t="s">
        <v>68</v>
      </c>
      <c r="B256" t="s">
        <v>287</v>
      </c>
      <c r="C256" t="s">
        <v>1903</v>
      </c>
      <c r="D256" t="s">
        <v>24</v>
      </c>
      <c r="E256" t="s">
        <v>5582</v>
      </c>
      <c r="F256" t="s">
        <v>5169</v>
      </c>
      <c r="G256" t="s">
        <v>5239</v>
      </c>
    </row>
    <row r="257" spans="1:7" x14ac:dyDescent="0.2">
      <c r="A257" t="s">
        <v>68</v>
      </c>
      <c r="B257" t="s">
        <v>2602</v>
      </c>
      <c r="C257" t="s">
        <v>2603</v>
      </c>
      <c r="D257" t="s">
        <v>24</v>
      </c>
      <c r="E257" t="s">
        <v>5583</v>
      </c>
      <c r="F257" t="s">
        <v>5169</v>
      </c>
      <c r="G257" t="s">
        <v>3267</v>
      </c>
    </row>
    <row r="258" spans="1:7" x14ac:dyDescent="0.2">
      <c r="A258" t="s">
        <v>90</v>
      </c>
      <c r="B258" t="s">
        <v>1103</v>
      </c>
      <c r="C258" t="s">
        <v>796</v>
      </c>
      <c r="D258" t="s">
        <v>24</v>
      </c>
      <c r="E258" t="s">
        <v>5584</v>
      </c>
      <c r="F258" t="s">
        <v>5160</v>
      </c>
      <c r="G258" t="s">
        <v>4570</v>
      </c>
    </row>
    <row r="259" spans="1:7" x14ac:dyDescent="0.2">
      <c r="A259" t="s">
        <v>90</v>
      </c>
      <c r="B259" t="s">
        <v>2646</v>
      </c>
      <c r="C259" t="s">
        <v>4987</v>
      </c>
      <c r="D259" t="s">
        <v>24</v>
      </c>
      <c r="E259" t="s">
        <v>5585</v>
      </c>
      <c r="F259" t="s">
        <v>5160</v>
      </c>
      <c r="G259" t="s">
        <v>5164</v>
      </c>
    </row>
    <row r="260" spans="1:7" x14ac:dyDescent="0.2">
      <c r="A260" t="s">
        <v>90</v>
      </c>
      <c r="B260" t="s">
        <v>1988</v>
      </c>
      <c r="C260" t="s">
        <v>2677</v>
      </c>
      <c r="D260" t="s">
        <v>24</v>
      </c>
      <c r="E260" t="s">
        <v>5586</v>
      </c>
      <c r="F260" t="s">
        <v>5169</v>
      </c>
      <c r="G260" t="s">
        <v>5587</v>
      </c>
    </row>
    <row r="261" spans="1:7" x14ac:dyDescent="0.2">
      <c r="A261" t="s">
        <v>90</v>
      </c>
      <c r="B261" t="s">
        <v>595</v>
      </c>
      <c r="C261" t="s">
        <v>680</v>
      </c>
      <c r="D261" t="s">
        <v>24</v>
      </c>
      <c r="E261" t="s">
        <v>5588</v>
      </c>
      <c r="F261" t="s">
        <v>5193</v>
      </c>
      <c r="G261" t="s">
        <v>5475</v>
      </c>
    </row>
    <row r="262" spans="1:7" x14ac:dyDescent="0.2">
      <c r="A262" t="s">
        <v>90</v>
      </c>
      <c r="B262" t="s">
        <v>125</v>
      </c>
      <c r="C262" t="s">
        <v>709</v>
      </c>
      <c r="D262" t="s">
        <v>24</v>
      </c>
      <c r="E262" t="s">
        <v>5589</v>
      </c>
      <c r="F262" t="s">
        <v>5160</v>
      </c>
      <c r="G262" t="s">
        <v>5590</v>
      </c>
    </row>
    <row r="263" spans="1:7" x14ac:dyDescent="0.2">
      <c r="A263" t="s">
        <v>96</v>
      </c>
      <c r="B263" t="s">
        <v>464</v>
      </c>
      <c r="C263" t="s">
        <v>2719</v>
      </c>
      <c r="D263" t="s">
        <v>24</v>
      </c>
      <c r="E263" t="s">
        <v>5591</v>
      </c>
      <c r="F263" t="s">
        <v>5163</v>
      </c>
      <c r="G263" t="s">
        <v>5357</v>
      </c>
    </row>
    <row r="264" spans="1:7" x14ac:dyDescent="0.2">
      <c r="A264" t="s">
        <v>96</v>
      </c>
      <c r="B264" t="s">
        <v>125</v>
      </c>
      <c r="C264" t="s">
        <v>5592</v>
      </c>
      <c r="D264" t="s">
        <v>24</v>
      </c>
      <c r="E264" t="s">
        <v>5593</v>
      </c>
      <c r="F264" t="s">
        <v>5160</v>
      </c>
      <c r="G264" t="s">
        <v>5167</v>
      </c>
    </row>
    <row r="265" spans="1:7" x14ac:dyDescent="0.2">
      <c r="A265" t="s">
        <v>96</v>
      </c>
      <c r="B265" t="s">
        <v>135</v>
      </c>
      <c r="C265" t="s">
        <v>295</v>
      </c>
      <c r="D265" t="s">
        <v>24</v>
      </c>
      <c r="E265" t="s">
        <v>5594</v>
      </c>
      <c r="F265" t="s">
        <v>5163</v>
      </c>
      <c r="G265" t="s">
        <v>5172</v>
      </c>
    </row>
    <row r="266" spans="1:7" x14ac:dyDescent="0.2">
      <c r="A266" t="s">
        <v>96</v>
      </c>
      <c r="B266" t="s">
        <v>1438</v>
      </c>
      <c r="C266" t="s">
        <v>2292</v>
      </c>
      <c r="D266" t="s">
        <v>24</v>
      </c>
      <c r="E266" t="s">
        <v>5595</v>
      </c>
      <c r="F266" t="s">
        <v>5169</v>
      </c>
      <c r="G266" t="s">
        <v>5596</v>
      </c>
    </row>
    <row r="267" spans="1:7" x14ac:dyDescent="0.2">
      <c r="A267" t="s">
        <v>96</v>
      </c>
      <c r="B267" t="s">
        <v>595</v>
      </c>
      <c r="C267" t="s">
        <v>680</v>
      </c>
      <c r="D267" t="s">
        <v>24</v>
      </c>
      <c r="E267" t="s">
        <v>5597</v>
      </c>
      <c r="F267" t="s">
        <v>5193</v>
      </c>
      <c r="G267" t="s">
        <v>5041</v>
      </c>
    </row>
    <row r="268" spans="1:7" x14ac:dyDescent="0.2">
      <c r="A268" t="s">
        <v>86</v>
      </c>
      <c r="B268" t="s">
        <v>1357</v>
      </c>
      <c r="C268" t="s">
        <v>2743</v>
      </c>
      <c r="D268" t="s">
        <v>24</v>
      </c>
      <c r="E268" t="s">
        <v>5598</v>
      </c>
      <c r="F268" t="s">
        <v>5163</v>
      </c>
      <c r="G268" t="s">
        <v>5217</v>
      </c>
    </row>
    <row r="269" spans="1:7" x14ac:dyDescent="0.2">
      <c r="A269" t="s">
        <v>86</v>
      </c>
      <c r="B269" t="s">
        <v>1988</v>
      </c>
      <c r="C269" t="s">
        <v>174</v>
      </c>
      <c r="D269" t="s">
        <v>24</v>
      </c>
      <c r="E269" t="s">
        <v>5599</v>
      </c>
      <c r="F269" t="s">
        <v>5160</v>
      </c>
      <c r="G269" t="s">
        <v>5600</v>
      </c>
    </row>
    <row r="270" spans="1:7" x14ac:dyDescent="0.2">
      <c r="A270" t="s">
        <v>86</v>
      </c>
      <c r="B270" t="s">
        <v>1988</v>
      </c>
      <c r="C270" t="s">
        <v>588</v>
      </c>
      <c r="D270" t="s">
        <v>24</v>
      </c>
      <c r="E270" t="s">
        <v>5601</v>
      </c>
      <c r="F270" t="s">
        <v>5193</v>
      </c>
      <c r="G270" t="s">
        <v>5181</v>
      </c>
    </row>
    <row r="271" spans="1:7" x14ac:dyDescent="0.2">
      <c r="A271" t="s">
        <v>86</v>
      </c>
      <c r="B271" t="s">
        <v>547</v>
      </c>
      <c r="C271" t="s">
        <v>5068</v>
      </c>
      <c r="D271" t="s">
        <v>24</v>
      </c>
      <c r="E271" t="s">
        <v>5602</v>
      </c>
      <c r="F271" t="s">
        <v>5163</v>
      </c>
      <c r="G271" t="s">
        <v>5208</v>
      </c>
    </row>
    <row r="272" spans="1:7" x14ac:dyDescent="0.2">
      <c r="A272" t="s">
        <v>86</v>
      </c>
      <c r="B272" t="s">
        <v>166</v>
      </c>
      <c r="C272" t="s">
        <v>1677</v>
      </c>
      <c r="D272" t="s">
        <v>24</v>
      </c>
      <c r="E272" t="s">
        <v>5603</v>
      </c>
      <c r="F272" t="s">
        <v>5193</v>
      </c>
      <c r="G272" t="s">
        <v>4447</v>
      </c>
    </row>
    <row r="273" spans="1:7" x14ac:dyDescent="0.2">
      <c r="A273" t="s">
        <v>69</v>
      </c>
      <c r="B273" t="s">
        <v>2776</v>
      </c>
      <c r="C273" t="s">
        <v>5604</v>
      </c>
      <c r="D273" t="s">
        <v>24</v>
      </c>
      <c r="E273" t="s">
        <v>5605</v>
      </c>
      <c r="F273" t="s">
        <v>5160</v>
      </c>
      <c r="G273" t="s">
        <v>4569</v>
      </c>
    </row>
    <row r="274" spans="1:7" x14ac:dyDescent="0.2">
      <c r="A274" t="s">
        <v>69</v>
      </c>
      <c r="B274" t="s">
        <v>135</v>
      </c>
      <c r="C274" t="s">
        <v>709</v>
      </c>
      <c r="D274" t="s">
        <v>24</v>
      </c>
      <c r="E274" t="s">
        <v>5606</v>
      </c>
      <c r="F274" t="s">
        <v>5163</v>
      </c>
      <c r="G274" t="s">
        <v>5283</v>
      </c>
    </row>
    <row r="275" spans="1:7" x14ac:dyDescent="0.2">
      <c r="A275" t="s">
        <v>69</v>
      </c>
      <c r="B275" t="s">
        <v>174</v>
      </c>
      <c r="C275" t="s">
        <v>2811</v>
      </c>
      <c r="D275" t="s">
        <v>24</v>
      </c>
      <c r="E275" t="s">
        <v>5607</v>
      </c>
      <c r="F275" t="s">
        <v>5169</v>
      </c>
      <c r="G275" t="s">
        <v>5357</v>
      </c>
    </row>
    <row r="276" spans="1:7" x14ac:dyDescent="0.2">
      <c r="A276" t="s">
        <v>69</v>
      </c>
      <c r="B276" t="s">
        <v>125</v>
      </c>
      <c r="C276" t="s">
        <v>2782</v>
      </c>
      <c r="D276" t="s">
        <v>24</v>
      </c>
      <c r="E276" t="s">
        <v>5608</v>
      </c>
      <c r="F276" t="s">
        <v>5160</v>
      </c>
      <c r="G276" t="s">
        <v>5236</v>
      </c>
    </row>
    <row r="277" spans="1:7" x14ac:dyDescent="0.2">
      <c r="A277" t="s">
        <v>69</v>
      </c>
      <c r="B277" t="s">
        <v>595</v>
      </c>
      <c r="C277" t="s">
        <v>5609</v>
      </c>
      <c r="D277" t="s">
        <v>24</v>
      </c>
      <c r="E277" t="s">
        <v>5610</v>
      </c>
      <c r="F277" t="s">
        <v>5193</v>
      </c>
      <c r="G277" t="s">
        <v>5419</v>
      </c>
    </row>
    <row r="278" spans="1:7" x14ac:dyDescent="0.2">
      <c r="A278" t="s">
        <v>61</v>
      </c>
      <c r="B278" t="s">
        <v>158</v>
      </c>
      <c r="C278" t="s">
        <v>2845</v>
      </c>
      <c r="D278" t="s">
        <v>24</v>
      </c>
      <c r="E278" t="s">
        <v>5611</v>
      </c>
      <c r="F278" t="s">
        <v>5169</v>
      </c>
      <c r="G278" t="s">
        <v>5396</v>
      </c>
    </row>
    <row r="279" spans="1:7" x14ac:dyDescent="0.2">
      <c r="A279" t="s">
        <v>61</v>
      </c>
      <c r="B279" t="s">
        <v>2211</v>
      </c>
      <c r="C279" t="s">
        <v>717</v>
      </c>
      <c r="D279" t="s">
        <v>24</v>
      </c>
      <c r="E279" t="s">
        <v>5612</v>
      </c>
      <c r="F279" t="s">
        <v>5169</v>
      </c>
      <c r="G279" t="s">
        <v>5189</v>
      </c>
    </row>
    <row r="280" spans="1:7" x14ac:dyDescent="0.2">
      <c r="A280" t="s">
        <v>61</v>
      </c>
      <c r="B280" t="s">
        <v>1661</v>
      </c>
      <c r="C280" t="s">
        <v>2855</v>
      </c>
      <c r="D280" t="s">
        <v>24</v>
      </c>
      <c r="E280" t="s">
        <v>5613</v>
      </c>
      <c r="F280" t="s">
        <v>5193</v>
      </c>
      <c r="G280" t="s">
        <v>5217</v>
      </c>
    </row>
    <row r="281" spans="1:7" x14ac:dyDescent="0.2">
      <c r="A281" t="s">
        <v>61</v>
      </c>
      <c r="B281" t="s">
        <v>1633</v>
      </c>
      <c r="C281" t="s">
        <v>2860</v>
      </c>
      <c r="D281" t="s">
        <v>24</v>
      </c>
      <c r="E281" t="s">
        <v>5614</v>
      </c>
      <c r="F281" t="s">
        <v>5193</v>
      </c>
      <c r="G281" t="s">
        <v>3268</v>
      </c>
    </row>
    <row r="282" spans="1:7" x14ac:dyDescent="0.2">
      <c r="A282" t="s">
        <v>61</v>
      </c>
      <c r="B282" t="s">
        <v>2824</v>
      </c>
      <c r="C282" t="s">
        <v>532</v>
      </c>
      <c r="D282" t="s">
        <v>24</v>
      </c>
      <c r="E282" t="s">
        <v>5615</v>
      </c>
      <c r="F282" t="s">
        <v>5163</v>
      </c>
      <c r="G282" t="s">
        <v>5234</v>
      </c>
    </row>
    <row r="283" spans="1:7" x14ac:dyDescent="0.2">
      <c r="A283" t="s">
        <v>61</v>
      </c>
      <c r="B283" t="s">
        <v>2211</v>
      </c>
      <c r="C283" t="s">
        <v>2834</v>
      </c>
      <c r="D283" t="s">
        <v>24</v>
      </c>
      <c r="E283" t="s">
        <v>5616</v>
      </c>
      <c r="F283" t="s">
        <v>5169</v>
      </c>
      <c r="G283" t="s">
        <v>5107</v>
      </c>
    </row>
    <row r="284" spans="1:7" x14ac:dyDescent="0.2">
      <c r="A284" t="s">
        <v>93</v>
      </c>
      <c r="B284" t="s">
        <v>143</v>
      </c>
      <c r="C284" t="s">
        <v>144</v>
      </c>
      <c r="D284" t="s">
        <v>31</v>
      </c>
      <c r="E284" t="s">
        <v>5617</v>
      </c>
      <c r="F284" t="s">
        <v>5160</v>
      </c>
      <c r="G284" t="s">
        <v>5618</v>
      </c>
    </row>
    <row r="285" spans="1:7" x14ac:dyDescent="0.2">
      <c r="A285" t="s">
        <v>93</v>
      </c>
      <c r="B285" t="s">
        <v>143</v>
      </c>
      <c r="C285" t="s">
        <v>5619</v>
      </c>
      <c r="D285" t="s">
        <v>31</v>
      </c>
      <c r="E285" t="s">
        <v>5620</v>
      </c>
      <c r="F285" t="s">
        <v>5160</v>
      </c>
      <c r="G285" t="s">
        <v>5175</v>
      </c>
    </row>
    <row r="286" spans="1:7" x14ac:dyDescent="0.2">
      <c r="A286" t="s">
        <v>93</v>
      </c>
      <c r="B286" t="s">
        <v>166</v>
      </c>
      <c r="C286" t="s">
        <v>167</v>
      </c>
      <c r="D286" t="s">
        <v>38</v>
      </c>
      <c r="E286" t="s">
        <v>5621</v>
      </c>
      <c r="F286" t="s">
        <v>5193</v>
      </c>
      <c r="G286" t="s">
        <v>5255</v>
      </c>
    </row>
    <row r="287" spans="1:7" x14ac:dyDescent="0.2">
      <c r="A287" t="s">
        <v>93</v>
      </c>
      <c r="B287" t="s">
        <v>181</v>
      </c>
      <c r="C287" t="s">
        <v>182</v>
      </c>
      <c r="D287" t="s">
        <v>38</v>
      </c>
      <c r="E287" t="s">
        <v>5622</v>
      </c>
      <c r="F287" t="s">
        <v>5160</v>
      </c>
      <c r="G287" t="s">
        <v>5623</v>
      </c>
    </row>
    <row r="288" spans="1:7" x14ac:dyDescent="0.2">
      <c r="A288" t="s">
        <v>93</v>
      </c>
      <c r="B288" t="s">
        <v>188</v>
      </c>
      <c r="C288" t="s">
        <v>189</v>
      </c>
      <c r="D288" t="s">
        <v>38</v>
      </c>
      <c r="E288" t="s">
        <v>5624</v>
      </c>
      <c r="F288" t="s">
        <v>5160</v>
      </c>
      <c r="G288" t="s">
        <v>5625</v>
      </c>
    </row>
    <row r="289" spans="1:7" x14ac:dyDescent="0.2">
      <c r="A289" t="s">
        <v>93</v>
      </c>
      <c r="B289" t="s">
        <v>196</v>
      </c>
      <c r="C289" t="s">
        <v>1970</v>
      </c>
      <c r="D289" t="s">
        <v>38</v>
      </c>
      <c r="E289" t="s">
        <v>5626</v>
      </c>
      <c r="F289" t="s">
        <v>5193</v>
      </c>
      <c r="G289" t="s">
        <v>5041</v>
      </c>
    </row>
    <row r="290" spans="1:7" x14ac:dyDescent="0.2">
      <c r="A290" t="s">
        <v>92</v>
      </c>
      <c r="B290" t="s">
        <v>456</v>
      </c>
      <c r="C290" t="s">
        <v>5627</v>
      </c>
      <c r="D290" t="s">
        <v>31</v>
      </c>
      <c r="E290" t="s">
        <v>5628</v>
      </c>
      <c r="F290" t="s">
        <v>5160</v>
      </c>
      <c r="G290" t="s">
        <v>3268</v>
      </c>
    </row>
    <row r="291" spans="1:7" x14ac:dyDescent="0.2">
      <c r="A291" t="s">
        <v>92</v>
      </c>
      <c r="B291" t="s">
        <v>487</v>
      </c>
      <c r="C291" t="s">
        <v>5629</v>
      </c>
      <c r="D291" t="s">
        <v>31</v>
      </c>
      <c r="E291" t="s">
        <v>5630</v>
      </c>
      <c r="F291" t="s">
        <v>5160</v>
      </c>
      <c r="G291" t="s">
        <v>5495</v>
      </c>
    </row>
    <row r="292" spans="1:7" x14ac:dyDescent="0.2">
      <c r="A292" t="s">
        <v>92</v>
      </c>
      <c r="B292" t="s">
        <v>328</v>
      </c>
      <c r="C292" t="s">
        <v>500</v>
      </c>
      <c r="D292" t="s">
        <v>38</v>
      </c>
      <c r="E292" t="s">
        <v>5631</v>
      </c>
      <c r="F292" t="s">
        <v>5163</v>
      </c>
      <c r="G292" t="s">
        <v>5236</v>
      </c>
    </row>
    <row r="293" spans="1:7" x14ac:dyDescent="0.2">
      <c r="A293" t="s">
        <v>92</v>
      </c>
      <c r="B293" t="s">
        <v>181</v>
      </c>
      <c r="C293" t="s">
        <v>182</v>
      </c>
      <c r="D293" t="s">
        <v>38</v>
      </c>
      <c r="E293" t="s">
        <v>5632</v>
      </c>
      <c r="F293" t="s">
        <v>5160</v>
      </c>
      <c r="G293" t="s">
        <v>5369</v>
      </c>
    </row>
    <row r="294" spans="1:7" x14ac:dyDescent="0.2">
      <c r="A294" t="s">
        <v>92</v>
      </c>
      <c r="B294" t="s">
        <v>504</v>
      </c>
      <c r="C294" t="s">
        <v>5633</v>
      </c>
      <c r="D294" t="s">
        <v>31</v>
      </c>
      <c r="E294" t="s">
        <v>5634</v>
      </c>
      <c r="F294" t="s">
        <v>5160</v>
      </c>
      <c r="G294" t="s">
        <v>3267</v>
      </c>
    </row>
    <row r="295" spans="1:7" x14ac:dyDescent="0.2">
      <c r="A295" t="s">
        <v>92</v>
      </c>
      <c r="B295" t="s">
        <v>166</v>
      </c>
      <c r="C295" t="s">
        <v>564</v>
      </c>
      <c r="D295" t="s">
        <v>38</v>
      </c>
      <c r="E295" t="s">
        <v>5635</v>
      </c>
      <c r="F295" t="s">
        <v>5193</v>
      </c>
      <c r="G295" t="s">
        <v>5636</v>
      </c>
    </row>
    <row r="296" spans="1:7" x14ac:dyDescent="0.2">
      <c r="A296" t="s">
        <v>92</v>
      </c>
      <c r="B296" t="s">
        <v>188</v>
      </c>
      <c r="C296" t="s">
        <v>2686</v>
      </c>
      <c r="D296" t="s">
        <v>38</v>
      </c>
      <c r="E296" t="s">
        <v>5637</v>
      </c>
      <c r="F296" t="s">
        <v>5160</v>
      </c>
      <c r="G296" t="s">
        <v>5326</v>
      </c>
    </row>
    <row r="297" spans="1:7" x14ac:dyDescent="0.2">
      <c r="A297" t="s">
        <v>53</v>
      </c>
      <c r="B297" t="s">
        <v>250</v>
      </c>
      <c r="C297" t="s">
        <v>394</v>
      </c>
      <c r="D297" t="s">
        <v>31</v>
      </c>
      <c r="E297" t="s">
        <v>5638</v>
      </c>
      <c r="F297" t="s">
        <v>5160</v>
      </c>
      <c r="G297" t="s">
        <v>5639</v>
      </c>
    </row>
    <row r="298" spans="1:7" x14ac:dyDescent="0.2">
      <c r="A298" t="s">
        <v>53</v>
      </c>
      <c r="B298" t="s">
        <v>188</v>
      </c>
      <c r="C298" t="s">
        <v>3028</v>
      </c>
      <c r="D298" t="s">
        <v>31</v>
      </c>
      <c r="E298" t="s">
        <v>5640</v>
      </c>
      <c r="F298" t="s">
        <v>5160</v>
      </c>
      <c r="G298" t="s">
        <v>5641</v>
      </c>
    </row>
    <row r="299" spans="1:7" x14ac:dyDescent="0.2">
      <c r="A299" t="s">
        <v>53</v>
      </c>
      <c r="B299" t="s">
        <v>166</v>
      </c>
      <c r="C299" t="s">
        <v>802</v>
      </c>
      <c r="D299" t="s">
        <v>38</v>
      </c>
      <c r="E299" t="s">
        <v>5642</v>
      </c>
      <c r="F299" t="s">
        <v>5193</v>
      </c>
      <c r="G299" t="s">
        <v>5643</v>
      </c>
    </row>
    <row r="300" spans="1:7" x14ac:dyDescent="0.2">
      <c r="A300" t="s">
        <v>53</v>
      </c>
      <c r="B300" t="s">
        <v>250</v>
      </c>
      <c r="C300" t="s">
        <v>400</v>
      </c>
      <c r="D300" t="s">
        <v>38</v>
      </c>
      <c r="E300" t="s">
        <v>5644</v>
      </c>
      <c r="F300" t="s">
        <v>5163</v>
      </c>
      <c r="G300" t="s">
        <v>5060</v>
      </c>
    </row>
    <row r="301" spans="1:7" x14ac:dyDescent="0.2">
      <c r="A301" t="s">
        <v>53</v>
      </c>
      <c r="B301" t="s">
        <v>315</v>
      </c>
      <c r="C301" t="s">
        <v>431</v>
      </c>
      <c r="D301" t="s">
        <v>38</v>
      </c>
      <c r="E301" t="s">
        <v>5645</v>
      </c>
      <c r="F301" t="s">
        <v>5160</v>
      </c>
      <c r="G301" t="s">
        <v>5646</v>
      </c>
    </row>
    <row r="302" spans="1:7" x14ac:dyDescent="0.2">
      <c r="A302" t="s">
        <v>53</v>
      </c>
      <c r="B302" t="s">
        <v>437</v>
      </c>
      <c r="C302" t="s">
        <v>5647</v>
      </c>
      <c r="D302" t="s">
        <v>38</v>
      </c>
      <c r="E302" t="s">
        <v>5648</v>
      </c>
      <c r="F302" t="s">
        <v>5163</v>
      </c>
      <c r="G302" t="s">
        <v>5213</v>
      </c>
    </row>
    <row r="303" spans="1:7" x14ac:dyDescent="0.2">
      <c r="A303" t="s">
        <v>53</v>
      </c>
      <c r="B303" t="s">
        <v>250</v>
      </c>
      <c r="C303" t="s">
        <v>444</v>
      </c>
      <c r="D303" t="s">
        <v>38</v>
      </c>
      <c r="E303" t="s">
        <v>5649</v>
      </c>
      <c r="F303" t="s">
        <v>5163</v>
      </c>
      <c r="G303" t="s">
        <v>5650</v>
      </c>
    </row>
    <row r="304" spans="1:7" x14ac:dyDescent="0.2">
      <c r="A304" t="s">
        <v>53</v>
      </c>
      <c r="B304" t="s">
        <v>250</v>
      </c>
      <c r="C304" t="s">
        <v>5651</v>
      </c>
      <c r="D304" t="s">
        <v>38</v>
      </c>
      <c r="E304" t="s">
        <v>5652</v>
      </c>
      <c r="F304" t="s">
        <v>5160</v>
      </c>
      <c r="G304" t="s">
        <v>5653</v>
      </c>
    </row>
    <row r="305" spans="1:7" x14ac:dyDescent="0.2">
      <c r="A305" t="s">
        <v>57</v>
      </c>
      <c r="B305" t="s">
        <v>236</v>
      </c>
      <c r="C305" t="s">
        <v>243</v>
      </c>
      <c r="D305" t="s">
        <v>31</v>
      </c>
      <c r="E305" t="s">
        <v>5654</v>
      </c>
      <c r="F305" t="s">
        <v>5160</v>
      </c>
      <c r="G305" t="s">
        <v>5655</v>
      </c>
    </row>
    <row r="306" spans="1:7" x14ac:dyDescent="0.2">
      <c r="A306" t="s">
        <v>57</v>
      </c>
      <c r="B306" t="s">
        <v>204</v>
      </c>
      <c r="C306" t="s">
        <v>205</v>
      </c>
      <c r="D306" t="s">
        <v>31</v>
      </c>
      <c r="E306" t="s">
        <v>5656</v>
      </c>
      <c r="F306" t="s">
        <v>5163</v>
      </c>
      <c r="G306" t="s">
        <v>5399</v>
      </c>
    </row>
    <row r="307" spans="1:7" x14ac:dyDescent="0.2">
      <c r="A307" t="s">
        <v>57</v>
      </c>
      <c r="B307" t="s">
        <v>250</v>
      </c>
      <c r="C307" t="s">
        <v>251</v>
      </c>
      <c r="D307" t="s">
        <v>31</v>
      </c>
      <c r="E307" t="s">
        <v>5657</v>
      </c>
      <c r="F307" t="s">
        <v>5160</v>
      </c>
      <c r="G307" t="s">
        <v>5658</v>
      </c>
    </row>
    <row r="308" spans="1:7" x14ac:dyDescent="0.2">
      <c r="A308" t="s">
        <v>57</v>
      </c>
      <c r="B308" t="s">
        <v>181</v>
      </c>
      <c r="C308" t="s">
        <v>230</v>
      </c>
      <c r="D308" t="s">
        <v>38</v>
      </c>
      <c r="E308" t="s">
        <v>5659</v>
      </c>
      <c r="F308" t="s">
        <v>5163</v>
      </c>
      <c r="G308" t="s">
        <v>5225</v>
      </c>
    </row>
    <row r="309" spans="1:7" x14ac:dyDescent="0.2">
      <c r="A309" t="s">
        <v>57</v>
      </c>
      <c r="B309" t="s">
        <v>250</v>
      </c>
      <c r="C309" t="s">
        <v>258</v>
      </c>
      <c r="D309" t="s">
        <v>38</v>
      </c>
      <c r="E309" t="s">
        <v>5660</v>
      </c>
      <c r="F309" t="s">
        <v>5169</v>
      </c>
      <c r="G309" t="s">
        <v>5309</v>
      </c>
    </row>
    <row r="310" spans="1:7" x14ac:dyDescent="0.2">
      <c r="A310" t="s">
        <v>57</v>
      </c>
      <c r="B310" t="s">
        <v>188</v>
      </c>
      <c r="C310" t="s">
        <v>273</v>
      </c>
      <c r="D310" t="s">
        <v>38</v>
      </c>
      <c r="E310" t="s">
        <v>5661</v>
      </c>
      <c r="F310" t="s">
        <v>5193</v>
      </c>
      <c r="G310" t="s">
        <v>5362</v>
      </c>
    </row>
    <row r="311" spans="1:7" x14ac:dyDescent="0.2">
      <c r="A311" t="s">
        <v>57</v>
      </c>
      <c r="B311" t="s">
        <v>204</v>
      </c>
      <c r="C311" t="s">
        <v>5662</v>
      </c>
      <c r="D311" t="s">
        <v>38</v>
      </c>
      <c r="E311" t="s">
        <v>5663</v>
      </c>
      <c r="F311" t="s">
        <v>5160</v>
      </c>
      <c r="G311" t="s">
        <v>5339</v>
      </c>
    </row>
    <row r="312" spans="1:7" x14ac:dyDescent="0.2">
      <c r="A312" t="s">
        <v>57</v>
      </c>
      <c r="B312" t="s">
        <v>236</v>
      </c>
      <c r="C312" t="s">
        <v>237</v>
      </c>
      <c r="D312" t="s">
        <v>38</v>
      </c>
      <c r="E312" t="s">
        <v>5664</v>
      </c>
      <c r="F312" t="s">
        <v>5193</v>
      </c>
      <c r="G312" t="s">
        <v>4570</v>
      </c>
    </row>
    <row r="313" spans="1:7" x14ac:dyDescent="0.2">
      <c r="A313" t="s">
        <v>102</v>
      </c>
      <c r="B313" t="s">
        <v>294</v>
      </c>
      <c r="C313" t="s">
        <v>295</v>
      </c>
      <c r="D313" t="s">
        <v>31</v>
      </c>
      <c r="E313" t="s">
        <v>5665</v>
      </c>
      <c r="F313" t="s">
        <v>5163</v>
      </c>
      <c r="G313" t="s">
        <v>5666</v>
      </c>
    </row>
    <row r="314" spans="1:7" x14ac:dyDescent="0.2">
      <c r="A314" t="s">
        <v>102</v>
      </c>
      <c r="B314" t="s">
        <v>294</v>
      </c>
      <c r="C314" t="s">
        <v>300</v>
      </c>
      <c r="D314" t="s">
        <v>31</v>
      </c>
      <c r="E314" t="s">
        <v>5667</v>
      </c>
      <c r="F314" t="s">
        <v>5160</v>
      </c>
      <c r="G314" t="s">
        <v>5668</v>
      </c>
    </row>
    <row r="315" spans="1:7" x14ac:dyDescent="0.2">
      <c r="A315" t="s">
        <v>102</v>
      </c>
      <c r="B315" t="s">
        <v>166</v>
      </c>
      <c r="C315" t="s">
        <v>5669</v>
      </c>
      <c r="D315" t="s">
        <v>31</v>
      </c>
      <c r="E315" t="s">
        <v>5670</v>
      </c>
      <c r="F315" t="s">
        <v>5193</v>
      </c>
      <c r="G315" t="s">
        <v>5671</v>
      </c>
    </row>
    <row r="316" spans="1:7" x14ac:dyDescent="0.2">
      <c r="A316" t="s">
        <v>102</v>
      </c>
      <c r="B316" t="s">
        <v>188</v>
      </c>
      <c r="C316" t="s">
        <v>309</v>
      </c>
      <c r="D316" t="s">
        <v>38</v>
      </c>
      <c r="E316" t="s">
        <v>5672</v>
      </c>
      <c r="F316" t="s">
        <v>5160</v>
      </c>
      <c r="G316" t="s">
        <v>5673</v>
      </c>
    </row>
    <row r="317" spans="1:7" x14ac:dyDescent="0.2">
      <c r="A317" t="s">
        <v>102</v>
      </c>
      <c r="B317" t="s">
        <v>328</v>
      </c>
      <c r="C317" t="s">
        <v>329</v>
      </c>
      <c r="D317" t="s">
        <v>38</v>
      </c>
      <c r="E317" t="s">
        <v>5674</v>
      </c>
      <c r="F317" t="s">
        <v>5163</v>
      </c>
      <c r="G317" t="s">
        <v>5675</v>
      </c>
    </row>
    <row r="318" spans="1:7" x14ac:dyDescent="0.2">
      <c r="A318" t="s">
        <v>102</v>
      </c>
      <c r="B318" t="s">
        <v>166</v>
      </c>
      <c r="C318" t="s">
        <v>334</v>
      </c>
      <c r="D318" t="s">
        <v>38</v>
      </c>
      <c r="E318" t="s">
        <v>5676</v>
      </c>
      <c r="F318" t="s">
        <v>5163</v>
      </c>
      <c r="G318" t="s">
        <v>5677</v>
      </c>
    </row>
    <row r="319" spans="1:7" x14ac:dyDescent="0.2">
      <c r="A319" t="s">
        <v>103</v>
      </c>
      <c r="B319" t="s">
        <v>250</v>
      </c>
      <c r="C319" t="s">
        <v>258</v>
      </c>
      <c r="D319" t="s">
        <v>31</v>
      </c>
      <c r="E319" t="s">
        <v>5678</v>
      </c>
      <c r="F319" t="s">
        <v>5169</v>
      </c>
      <c r="G319" t="s">
        <v>5679</v>
      </c>
    </row>
    <row r="320" spans="1:7" x14ac:dyDescent="0.2">
      <c r="A320" t="s">
        <v>103</v>
      </c>
      <c r="B320" t="s">
        <v>250</v>
      </c>
      <c r="C320" t="s">
        <v>251</v>
      </c>
      <c r="D320" t="s">
        <v>31</v>
      </c>
      <c r="E320" t="s">
        <v>5680</v>
      </c>
      <c r="F320" t="s">
        <v>5160</v>
      </c>
      <c r="G320" t="s">
        <v>5681</v>
      </c>
    </row>
    <row r="321" spans="1:7" x14ac:dyDescent="0.2">
      <c r="A321" t="s">
        <v>103</v>
      </c>
      <c r="B321" t="s">
        <v>236</v>
      </c>
      <c r="C321" t="s">
        <v>197</v>
      </c>
      <c r="D321" t="s">
        <v>31</v>
      </c>
      <c r="E321" t="s">
        <v>5682</v>
      </c>
      <c r="F321" t="s">
        <v>5193</v>
      </c>
      <c r="G321" t="s">
        <v>5217</v>
      </c>
    </row>
    <row r="322" spans="1:7" x14ac:dyDescent="0.2">
      <c r="A322" t="s">
        <v>103</v>
      </c>
      <c r="B322" t="s">
        <v>355</v>
      </c>
      <c r="C322" t="s">
        <v>356</v>
      </c>
      <c r="D322" t="s">
        <v>38</v>
      </c>
      <c r="E322" t="s">
        <v>5683</v>
      </c>
      <c r="F322" t="s">
        <v>5193</v>
      </c>
      <c r="G322" t="s">
        <v>5181</v>
      </c>
    </row>
    <row r="323" spans="1:7" x14ac:dyDescent="0.2">
      <c r="A323" t="s">
        <v>103</v>
      </c>
      <c r="B323" t="s">
        <v>384</v>
      </c>
      <c r="C323" t="s">
        <v>385</v>
      </c>
      <c r="D323" t="s">
        <v>38</v>
      </c>
      <c r="E323" t="s">
        <v>5684</v>
      </c>
      <c r="F323" t="s">
        <v>5163</v>
      </c>
      <c r="G323" t="s">
        <v>5236</v>
      </c>
    </row>
    <row r="324" spans="1:7" x14ac:dyDescent="0.2">
      <c r="A324" t="s">
        <v>103</v>
      </c>
      <c r="B324" t="s">
        <v>221</v>
      </c>
      <c r="C324" t="s">
        <v>389</v>
      </c>
      <c r="D324" t="s">
        <v>38</v>
      </c>
      <c r="E324" t="s">
        <v>5685</v>
      </c>
      <c r="F324" t="s">
        <v>5160</v>
      </c>
      <c r="G324" t="s">
        <v>5357</v>
      </c>
    </row>
    <row r="325" spans="1:7" x14ac:dyDescent="0.2">
      <c r="A325" t="s">
        <v>103</v>
      </c>
      <c r="B325" t="s">
        <v>363</v>
      </c>
      <c r="C325" t="s">
        <v>364</v>
      </c>
      <c r="D325" t="s">
        <v>38</v>
      </c>
      <c r="E325" t="s">
        <v>5686</v>
      </c>
      <c r="F325" t="s">
        <v>5160</v>
      </c>
      <c r="G325" t="s">
        <v>5164</v>
      </c>
    </row>
    <row r="326" spans="1:7" x14ac:dyDescent="0.2">
      <c r="A326" t="s">
        <v>103</v>
      </c>
      <c r="B326" t="s">
        <v>250</v>
      </c>
      <c r="C326" t="s">
        <v>1706</v>
      </c>
      <c r="D326" t="s">
        <v>38</v>
      </c>
      <c r="E326" t="s">
        <v>5687</v>
      </c>
      <c r="F326" t="s">
        <v>5160</v>
      </c>
      <c r="G326" t="s">
        <v>5475</v>
      </c>
    </row>
    <row r="327" spans="1:7" x14ac:dyDescent="0.2">
      <c r="A327" t="s">
        <v>66</v>
      </c>
      <c r="B327" t="s">
        <v>554</v>
      </c>
      <c r="C327" t="s">
        <v>555</v>
      </c>
      <c r="D327" t="s">
        <v>31</v>
      </c>
      <c r="E327" t="s">
        <v>5688</v>
      </c>
      <c r="F327" t="s">
        <v>5160</v>
      </c>
      <c r="G327" t="s">
        <v>5641</v>
      </c>
    </row>
    <row r="328" spans="1:7" x14ac:dyDescent="0.2">
      <c r="A328" t="s">
        <v>66</v>
      </c>
      <c r="B328" t="s">
        <v>554</v>
      </c>
      <c r="C328" t="s">
        <v>570</v>
      </c>
      <c r="D328" t="s">
        <v>31</v>
      </c>
      <c r="E328" t="s">
        <v>5689</v>
      </c>
      <c r="F328" t="s">
        <v>5163</v>
      </c>
      <c r="G328" t="s">
        <v>5690</v>
      </c>
    </row>
    <row r="329" spans="1:7" x14ac:dyDescent="0.2">
      <c r="A329" t="s">
        <v>66</v>
      </c>
      <c r="B329" t="s">
        <v>525</v>
      </c>
      <c r="C329" t="s">
        <v>526</v>
      </c>
      <c r="D329" t="s">
        <v>31</v>
      </c>
      <c r="E329" t="s">
        <v>5691</v>
      </c>
      <c r="F329" t="s">
        <v>5169</v>
      </c>
      <c r="G329" t="s">
        <v>5681</v>
      </c>
    </row>
    <row r="330" spans="1:7" x14ac:dyDescent="0.2">
      <c r="A330" t="s">
        <v>66</v>
      </c>
      <c r="B330" t="s">
        <v>328</v>
      </c>
      <c r="C330" t="s">
        <v>532</v>
      </c>
      <c r="D330" t="s">
        <v>38</v>
      </c>
      <c r="E330" t="s">
        <v>5692</v>
      </c>
      <c r="F330" t="s">
        <v>5163</v>
      </c>
      <c r="G330" t="s">
        <v>5107</v>
      </c>
    </row>
    <row r="331" spans="1:7" x14ac:dyDescent="0.2">
      <c r="A331" t="s">
        <v>66</v>
      </c>
      <c r="B331" t="s">
        <v>166</v>
      </c>
      <c r="C331" t="s">
        <v>564</v>
      </c>
      <c r="D331" t="s">
        <v>38</v>
      </c>
      <c r="E331" t="s">
        <v>5693</v>
      </c>
      <c r="F331" t="s">
        <v>5193</v>
      </c>
      <c r="G331" t="s">
        <v>3267</v>
      </c>
    </row>
    <row r="332" spans="1:7" x14ac:dyDescent="0.2">
      <c r="A332" t="s">
        <v>66</v>
      </c>
      <c r="B332" t="s">
        <v>540</v>
      </c>
      <c r="C332" t="s">
        <v>197</v>
      </c>
      <c r="D332" t="s">
        <v>38</v>
      </c>
      <c r="E332" t="s">
        <v>5694</v>
      </c>
      <c r="F332" t="s">
        <v>5193</v>
      </c>
      <c r="G332" t="s">
        <v>5355</v>
      </c>
    </row>
    <row r="333" spans="1:7" x14ac:dyDescent="0.2">
      <c r="A333" t="s">
        <v>66</v>
      </c>
      <c r="B333" t="s">
        <v>547</v>
      </c>
      <c r="C333" t="s">
        <v>548</v>
      </c>
      <c r="D333" t="s">
        <v>38</v>
      </c>
      <c r="E333" t="s">
        <v>5695</v>
      </c>
      <c r="F333" t="s">
        <v>5160</v>
      </c>
      <c r="G333" t="s">
        <v>5357</v>
      </c>
    </row>
    <row r="334" spans="1:7" x14ac:dyDescent="0.2">
      <c r="A334" t="s">
        <v>75</v>
      </c>
      <c r="B334" t="s">
        <v>595</v>
      </c>
      <c r="C334" t="s">
        <v>680</v>
      </c>
      <c r="D334" t="s">
        <v>31</v>
      </c>
      <c r="E334" t="s">
        <v>5696</v>
      </c>
      <c r="F334" t="s">
        <v>5193</v>
      </c>
      <c r="G334" t="s">
        <v>5679</v>
      </c>
    </row>
    <row r="335" spans="1:7" x14ac:dyDescent="0.2">
      <c r="A335" t="s">
        <v>75</v>
      </c>
      <c r="B335" t="s">
        <v>595</v>
      </c>
      <c r="C335" t="s">
        <v>431</v>
      </c>
      <c r="D335" t="s">
        <v>31</v>
      </c>
      <c r="E335" t="s">
        <v>5697</v>
      </c>
      <c r="F335" t="s">
        <v>5160</v>
      </c>
      <c r="G335" t="s">
        <v>5388</v>
      </c>
    </row>
    <row r="336" spans="1:7" x14ac:dyDescent="0.2">
      <c r="A336" t="s">
        <v>75</v>
      </c>
      <c r="B336" t="s">
        <v>158</v>
      </c>
      <c r="C336" t="s">
        <v>698</v>
      </c>
      <c r="D336" t="s">
        <v>38</v>
      </c>
      <c r="E336" t="s">
        <v>5698</v>
      </c>
      <c r="F336" t="s">
        <v>5160</v>
      </c>
      <c r="G336" t="s">
        <v>5161</v>
      </c>
    </row>
    <row r="337" spans="1:7" x14ac:dyDescent="0.2">
      <c r="A337" t="s">
        <v>75</v>
      </c>
      <c r="B337" t="s">
        <v>328</v>
      </c>
      <c r="C337" t="s">
        <v>532</v>
      </c>
      <c r="D337" t="s">
        <v>38</v>
      </c>
      <c r="E337" t="s">
        <v>5699</v>
      </c>
      <c r="F337" t="s">
        <v>5163</v>
      </c>
      <c r="G337" t="s">
        <v>5700</v>
      </c>
    </row>
    <row r="338" spans="1:7" x14ac:dyDescent="0.2">
      <c r="A338" t="s">
        <v>75</v>
      </c>
      <c r="B338" t="s">
        <v>464</v>
      </c>
      <c r="C338" t="s">
        <v>705</v>
      </c>
      <c r="D338" t="s">
        <v>38</v>
      </c>
      <c r="E338" t="s">
        <v>5701</v>
      </c>
      <c r="F338" t="s">
        <v>5160</v>
      </c>
      <c r="G338" t="s">
        <v>5181</v>
      </c>
    </row>
    <row r="339" spans="1:7" x14ac:dyDescent="0.2">
      <c r="A339" t="s">
        <v>75</v>
      </c>
      <c r="B339" t="s">
        <v>722</v>
      </c>
      <c r="C339" t="s">
        <v>723</v>
      </c>
      <c r="D339" t="s">
        <v>38</v>
      </c>
      <c r="E339" t="s">
        <v>5702</v>
      </c>
      <c r="F339" t="s">
        <v>5160</v>
      </c>
      <c r="G339" t="s">
        <v>5164</v>
      </c>
    </row>
    <row r="340" spans="1:7" x14ac:dyDescent="0.2">
      <c r="A340" t="s">
        <v>75</v>
      </c>
      <c r="B340" t="s">
        <v>158</v>
      </c>
      <c r="C340" t="s">
        <v>5703</v>
      </c>
      <c r="D340" t="s">
        <v>38</v>
      </c>
      <c r="E340" t="s">
        <v>5704</v>
      </c>
      <c r="F340" t="s">
        <v>5160</v>
      </c>
      <c r="G340" t="s">
        <v>5705</v>
      </c>
    </row>
    <row r="341" spans="1:7" x14ac:dyDescent="0.2">
      <c r="A341" t="s">
        <v>81</v>
      </c>
      <c r="B341" t="s">
        <v>580</v>
      </c>
      <c r="C341" t="s">
        <v>581</v>
      </c>
      <c r="D341" t="s">
        <v>31</v>
      </c>
      <c r="E341" t="s">
        <v>5706</v>
      </c>
      <c r="F341" t="s">
        <v>5160</v>
      </c>
      <c r="G341" t="s">
        <v>5443</v>
      </c>
    </row>
    <row r="342" spans="1:7" x14ac:dyDescent="0.2">
      <c r="A342" t="s">
        <v>81</v>
      </c>
      <c r="B342" t="s">
        <v>580</v>
      </c>
      <c r="C342" t="s">
        <v>608</v>
      </c>
      <c r="D342" t="s">
        <v>31</v>
      </c>
      <c r="E342" t="s">
        <v>5707</v>
      </c>
      <c r="F342" t="s">
        <v>5169</v>
      </c>
      <c r="G342" t="s">
        <v>5445</v>
      </c>
    </row>
    <row r="343" spans="1:7" x14ac:dyDescent="0.2">
      <c r="A343" t="s">
        <v>81</v>
      </c>
      <c r="B343" t="s">
        <v>587</v>
      </c>
      <c r="C343" t="s">
        <v>614</v>
      </c>
      <c r="D343" t="s">
        <v>31</v>
      </c>
      <c r="E343" t="s">
        <v>5708</v>
      </c>
      <c r="F343" t="s">
        <v>5160</v>
      </c>
      <c r="G343" t="s">
        <v>5709</v>
      </c>
    </row>
    <row r="344" spans="1:7" x14ac:dyDescent="0.2">
      <c r="A344" t="s">
        <v>81</v>
      </c>
      <c r="B344" t="s">
        <v>595</v>
      </c>
      <c r="C344" t="s">
        <v>1041</v>
      </c>
      <c r="D344" t="s">
        <v>31</v>
      </c>
      <c r="E344" t="s">
        <v>5710</v>
      </c>
      <c r="F344" t="s">
        <v>5193</v>
      </c>
      <c r="G344" t="s">
        <v>5711</v>
      </c>
    </row>
    <row r="345" spans="1:7" x14ac:dyDescent="0.2">
      <c r="A345" t="s">
        <v>81</v>
      </c>
      <c r="B345" t="s">
        <v>504</v>
      </c>
      <c r="C345" t="s">
        <v>603</v>
      </c>
      <c r="D345" t="s">
        <v>31</v>
      </c>
      <c r="E345" t="s">
        <v>5712</v>
      </c>
      <c r="F345" t="s">
        <v>5163</v>
      </c>
      <c r="G345" t="s">
        <v>5225</v>
      </c>
    </row>
    <row r="346" spans="1:7" x14ac:dyDescent="0.2">
      <c r="A346" t="s">
        <v>81</v>
      </c>
      <c r="B346" t="s">
        <v>135</v>
      </c>
      <c r="C346" t="s">
        <v>5713</v>
      </c>
      <c r="D346" t="s">
        <v>31</v>
      </c>
      <c r="E346" t="s">
        <v>5714</v>
      </c>
      <c r="F346" t="s">
        <v>5163</v>
      </c>
      <c r="G346" t="s">
        <v>5349</v>
      </c>
    </row>
    <row r="347" spans="1:7" x14ac:dyDescent="0.2">
      <c r="A347" t="s">
        <v>81</v>
      </c>
      <c r="B347" t="s">
        <v>166</v>
      </c>
      <c r="C347" t="s">
        <v>5715</v>
      </c>
      <c r="D347" t="s">
        <v>38</v>
      </c>
      <c r="E347" t="s">
        <v>5716</v>
      </c>
      <c r="F347" t="s">
        <v>5169</v>
      </c>
      <c r="G347" t="s">
        <v>5172</v>
      </c>
    </row>
    <row r="348" spans="1:7" x14ac:dyDescent="0.2">
      <c r="A348" t="s">
        <v>29</v>
      </c>
      <c r="B348" t="s">
        <v>437</v>
      </c>
      <c r="C348" t="s">
        <v>669</v>
      </c>
      <c r="D348" t="s">
        <v>31</v>
      </c>
      <c r="E348" t="s">
        <v>5717</v>
      </c>
      <c r="F348" t="s">
        <v>5160</v>
      </c>
      <c r="G348" t="s">
        <v>5718</v>
      </c>
    </row>
    <row r="349" spans="1:7" x14ac:dyDescent="0.2">
      <c r="A349" t="s">
        <v>29</v>
      </c>
      <c r="B349" t="s">
        <v>664</v>
      </c>
      <c r="C349" t="s">
        <v>674</v>
      </c>
      <c r="D349" t="s">
        <v>31</v>
      </c>
      <c r="E349" t="s">
        <v>5719</v>
      </c>
      <c r="F349" t="s">
        <v>5160</v>
      </c>
      <c r="G349" t="s">
        <v>5720</v>
      </c>
    </row>
    <row r="350" spans="1:7" x14ac:dyDescent="0.2">
      <c r="A350" t="s">
        <v>29</v>
      </c>
      <c r="B350" t="s">
        <v>629</v>
      </c>
      <c r="C350" t="s">
        <v>5721</v>
      </c>
      <c r="D350" t="s">
        <v>38</v>
      </c>
      <c r="E350" t="s">
        <v>5722</v>
      </c>
      <c r="F350" t="s">
        <v>5160</v>
      </c>
      <c r="G350" t="s">
        <v>5723</v>
      </c>
    </row>
    <row r="351" spans="1:7" x14ac:dyDescent="0.2">
      <c r="A351" t="s">
        <v>29</v>
      </c>
      <c r="B351" t="s">
        <v>287</v>
      </c>
      <c r="C351" t="s">
        <v>646</v>
      </c>
      <c r="D351" t="s">
        <v>31</v>
      </c>
      <c r="E351" t="s">
        <v>5724</v>
      </c>
      <c r="F351" t="s">
        <v>5169</v>
      </c>
      <c r="G351" t="s">
        <v>5725</v>
      </c>
    </row>
    <row r="352" spans="1:7" x14ac:dyDescent="0.2">
      <c r="A352" t="s">
        <v>29</v>
      </c>
      <c r="B352" t="s">
        <v>655</v>
      </c>
      <c r="C352" t="s">
        <v>656</v>
      </c>
      <c r="D352" t="s">
        <v>38</v>
      </c>
      <c r="E352" t="s">
        <v>5726</v>
      </c>
      <c r="F352" t="s">
        <v>5160</v>
      </c>
      <c r="G352" t="s">
        <v>5727</v>
      </c>
    </row>
    <row r="353" spans="1:7" x14ac:dyDescent="0.2">
      <c r="A353" t="s">
        <v>29</v>
      </c>
      <c r="B353" t="s">
        <v>664</v>
      </c>
      <c r="C353" t="s">
        <v>174</v>
      </c>
      <c r="D353" t="s">
        <v>31</v>
      </c>
      <c r="E353" t="s">
        <v>5728</v>
      </c>
      <c r="F353" t="s">
        <v>5160</v>
      </c>
      <c r="G353" t="s">
        <v>5729</v>
      </c>
    </row>
    <row r="354" spans="1:7" x14ac:dyDescent="0.2">
      <c r="A354" t="s">
        <v>97</v>
      </c>
      <c r="B354" t="s">
        <v>250</v>
      </c>
      <c r="C354" t="s">
        <v>727</v>
      </c>
      <c r="D354" t="s">
        <v>31</v>
      </c>
      <c r="E354" t="s">
        <v>5730</v>
      </c>
      <c r="F354" t="s">
        <v>5160</v>
      </c>
      <c r="G354" t="s">
        <v>5181</v>
      </c>
    </row>
    <row r="355" spans="1:7" x14ac:dyDescent="0.2">
      <c r="A355" t="s">
        <v>97</v>
      </c>
      <c r="B355" t="s">
        <v>204</v>
      </c>
      <c r="C355" t="s">
        <v>355</v>
      </c>
      <c r="D355" t="s">
        <v>31</v>
      </c>
      <c r="E355" t="s">
        <v>5731</v>
      </c>
      <c r="F355" t="s">
        <v>5163</v>
      </c>
      <c r="G355" t="s">
        <v>5280</v>
      </c>
    </row>
    <row r="356" spans="1:7" x14ac:dyDescent="0.2">
      <c r="A356" t="s">
        <v>97</v>
      </c>
      <c r="B356" t="s">
        <v>761</v>
      </c>
      <c r="C356" t="s">
        <v>693</v>
      </c>
      <c r="D356" t="s">
        <v>38</v>
      </c>
      <c r="E356" t="s">
        <v>5732</v>
      </c>
      <c r="F356" t="s">
        <v>5160</v>
      </c>
      <c r="G356" t="s">
        <v>5179</v>
      </c>
    </row>
    <row r="357" spans="1:7" x14ac:dyDescent="0.2">
      <c r="A357" t="s">
        <v>97</v>
      </c>
      <c r="B357" t="s">
        <v>250</v>
      </c>
      <c r="C357" t="s">
        <v>738</v>
      </c>
      <c r="D357" t="s">
        <v>38</v>
      </c>
      <c r="E357" t="s">
        <v>5733</v>
      </c>
      <c r="F357" t="s">
        <v>5160</v>
      </c>
      <c r="G357" t="s">
        <v>5734</v>
      </c>
    </row>
    <row r="358" spans="1:7" x14ac:dyDescent="0.2">
      <c r="A358" t="s">
        <v>97</v>
      </c>
      <c r="B358" t="s">
        <v>437</v>
      </c>
      <c r="C358" t="s">
        <v>778</v>
      </c>
      <c r="D358" t="s">
        <v>38</v>
      </c>
      <c r="E358" t="s">
        <v>5735</v>
      </c>
      <c r="F358" t="s">
        <v>5163</v>
      </c>
      <c r="G358" t="s">
        <v>5167</v>
      </c>
    </row>
    <row r="359" spans="1:7" x14ac:dyDescent="0.2">
      <c r="A359" t="s">
        <v>97</v>
      </c>
      <c r="B359" t="s">
        <v>250</v>
      </c>
      <c r="C359" t="s">
        <v>174</v>
      </c>
      <c r="D359" t="s">
        <v>38</v>
      </c>
      <c r="E359" t="s">
        <v>5736</v>
      </c>
      <c r="F359" t="s">
        <v>5169</v>
      </c>
      <c r="G359" t="s">
        <v>5737</v>
      </c>
    </row>
    <row r="360" spans="1:7" x14ac:dyDescent="0.2">
      <c r="A360" t="s">
        <v>97</v>
      </c>
      <c r="B360" t="s">
        <v>204</v>
      </c>
      <c r="C360" t="s">
        <v>3459</v>
      </c>
      <c r="D360" t="s">
        <v>31</v>
      </c>
      <c r="E360" t="s">
        <v>5738</v>
      </c>
      <c r="F360" t="s">
        <v>5163</v>
      </c>
      <c r="G360" t="s">
        <v>5357</v>
      </c>
    </row>
    <row r="361" spans="1:7" x14ac:dyDescent="0.2">
      <c r="A361" t="s">
        <v>78</v>
      </c>
      <c r="B361" t="s">
        <v>547</v>
      </c>
      <c r="C361" t="s">
        <v>182</v>
      </c>
      <c r="D361" t="s">
        <v>31</v>
      </c>
      <c r="E361" t="s">
        <v>5739</v>
      </c>
      <c r="F361" t="s">
        <v>5160</v>
      </c>
      <c r="G361" t="s">
        <v>5740</v>
      </c>
    </row>
    <row r="362" spans="1:7" x14ac:dyDescent="0.2">
      <c r="A362" t="s">
        <v>78</v>
      </c>
      <c r="B362" t="s">
        <v>595</v>
      </c>
      <c r="C362" t="s">
        <v>431</v>
      </c>
      <c r="D362" t="s">
        <v>31</v>
      </c>
      <c r="E362" t="s">
        <v>5741</v>
      </c>
      <c r="F362" t="s">
        <v>5193</v>
      </c>
      <c r="G362" t="s">
        <v>5742</v>
      </c>
    </row>
    <row r="363" spans="1:7" x14ac:dyDescent="0.2">
      <c r="A363" t="s">
        <v>78</v>
      </c>
      <c r="B363" t="s">
        <v>181</v>
      </c>
      <c r="C363" t="s">
        <v>819</v>
      </c>
      <c r="D363" t="s">
        <v>38</v>
      </c>
      <c r="E363" t="s">
        <v>5743</v>
      </c>
      <c r="F363" t="s">
        <v>5163</v>
      </c>
      <c r="G363" t="s">
        <v>5550</v>
      </c>
    </row>
    <row r="364" spans="1:7" x14ac:dyDescent="0.2">
      <c r="A364" t="s">
        <v>78</v>
      </c>
      <c r="B364" t="s">
        <v>166</v>
      </c>
      <c r="C364" t="s">
        <v>802</v>
      </c>
      <c r="D364" t="s">
        <v>38</v>
      </c>
      <c r="E364" t="s">
        <v>5744</v>
      </c>
      <c r="F364" t="s">
        <v>5193</v>
      </c>
      <c r="G364" t="s">
        <v>5745</v>
      </c>
    </row>
    <row r="365" spans="1:7" x14ac:dyDescent="0.2">
      <c r="A365" t="s">
        <v>78</v>
      </c>
      <c r="B365" t="s">
        <v>188</v>
      </c>
      <c r="C365" t="s">
        <v>835</v>
      </c>
      <c r="D365" t="s">
        <v>38</v>
      </c>
      <c r="E365" t="s">
        <v>5746</v>
      </c>
      <c r="F365" t="s">
        <v>5160</v>
      </c>
      <c r="G365" t="s">
        <v>5558</v>
      </c>
    </row>
    <row r="366" spans="1:7" x14ac:dyDescent="0.2">
      <c r="A366" t="s">
        <v>78</v>
      </c>
      <c r="B366" t="s">
        <v>547</v>
      </c>
      <c r="C366" t="s">
        <v>807</v>
      </c>
      <c r="D366" t="s">
        <v>38</v>
      </c>
      <c r="E366" t="s">
        <v>5747</v>
      </c>
      <c r="F366" t="s">
        <v>5160</v>
      </c>
      <c r="G366" t="s">
        <v>5748</v>
      </c>
    </row>
    <row r="367" spans="1:7" x14ac:dyDescent="0.2">
      <c r="A367" t="s">
        <v>78</v>
      </c>
      <c r="B367" t="s">
        <v>181</v>
      </c>
      <c r="C367" t="s">
        <v>5749</v>
      </c>
      <c r="D367" t="s">
        <v>38</v>
      </c>
      <c r="E367" t="s">
        <v>5750</v>
      </c>
      <c r="F367" t="s">
        <v>5169</v>
      </c>
      <c r="G367" t="s">
        <v>5751</v>
      </c>
    </row>
    <row r="368" spans="1:7" x14ac:dyDescent="0.2">
      <c r="A368" t="s">
        <v>54</v>
      </c>
      <c r="B368" t="s">
        <v>587</v>
      </c>
      <c r="C368" t="s">
        <v>841</v>
      </c>
      <c r="D368" t="s">
        <v>31</v>
      </c>
      <c r="E368" t="s">
        <v>5752</v>
      </c>
      <c r="F368" t="s">
        <v>5160</v>
      </c>
      <c r="G368" t="s">
        <v>5679</v>
      </c>
    </row>
    <row r="369" spans="1:7" x14ac:dyDescent="0.2">
      <c r="A369" t="s">
        <v>54</v>
      </c>
      <c r="B369" t="s">
        <v>856</v>
      </c>
      <c r="C369" t="s">
        <v>865</v>
      </c>
      <c r="D369" t="s">
        <v>31</v>
      </c>
      <c r="E369" t="s">
        <v>5753</v>
      </c>
      <c r="F369" t="s">
        <v>5169</v>
      </c>
      <c r="G369" t="s">
        <v>5388</v>
      </c>
    </row>
    <row r="370" spans="1:7" x14ac:dyDescent="0.2">
      <c r="A370" t="s">
        <v>54</v>
      </c>
      <c r="B370" t="s">
        <v>614</v>
      </c>
      <c r="C370" t="s">
        <v>846</v>
      </c>
      <c r="D370" t="s">
        <v>31</v>
      </c>
      <c r="E370" t="s">
        <v>5754</v>
      </c>
      <c r="F370" t="s">
        <v>5169</v>
      </c>
      <c r="G370" t="s">
        <v>5755</v>
      </c>
    </row>
    <row r="371" spans="1:7" x14ac:dyDescent="0.2">
      <c r="A371" t="s">
        <v>54</v>
      </c>
      <c r="B371" t="s">
        <v>3535</v>
      </c>
      <c r="C371" t="s">
        <v>547</v>
      </c>
      <c r="D371" t="s">
        <v>38</v>
      </c>
      <c r="E371" t="s">
        <v>5756</v>
      </c>
      <c r="F371" t="s">
        <v>5163</v>
      </c>
      <c r="G371" t="s">
        <v>5757</v>
      </c>
    </row>
    <row r="372" spans="1:7" x14ac:dyDescent="0.2">
      <c r="A372" t="s">
        <v>54</v>
      </c>
      <c r="B372" t="s">
        <v>166</v>
      </c>
      <c r="C372" t="s">
        <v>884</v>
      </c>
      <c r="D372" t="s">
        <v>38</v>
      </c>
      <c r="E372" t="s">
        <v>5758</v>
      </c>
      <c r="F372" t="s">
        <v>5160</v>
      </c>
      <c r="G372" t="s">
        <v>5357</v>
      </c>
    </row>
    <row r="373" spans="1:7" x14ac:dyDescent="0.2">
      <c r="A373" t="s">
        <v>54</v>
      </c>
      <c r="B373" t="s">
        <v>188</v>
      </c>
      <c r="C373" t="s">
        <v>1612</v>
      </c>
      <c r="D373" t="s">
        <v>38</v>
      </c>
      <c r="E373" t="s">
        <v>5759</v>
      </c>
      <c r="F373" t="s">
        <v>5160</v>
      </c>
      <c r="G373" t="s">
        <v>5364</v>
      </c>
    </row>
    <row r="374" spans="1:7" x14ac:dyDescent="0.2">
      <c r="A374" t="s">
        <v>84</v>
      </c>
      <c r="B374" t="s">
        <v>464</v>
      </c>
      <c r="C374" t="s">
        <v>889</v>
      </c>
      <c r="D374" t="s">
        <v>31</v>
      </c>
      <c r="E374" t="s">
        <v>5760</v>
      </c>
      <c r="F374" t="s">
        <v>5160</v>
      </c>
      <c r="G374" t="s">
        <v>5276</v>
      </c>
    </row>
    <row r="375" spans="1:7" x14ac:dyDescent="0.2">
      <c r="A375" t="s">
        <v>84</v>
      </c>
      <c r="B375" t="s">
        <v>481</v>
      </c>
      <c r="C375" t="s">
        <v>893</v>
      </c>
      <c r="D375" t="s">
        <v>31</v>
      </c>
      <c r="E375" t="s">
        <v>5761</v>
      </c>
      <c r="F375" t="s">
        <v>5160</v>
      </c>
      <c r="G375" t="s">
        <v>5234</v>
      </c>
    </row>
    <row r="376" spans="1:7" x14ac:dyDescent="0.2">
      <c r="A376" t="s">
        <v>84</v>
      </c>
      <c r="B376" t="s">
        <v>166</v>
      </c>
      <c r="C376" t="s">
        <v>470</v>
      </c>
      <c r="D376" t="s">
        <v>38</v>
      </c>
      <c r="E376" t="s">
        <v>5762</v>
      </c>
      <c r="F376" t="s">
        <v>5193</v>
      </c>
      <c r="G376" t="s">
        <v>5164</v>
      </c>
    </row>
    <row r="377" spans="1:7" x14ac:dyDescent="0.2">
      <c r="A377" t="s">
        <v>84</v>
      </c>
      <c r="B377" t="s">
        <v>181</v>
      </c>
      <c r="C377" t="s">
        <v>511</v>
      </c>
      <c r="D377" t="s">
        <v>38</v>
      </c>
      <c r="E377" t="s">
        <v>5763</v>
      </c>
      <c r="F377" t="s">
        <v>5163</v>
      </c>
      <c r="G377" t="s">
        <v>5259</v>
      </c>
    </row>
    <row r="378" spans="1:7" x14ac:dyDescent="0.2">
      <c r="A378" t="s">
        <v>84</v>
      </c>
      <c r="B378" t="s">
        <v>328</v>
      </c>
      <c r="C378" t="s">
        <v>909</v>
      </c>
      <c r="D378" t="s">
        <v>38</v>
      </c>
      <c r="E378" t="s">
        <v>5764</v>
      </c>
      <c r="F378" t="s">
        <v>5163</v>
      </c>
      <c r="G378" t="s">
        <v>5167</v>
      </c>
    </row>
    <row r="379" spans="1:7" x14ac:dyDescent="0.2">
      <c r="A379" t="s">
        <v>84</v>
      </c>
      <c r="B379" t="s">
        <v>188</v>
      </c>
      <c r="C379" t="s">
        <v>932</v>
      </c>
      <c r="D379" t="s">
        <v>38</v>
      </c>
      <c r="E379" t="s">
        <v>5765</v>
      </c>
      <c r="F379" t="s">
        <v>5160</v>
      </c>
      <c r="G379" t="s">
        <v>5766</v>
      </c>
    </row>
    <row r="380" spans="1:7" x14ac:dyDescent="0.2">
      <c r="A380" t="s">
        <v>84</v>
      </c>
      <c r="B380" t="s">
        <v>464</v>
      </c>
      <c r="C380" t="s">
        <v>5767</v>
      </c>
      <c r="D380" t="s">
        <v>38</v>
      </c>
      <c r="E380" t="s">
        <v>5768</v>
      </c>
      <c r="F380" t="s">
        <v>5169</v>
      </c>
      <c r="G380" t="s">
        <v>5587</v>
      </c>
    </row>
    <row r="381" spans="1:7" x14ac:dyDescent="0.2">
      <c r="A381" t="s">
        <v>84</v>
      </c>
      <c r="B381" t="s">
        <v>481</v>
      </c>
      <c r="C381" t="s">
        <v>517</v>
      </c>
      <c r="D381" t="s">
        <v>38</v>
      </c>
      <c r="E381" t="s">
        <v>5769</v>
      </c>
      <c r="F381" t="s">
        <v>5160</v>
      </c>
      <c r="G381" t="s">
        <v>5422</v>
      </c>
    </row>
    <row r="382" spans="1:7" x14ac:dyDescent="0.2">
      <c r="A382" t="s">
        <v>100</v>
      </c>
      <c r="B382" t="s">
        <v>250</v>
      </c>
      <c r="C382" t="s">
        <v>251</v>
      </c>
      <c r="D382" t="s">
        <v>31</v>
      </c>
      <c r="E382" t="s">
        <v>5770</v>
      </c>
      <c r="F382" t="s">
        <v>5160</v>
      </c>
      <c r="G382" t="s">
        <v>5526</v>
      </c>
    </row>
    <row r="383" spans="1:7" x14ac:dyDescent="0.2">
      <c r="A383" t="s">
        <v>100</v>
      </c>
      <c r="B383" t="s">
        <v>943</v>
      </c>
      <c r="C383" t="s">
        <v>944</v>
      </c>
      <c r="D383" t="s">
        <v>31</v>
      </c>
      <c r="E383" t="s">
        <v>5771</v>
      </c>
      <c r="F383" t="s">
        <v>5160</v>
      </c>
      <c r="G383" t="s">
        <v>5561</v>
      </c>
    </row>
    <row r="384" spans="1:7" x14ac:dyDescent="0.2">
      <c r="A384" t="s">
        <v>100</v>
      </c>
      <c r="B384" t="s">
        <v>236</v>
      </c>
      <c r="C384" t="s">
        <v>989</v>
      </c>
      <c r="D384" t="s">
        <v>31</v>
      </c>
      <c r="E384" t="s">
        <v>5772</v>
      </c>
      <c r="F384" t="s">
        <v>5169</v>
      </c>
      <c r="G384" t="s">
        <v>5773</v>
      </c>
    </row>
    <row r="385" spans="1:7" x14ac:dyDescent="0.2">
      <c r="A385" t="s">
        <v>100</v>
      </c>
      <c r="B385" t="s">
        <v>287</v>
      </c>
      <c r="C385" t="s">
        <v>5774</v>
      </c>
      <c r="D385" t="s">
        <v>38</v>
      </c>
      <c r="E385" t="s">
        <v>5775</v>
      </c>
      <c r="F385" t="s">
        <v>5169</v>
      </c>
      <c r="G385" t="s">
        <v>5776</v>
      </c>
    </row>
    <row r="386" spans="1:7" x14ac:dyDescent="0.2">
      <c r="A386" t="s">
        <v>100</v>
      </c>
      <c r="B386" t="s">
        <v>969</v>
      </c>
      <c r="C386" t="s">
        <v>258</v>
      </c>
      <c r="D386" t="s">
        <v>38</v>
      </c>
      <c r="E386" t="s">
        <v>5777</v>
      </c>
      <c r="F386" t="s">
        <v>5160</v>
      </c>
      <c r="G386" t="s">
        <v>5563</v>
      </c>
    </row>
    <row r="387" spans="1:7" x14ac:dyDescent="0.2">
      <c r="A387" t="s">
        <v>100</v>
      </c>
      <c r="B387" t="s">
        <v>236</v>
      </c>
      <c r="C387" t="s">
        <v>976</v>
      </c>
      <c r="D387" t="s">
        <v>38</v>
      </c>
      <c r="E387" t="s">
        <v>5778</v>
      </c>
      <c r="F387" t="s">
        <v>5193</v>
      </c>
      <c r="G387" t="s">
        <v>5779</v>
      </c>
    </row>
    <row r="388" spans="1:7" x14ac:dyDescent="0.2">
      <c r="A388" t="s">
        <v>98</v>
      </c>
      <c r="B388" t="s">
        <v>1001</v>
      </c>
      <c r="C388" t="s">
        <v>1002</v>
      </c>
      <c r="D388" t="s">
        <v>31</v>
      </c>
      <c r="E388" t="s">
        <v>5780</v>
      </c>
      <c r="F388" t="s">
        <v>5781</v>
      </c>
      <c r="G388" t="s">
        <v>5339</v>
      </c>
    </row>
    <row r="389" spans="1:7" x14ac:dyDescent="0.2">
      <c r="A389" t="s">
        <v>98</v>
      </c>
      <c r="B389" t="s">
        <v>464</v>
      </c>
      <c r="C389" t="s">
        <v>2586</v>
      </c>
      <c r="D389" t="s">
        <v>31</v>
      </c>
      <c r="E389" t="s">
        <v>5782</v>
      </c>
      <c r="F389" t="s">
        <v>5169</v>
      </c>
      <c r="G389" t="s">
        <v>5280</v>
      </c>
    </row>
    <row r="390" spans="1:7" x14ac:dyDescent="0.2">
      <c r="A390" t="s">
        <v>98</v>
      </c>
      <c r="B390" t="s">
        <v>1013</v>
      </c>
      <c r="C390" t="s">
        <v>1014</v>
      </c>
      <c r="D390" t="s">
        <v>31</v>
      </c>
      <c r="E390" t="s">
        <v>5783</v>
      </c>
      <c r="F390" t="s">
        <v>5160</v>
      </c>
      <c r="G390" t="s">
        <v>4569</v>
      </c>
    </row>
    <row r="391" spans="1:7" x14ac:dyDescent="0.2">
      <c r="A391" t="s">
        <v>98</v>
      </c>
      <c r="B391" t="s">
        <v>1026</v>
      </c>
      <c r="C391" t="s">
        <v>1027</v>
      </c>
      <c r="D391" t="s">
        <v>38</v>
      </c>
      <c r="E391" t="s">
        <v>5784</v>
      </c>
      <c r="F391" t="s">
        <v>5785</v>
      </c>
      <c r="G391" t="s">
        <v>5255</v>
      </c>
    </row>
    <row r="392" spans="1:7" x14ac:dyDescent="0.2">
      <c r="A392" t="s">
        <v>98</v>
      </c>
      <c r="B392" t="s">
        <v>174</v>
      </c>
      <c r="C392" t="s">
        <v>1032</v>
      </c>
      <c r="D392" t="s">
        <v>38</v>
      </c>
      <c r="E392" t="s">
        <v>5786</v>
      </c>
      <c r="F392" t="s">
        <v>5160</v>
      </c>
      <c r="G392" t="s">
        <v>5766</v>
      </c>
    </row>
    <row r="393" spans="1:7" x14ac:dyDescent="0.2">
      <c r="A393" t="s">
        <v>98</v>
      </c>
      <c r="B393" t="s">
        <v>315</v>
      </c>
      <c r="C393" t="s">
        <v>1076</v>
      </c>
      <c r="D393" t="s">
        <v>38</v>
      </c>
      <c r="E393" t="s">
        <v>5787</v>
      </c>
      <c r="F393" t="s">
        <v>5193</v>
      </c>
      <c r="G393" t="s">
        <v>5788</v>
      </c>
    </row>
    <row r="394" spans="1:7" x14ac:dyDescent="0.2">
      <c r="A394" t="s">
        <v>98</v>
      </c>
      <c r="B394" t="s">
        <v>287</v>
      </c>
      <c r="C394" t="s">
        <v>796</v>
      </c>
      <c r="D394" t="s">
        <v>38</v>
      </c>
      <c r="E394" t="s">
        <v>5789</v>
      </c>
      <c r="F394" t="s">
        <v>5160</v>
      </c>
      <c r="G394" t="s">
        <v>5790</v>
      </c>
    </row>
    <row r="395" spans="1:7" x14ac:dyDescent="0.2">
      <c r="A395" t="s">
        <v>98</v>
      </c>
      <c r="B395" t="s">
        <v>437</v>
      </c>
      <c r="C395" t="s">
        <v>2510</v>
      </c>
      <c r="D395" t="s">
        <v>38</v>
      </c>
      <c r="E395" t="s">
        <v>5791</v>
      </c>
      <c r="F395" t="s">
        <v>5163</v>
      </c>
      <c r="G395" t="s">
        <v>5596</v>
      </c>
    </row>
    <row r="396" spans="1:7" x14ac:dyDescent="0.2">
      <c r="A396" t="s">
        <v>76</v>
      </c>
      <c r="B396" t="s">
        <v>464</v>
      </c>
      <c r="C396" t="s">
        <v>1072</v>
      </c>
      <c r="D396" t="s">
        <v>31</v>
      </c>
      <c r="E396" t="s">
        <v>5792</v>
      </c>
      <c r="F396" t="s">
        <v>5163</v>
      </c>
      <c r="G396" t="s">
        <v>5225</v>
      </c>
    </row>
    <row r="397" spans="1:7" x14ac:dyDescent="0.2">
      <c r="A397" t="s">
        <v>76</v>
      </c>
      <c r="B397" t="s">
        <v>595</v>
      </c>
      <c r="C397" t="s">
        <v>1076</v>
      </c>
      <c r="D397" t="s">
        <v>31</v>
      </c>
      <c r="E397" t="s">
        <v>5793</v>
      </c>
      <c r="F397" t="s">
        <v>5193</v>
      </c>
      <c r="G397" t="s">
        <v>5059</v>
      </c>
    </row>
    <row r="398" spans="1:7" x14ac:dyDescent="0.2">
      <c r="A398" t="s">
        <v>76</v>
      </c>
      <c r="B398" t="s">
        <v>125</v>
      </c>
      <c r="C398" t="s">
        <v>709</v>
      </c>
      <c r="D398" t="s">
        <v>38</v>
      </c>
      <c r="E398" t="s">
        <v>5794</v>
      </c>
      <c r="F398" t="s">
        <v>5163</v>
      </c>
      <c r="G398" t="s">
        <v>4570</v>
      </c>
    </row>
    <row r="399" spans="1:7" x14ac:dyDescent="0.2">
      <c r="A399" t="s">
        <v>76</v>
      </c>
      <c r="B399" t="s">
        <v>328</v>
      </c>
      <c r="C399" t="s">
        <v>1067</v>
      </c>
      <c r="D399" t="s">
        <v>38</v>
      </c>
      <c r="E399" t="s">
        <v>5795</v>
      </c>
      <c r="F399" t="s">
        <v>5163</v>
      </c>
      <c r="G399" t="s">
        <v>5236</v>
      </c>
    </row>
    <row r="400" spans="1:7" x14ac:dyDescent="0.2">
      <c r="A400" t="s">
        <v>76</v>
      </c>
      <c r="B400" t="s">
        <v>158</v>
      </c>
      <c r="C400" t="s">
        <v>1059</v>
      </c>
      <c r="D400" t="s">
        <v>38</v>
      </c>
      <c r="E400" t="s">
        <v>5796</v>
      </c>
      <c r="F400" t="s">
        <v>5160</v>
      </c>
      <c r="G400" t="s">
        <v>5172</v>
      </c>
    </row>
    <row r="401" spans="1:7" x14ac:dyDescent="0.2">
      <c r="A401" t="s">
        <v>76</v>
      </c>
      <c r="B401" t="s">
        <v>166</v>
      </c>
      <c r="C401" t="s">
        <v>802</v>
      </c>
      <c r="D401" t="s">
        <v>38</v>
      </c>
      <c r="E401" t="s">
        <v>5797</v>
      </c>
      <c r="F401" t="s">
        <v>5193</v>
      </c>
      <c r="G401" t="s">
        <v>5618</v>
      </c>
    </row>
    <row r="402" spans="1:7" x14ac:dyDescent="0.2">
      <c r="A402" t="s">
        <v>76</v>
      </c>
      <c r="B402" t="s">
        <v>181</v>
      </c>
      <c r="C402" t="s">
        <v>511</v>
      </c>
      <c r="D402" t="s">
        <v>38</v>
      </c>
      <c r="E402" t="s">
        <v>5798</v>
      </c>
      <c r="F402" t="s">
        <v>5163</v>
      </c>
      <c r="G402" t="s">
        <v>5259</v>
      </c>
    </row>
    <row r="403" spans="1:7" x14ac:dyDescent="0.2">
      <c r="A403" t="s">
        <v>76</v>
      </c>
      <c r="B403" t="s">
        <v>5799</v>
      </c>
      <c r="C403" t="s">
        <v>4393</v>
      </c>
      <c r="D403" t="s">
        <v>31</v>
      </c>
      <c r="E403" t="s">
        <v>5800</v>
      </c>
      <c r="F403" t="s">
        <v>5160</v>
      </c>
      <c r="G403" t="s">
        <v>5208</v>
      </c>
    </row>
    <row r="404" spans="1:7" x14ac:dyDescent="0.2">
      <c r="A404" t="s">
        <v>82</v>
      </c>
      <c r="B404" t="s">
        <v>481</v>
      </c>
      <c r="C404" t="s">
        <v>1152</v>
      </c>
      <c r="D404" t="s">
        <v>31</v>
      </c>
      <c r="E404" t="s">
        <v>5801</v>
      </c>
      <c r="F404" t="s">
        <v>5160</v>
      </c>
      <c r="G404" t="s">
        <v>5802</v>
      </c>
    </row>
    <row r="405" spans="1:7" x14ac:dyDescent="0.2">
      <c r="A405" t="s">
        <v>82</v>
      </c>
      <c r="B405" t="s">
        <v>464</v>
      </c>
      <c r="C405" t="s">
        <v>287</v>
      </c>
      <c r="D405" t="s">
        <v>31</v>
      </c>
      <c r="E405" t="s">
        <v>5803</v>
      </c>
      <c r="F405" t="s">
        <v>5169</v>
      </c>
      <c r="G405" t="s">
        <v>3267</v>
      </c>
    </row>
    <row r="406" spans="1:7" x14ac:dyDescent="0.2">
      <c r="A406" t="s">
        <v>82</v>
      </c>
      <c r="B406" t="s">
        <v>328</v>
      </c>
      <c r="C406" t="s">
        <v>151</v>
      </c>
      <c r="D406" t="s">
        <v>38</v>
      </c>
      <c r="E406" t="s">
        <v>5804</v>
      </c>
      <c r="F406" t="s">
        <v>5160</v>
      </c>
      <c r="G406" t="s">
        <v>5164</v>
      </c>
    </row>
    <row r="407" spans="1:7" x14ac:dyDescent="0.2">
      <c r="A407" t="s">
        <v>82</v>
      </c>
      <c r="B407" t="s">
        <v>487</v>
      </c>
      <c r="C407" t="s">
        <v>1143</v>
      </c>
      <c r="D407" t="s">
        <v>31</v>
      </c>
      <c r="E407" t="s">
        <v>5805</v>
      </c>
      <c r="F407" t="s">
        <v>5160</v>
      </c>
      <c r="G407" t="s">
        <v>5280</v>
      </c>
    </row>
    <row r="408" spans="1:7" x14ac:dyDescent="0.2">
      <c r="A408" t="s">
        <v>82</v>
      </c>
      <c r="B408" t="s">
        <v>181</v>
      </c>
      <c r="C408" t="s">
        <v>511</v>
      </c>
      <c r="D408" t="s">
        <v>38</v>
      </c>
      <c r="E408" t="s">
        <v>5806</v>
      </c>
      <c r="F408" t="s">
        <v>5160</v>
      </c>
      <c r="G408" t="s">
        <v>5475</v>
      </c>
    </row>
    <row r="409" spans="1:7" x14ac:dyDescent="0.2">
      <c r="A409" t="s">
        <v>82</v>
      </c>
      <c r="B409" t="s">
        <v>196</v>
      </c>
      <c r="C409" t="s">
        <v>1970</v>
      </c>
      <c r="D409" t="s">
        <v>38</v>
      </c>
      <c r="E409" t="s">
        <v>5807</v>
      </c>
      <c r="F409" t="s">
        <v>5193</v>
      </c>
      <c r="G409" t="s">
        <v>5808</v>
      </c>
    </row>
    <row r="410" spans="1:7" x14ac:dyDescent="0.2">
      <c r="A410" t="s">
        <v>88</v>
      </c>
      <c r="B410" t="s">
        <v>504</v>
      </c>
      <c r="C410" t="s">
        <v>547</v>
      </c>
      <c r="D410" t="s">
        <v>31</v>
      </c>
      <c r="E410" t="s">
        <v>5809</v>
      </c>
      <c r="F410" t="s">
        <v>5160</v>
      </c>
      <c r="G410" t="s">
        <v>5210</v>
      </c>
    </row>
    <row r="411" spans="1:7" x14ac:dyDescent="0.2">
      <c r="A411" t="s">
        <v>88</v>
      </c>
      <c r="B411" t="s">
        <v>174</v>
      </c>
      <c r="C411" t="s">
        <v>1092</v>
      </c>
      <c r="D411" t="s">
        <v>31</v>
      </c>
      <c r="E411" t="s">
        <v>5810</v>
      </c>
      <c r="F411" t="s">
        <v>5160</v>
      </c>
      <c r="G411" t="s">
        <v>5322</v>
      </c>
    </row>
    <row r="412" spans="1:7" x14ac:dyDescent="0.2">
      <c r="A412" t="s">
        <v>88</v>
      </c>
      <c r="B412" t="s">
        <v>487</v>
      </c>
      <c r="C412" t="s">
        <v>709</v>
      </c>
      <c r="D412" t="s">
        <v>31</v>
      </c>
      <c r="E412" t="s">
        <v>5811</v>
      </c>
      <c r="F412" t="s">
        <v>5160</v>
      </c>
      <c r="G412" t="s">
        <v>3268</v>
      </c>
    </row>
    <row r="413" spans="1:7" x14ac:dyDescent="0.2">
      <c r="A413" t="s">
        <v>88</v>
      </c>
      <c r="B413" t="s">
        <v>328</v>
      </c>
      <c r="C413" t="s">
        <v>329</v>
      </c>
      <c r="D413" t="s">
        <v>38</v>
      </c>
      <c r="E413" t="s">
        <v>5812</v>
      </c>
      <c r="F413" t="s">
        <v>5160</v>
      </c>
      <c r="G413" t="s">
        <v>5596</v>
      </c>
    </row>
    <row r="414" spans="1:7" x14ac:dyDescent="0.2">
      <c r="A414" t="s">
        <v>88</v>
      </c>
      <c r="B414" t="s">
        <v>595</v>
      </c>
      <c r="C414" t="s">
        <v>680</v>
      </c>
      <c r="D414" t="s">
        <v>38</v>
      </c>
      <c r="E414" t="s">
        <v>5813</v>
      </c>
      <c r="F414" t="s">
        <v>5193</v>
      </c>
      <c r="G414" t="s">
        <v>5814</v>
      </c>
    </row>
    <row r="415" spans="1:7" x14ac:dyDescent="0.2">
      <c r="A415" t="s">
        <v>88</v>
      </c>
      <c r="B415" t="s">
        <v>166</v>
      </c>
      <c r="C415" t="s">
        <v>5815</v>
      </c>
      <c r="D415" t="s">
        <v>38</v>
      </c>
      <c r="E415" t="s">
        <v>5816</v>
      </c>
      <c r="F415" t="s">
        <v>5169</v>
      </c>
      <c r="G415" t="s">
        <v>5817</v>
      </c>
    </row>
    <row r="416" spans="1:7" x14ac:dyDescent="0.2">
      <c r="A416" t="s">
        <v>94</v>
      </c>
      <c r="B416" t="s">
        <v>437</v>
      </c>
      <c r="C416" t="s">
        <v>532</v>
      </c>
      <c r="D416" t="s">
        <v>31</v>
      </c>
      <c r="E416" t="s">
        <v>5818</v>
      </c>
      <c r="F416" t="s">
        <v>5160</v>
      </c>
      <c r="G416" t="s">
        <v>3268</v>
      </c>
    </row>
    <row r="417" spans="1:7" x14ac:dyDescent="0.2">
      <c r="A417" t="s">
        <v>94</v>
      </c>
      <c r="B417" t="s">
        <v>1213</v>
      </c>
      <c r="C417" t="s">
        <v>635</v>
      </c>
      <c r="D417" t="s">
        <v>31</v>
      </c>
      <c r="E417" t="s">
        <v>5819</v>
      </c>
      <c r="F417" t="s">
        <v>5160</v>
      </c>
      <c r="G417" t="s">
        <v>5234</v>
      </c>
    </row>
    <row r="418" spans="1:7" x14ac:dyDescent="0.2">
      <c r="A418" t="s">
        <v>94</v>
      </c>
      <c r="B418" t="s">
        <v>1213</v>
      </c>
      <c r="C418" t="s">
        <v>1218</v>
      </c>
      <c r="D418" t="s">
        <v>38</v>
      </c>
      <c r="E418" t="s">
        <v>5820</v>
      </c>
      <c r="F418" t="s">
        <v>5160</v>
      </c>
      <c r="G418" t="s">
        <v>5475</v>
      </c>
    </row>
    <row r="419" spans="1:7" x14ac:dyDescent="0.2">
      <c r="A419" t="s">
        <v>94</v>
      </c>
      <c r="B419" t="s">
        <v>1202</v>
      </c>
      <c r="C419" t="s">
        <v>1203</v>
      </c>
      <c r="D419" t="s">
        <v>38</v>
      </c>
      <c r="E419" t="s">
        <v>5821</v>
      </c>
      <c r="F419" t="s">
        <v>5193</v>
      </c>
      <c r="G419" t="s">
        <v>5164</v>
      </c>
    </row>
    <row r="420" spans="1:7" x14ac:dyDescent="0.2">
      <c r="A420" t="s">
        <v>94</v>
      </c>
      <c r="B420" t="s">
        <v>1202</v>
      </c>
      <c r="C420" t="s">
        <v>1223</v>
      </c>
      <c r="D420" t="s">
        <v>38</v>
      </c>
      <c r="E420" t="s">
        <v>5822</v>
      </c>
      <c r="F420" t="s">
        <v>5160</v>
      </c>
      <c r="G420" t="s">
        <v>5236</v>
      </c>
    </row>
    <row r="421" spans="1:7" x14ac:dyDescent="0.2">
      <c r="A421" t="s">
        <v>94</v>
      </c>
      <c r="B421" t="s">
        <v>315</v>
      </c>
      <c r="C421" t="s">
        <v>5823</v>
      </c>
      <c r="D421" t="s">
        <v>38</v>
      </c>
      <c r="E421" t="s">
        <v>5824</v>
      </c>
      <c r="F421" t="s">
        <v>5160</v>
      </c>
      <c r="G421" t="s">
        <v>5259</v>
      </c>
    </row>
    <row r="422" spans="1:7" x14ac:dyDescent="0.2">
      <c r="A422" t="s">
        <v>94</v>
      </c>
      <c r="B422" t="s">
        <v>166</v>
      </c>
      <c r="C422" t="s">
        <v>1208</v>
      </c>
      <c r="D422" t="s">
        <v>38</v>
      </c>
      <c r="E422" t="s">
        <v>5825</v>
      </c>
      <c r="F422" t="s">
        <v>5193</v>
      </c>
      <c r="G422" t="s">
        <v>5167</v>
      </c>
    </row>
    <row r="423" spans="1:7" x14ac:dyDescent="0.2">
      <c r="A423" t="s">
        <v>89</v>
      </c>
      <c r="B423" t="s">
        <v>437</v>
      </c>
      <c r="C423" t="s">
        <v>1197</v>
      </c>
      <c r="D423" t="s">
        <v>31</v>
      </c>
      <c r="E423" t="s">
        <v>5826</v>
      </c>
      <c r="F423" t="s">
        <v>5160</v>
      </c>
      <c r="G423" t="s">
        <v>5827</v>
      </c>
    </row>
    <row r="424" spans="1:7" x14ac:dyDescent="0.2">
      <c r="A424" t="s">
        <v>89</v>
      </c>
      <c r="B424" t="s">
        <v>1242</v>
      </c>
      <c r="C424" t="s">
        <v>1243</v>
      </c>
      <c r="D424" t="s">
        <v>31</v>
      </c>
      <c r="E424" t="s">
        <v>5828</v>
      </c>
      <c r="F424" t="s">
        <v>5160</v>
      </c>
      <c r="G424" t="s">
        <v>5312</v>
      </c>
    </row>
    <row r="425" spans="1:7" x14ac:dyDescent="0.2">
      <c r="A425" t="s">
        <v>89</v>
      </c>
      <c r="B425" t="s">
        <v>1247</v>
      </c>
      <c r="C425" t="s">
        <v>1248</v>
      </c>
      <c r="D425" t="s">
        <v>31</v>
      </c>
      <c r="E425" t="s">
        <v>5829</v>
      </c>
      <c r="F425" t="s">
        <v>5160</v>
      </c>
      <c r="G425" t="s">
        <v>5283</v>
      </c>
    </row>
    <row r="426" spans="1:7" x14ac:dyDescent="0.2">
      <c r="A426" t="s">
        <v>89</v>
      </c>
      <c r="B426" t="s">
        <v>413</v>
      </c>
      <c r="C426" t="s">
        <v>1223</v>
      </c>
      <c r="D426" t="s">
        <v>38</v>
      </c>
      <c r="E426" t="s">
        <v>5830</v>
      </c>
      <c r="F426" t="s">
        <v>5160</v>
      </c>
      <c r="G426" t="s">
        <v>5172</v>
      </c>
    </row>
    <row r="427" spans="1:7" x14ac:dyDescent="0.2">
      <c r="A427" t="s">
        <v>89</v>
      </c>
      <c r="B427" t="s">
        <v>1237</v>
      </c>
      <c r="C427" t="s">
        <v>1238</v>
      </c>
      <c r="D427" t="s">
        <v>38</v>
      </c>
      <c r="E427" t="s">
        <v>5831</v>
      </c>
      <c r="F427" t="s">
        <v>5169</v>
      </c>
      <c r="G427" t="s">
        <v>5164</v>
      </c>
    </row>
    <row r="428" spans="1:7" x14ac:dyDescent="0.2">
      <c r="A428" t="s">
        <v>89</v>
      </c>
      <c r="B428" t="s">
        <v>540</v>
      </c>
      <c r="C428" t="s">
        <v>1267</v>
      </c>
      <c r="D428" t="s">
        <v>38</v>
      </c>
      <c r="E428" t="s">
        <v>5832</v>
      </c>
      <c r="F428" t="s">
        <v>5160</v>
      </c>
      <c r="G428" t="s">
        <v>5167</v>
      </c>
    </row>
    <row r="429" spans="1:7" x14ac:dyDescent="0.2">
      <c r="A429" t="s">
        <v>63</v>
      </c>
      <c r="B429" t="s">
        <v>250</v>
      </c>
      <c r="C429" t="s">
        <v>1272</v>
      </c>
      <c r="D429" t="s">
        <v>31</v>
      </c>
      <c r="E429" t="s">
        <v>5833</v>
      </c>
      <c r="F429" t="s">
        <v>5160</v>
      </c>
      <c r="G429" t="s">
        <v>5834</v>
      </c>
    </row>
    <row r="430" spans="1:7" x14ac:dyDescent="0.2">
      <c r="A430" t="s">
        <v>63</v>
      </c>
      <c r="B430" t="s">
        <v>250</v>
      </c>
      <c r="C430" t="s">
        <v>1277</v>
      </c>
      <c r="D430" t="s">
        <v>31</v>
      </c>
      <c r="E430" t="s">
        <v>5835</v>
      </c>
      <c r="F430" t="s">
        <v>5163</v>
      </c>
      <c r="G430" t="s">
        <v>5447</v>
      </c>
    </row>
    <row r="431" spans="1:7" x14ac:dyDescent="0.2">
      <c r="A431" t="s">
        <v>63</v>
      </c>
      <c r="B431" t="s">
        <v>329</v>
      </c>
      <c r="C431" t="s">
        <v>1300</v>
      </c>
      <c r="D431" t="s">
        <v>31</v>
      </c>
      <c r="E431" t="s">
        <v>5836</v>
      </c>
      <c r="F431" t="s">
        <v>5163</v>
      </c>
      <c r="G431" t="s">
        <v>5837</v>
      </c>
    </row>
    <row r="432" spans="1:7" x14ac:dyDescent="0.2">
      <c r="A432" t="s">
        <v>63</v>
      </c>
      <c r="B432" t="s">
        <v>1291</v>
      </c>
      <c r="C432" t="s">
        <v>288</v>
      </c>
      <c r="D432" t="s">
        <v>38</v>
      </c>
      <c r="E432" t="s">
        <v>5838</v>
      </c>
      <c r="F432" t="s">
        <v>5160</v>
      </c>
      <c r="G432" t="s">
        <v>5839</v>
      </c>
    </row>
    <row r="433" spans="1:7" x14ac:dyDescent="0.2">
      <c r="A433" t="s">
        <v>63</v>
      </c>
      <c r="B433" t="s">
        <v>547</v>
      </c>
      <c r="C433" t="s">
        <v>1296</v>
      </c>
      <c r="D433" t="s">
        <v>38</v>
      </c>
      <c r="E433" t="s">
        <v>5840</v>
      </c>
      <c r="F433" t="s">
        <v>5160</v>
      </c>
      <c r="G433" t="s">
        <v>5841</v>
      </c>
    </row>
    <row r="434" spans="1:7" x14ac:dyDescent="0.2">
      <c r="A434" t="s">
        <v>63</v>
      </c>
      <c r="B434" t="s">
        <v>181</v>
      </c>
      <c r="C434" t="s">
        <v>511</v>
      </c>
      <c r="D434" t="s">
        <v>38</v>
      </c>
      <c r="E434" t="s">
        <v>5842</v>
      </c>
      <c r="F434" t="s">
        <v>5160</v>
      </c>
      <c r="G434" t="s">
        <v>5843</v>
      </c>
    </row>
    <row r="435" spans="1:7" x14ac:dyDescent="0.2">
      <c r="A435" t="s">
        <v>63</v>
      </c>
      <c r="B435" t="s">
        <v>166</v>
      </c>
      <c r="C435" t="s">
        <v>470</v>
      </c>
      <c r="D435" t="s">
        <v>38</v>
      </c>
      <c r="E435" t="s">
        <v>5844</v>
      </c>
      <c r="F435" t="s">
        <v>5193</v>
      </c>
      <c r="G435" t="s">
        <v>5845</v>
      </c>
    </row>
    <row r="436" spans="1:7" x14ac:dyDescent="0.2">
      <c r="A436" t="s">
        <v>63</v>
      </c>
      <c r="B436" t="s">
        <v>188</v>
      </c>
      <c r="C436" t="s">
        <v>5846</v>
      </c>
      <c r="D436" t="s">
        <v>38</v>
      </c>
      <c r="E436" t="s">
        <v>5847</v>
      </c>
      <c r="F436" t="s">
        <v>5169</v>
      </c>
      <c r="G436" t="s">
        <v>4263</v>
      </c>
    </row>
    <row r="437" spans="1:7" x14ac:dyDescent="0.2">
      <c r="A437" t="s">
        <v>79</v>
      </c>
      <c r="B437" t="s">
        <v>595</v>
      </c>
      <c r="C437" t="s">
        <v>431</v>
      </c>
      <c r="D437" t="s">
        <v>31</v>
      </c>
      <c r="E437" t="s">
        <v>5848</v>
      </c>
      <c r="F437" t="s">
        <v>5849</v>
      </c>
      <c r="G437" t="s">
        <v>5850</v>
      </c>
    </row>
    <row r="438" spans="1:7" x14ac:dyDescent="0.2">
      <c r="A438" t="s">
        <v>79</v>
      </c>
      <c r="B438" t="s">
        <v>188</v>
      </c>
      <c r="C438" t="s">
        <v>1363</v>
      </c>
      <c r="D438" t="s">
        <v>31</v>
      </c>
      <c r="E438" t="s">
        <v>5851</v>
      </c>
      <c r="F438" t="s">
        <v>5160</v>
      </c>
      <c r="G438" t="s">
        <v>5401</v>
      </c>
    </row>
    <row r="439" spans="1:7" x14ac:dyDescent="0.2">
      <c r="A439" t="s">
        <v>79</v>
      </c>
      <c r="B439" t="s">
        <v>1357</v>
      </c>
      <c r="C439" t="s">
        <v>5852</v>
      </c>
      <c r="D439" t="s">
        <v>38</v>
      </c>
      <c r="E439" t="s">
        <v>5853</v>
      </c>
      <c r="F439" t="s">
        <v>5163</v>
      </c>
      <c r="G439" t="s">
        <v>5280</v>
      </c>
    </row>
    <row r="440" spans="1:7" x14ac:dyDescent="0.2">
      <c r="A440" t="s">
        <v>79</v>
      </c>
      <c r="B440" t="s">
        <v>1344</v>
      </c>
      <c r="C440" t="s">
        <v>1345</v>
      </c>
      <c r="D440" t="s">
        <v>38</v>
      </c>
      <c r="E440" t="s">
        <v>5854</v>
      </c>
      <c r="F440" t="s">
        <v>5441</v>
      </c>
      <c r="G440" t="s">
        <v>4570</v>
      </c>
    </row>
    <row r="441" spans="1:7" x14ac:dyDescent="0.2">
      <c r="A441" t="s">
        <v>79</v>
      </c>
      <c r="B441" t="s">
        <v>166</v>
      </c>
      <c r="C441" t="s">
        <v>698</v>
      </c>
      <c r="D441" t="s">
        <v>38</v>
      </c>
      <c r="E441" t="s">
        <v>5855</v>
      </c>
      <c r="F441" t="s">
        <v>5193</v>
      </c>
      <c r="G441" t="s">
        <v>5167</v>
      </c>
    </row>
    <row r="442" spans="1:7" x14ac:dyDescent="0.2">
      <c r="A442" t="s">
        <v>79</v>
      </c>
      <c r="B442" t="s">
        <v>188</v>
      </c>
      <c r="C442" t="s">
        <v>835</v>
      </c>
      <c r="D442" t="s">
        <v>38</v>
      </c>
      <c r="E442" t="s">
        <v>5856</v>
      </c>
      <c r="F442" t="s">
        <v>5160</v>
      </c>
      <c r="G442" t="s">
        <v>5172</v>
      </c>
    </row>
    <row r="443" spans="1:7" x14ac:dyDescent="0.2">
      <c r="A443" t="s">
        <v>79</v>
      </c>
      <c r="B443" t="s">
        <v>315</v>
      </c>
      <c r="C443" t="s">
        <v>1373</v>
      </c>
      <c r="D443" t="s">
        <v>38</v>
      </c>
      <c r="E443" t="s">
        <v>5857</v>
      </c>
      <c r="F443" t="s">
        <v>5409</v>
      </c>
      <c r="G443" t="s">
        <v>5475</v>
      </c>
    </row>
    <row r="444" spans="1:7" x14ac:dyDescent="0.2">
      <c r="A444" t="s">
        <v>79</v>
      </c>
      <c r="B444" t="s">
        <v>221</v>
      </c>
      <c r="C444" t="s">
        <v>5858</v>
      </c>
      <c r="D444" t="s">
        <v>38</v>
      </c>
      <c r="E444" t="s">
        <v>5859</v>
      </c>
      <c r="F444" t="s">
        <v>5169</v>
      </c>
      <c r="G444" t="s">
        <v>4447</v>
      </c>
    </row>
    <row r="445" spans="1:7" x14ac:dyDescent="0.2">
      <c r="A445" t="s">
        <v>79</v>
      </c>
      <c r="B445" t="s">
        <v>595</v>
      </c>
      <c r="C445" t="s">
        <v>4911</v>
      </c>
      <c r="D445" t="s">
        <v>38</v>
      </c>
      <c r="E445" t="s">
        <v>5860</v>
      </c>
      <c r="F445" t="s">
        <v>5160</v>
      </c>
      <c r="G445" t="s">
        <v>5164</v>
      </c>
    </row>
    <row r="446" spans="1:7" x14ac:dyDescent="0.2">
      <c r="A446" t="s">
        <v>74</v>
      </c>
      <c r="B446" t="s">
        <v>1384</v>
      </c>
      <c r="C446" t="s">
        <v>197</v>
      </c>
      <c r="D446" t="s">
        <v>31</v>
      </c>
      <c r="E446" t="s">
        <v>5861</v>
      </c>
      <c r="F446" t="s">
        <v>5193</v>
      </c>
      <c r="G446" t="s">
        <v>5357</v>
      </c>
    </row>
    <row r="447" spans="1:7" x14ac:dyDescent="0.2">
      <c r="A447" t="s">
        <v>74</v>
      </c>
      <c r="B447" t="s">
        <v>1396</v>
      </c>
      <c r="C447" t="s">
        <v>1152</v>
      </c>
      <c r="D447" t="s">
        <v>31</v>
      </c>
      <c r="E447" t="s">
        <v>5862</v>
      </c>
      <c r="F447" t="s">
        <v>5160</v>
      </c>
      <c r="G447" t="s">
        <v>5181</v>
      </c>
    </row>
    <row r="448" spans="1:7" x14ac:dyDescent="0.2">
      <c r="A448" t="s">
        <v>74</v>
      </c>
      <c r="B448" t="s">
        <v>287</v>
      </c>
      <c r="C448" t="s">
        <v>1407</v>
      </c>
      <c r="D448" t="s">
        <v>31</v>
      </c>
      <c r="E448" t="s">
        <v>5863</v>
      </c>
      <c r="F448" t="s">
        <v>5169</v>
      </c>
      <c r="G448" t="s">
        <v>5326</v>
      </c>
    </row>
    <row r="449" spans="1:7" x14ac:dyDescent="0.2">
      <c r="A449" t="s">
        <v>74</v>
      </c>
      <c r="B449" t="s">
        <v>287</v>
      </c>
      <c r="C449" t="s">
        <v>4001</v>
      </c>
      <c r="D449" t="s">
        <v>38</v>
      </c>
      <c r="E449" t="s">
        <v>5864</v>
      </c>
      <c r="F449" t="s">
        <v>5160</v>
      </c>
      <c r="G449" t="s">
        <v>5179</v>
      </c>
    </row>
    <row r="450" spans="1:7" x14ac:dyDescent="0.2">
      <c r="A450" t="s">
        <v>101</v>
      </c>
      <c r="B450" t="s">
        <v>1438</v>
      </c>
      <c r="C450" t="s">
        <v>1439</v>
      </c>
      <c r="D450" t="s">
        <v>31</v>
      </c>
      <c r="E450" t="s">
        <v>5865</v>
      </c>
      <c r="F450" t="s">
        <v>5160</v>
      </c>
      <c r="G450" t="s">
        <v>5357</v>
      </c>
    </row>
    <row r="451" spans="1:7" x14ac:dyDescent="0.2">
      <c r="A451" t="s">
        <v>101</v>
      </c>
      <c r="B451" t="s">
        <v>125</v>
      </c>
      <c r="C451" t="s">
        <v>1457</v>
      </c>
      <c r="D451" t="s">
        <v>31</v>
      </c>
      <c r="E451" t="s">
        <v>5866</v>
      </c>
      <c r="F451" t="s">
        <v>5169</v>
      </c>
      <c r="G451" t="s">
        <v>5867</v>
      </c>
    </row>
    <row r="452" spans="1:7" x14ac:dyDescent="0.2">
      <c r="A452" t="s">
        <v>101</v>
      </c>
      <c r="B452" t="s">
        <v>1462</v>
      </c>
      <c r="C452" t="s">
        <v>1468</v>
      </c>
      <c r="D452" t="s">
        <v>31</v>
      </c>
      <c r="E452" t="s">
        <v>5868</v>
      </c>
      <c r="F452" t="s">
        <v>5169</v>
      </c>
      <c r="G452" t="s">
        <v>5181</v>
      </c>
    </row>
    <row r="453" spans="1:7" x14ac:dyDescent="0.2">
      <c r="A453" t="s">
        <v>101</v>
      </c>
      <c r="B453" t="s">
        <v>504</v>
      </c>
      <c r="C453" t="s">
        <v>1480</v>
      </c>
      <c r="D453" t="s">
        <v>38</v>
      </c>
      <c r="E453" t="s">
        <v>5869</v>
      </c>
      <c r="F453" t="s">
        <v>5160</v>
      </c>
      <c r="G453" t="s">
        <v>5326</v>
      </c>
    </row>
    <row r="454" spans="1:7" x14ac:dyDescent="0.2">
      <c r="A454" t="s">
        <v>101</v>
      </c>
      <c r="B454" t="s">
        <v>1013</v>
      </c>
      <c r="C454" t="s">
        <v>1444</v>
      </c>
      <c r="D454" t="s">
        <v>31</v>
      </c>
      <c r="E454" t="s">
        <v>5870</v>
      </c>
      <c r="F454" t="s">
        <v>5169</v>
      </c>
      <c r="G454" t="s">
        <v>4570</v>
      </c>
    </row>
    <row r="455" spans="1:7" x14ac:dyDescent="0.2">
      <c r="A455" t="s">
        <v>101</v>
      </c>
      <c r="B455" t="s">
        <v>158</v>
      </c>
      <c r="C455" t="s">
        <v>197</v>
      </c>
      <c r="D455" t="s">
        <v>38</v>
      </c>
      <c r="E455" t="s">
        <v>5871</v>
      </c>
      <c r="F455" t="s">
        <v>5160</v>
      </c>
      <c r="G455" t="s">
        <v>5328</v>
      </c>
    </row>
    <row r="456" spans="1:7" x14ac:dyDescent="0.2">
      <c r="A456" t="s">
        <v>55</v>
      </c>
      <c r="B456" t="s">
        <v>504</v>
      </c>
      <c r="C456" t="s">
        <v>1513</v>
      </c>
      <c r="D456" t="s">
        <v>31</v>
      </c>
      <c r="E456" t="s">
        <v>5872</v>
      </c>
      <c r="F456" t="s">
        <v>5193</v>
      </c>
      <c r="G456" t="s">
        <v>5873</v>
      </c>
    </row>
    <row r="457" spans="1:7" x14ac:dyDescent="0.2">
      <c r="A457" t="s">
        <v>55</v>
      </c>
      <c r="B457" t="s">
        <v>1496</v>
      </c>
      <c r="C457" t="s">
        <v>581</v>
      </c>
      <c r="D457" t="s">
        <v>31</v>
      </c>
      <c r="E457" t="s">
        <v>5874</v>
      </c>
      <c r="F457" t="s">
        <v>5160</v>
      </c>
      <c r="G457" t="s">
        <v>5837</v>
      </c>
    </row>
    <row r="458" spans="1:7" x14ac:dyDescent="0.2">
      <c r="A458" t="s">
        <v>55</v>
      </c>
      <c r="B458" t="s">
        <v>595</v>
      </c>
      <c r="C458" t="s">
        <v>1486</v>
      </c>
      <c r="D458" t="s">
        <v>31</v>
      </c>
      <c r="E458" t="s">
        <v>5875</v>
      </c>
      <c r="F458" t="s">
        <v>5169</v>
      </c>
      <c r="G458" t="s">
        <v>5876</v>
      </c>
    </row>
    <row r="459" spans="1:7" x14ac:dyDescent="0.2">
      <c r="A459" t="s">
        <v>55</v>
      </c>
      <c r="B459" t="s">
        <v>166</v>
      </c>
      <c r="C459" t="s">
        <v>1505</v>
      </c>
      <c r="D459" t="s">
        <v>38</v>
      </c>
      <c r="E459" t="s">
        <v>5877</v>
      </c>
      <c r="F459" t="s">
        <v>5193</v>
      </c>
      <c r="G459" t="s">
        <v>5878</v>
      </c>
    </row>
    <row r="460" spans="1:7" x14ac:dyDescent="0.2">
      <c r="A460" t="s">
        <v>55</v>
      </c>
      <c r="B460" t="s">
        <v>1988</v>
      </c>
      <c r="C460" t="s">
        <v>2617</v>
      </c>
      <c r="D460" t="s">
        <v>38</v>
      </c>
      <c r="E460" t="s">
        <v>5879</v>
      </c>
      <c r="F460" t="s">
        <v>5193</v>
      </c>
      <c r="G460" t="s">
        <v>5880</v>
      </c>
    </row>
    <row r="461" spans="1:7" x14ac:dyDescent="0.2">
      <c r="A461" t="s">
        <v>72</v>
      </c>
      <c r="B461" t="s">
        <v>315</v>
      </c>
      <c r="C461" t="s">
        <v>1574</v>
      </c>
      <c r="D461" t="s">
        <v>31</v>
      </c>
      <c r="E461" t="s">
        <v>5881</v>
      </c>
      <c r="F461" t="s">
        <v>5160</v>
      </c>
      <c r="G461" t="s">
        <v>5882</v>
      </c>
    </row>
    <row r="462" spans="1:7" x14ac:dyDescent="0.2">
      <c r="A462" t="s">
        <v>72</v>
      </c>
      <c r="B462" t="s">
        <v>1542</v>
      </c>
      <c r="C462" t="s">
        <v>287</v>
      </c>
      <c r="D462" t="s">
        <v>31</v>
      </c>
      <c r="E462" t="s">
        <v>5883</v>
      </c>
      <c r="F462" t="s">
        <v>5169</v>
      </c>
      <c r="G462" t="s">
        <v>5884</v>
      </c>
    </row>
    <row r="463" spans="1:7" x14ac:dyDescent="0.2">
      <c r="A463" t="s">
        <v>72</v>
      </c>
      <c r="B463" t="s">
        <v>315</v>
      </c>
      <c r="C463" t="s">
        <v>1548</v>
      </c>
      <c r="D463" t="s">
        <v>38</v>
      </c>
      <c r="E463" t="s">
        <v>5885</v>
      </c>
      <c r="F463" t="s">
        <v>5160</v>
      </c>
      <c r="G463" t="s">
        <v>5276</v>
      </c>
    </row>
    <row r="464" spans="1:7" x14ac:dyDescent="0.2">
      <c r="A464" t="s">
        <v>72</v>
      </c>
      <c r="B464" t="s">
        <v>125</v>
      </c>
      <c r="C464" t="s">
        <v>1558</v>
      </c>
      <c r="D464" t="s">
        <v>38</v>
      </c>
      <c r="E464" t="s">
        <v>5886</v>
      </c>
      <c r="F464" t="s">
        <v>5169</v>
      </c>
      <c r="G464" t="s">
        <v>4569</v>
      </c>
    </row>
    <row r="465" spans="1:7" x14ac:dyDescent="0.2">
      <c r="A465" t="s">
        <v>72</v>
      </c>
      <c r="B465" t="s">
        <v>166</v>
      </c>
      <c r="C465" t="s">
        <v>1564</v>
      </c>
      <c r="D465" t="s">
        <v>38</v>
      </c>
      <c r="E465" t="s">
        <v>5887</v>
      </c>
      <c r="F465" t="s">
        <v>5193</v>
      </c>
      <c r="G465" t="s">
        <v>5355</v>
      </c>
    </row>
    <row r="466" spans="1:7" x14ac:dyDescent="0.2">
      <c r="A466" t="s">
        <v>72</v>
      </c>
      <c r="B466" t="s">
        <v>328</v>
      </c>
      <c r="C466" t="s">
        <v>5888</v>
      </c>
      <c r="D466" t="s">
        <v>38</v>
      </c>
      <c r="E466" t="s">
        <v>5889</v>
      </c>
      <c r="F466" t="s">
        <v>5160</v>
      </c>
      <c r="G466" t="s">
        <v>5357</v>
      </c>
    </row>
    <row r="467" spans="1:7" x14ac:dyDescent="0.2">
      <c r="A467" t="s">
        <v>72</v>
      </c>
      <c r="B467" t="s">
        <v>315</v>
      </c>
      <c r="C467" t="s">
        <v>5890</v>
      </c>
      <c r="D467" t="s">
        <v>38</v>
      </c>
      <c r="E467" t="s">
        <v>5891</v>
      </c>
      <c r="F467" t="s">
        <v>5160</v>
      </c>
      <c r="G467" t="s">
        <v>3267</v>
      </c>
    </row>
    <row r="468" spans="1:7" x14ac:dyDescent="0.2">
      <c r="A468" t="s">
        <v>56</v>
      </c>
      <c r="B468" t="s">
        <v>932</v>
      </c>
      <c r="C468" t="s">
        <v>1650</v>
      </c>
      <c r="D468" t="s">
        <v>31</v>
      </c>
      <c r="E468" t="s">
        <v>5892</v>
      </c>
      <c r="F468" t="s">
        <v>5160</v>
      </c>
      <c r="G468" t="s">
        <v>5893</v>
      </c>
    </row>
    <row r="469" spans="1:7" x14ac:dyDescent="0.2">
      <c r="A469" t="s">
        <v>56</v>
      </c>
      <c r="B469" t="s">
        <v>932</v>
      </c>
      <c r="C469" t="s">
        <v>1645</v>
      </c>
      <c r="D469" t="s">
        <v>31</v>
      </c>
      <c r="E469" t="s">
        <v>5894</v>
      </c>
      <c r="F469" t="s">
        <v>5169</v>
      </c>
      <c r="G469" t="s">
        <v>5895</v>
      </c>
    </row>
    <row r="470" spans="1:7" x14ac:dyDescent="0.2">
      <c r="A470" t="s">
        <v>56</v>
      </c>
      <c r="B470" t="s">
        <v>1667</v>
      </c>
      <c r="C470" t="s">
        <v>1668</v>
      </c>
      <c r="D470" t="s">
        <v>31</v>
      </c>
      <c r="E470" t="s">
        <v>5896</v>
      </c>
      <c r="F470" t="s">
        <v>5163</v>
      </c>
      <c r="G470" t="s">
        <v>5709</v>
      </c>
    </row>
    <row r="471" spans="1:7" x14ac:dyDescent="0.2">
      <c r="A471" t="s">
        <v>56</v>
      </c>
      <c r="B471" t="s">
        <v>1667</v>
      </c>
      <c r="C471" t="s">
        <v>532</v>
      </c>
      <c r="D471" t="s">
        <v>38</v>
      </c>
      <c r="E471" t="s">
        <v>5897</v>
      </c>
      <c r="F471" t="s">
        <v>5160</v>
      </c>
      <c r="G471" t="s">
        <v>5107</v>
      </c>
    </row>
    <row r="472" spans="1:7" x14ac:dyDescent="0.2">
      <c r="A472" t="s">
        <v>56</v>
      </c>
      <c r="B472" t="s">
        <v>166</v>
      </c>
      <c r="C472" t="s">
        <v>1682</v>
      </c>
      <c r="D472" t="s">
        <v>38</v>
      </c>
      <c r="E472" t="s">
        <v>5898</v>
      </c>
      <c r="F472" t="s">
        <v>5160</v>
      </c>
      <c r="G472" t="s">
        <v>5208</v>
      </c>
    </row>
    <row r="473" spans="1:7" x14ac:dyDescent="0.2">
      <c r="A473" t="s">
        <v>56</v>
      </c>
      <c r="B473" t="s">
        <v>188</v>
      </c>
      <c r="C473" t="s">
        <v>5899</v>
      </c>
      <c r="D473" t="s">
        <v>38</v>
      </c>
      <c r="E473" t="s">
        <v>5900</v>
      </c>
      <c r="F473" t="s">
        <v>5160</v>
      </c>
      <c r="G473" t="s">
        <v>5517</v>
      </c>
    </row>
    <row r="474" spans="1:7" x14ac:dyDescent="0.2">
      <c r="A474" t="s">
        <v>56</v>
      </c>
      <c r="B474" t="s">
        <v>5799</v>
      </c>
      <c r="C474" t="s">
        <v>5901</v>
      </c>
      <c r="D474" t="s">
        <v>38</v>
      </c>
      <c r="E474" t="s">
        <v>5902</v>
      </c>
      <c r="F474" t="s">
        <v>5160</v>
      </c>
      <c r="G474" t="s">
        <v>5339</v>
      </c>
    </row>
    <row r="475" spans="1:7" x14ac:dyDescent="0.2">
      <c r="A475" t="s">
        <v>64</v>
      </c>
      <c r="B475" t="s">
        <v>1617</v>
      </c>
      <c r="C475" t="s">
        <v>1618</v>
      </c>
      <c r="D475" t="s">
        <v>31</v>
      </c>
      <c r="E475" t="s">
        <v>5903</v>
      </c>
      <c r="F475" t="s">
        <v>5904</v>
      </c>
      <c r="G475" t="s">
        <v>5893</v>
      </c>
    </row>
    <row r="476" spans="1:7" x14ac:dyDescent="0.2">
      <c r="A476" t="s">
        <v>64</v>
      </c>
      <c r="B476" t="s">
        <v>1432</v>
      </c>
      <c r="C476" t="s">
        <v>1593</v>
      </c>
      <c r="D476" t="s">
        <v>31</v>
      </c>
      <c r="E476" t="s">
        <v>5905</v>
      </c>
      <c r="F476" t="s">
        <v>5160</v>
      </c>
      <c r="G476" t="s">
        <v>5906</v>
      </c>
    </row>
    <row r="477" spans="1:7" x14ac:dyDescent="0.2">
      <c r="A477" t="s">
        <v>64</v>
      </c>
      <c r="B477" t="s">
        <v>1247</v>
      </c>
      <c r="C477" t="s">
        <v>1606</v>
      </c>
      <c r="D477" t="s">
        <v>38</v>
      </c>
      <c r="E477" t="s">
        <v>5907</v>
      </c>
      <c r="F477" t="s">
        <v>5438</v>
      </c>
      <c r="G477" t="s">
        <v>5280</v>
      </c>
    </row>
    <row r="478" spans="1:7" x14ac:dyDescent="0.2">
      <c r="A478" t="s">
        <v>64</v>
      </c>
      <c r="B478" t="s">
        <v>158</v>
      </c>
      <c r="C478" t="s">
        <v>1628</v>
      </c>
      <c r="D478" t="s">
        <v>31</v>
      </c>
      <c r="E478" t="s">
        <v>5908</v>
      </c>
      <c r="F478" t="s">
        <v>5849</v>
      </c>
      <c r="G478" t="s">
        <v>5909</v>
      </c>
    </row>
    <row r="479" spans="1:7" x14ac:dyDescent="0.2">
      <c r="A479" t="s">
        <v>64</v>
      </c>
      <c r="B479" t="s">
        <v>125</v>
      </c>
      <c r="C479" t="s">
        <v>1639</v>
      </c>
      <c r="D479" t="s">
        <v>38</v>
      </c>
      <c r="E479" t="s">
        <v>5910</v>
      </c>
      <c r="F479" t="s">
        <v>5911</v>
      </c>
      <c r="G479" t="s">
        <v>5331</v>
      </c>
    </row>
    <row r="480" spans="1:7" x14ac:dyDescent="0.2">
      <c r="A480" t="s">
        <v>64</v>
      </c>
      <c r="B480" t="s">
        <v>4214</v>
      </c>
      <c r="C480" t="s">
        <v>5912</v>
      </c>
      <c r="D480" t="s">
        <v>38</v>
      </c>
      <c r="E480" t="s">
        <v>5913</v>
      </c>
      <c r="F480" t="s">
        <v>5160</v>
      </c>
      <c r="G480" t="s">
        <v>4570</v>
      </c>
    </row>
    <row r="481" spans="1:7" x14ac:dyDescent="0.2">
      <c r="A481" t="s">
        <v>59</v>
      </c>
      <c r="B481" t="s">
        <v>236</v>
      </c>
      <c r="C481" t="s">
        <v>944</v>
      </c>
      <c r="D481" t="s">
        <v>31</v>
      </c>
      <c r="E481" t="s">
        <v>5914</v>
      </c>
      <c r="F481" t="s">
        <v>5160</v>
      </c>
      <c r="G481" t="s">
        <v>5915</v>
      </c>
    </row>
    <row r="482" spans="1:7" x14ac:dyDescent="0.2">
      <c r="A482" t="s">
        <v>59</v>
      </c>
      <c r="B482" t="s">
        <v>236</v>
      </c>
      <c r="C482" t="s">
        <v>237</v>
      </c>
      <c r="D482" t="s">
        <v>31</v>
      </c>
      <c r="E482" t="s">
        <v>5916</v>
      </c>
      <c r="F482" t="s">
        <v>5193</v>
      </c>
      <c r="G482" t="s">
        <v>5478</v>
      </c>
    </row>
    <row r="483" spans="1:7" x14ac:dyDescent="0.2">
      <c r="A483" t="s">
        <v>59</v>
      </c>
      <c r="B483" t="s">
        <v>1715</v>
      </c>
      <c r="C483" t="s">
        <v>1716</v>
      </c>
      <c r="D483" t="s">
        <v>31</v>
      </c>
      <c r="E483" t="s">
        <v>5917</v>
      </c>
      <c r="F483" t="s">
        <v>5160</v>
      </c>
      <c r="G483" t="s">
        <v>5918</v>
      </c>
    </row>
    <row r="484" spans="1:7" x14ac:dyDescent="0.2">
      <c r="A484" t="s">
        <v>59</v>
      </c>
      <c r="B484" t="s">
        <v>1738</v>
      </c>
      <c r="C484" t="s">
        <v>1739</v>
      </c>
      <c r="D484" t="s">
        <v>38</v>
      </c>
      <c r="E484" t="s">
        <v>5919</v>
      </c>
      <c r="F484" t="s">
        <v>5160</v>
      </c>
      <c r="G484" t="s">
        <v>3267</v>
      </c>
    </row>
    <row r="485" spans="1:7" x14ac:dyDescent="0.2">
      <c r="A485" t="s">
        <v>59</v>
      </c>
      <c r="B485" t="s">
        <v>135</v>
      </c>
      <c r="C485" t="s">
        <v>1706</v>
      </c>
      <c r="D485" t="s">
        <v>38</v>
      </c>
      <c r="E485" t="s">
        <v>5920</v>
      </c>
      <c r="F485" t="s">
        <v>5163</v>
      </c>
      <c r="G485" t="s">
        <v>5283</v>
      </c>
    </row>
    <row r="486" spans="1:7" x14ac:dyDescent="0.2">
      <c r="A486" t="s">
        <v>59</v>
      </c>
      <c r="B486" t="s">
        <v>1715</v>
      </c>
      <c r="C486" t="s">
        <v>5921</v>
      </c>
      <c r="D486" t="s">
        <v>38</v>
      </c>
      <c r="E486" t="s">
        <v>5922</v>
      </c>
      <c r="F486" t="s">
        <v>5160</v>
      </c>
      <c r="G486" t="s">
        <v>5181</v>
      </c>
    </row>
    <row r="487" spans="1:7" x14ac:dyDescent="0.2">
      <c r="A487" t="s">
        <v>59</v>
      </c>
      <c r="B487" t="s">
        <v>236</v>
      </c>
      <c r="C487" t="s">
        <v>5923</v>
      </c>
      <c r="D487" t="s">
        <v>38</v>
      </c>
      <c r="E487" t="s">
        <v>5924</v>
      </c>
      <c r="F487" t="s">
        <v>5193</v>
      </c>
      <c r="G487" t="s">
        <v>5285</v>
      </c>
    </row>
    <row r="488" spans="1:7" x14ac:dyDescent="0.2">
      <c r="A488" t="s">
        <v>59</v>
      </c>
      <c r="B488" t="s">
        <v>250</v>
      </c>
      <c r="C488" t="s">
        <v>5925</v>
      </c>
      <c r="D488" t="s">
        <v>31</v>
      </c>
      <c r="E488" t="s">
        <v>5926</v>
      </c>
      <c r="F488" t="s">
        <v>5193</v>
      </c>
      <c r="G488" t="s">
        <v>5231</v>
      </c>
    </row>
    <row r="489" spans="1:7" x14ac:dyDescent="0.2">
      <c r="A489" t="s">
        <v>91</v>
      </c>
      <c r="B489" t="s">
        <v>315</v>
      </c>
      <c r="C489" t="s">
        <v>5927</v>
      </c>
      <c r="D489" t="s">
        <v>31</v>
      </c>
      <c r="E489" t="s">
        <v>5928</v>
      </c>
      <c r="F489" t="s">
        <v>5160</v>
      </c>
      <c r="G489" t="s">
        <v>5339</v>
      </c>
    </row>
    <row r="490" spans="1:7" x14ac:dyDescent="0.2">
      <c r="A490" t="s">
        <v>91</v>
      </c>
      <c r="B490" t="s">
        <v>315</v>
      </c>
      <c r="C490" t="s">
        <v>1462</v>
      </c>
      <c r="D490" t="s">
        <v>31</v>
      </c>
      <c r="E490" t="s">
        <v>5929</v>
      </c>
      <c r="F490" t="s">
        <v>5160</v>
      </c>
      <c r="G490" t="s">
        <v>5399</v>
      </c>
    </row>
    <row r="491" spans="1:7" x14ac:dyDescent="0.2">
      <c r="A491" t="s">
        <v>91</v>
      </c>
      <c r="B491" t="s">
        <v>315</v>
      </c>
      <c r="C491" t="s">
        <v>1760</v>
      </c>
      <c r="D491" t="s">
        <v>31</v>
      </c>
      <c r="E491" t="s">
        <v>5930</v>
      </c>
      <c r="F491" t="s">
        <v>5160</v>
      </c>
      <c r="G491" t="s">
        <v>5181</v>
      </c>
    </row>
    <row r="492" spans="1:7" x14ac:dyDescent="0.2">
      <c r="A492" t="s">
        <v>91</v>
      </c>
      <c r="B492" t="s">
        <v>315</v>
      </c>
      <c r="C492" t="s">
        <v>1780</v>
      </c>
      <c r="D492" t="s">
        <v>38</v>
      </c>
      <c r="E492" t="s">
        <v>5931</v>
      </c>
      <c r="F492" t="s">
        <v>5160</v>
      </c>
      <c r="G492" t="s">
        <v>5867</v>
      </c>
    </row>
    <row r="493" spans="1:7" x14ac:dyDescent="0.2">
      <c r="A493" t="s">
        <v>91</v>
      </c>
      <c r="B493" t="s">
        <v>328</v>
      </c>
      <c r="C493" t="s">
        <v>329</v>
      </c>
      <c r="D493" t="s">
        <v>31</v>
      </c>
      <c r="E493" t="s">
        <v>5932</v>
      </c>
      <c r="F493" t="s">
        <v>5163</v>
      </c>
      <c r="G493" t="s">
        <v>5933</v>
      </c>
    </row>
    <row r="494" spans="1:7" x14ac:dyDescent="0.2">
      <c r="A494" t="s">
        <v>91</v>
      </c>
      <c r="B494" t="s">
        <v>315</v>
      </c>
      <c r="C494" t="s">
        <v>1548</v>
      </c>
      <c r="D494" t="s">
        <v>38</v>
      </c>
      <c r="E494" t="s">
        <v>5934</v>
      </c>
      <c r="F494" t="s">
        <v>5160</v>
      </c>
      <c r="G494" t="s">
        <v>5167</v>
      </c>
    </row>
    <row r="495" spans="1:7" x14ac:dyDescent="0.2">
      <c r="A495" t="s">
        <v>91</v>
      </c>
      <c r="B495" t="s">
        <v>166</v>
      </c>
      <c r="C495" t="s">
        <v>470</v>
      </c>
      <c r="D495" t="s">
        <v>38</v>
      </c>
      <c r="E495" t="s">
        <v>5935</v>
      </c>
      <c r="F495" t="s">
        <v>5193</v>
      </c>
      <c r="G495" t="s">
        <v>5623</v>
      </c>
    </row>
    <row r="496" spans="1:7" x14ac:dyDescent="0.2">
      <c r="A496" t="s">
        <v>73</v>
      </c>
      <c r="B496" t="s">
        <v>437</v>
      </c>
      <c r="C496" t="s">
        <v>1817</v>
      </c>
      <c r="D496" t="s">
        <v>31</v>
      </c>
      <c r="E496" t="s">
        <v>5936</v>
      </c>
      <c r="F496" t="s">
        <v>5163</v>
      </c>
      <c r="G496" t="s">
        <v>5882</v>
      </c>
    </row>
    <row r="497" spans="1:7" x14ac:dyDescent="0.2">
      <c r="A497" t="s">
        <v>73</v>
      </c>
      <c r="B497" t="s">
        <v>315</v>
      </c>
      <c r="C497" t="s">
        <v>1794</v>
      </c>
      <c r="D497" t="s">
        <v>31</v>
      </c>
      <c r="E497" t="s">
        <v>5937</v>
      </c>
      <c r="F497" t="s">
        <v>5160</v>
      </c>
      <c r="G497" t="s">
        <v>5379</v>
      </c>
    </row>
    <row r="498" spans="1:7" x14ac:dyDescent="0.2">
      <c r="A498" t="s">
        <v>73</v>
      </c>
      <c r="B498" t="s">
        <v>125</v>
      </c>
      <c r="C498" t="s">
        <v>5297</v>
      </c>
      <c r="D498" t="s">
        <v>38</v>
      </c>
      <c r="E498" t="s">
        <v>5938</v>
      </c>
      <c r="F498" t="s">
        <v>5163</v>
      </c>
      <c r="G498" t="s">
        <v>5396</v>
      </c>
    </row>
    <row r="499" spans="1:7" x14ac:dyDescent="0.2">
      <c r="A499" t="s">
        <v>73</v>
      </c>
      <c r="B499" t="s">
        <v>437</v>
      </c>
      <c r="C499" t="s">
        <v>532</v>
      </c>
      <c r="D499" t="s">
        <v>38</v>
      </c>
      <c r="E499" t="s">
        <v>5939</v>
      </c>
      <c r="F499" t="s">
        <v>5163</v>
      </c>
      <c r="G499" t="s">
        <v>5940</v>
      </c>
    </row>
    <row r="500" spans="1:7" x14ac:dyDescent="0.2">
      <c r="A500" t="s">
        <v>73</v>
      </c>
      <c r="B500" t="s">
        <v>315</v>
      </c>
      <c r="C500" t="s">
        <v>1828</v>
      </c>
      <c r="D500" t="s">
        <v>38</v>
      </c>
      <c r="E500" t="s">
        <v>5941</v>
      </c>
      <c r="F500" t="s">
        <v>5160</v>
      </c>
      <c r="G500" t="s">
        <v>5802</v>
      </c>
    </row>
    <row r="501" spans="1:7" x14ac:dyDescent="0.2">
      <c r="A501" t="s">
        <v>73</v>
      </c>
      <c r="B501" t="s">
        <v>287</v>
      </c>
      <c r="C501" t="s">
        <v>1834</v>
      </c>
      <c r="D501" t="s">
        <v>38</v>
      </c>
      <c r="E501" t="s">
        <v>5942</v>
      </c>
      <c r="F501" t="s">
        <v>5169</v>
      </c>
      <c r="G501" t="s">
        <v>5407</v>
      </c>
    </row>
    <row r="502" spans="1:7" x14ac:dyDescent="0.2">
      <c r="A502" t="s">
        <v>73</v>
      </c>
      <c r="B502" t="s">
        <v>166</v>
      </c>
      <c r="C502" t="s">
        <v>1840</v>
      </c>
      <c r="D502" t="s">
        <v>38</v>
      </c>
      <c r="E502" t="s">
        <v>5943</v>
      </c>
      <c r="F502" t="s">
        <v>5160</v>
      </c>
      <c r="G502" t="s">
        <v>5227</v>
      </c>
    </row>
    <row r="503" spans="1:7" x14ac:dyDescent="0.2">
      <c r="A503" t="s">
        <v>73</v>
      </c>
      <c r="B503" t="s">
        <v>125</v>
      </c>
      <c r="C503" t="s">
        <v>5944</v>
      </c>
      <c r="D503" t="s">
        <v>38</v>
      </c>
      <c r="E503" t="s">
        <v>5945</v>
      </c>
      <c r="F503" t="s">
        <v>5160</v>
      </c>
      <c r="G503" t="s">
        <v>5283</v>
      </c>
    </row>
    <row r="504" spans="1:7" x14ac:dyDescent="0.2">
      <c r="A504" t="s">
        <v>58</v>
      </c>
      <c r="B504" t="s">
        <v>1867</v>
      </c>
      <c r="C504" t="s">
        <v>1868</v>
      </c>
      <c r="D504" t="s">
        <v>31</v>
      </c>
      <c r="E504" t="s">
        <v>5946</v>
      </c>
      <c r="F504" t="s">
        <v>5409</v>
      </c>
      <c r="G504" t="s">
        <v>5947</v>
      </c>
    </row>
    <row r="505" spans="1:7" x14ac:dyDescent="0.2">
      <c r="A505" t="s">
        <v>58</v>
      </c>
      <c r="B505" t="s">
        <v>1873</v>
      </c>
      <c r="C505" t="s">
        <v>1874</v>
      </c>
      <c r="D505" t="s">
        <v>31</v>
      </c>
      <c r="E505" t="s">
        <v>5948</v>
      </c>
      <c r="F505" t="s">
        <v>5849</v>
      </c>
      <c r="G505" t="s">
        <v>5403</v>
      </c>
    </row>
    <row r="506" spans="1:7" x14ac:dyDescent="0.2">
      <c r="A506" t="s">
        <v>58</v>
      </c>
      <c r="B506" t="s">
        <v>802</v>
      </c>
      <c r="C506" t="s">
        <v>4336</v>
      </c>
      <c r="D506" t="s">
        <v>31</v>
      </c>
      <c r="E506" t="s">
        <v>5949</v>
      </c>
      <c r="F506" t="s">
        <v>5169</v>
      </c>
      <c r="G506" t="s">
        <v>5379</v>
      </c>
    </row>
    <row r="507" spans="1:7" x14ac:dyDescent="0.2">
      <c r="A507" t="s">
        <v>58</v>
      </c>
      <c r="B507" t="s">
        <v>1845</v>
      </c>
      <c r="C507" t="s">
        <v>1846</v>
      </c>
      <c r="D507" t="s">
        <v>38</v>
      </c>
      <c r="E507" t="s">
        <v>5950</v>
      </c>
      <c r="F507" t="s">
        <v>5352</v>
      </c>
      <c r="G507" t="s">
        <v>3267</v>
      </c>
    </row>
    <row r="508" spans="1:7" x14ac:dyDescent="0.2">
      <c r="A508" t="s">
        <v>58</v>
      </c>
      <c r="B508" t="s">
        <v>1885</v>
      </c>
      <c r="C508" t="s">
        <v>1886</v>
      </c>
      <c r="D508" t="s">
        <v>38</v>
      </c>
      <c r="E508" t="s">
        <v>5951</v>
      </c>
      <c r="F508" t="s">
        <v>5160</v>
      </c>
      <c r="G508" t="s">
        <v>5283</v>
      </c>
    </row>
    <row r="509" spans="1:7" x14ac:dyDescent="0.2">
      <c r="A509" t="s">
        <v>58</v>
      </c>
      <c r="B509" t="s">
        <v>196</v>
      </c>
      <c r="C509" t="s">
        <v>1859</v>
      </c>
      <c r="D509" t="s">
        <v>38</v>
      </c>
      <c r="E509" t="s">
        <v>5952</v>
      </c>
      <c r="F509" t="s">
        <v>5409</v>
      </c>
      <c r="G509" t="s">
        <v>5236</v>
      </c>
    </row>
    <row r="510" spans="1:7" x14ac:dyDescent="0.2">
      <c r="A510" t="s">
        <v>58</v>
      </c>
      <c r="B510" t="s">
        <v>166</v>
      </c>
      <c r="C510" t="s">
        <v>1891</v>
      </c>
      <c r="D510" t="s">
        <v>38</v>
      </c>
      <c r="E510" t="s">
        <v>5953</v>
      </c>
      <c r="F510" t="s">
        <v>5160</v>
      </c>
      <c r="G510" t="s">
        <v>5172</v>
      </c>
    </row>
    <row r="511" spans="1:7" x14ac:dyDescent="0.2">
      <c r="A511" t="s">
        <v>58</v>
      </c>
      <c r="B511" t="s">
        <v>135</v>
      </c>
      <c r="C511" t="s">
        <v>1863</v>
      </c>
      <c r="D511" t="s">
        <v>38</v>
      </c>
      <c r="E511" t="s">
        <v>5954</v>
      </c>
      <c r="F511" t="s">
        <v>5904</v>
      </c>
      <c r="G511" t="s">
        <v>5259</v>
      </c>
    </row>
    <row r="512" spans="1:7" x14ac:dyDescent="0.2">
      <c r="A512" t="s">
        <v>62</v>
      </c>
      <c r="B512" t="s">
        <v>1895</v>
      </c>
      <c r="C512" t="s">
        <v>1896</v>
      </c>
      <c r="D512" t="s">
        <v>31</v>
      </c>
      <c r="E512" t="s">
        <v>5955</v>
      </c>
      <c r="F512" t="s">
        <v>5160</v>
      </c>
      <c r="G512" t="s">
        <v>5956</v>
      </c>
    </row>
    <row r="513" spans="1:7" x14ac:dyDescent="0.2">
      <c r="A513" t="s">
        <v>62</v>
      </c>
      <c r="B513" t="s">
        <v>315</v>
      </c>
      <c r="C513" t="s">
        <v>1909</v>
      </c>
      <c r="D513" t="s">
        <v>31</v>
      </c>
      <c r="E513" t="s">
        <v>5957</v>
      </c>
      <c r="F513" t="s">
        <v>5163</v>
      </c>
      <c r="G513" t="s">
        <v>5958</v>
      </c>
    </row>
    <row r="514" spans="1:7" x14ac:dyDescent="0.2">
      <c r="A514" t="s">
        <v>62</v>
      </c>
      <c r="B514" t="s">
        <v>166</v>
      </c>
      <c r="C514" t="s">
        <v>1923</v>
      </c>
      <c r="D514" t="s">
        <v>38</v>
      </c>
      <c r="E514" t="s">
        <v>5959</v>
      </c>
      <c r="F514" t="s">
        <v>5193</v>
      </c>
      <c r="G514" t="s">
        <v>5940</v>
      </c>
    </row>
    <row r="515" spans="1:7" x14ac:dyDescent="0.2">
      <c r="A515" t="s">
        <v>62</v>
      </c>
      <c r="B515" t="s">
        <v>188</v>
      </c>
      <c r="C515" t="s">
        <v>1444</v>
      </c>
      <c r="D515" t="s">
        <v>31</v>
      </c>
      <c r="E515" t="s">
        <v>5960</v>
      </c>
      <c r="F515" t="s">
        <v>5160</v>
      </c>
      <c r="G515" t="s">
        <v>5961</v>
      </c>
    </row>
    <row r="516" spans="1:7" x14ac:dyDescent="0.2">
      <c r="A516" t="s">
        <v>62</v>
      </c>
      <c r="B516" t="s">
        <v>1939</v>
      </c>
      <c r="C516" t="s">
        <v>1733</v>
      </c>
      <c r="D516" t="s">
        <v>38</v>
      </c>
      <c r="E516" t="s">
        <v>5962</v>
      </c>
      <c r="F516" t="s">
        <v>5169</v>
      </c>
      <c r="G516" t="s">
        <v>5396</v>
      </c>
    </row>
    <row r="517" spans="1:7" x14ac:dyDescent="0.2">
      <c r="A517" t="s">
        <v>62</v>
      </c>
      <c r="B517" t="s">
        <v>158</v>
      </c>
      <c r="C517" t="s">
        <v>197</v>
      </c>
      <c r="D517" t="s">
        <v>38</v>
      </c>
      <c r="E517" t="s">
        <v>5963</v>
      </c>
      <c r="F517" t="s">
        <v>5160</v>
      </c>
      <c r="G517" t="s">
        <v>5880</v>
      </c>
    </row>
    <row r="518" spans="1:7" x14ac:dyDescent="0.2">
      <c r="A518" t="s">
        <v>95</v>
      </c>
      <c r="B518" t="s">
        <v>437</v>
      </c>
      <c r="C518" t="s">
        <v>532</v>
      </c>
      <c r="D518" t="s">
        <v>31</v>
      </c>
      <c r="E518" t="s">
        <v>5964</v>
      </c>
      <c r="F518" t="s">
        <v>5160</v>
      </c>
      <c r="G518" t="s">
        <v>4447</v>
      </c>
    </row>
    <row r="519" spans="1:7" x14ac:dyDescent="0.2">
      <c r="A519" t="s">
        <v>95</v>
      </c>
      <c r="B519" t="s">
        <v>437</v>
      </c>
      <c r="C519" t="s">
        <v>5965</v>
      </c>
      <c r="D519" t="s">
        <v>31</v>
      </c>
      <c r="E519" t="s">
        <v>5966</v>
      </c>
      <c r="F519" t="s">
        <v>5163</v>
      </c>
      <c r="G519" t="s">
        <v>5208</v>
      </c>
    </row>
    <row r="520" spans="1:7" x14ac:dyDescent="0.2">
      <c r="A520" t="s">
        <v>95</v>
      </c>
      <c r="B520" t="s">
        <v>2041</v>
      </c>
      <c r="C520" t="s">
        <v>316</v>
      </c>
      <c r="D520" t="s">
        <v>31</v>
      </c>
      <c r="E520" t="s">
        <v>5967</v>
      </c>
      <c r="F520" t="s">
        <v>5169</v>
      </c>
      <c r="G520" t="s">
        <v>4570</v>
      </c>
    </row>
    <row r="521" spans="1:7" x14ac:dyDescent="0.2">
      <c r="A521" t="s">
        <v>95</v>
      </c>
      <c r="B521" t="s">
        <v>517</v>
      </c>
      <c r="C521" t="s">
        <v>5968</v>
      </c>
      <c r="D521" t="s">
        <v>31</v>
      </c>
      <c r="E521" t="s">
        <v>5969</v>
      </c>
      <c r="F521" t="s">
        <v>5160</v>
      </c>
      <c r="G521" t="s">
        <v>5331</v>
      </c>
    </row>
    <row r="522" spans="1:7" x14ac:dyDescent="0.2">
      <c r="A522" t="s">
        <v>95</v>
      </c>
      <c r="B522" t="s">
        <v>4439</v>
      </c>
      <c r="C522" t="s">
        <v>5970</v>
      </c>
      <c r="D522" t="s">
        <v>38</v>
      </c>
      <c r="E522" t="s">
        <v>5971</v>
      </c>
      <c r="F522" t="s">
        <v>5163</v>
      </c>
      <c r="G522" t="s">
        <v>4447</v>
      </c>
    </row>
    <row r="523" spans="1:7" x14ac:dyDescent="0.2">
      <c r="A523" t="s">
        <v>95</v>
      </c>
      <c r="B523" t="s">
        <v>437</v>
      </c>
      <c r="C523" t="s">
        <v>819</v>
      </c>
      <c r="D523" t="s">
        <v>38</v>
      </c>
      <c r="E523" t="s">
        <v>5972</v>
      </c>
      <c r="F523" t="s">
        <v>5163</v>
      </c>
      <c r="G523" t="s">
        <v>5326</v>
      </c>
    </row>
    <row r="524" spans="1:7" x14ac:dyDescent="0.2">
      <c r="A524" t="s">
        <v>67</v>
      </c>
      <c r="B524" t="s">
        <v>135</v>
      </c>
      <c r="C524" t="s">
        <v>1954</v>
      </c>
      <c r="D524" t="s">
        <v>31</v>
      </c>
      <c r="E524" t="s">
        <v>5973</v>
      </c>
      <c r="F524" t="s">
        <v>5163</v>
      </c>
      <c r="G524" t="s">
        <v>5974</v>
      </c>
    </row>
    <row r="525" spans="1:7" x14ac:dyDescent="0.2">
      <c r="A525" t="s">
        <v>67</v>
      </c>
      <c r="B525" t="s">
        <v>135</v>
      </c>
      <c r="C525" t="s">
        <v>1958</v>
      </c>
      <c r="D525" t="s">
        <v>31</v>
      </c>
      <c r="E525" t="s">
        <v>5975</v>
      </c>
      <c r="F525" t="s">
        <v>5163</v>
      </c>
      <c r="G525" t="s">
        <v>5976</v>
      </c>
    </row>
    <row r="526" spans="1:7" x14ac:dyDescent="0.2">
      <c r="A526" t="s">
        <v>67</v>
      </c>
      <c r="B526" t="s">
        <v>125</v>
      </c>
      <c r="C526" t="s">
        <v>4736</v>
      </c>
      <c r="D526" t="s">
        <v>38</v>
      </c>
      <c r="E526" t="s">
        <v>5977</v>
      </c>
      <c r="F526" t="s">
        <v>5160</v>
      </c>
      <c r="G526" t="s">
        <v>5978</v>
      </c>
    </row>
    <row r="527" spans="1:7" x14ac:dyDescent="0.2">
      <c r="A527" t="s">
        <v>67</v>
      </c>
      <c r="B527" t="s">
        <v>166</v>
      </c>
      <c r="C527" t="s">
        <v>1965</v>
      </c>
      <c r="D527" t="s">
        <v>31</v>
      </c>
      <c r="E527" t="s">
        <v>5979</v>
      </c>
      <c r="F527" t="s">
        <v>5160</v>
      </c>
      <c r="G527" t="s">
        <v>5980</v>
      </c>
    </row>
    <row r="528" spans="1:7" x14ac:dyDescent="0.2">
      <c r="A528" t="s">
        <v>67</v>
      </c>
      <c r="B528" t="s">
        <v>287</v>
      </c>
      <c r="C528" t="s">
        <v>1978</v>
      </c>
      <c r="D528" t="s">
        <v>38</v>
      </c>
      <c r="E528" t="s">
        <v>5981</v>
      </c>
      <c r="F528" t="s">
        <v>5160</v>
      </c>
      <c r="G528" t="s">
        <v>5255</v>
      </c>
    </row>
    <row r="529" spans="1:7" x14ac:dyDescent="0.2">
      <c r="A529" t="s">
        <v>67</v>
      </c>
      <c r="B529" t="s">
        <v>315</v>
      </c>
      <c r="C529" t="s">
        <v>1548</v>
      </c>
      <c r="D529" t="s">
        <v>38</v>
      </c>
      <c r="E529" t="s">
        <v>5982</v>
      </c>
      <c r="F529" t="s">
        <v>5160</v>
      </c>
      <c r="G529" t="s">
        <v>5396</v>
      </c>
    </row>
    <row r="530" spans="1:7" x14ac:dyDescent="0.2">
      <c r="A530" t="s">
        <v>67</v>
      </c>
      <c r="B530" t="s">
        <v>315</v>
      </c>
      <c r="C530" t="s">
        <v>5983</v>
      </c>
      <c r="D530" t="s">
        <v>38</v>
      </c>
      <c r="E530" t="s">
        <v>5984</v>
      </c>
      <c r="F530" t="s">
        <v>5163</v>
      </c>
      <c r="G530" t="s">
        <v>5419</v>
      </c>
    </row>
    <row r="531" spans="1:7" x14ac:dyDescent="0.2">
      <c r="A531" t="s">
        <v>60</v>
      </c>
      <c r="B531" t="s">
        <v>174</v>
      </c>
      <c r="C531" t="s">
        <v>288</v>
      </c>
      <c r="D531" t="s">
        <v>31</v>
      </c>
      <c r="E531" t="s">
        <v>5985</v>
      </c>
      <c r="F531" t="s">
        <v>5160</v>
      </c>
      <c r="G531" t="s">
        <v>5873</v>
      </c>
    </row>
    <row r="532" spans="1:7" x14ac:dyDescent="0.2">
      <c r="A532" t="s">
        <v>60</v>
      </c>
      <c r="B532" t="s">
        <v>1988</v>
      </c>
      <c r="C532" t="s">
        <v>614</v>
      </c>
      <c r="D532" t="s">
        <v>31</v>
      </c>
      <c r="E532" t="s">
        <v>5986</v>
      </c>
      <c r="F532" t="s">
        <v>5160</v>
      </c>
      <c r="G532" t="s">
        <v>5447</v>
      </c>
    </row>
    <row r="533" spans="1:7" x14ac:dyDescent="0.2">
      <c r="A533" t="s">
        <v>60</v>
      </c>
      <c r="B533" t="s">
        <v>328</v>
      </c>
      <c r="C533" t="s">
        <v>5987</v>
      </c>
      <c r="D533" t="s">
        <v>38</v>
      </c>
      <c r="E533" t="s">
        <v>5988</v>
      </c>
      <c r="F533" t="s">
        <v>5160</v>
      </c>
      <c r="G533" t="s">
        <v>5312</v>
      </c>
    </row>
    <row r="534" spans="1:7" x14ac:dyDescent="0.2">
      <c r="A534" t="s">
        <v>60</v>
      </c>
      <c r="B534" t="s">
        <v>125</v>
      </c>
      <c r="C534" t="s">
        <v>1026</v>
      </c>
      <c r="D534" t="s">
        <v>38</v>
      </c>
      <c r="E534" t="s">
        <v>5989</v>
      </c>
      <c r="F534" t="s">
        <v>5160</v>
      </c>
      <c r="G534" t="s">
        <v>5331</v>
      </c>
    </row>
    <row r="535" spans="1:7" x14ac:dyDescent="0.2">
      <c r="A535" t="s">
        <v>60</v>
      </c>
      <c r="B535" t="s">
        <v>547</v>
      </c>
      <c r="C535" t="s">
        <v>2010</v>
      </c>
      <c r="D535" t="s">
        <v>31</v>
      </c>
      <c r="E535" t="s">
        <v>5990</v>
      </c>
      <c r="F535" t="s">
        <v>5163</v>
      </c>
      <c r="G535" t="s">
        <v>5991</v>
      </c>
    </row>
    <row r="536" spans="1:7" x14ac:dyDescent="0.2">
      <c r="A536" t="s">
        <v>60</v>
      </c>
      <c r="B536" t="s">
        <v>547</v>
      </c>
      <c r="C536" t="s">
        <v>819</v>
      </c>
      <c r="D536" t="s">
        <v>38</v>
      </c>
      <c r="E536" t="s">
        <v>5992</v>
      </c>
      <c r="F536" t="s">
        <v>5163</v>
      </c>
      <c r="G536" t="s">
        <v>4569</v>
      </c>
    </row>
    <row r="537" spans="1:7" x14ac:dyDescent="0.2">
      <c r="A537" t="s">
        <v>77</v>
      </c>
      <c r="B537" t="s">
        <v>504</v>
      </c>
      <c r="C537" t="s">
        <v>705</v>
      </c>
      <c r="D537" t="s">
        <v>31</v>
      </c>
      <c r="E537" t="s">
        <v>5993</v>
      </c>
      <c r="F537" t="s">
        <v>5160</v>
      </c>
      <c r="G537" t="s">
        <v>5478</v>
      </c>
    </row>
    <row r="538" spans="1:7" x14ac:dyDescent="0.2">
      <c r="A538" t="s">
        <v>77</v>
      </c>
      <c r="B538" t="s">
        <v>504</v>
      </c>
      <c r="C538" t="s">
        <v>532</v>
      </c>
      <c r="D538" t="s">
        <v>31</v>
      </c>
      <c r="E538" t="s">
        <v>5994</v>
      </c>
      <c r="F538" t="s">
        <v>5163</v>
      </c>
      <c r="G538" t="s">
        <v>5467</v>
      </c>
    </row>
    <row r="539" spans="1:7" x14ac:dyDescent="0.2">
      <c r="A539" t="s">
        <v>77</v>
      </c>
      <c r="B539" t="s">
        <v>287</v>
      </c>
      <c r="C539" t="s">
        <v>646</v>
      </c>
      <c r="D539" t="s">
        <v>31</v>
      </c>
      <c r="E539" t="s">
        <v>5995</v>
      </c>
      <c r="F539" t="s">
        <v>5169</v>
      </c>
      <c r="G539" t="s">
        <v>5280</v>
      </c>
    </row>
    <row r="540" spans="1:7" x14ac:dyDescent="0.2">
      <c r="A540" t="s">
        <v>77</v>
      </c>
      <c r="B540" t="s">
        <v>481</v>
      </c>
      <c r="C540" t="s">
        <v>709</v>
      </c>
      <c r="D540" t="s">
        <v>38</v>
      </c>
      <c r="E540" t="s">
        <v>5996</v>
      </c>
      <c r="F540" t="s">
        <v>5160</v>
      </c>
      <c r="G540" t="s">
        <v>4570</v>
      </c>
    </row>
    <row r="541" spans="1:7" x14ac:dyDescent="0.2">
      <c r="A541" t="s">
        <v>77</v>
      </c>
      <c r="B541" t="s">
        <v>166</v>
      </c>
      <c r="C541" t="s">
        <v>2144</v>
      </c>
      <c r="D541" t="s">
        <v>38</v>
      </c>
      <c r="E541" t="s">
        <v>5997</v>
      </c>
      <c r="F541" t="s">
        <v>5193</v>
      </c>
      <c r="G541" t="s">
        <v>5285</v>
      </c>
    </row>
    <row r="542" spans="1:7" x14ac:dyDescent="0.2">
      <c r="A542" t="s">
        <v>77</v>
      </c>
      <c r="B542" t="s">
        <v>188</v>
      </c>
      <c r="C542" t="s">
        <v>189</v>
      </c>
      <c r="D542" t="s">
        <v>38</v>
      </c>
      <c r="E542" t="s">
        <v>5998</v>
      </c>
      <c r="F542" t="s">
        <v>5160</v>
      </c>
      <c r="G542" t="s">
        <v>5164</v>
      </c>
    </row>
    <row r="543" spans="1:7" x14ac:dyDescent="0.2">
      <c r="A543" t="s">
        <v>65</v>
      </c>
      <c r="B543" t="s">
        <v>2087</v>
      </c>
      <c r="C543" t="s">
        <v>2088</v>
      </c>
      <c r="D543" t="s">
        <v>31</v>
      </c>
      <c r="E543" t="s">
        <v>5999</v>
      </c>
      <c r="F543" t="s">
        <v>5160</v>
      </c>
      <c r="G543" t="s">
        <v>6000</v>
      </c>
    </row>
    <row r="544" spans="1:7" x14ac:dyDescent="0.2">
      <c r="A544" t="s">
        <v>65</v>
      </c>
      <c r="B544" t="s">
        <v>1542</v>
      </c>
      <c r="C544" t="s">
        <v>2097</v>
      </c>
      <c r="D544" t="s">
        <v>31</v>
      </c>
      <c r="E544" t="s">
        <v>6001</v>
      </c>
      <c r="F544" t="s">
        <v>5160</v>
      </c>
      <c r="G544" t="s">
        <v>5439</v>
      </c>
    </row>
    <row r="545" spans="1:7" x14ac:dyDescent="0.2">
      <c r="A545" t="s">
        <v>65</v>
      </c>
      <c r="B545" t="s">
        <v>125</v>
      </c>
      <c r="C545" t="s">
        <v>1580</v>
      </c>
      <c r="D545" t="s">
        <v>31</v>
      </c>
      <c r="E545" t="s">
        <v>6002</v>
      </c>
      <c r="F545" t="s">
        <v>5160</v>
      </c>
      <c r="G545" t="s">
        <v>6003</v>
      </c>
    </row>
    <row r="546" spans="1:7" x14ac:dyDescent="0.2">
      <c r="A546" t="s">
        <v>65</v>
      </c>
      <c r="B546" t="s">
        <v>135</v>
      </c>
      <c r="C546" t="s">
        <v>334</v>
      </c>
      <c r="D546" t="s">
        <v>38</v>
      </c>
      <c r="E546" t="s">
        <v>6004</v>
      </c>
      <c r="F546" t="s">
        <v>5163</v>
      </c>
      <c r="G546" t="s">
        <v>5709</v>
      </c>
    </row>
    <row r="547" spans="1:7" x14ac:dyDescent="0.2">
      <c r="A547" t="s">
        <v>65</v>
      </c>
      <c r="B547" t="s">
        <v>2080</v>
      </c>
      <c r="C547" t="s">
        <v>2793</v>
      </c>
      <c r="D547" t="s">
        <v>38</v>
      </c>
      <c r="E547" t="s">
        <v>6005</v>
      </c>
      <c r="F547" t="s">
        <v>5193</v>
      </c>
      <c r="G547" t="s">
        <v>5194</v>
      </c>
    </row>
    <row r="548" spans="1:7" x14ac:dyDescent="0.2">
      <c r="A548" t="s">
        <v>65</v>
      </c>
      <c r="B548" t="s">
        <v>2118</v>
      </c>
      <c r="C548" t="s">
        <v>316</v>
      </c>
      <c r="D548" t="s">
        <v>38</v>
      </c>
      <c r="E548" t="s">
        <v>6006</v>
      </c>
      <c r="F548" t="s">
        <v>5169</v>
      </c>
      <c r="G548" t="s">
        <v>5401</v>
      </c>
    </row>
    <row r="549" spans="1:7" x14ac:dyDescent="0.2">
      <c r="A549" t="s">
        <v>87</v>
      </c>
      <c r="B549" t="s">
        <v>328</v>
      </c>
      <c r="C549" t="s">
        <v>2170</v>
      </c>
      <c r="D549" t="s">
        <v>31</v>
      </c>
      <c r="E549" t="s">
        <v>6007</v>
      </c>
      <c r="F549" t="s">
        <v>5303</v>
      </c>
      <c r="G549" t="s">
        <v>5175</v>
      </c>
    </row>
    <row r="550" spans="1:7" x14ac:dyDescent="0.2">
      <c r="A550" t="s">
        <v>87</v>
      </c>
      <c r="B550" t="s">
        <v>2193</v>
      </c>
      <c r="C550" t="s">
        <v>2194</v>
      </c>
      <c r="D550" t="s">
        <v>31</v>
      </c>
      <c r="E550" t="s">
        <v>6008</v>
      </c>
      <c r="F550" t="s">
        <v>5785</v>
      </c>
      <c r="G550" t="s">
        <v>5107</v>
      </c>
    </row>
    <row r="551" spans="1:7" x14ac:dyDescent="0.2">
      <c r="A551" t="s">
        <v>87</v>
      </c>
      <c r="B551" t="s">
        <v>595</v>
      </c>
      <c r="C551" t="s">
        <v>1076</v>
      </c>
      <c r="D551" t="s">
        <v>31</v>
      </c>
      <c r="E551" t="s">
        <v>6009</v>
      </c>
      <c r="F551" t="s">
        <v>5193</v>
      </c>
      <c r="G551" t="s">
        <v>3267</v>
      </c>
    </row>
    <row r="552" spans="1:7" x14ac:dyDescent="0.2">
      <c r="A552" t="s">
        <v>87</v>
      </c>
      <c r="B552" t="s">
        <v>595</v>
      </c>
      <c r="C552" t="s">
        <v>2491</v>
      </c>
      <c r="D552" t="s">
        <v>38</v>
      </c>
      <c r="E552" t="s">
        <v>6010</v>
      </c>
      <c r="F552" t="s">
        <v>5169</v>
      </c>
      <c r="G552" t="s">
        <v>5255</v>
      </c>
    </row>
    <row r="553" spans="1:7" x14ac:dyDescent="0.2">
      <c r="A553" t="s">
        <v>87</v>
      </c>
      <c r="B553" t="s">
        <v>504</v>
      </c>
      <c r="C553" t="s">
        <v>705</v>
      </c>
      <c r="D553" t="s">
        <v>38</v>
      </c>
      <c r="E553" t="s">
        <v>6011</v>
      </c>
      <c r="F553" t="s">
        <v>5169</v>
      </c>
      <c r="G553" t="s">
        <v>5369</v>
      </c>
    </row>
    <row r="554" spans="1:7" x14ac:dyDescent="0.2">
      <c r="A554" t="s">
        <v>87</v>
      </c>
      <c r="B554" t="s">
        <v>166</v>
      </c>
      <c r="C554" t="s">
        <v>802</v>
      </c>
      <c r="D554" t="s">
        <v>38</v>
      </c>
      <c r="E554" t="s">
        <v>6012</v>
      </c>
      <c r="F554" t="s">
        <v>5193</v>
      </c>
      <c r="G554" t="s">
        <v>5766</v>
      </c>
    </row>
    <row r="555" spans="1:7" x14ac:dyDescent="0.2">
      <c r="A555" t="s">
        <v>87</v>
      </c>
      <c r="B555" t="s">
        <v>196</v>
      </c>
      <c r="C555" t="s">
        <v>1970</v>
      </c>
      <c r="D555" t="s">
        <v>38</v>
      </c>
      <c r="E555" t="s">
        <v>6013</v>
      </c>
      <c r="F555" t="s">
        <v>5785</v>
      </c>
      <c r="G555" t="s">
        <v>5259</v>
      </c>
    </row>
    <row r="556" spans="1:7" x14ac:dyDescent="0.2">
      <c r="A556" t="s">
        <v>70</v>
      </c>
      <c r="B556" t="s">
        <v>2235</v>
      </c>
      <c r="C556" t="s">
        <v>2236</v>
      </c>
      <c r="D556" t="s">
        <v>31</v>
      </c>
      <c r="E556" t="s">
        <v>6014</v>
      </c>
      <c r="F556" t="s">
        <v>5160</v>
      </c>
      <c r="G556" t="s">
        <v>5234</v>
      </c>
    </row>
    <row r="557" spans="1:7" x14ac:dyDescent="0.2">
      <c r="A557" t="s">
        <v>70</v>
      </c>
      <c r="B557" t="s">
        <v>2235</v>
      </c>
      <c r="C557" t="s">
        <v>2236</v>
      </c>
      <c r="D557" t="s">
        <v>31</v>
      </c>
      <c r="E557" t="s">
        <v>6015</v>
      </c>
      <c r="F557" t="s">
        <v>5163</v>
      </c>
      <c r="G557" t="s">
        <v>6016</v>
      </c>
    </row>
    <row r="558" spans="1:7" x14ac:dyDescent="0.2">
      <c r="A558" t="s">
        <v>70</v>
      </c>
      <c r="B558" t="s">
        <v>2211</v>
      </c>
      <c r="C558" t="s">
        <v>717</v>
      </c>
      <c r="D558" t="s">
        <v>38</v>
      </c>
      <c r="E558" t="s">
        <v>6017</v>
      </c>
      <c r="F558" t="s">
        <v>5169</v>
      </c>
      <c r="G558" t="s">
        <v>5766</v>
      </c>
    </row>
    <row r="559" spans="1:7" x14ac:dyDescent="0.2">
      <c r="A559" t="s">
        <v>70</v>
      </c>
      <c r="B559" t="s">
        <v>1357</v>
      </c>
      <c r="C559" t="s">
        <v>1166</v>
      </c>
      <c r="D559" t="s">
        <v>38</v>
      </c>
      <c r="E559" t="s">
        <v>6018</v>
      </c>
      <c r="F559" t="s">
        <v>5163</v>
      </c>
      <c r="G559" t="s">
        <v>5788</v>
      </c>
    </row>
    <row r="560" spans="1:7" x14ac:dyDescent="0.2">
      <c r="A560" t="s">
        <v>70</v>
      </c>
      <c r="B560" t="s">
        <v>166</v>
      </c>
      <c r="C560" t="s">
        <v>564</v>
      </c>
      <c r="D560" t="s">
        <v>38</v>
      </c>
      <c r="E560" t="s">
        <v>6019</v>
      </c>
      <c r="F560" t="s">
        <v>5160</v>
      </c>
      <c r="G560" t="s">
        <v>5172</v>
      </c>
    </row>
    <row r="561" spans="1:7" x14ac:dyDescent="0.2">
      <c r="A561" t="s">
        <v>70</v>
      </c>
      <c r="B561" t="s">
        <v>547</v>
      </c>
      <c r="C561" t="s">
        <v>1296</v>
      </c>
      <c r="D561" t="s">
        <v>38</v>
      </c>
      <c r="E561" t="s">
        <v>6020</v>
      </c>
      <c r="F561" t="s">
        <v>5160</v>
      </c>
      <c r="G561" t="s">
        <v>5167</v>
      </c>
    </row>
    <row r="562" spans="1:7" x14ac:dyDescent="0.2">
      <c r="A562" t="s">
        <v>70</v>
      </c>
      <c r="B562" t="s">
        <v>540</v>
      </c>
      <c r="C562" t="s">
        <v>1970</v>
      </c>
      <c r="D562" t="s">
        <v>38</v>
      </c>
      <c r="E562" t="s">
        <v>6021</v>
      </c>
      <c r="F562" t="s">
        <v>5193</v>
      </c>
      <c r="G562" t="s">
        <v>5790</v>
      </c>
    </row>
    <row r="563" spans="1:7" x14ac:dyDescent="0.2">
      <c r="A563" t="s">
        <v>83</v>
      </c>
      <c r="B563" t="s">
        <v>504</v>
      </c>
      <c r="C563" t="s">
        <v>705</v>
      </c>
      <c r="D563" t="s">
        <v>31</v>
      </c>
      <c r="E563" t="s">
        <v>6022</v>
      </c>
      <c r="F563" t="s">
        <v>5160</v>
      </c>
      <c r="G563" t="s">
        <v>3269</v>
      </c>
    </row>
    <row r="564" spans="1:7" x14ac:dyDescent="0.2">
      <c r="A564" t="s">
        <v>83</v>
      </c>
      <c r="B564" t="s">
        <v>1496</v>
      </c>
      <c r="C564" t="s">
        <v>6023</v>
      </c>
      <c r="D564" t="s">
        <v>31</v>
      </c>
      <c r="E564" t="s">
        <v>6024</v>
      </c>
      <c r="F564" t="s">
        <v>5169</v>
      </c>
      <c r="G564" t="s">
        <v>5396</v>
      </c>
    </row>
    <row r="565" spans="1:7" x14ac:dyDescent="0.2">
      <c r="A565" t="s">
        <v>83</v>
      </c>
      <c r="B565" t="s">
        <v>328</v>
      </c>
      <c r="C565" t="s">
        <v>2001</v>
      </c>
      <c r="D565" t="s">
        <v>31</v>
      </c>
      <c r="E565" t="s">
        <v>6025</v>
      </c>
      <c r="F565" t="s">
        <v>5163</v>
      </c>
      <c r="G565" t="s">
        <v>5208</v>
      </c>
    </row>
    <row r="566" spans="1:7" x14ac:dyDescent="0.2">
      <c r="A566" t="s">
        <v>83</v>
      </c>
      <c r="B566" t="s">
        <v>166</v>
      </c>
      <c r="C566" t="s">
        <v>2297</v>
      </c>
      <c r="D566" t="s">
        <v>38</v>
      </c>
      <c r="E566" t="s">
        <v>6026</v>
      </c>
      <c r="F566" t="s">
        <v>5193</v>
      </c>
      <c r="G566" t="s">
        <v>5172</v>
      </c>
    </row>
    <row r="567" spans="1:7" x14ac:dyDescent="0.2">
      <c r="A567" t="s">
        <v>83</v>
      </c>
      <c r="B567" t="s">
        <v>1988</v>
      </c>
      <c r="C567" t="s">
        <v>5386</v>
      </c>
      <c r="D567" t="s">
        <v>38</v>
      </c>
      <c r="E567" t="s">
        <v>6027</v>
      </c>
      <c r="F567" t="s">
        <v>5160</v>
      </c>
      <c r="G567" t="s">
        <v>5259</v>
      </c>
    </row>
    <row r="568" spans="1:7" x14ac:dyDescent="0.2">
      <c r="A568" t="s">
        <v>83</v>
      </c>
      <c r="B568" t="s">
        <v>504</v>
      </c>
      <c r="C568" t="s">
        <v>517</v>
      </c>
      <c r="D568" t="s">
        <v>31</v>
      </c>
      <c r="E568" t="s">
        <v>6028</v>
      </c>
      <c r="F568" t="s">
        <v>5169</v>
      </c>
      <c r="G568" t="s">
        <v>6029</v>
      </c>
    </row>
    <row r="569" spans="1:7" x14ac:dyDescent="0.2">
      <c r="A569" t="s">
        <v>26</v>
      </c>
      <c r="B569" t="s">
        <v>2311</v>
      </c>
      <c r="C569" t="s">
        <v>526</v>
      </c>
      <c r="D569" t="s">
        <v>31</v>
      </c>
      <c r="E569" t="s">
        <v>6030</v>
      </c>
      <c r="F569" t="s">
        <v>5163</v>
      </c>
      <c r="G569" t="s">
        <v>6031</v>
      </c>
    </row>
    <row r="570" spans="1:7" x14ac:dyDescent="0.2">
      <c r="A570" t="s">
        <v>26</v>
      </c>
      <c r="B570" t="s">
        <v>2317</v>
      </c>
      <c r="C570" t="s">
        <v>2318</v>
      </c>
      <c r="D570" t="s">
        <v>31</v>
      </c>
      <c r="E570" t="s">
        <v>6032</v>
      </c>
      <c r="F570" t="s">
        <v>5160</v>
      </c>
      <c r="G570" t="s">
        <v>6033</v>
      </c>
    </row>
    <row r="571" spans="1:7" x14ac:dyDescent="0.2">
      <c r="A571" t="s">
        <v>26</v>
      </c>
      <c r="B571" t="s">
        <v>166</v>
      </c>
      <c r="C571" t="s">
        <v>2338</v>
      </c>
      <c r="D571" t="s">
        <v>38</v>
      </c>
      <c r="E571" t="s">
        <v>6034</v>
      </c>
      <c r="F571" t="s">
        <v>5193</v>
      </c>
      <c r="G571" t="s">
        <v>6035</v>
      </c>
    </row>
    <row r="572" spans="1:7" x14ac:dyDescent="0.2">
      <c r="A572" t="s">
        <v>26</v>
      </c>
      <c r="B572" t="s">
        <v>2356</v>
      </c>
      <c r="C572" t="s">
        <v>2357</v>
      </c>
      <c r="D572" t="s">
        <v>38</v>
      </c>
      <c r="E572" t="s">
        <v>6036</v>
      </c>
      <c r="F572" t="s">
        <v>5169</v>
      </c>
      <c r="G572" t="s">
        <v>6037</v>
      </c>
    </row>
    <row r="573" spans="1:7" x14ac:dyDescent="0.2">
      <c r="A573" t="s">
        <v>26</v>
      </c>
      <c r="B573" t="s">
        <v>181</v>
      </c>
      <c r="C573" t="s">
        <v>2344</v>
      </c>
      <c r="D573" t="s">
        <v>38</v>
      </c>
      <c r="E573" t="s">
        <v>6038</v>
      </c>
      <c r="F573" t="s">
        <v>5160</v>
      </c>
      <c r="G573" t="s">
        <v>5265</v>
      </c>
    </row>
    <row r="574" spans="1:7" x14ac:dyDescent="0.2">
      <c r="A574" t="s">
        <v>26</v>
      </c>
      <c r="B574" t="s">
        <v>2349</v>
      </c>
      <c r="C574" t="s">
        <v>2363</v>
      </c>
      <c r="D574" t="s">
        <v>38</v>
      </c>
      <c r="E574" t="s">
        <v>6039</v>
      </c>
      <c r="F574" t="s">
        <v>5163</v>
      </c>
      <c r="G574" t="s">
        <v>5269</v>
      </c>
    </row>
    <row r="575" spans="1:7" x14ac:dyDescent="0.2">
      <c r="A575" t="s">
        <v>22</v>
      </c>
      <c r="B575" t="s">
        <v>2369</v>
      </c>
      <c r="C575" t="s">
        <v>2370</v>
      </c>
      <c r="D575" t="s">
        <v>31</v>
      </c>
      <c r="E575" t="s">
        <v>6040</v>
      </c>
      <c r="F575" t="s">
        <v>5193</v>
      </c>
      <c r="G575" t="s">
        <v>6041</v>
      </c>
    </row>
    <row r="576" spans="1:7" x14ac:dyDescent="0.2">
      <c r="A576" t="s">
        <v>22</v>
      </c>
      <c r="B576" t="s">
        <v>525</v>
      </c>
      <c r="C576" t="s">
        <v>2400</v>
      </c>
      <c r="D576" t="s">
        <v>31</v>
      </c>
      <c r="E576" t="s">
        <v>6042</v>
      </c>
      <c r="F576" t="s">
        <v>5160</v>
      </c>
      <c r="G576" t="s">
        <v>6043</v>
      </c>
    </row>
    <row r="577" spans="1:7" x14ac:dyDescent="0.2">
      <c r="A577" t="s">
        <v>22</v>
      </c>
      <c r="B577" t="s">
        <v>2405</v>
      </c>
      <c r="C577" t="s">
        <v>1238</v>
      </c>
      <c r="D577" t="s">
        <v>38</v>
      </c>
      <c r="E577" t="s">
        <v>6044</v>
      </c>
      <c r="F577" t="s">
        <v>5160</v>
      </c>
      <c r="G577" t="s">
        <v>6045</v>
      </c>
    </row>
    <row r="578" spans="1:7" x14ac:dyDescent="0.2">
      <c r="A578" t="s">
        <v>22</v>
      </c>
      <c r="B578" t="s">
        <v>2375</v>
      </c>
      <c r="C578" t="s">
        <v>2376</v>
      </c>
      <c r="D578" t="s">
        <v>31</v>
      </c>
      <c r="E578" t="s">
        <v>6046</v>
      </c>
      <c r="F578" t="s">
        <v>5169</v>
      </c>
      <c r="G578" t="s">
        <v>6047</v>
      </c>
    </row>
    <row r="579" spans="1:7" x14ac:dyDescent="0.2">
      <c r="A579" t="s">
        <v>22</v>
      </c>
      <c r="B579" t="s">
        <v>464</v>
      </c>
      <c r="C579" t="s">
        <v>2416</v>
      </c>
      <c r="D579" t="s">
        <v>38</v>
      </c>
      <c r="E579" t="s">
        <v>6048</v>
      </c>
      <c r="F579" t="s">
        <v>5163</v>
      </c>
      <c r="G579" t="s">
        <v>5292</v>
      </c>
    </row>
    <row r="580" spans="1:7" x14ac:dyDescent="0.2">
      <c r="A580" t="s">
        <v>22</v>
      </c>
      <c r="B580" t="s">
        <v>540</v>
      </c>
      <c r="C580" t="s">
        <v>1970</v>
      </c>
      <c r="D580" t="s">
        <v>38</v>
      </c>
      <c r="E580" t="s">
        <v>6049</v>
      </c>
      <c r="F580" t="s">
        <v>5193</v>
      </c>
      <c r="G580" t="s">
        <v>6050</v>
      </c>
    </row>
    <row r="581" spans="1:7" x14ac:dyDescent="0.2">
      <c r="A581" t="s">
        <v>80</v>
      </c>
      <c r="B581" t="s">
        <v>2421</v>
      </c>
      <c r="C581" t="s">
        <v>2422</v>
      </c>
      <c r="D581" t="s">
        <v>31</v>
      </c>
      <c r="E581" t="s">
        <v>6051</v>
      </c>
      <c r="F581" t="s">
        <v>5163</v>
      </c>
      <c r="G581" t="s">
        <v>5679</v>
      </c>
    </row>
    <row r="582" spans="1:7" x14ac:dyDescent="0.2">
      <c r="A582" t="s">
        <v>80</v>
      </c>
      <c r="B582" t="s">
        <v>517</v>
      </c>
      <c r="C582" t="s">
        <v>2439</v>
      </c>
      <c r="D582" t="s">
        <v>31</v>
      </c>
      <c r="E582" t="s">
        <v>6052</v>
      </c>
      <c r="F582" t="s">
        <v>5160</v>
      </c>
      <c r="G582" t="s">
        <v>6053</v>
      </c>
    </row>
    <row r="583" spans="1:7" x14ac:dyDescent="0.2">
      <c r="A583" t="s">
        <v>80</v>
      </c>
      <c r="B583" t="s">
        <v>1242</v>
      </c>
      <c r="C583" t="s">
        <v>2448</v>
      </c>
      <c r="D583" t="s">
        <v>31</v>
      </c>
      <c r="E583" t="s">
        <v>6054</v>
      </c>
      <c r="F583" t="s">
        <v>5160</v>
      </c>
      <c r="G583" t="s">
        <v>5217</v>
      </c>
    </row>
    <row r="584" spans="1:7" x14ac:dyDescent="0.2">
      <c r="A584" t="s">
        <v>80</v>
      </c>
      <c r="B584" t="s">
        <v>166</v>
      </c>
      <c r="C584" t="s">
        <v>564</v>
      </c>
      <c r="D584" t="s">
        <v>38</v>
      </c>
      <c r="E584" t="s">
        <v>6055</v>
      </c>
      <c r="F584" t="s">
        <v>5193</v>
      </c>
      <c r="G584" t="s">
        <v>4570</v>
      </c>
    </row>
    <row r="585" spans="1:7" x14ac:dyDescent="0.2">
      <c r="A585" t="s">
        <v>80</v>
      </c>
      <c r="B585" t="s">
        <v>540</v>
      </c>
      <c r="C585" t="s">
        <v>197</v>
      </c>
      <c r="D585" t="s">
        <v>38</v>
      </c>
      <c r="E585" t="s">
        <v>6056</v>
      </c>
      <c r="F585" t="s">
        <v>5160</v>
      </c>
      <c r="G585" t="s">
        <v>5172</v>
      </c>
    </row>
    <row r="586" spans="1:7" x14ac:dyDescent="0.2">
      <c r="A586" t="s">
        <v>80</v>
      </c>
      <c r="B586" t="s">
        <v>1242</v>
      </c>
      <c r="C586" t="s">
        <v>511</v>
      </c>
      <c r="D586" t="s">
        <v>38</v>
      </c>
      <c r="E586" t="s">
        <v>6057</v>
      </c>
      <c r="F586" t="s">
        <v>5160</v>
      </c>
      <c r="G586" t="s">
        <v>5475</v>
      </c>
    </row>
    <row r="587" spans="1:7" x14ac:dyDescent="0.2">
      <c r="A587" t="s">
        <v>80</v>
      </c>
      <c r="B587" t="s">
        <v>6058</v>
      </c>
      <c r="C587" t="s">
        <v>6059</v>
      </c>
      <c r="D587" t="s">
        <v>38</v>
      </c>
      <c r="E587" t="s">
        <v>6060</v>
      </c>
      <c r="F587" t="s">
        <v>5160</v>
      </c>
      <c r="G587" t="s">
        <v>5164</v>
      </c>
    </row>
    <row r="588" spans="1:7" x14ac:dyDescent="0.2">
      <c r="A588" t="s">
        <v>99</v>
      </c>
      <c r="B588" t="s">
        <v>2472</v>
      </c>
      <c r="C588" t="s">
        <v>2473</v>
      </c>
      <c r="D588" t="s">
        <v>31</v>
      </c>
      <c r="E588" t="s">
        <v>6061</v>
      </c>
      <c r="F588" t="s">
        <v>5160</v>
      </c>
      <c r="G588" t="s">
        <v>5723</v>
      </c>
    </row>
    <row r="589" spans="1:7" x14ac:dyDescent="0.2">
      <c r="A589" t="s">
        <v>99</v>
      </c>
      <c r="B589" t="s">
        <v>125</v>
      </c>
      <c r="C589" t="s">
        <v>709</v>
      </c>
      <c r="D589" t="s">
        <v>31</v>
      </c>
      <c r="E589" t="s">
        <v>6062</v>
      </c>
      <c r="F589" t="s">
        <v>5160</v>
      </c>
      <c r="G589" t="s">
        <v>6063</v>
      </c>
    </row>
    <row r="590" spans="1:7" x14ac:dyDescent="0.2">
      <c r="A590" t="s">
        <v>99</v>
      </c>
      <c r="B590" t="s">
        <v>595</v>
      </c>
      <c r="C590" t="s">
        <v>1076</v>
      </c>
      <c r="D590" t="s">
        <v>31</v>
      </c>
      <c r="E590" t="s">
        <v>6064</v>
      </c>
      <c r="F590" t="s">
        <v>5193</v>
      </c>
      <c r="G590" t="s">
        <v>5561</v>
      </c>
    </row>
    <row r="591" spans="1:7" x14ac:dyDescent="0.2">
      <c r="A591" t="s">
        <v>99</v>
      </c>
      <c r="B591" t="s">
        <v>595</v>
      </c>
      <c r="C591" t="s">
        <v>2496</v>
      </c>
      <c r="D591" t="s">
        <v>38</v>
      </c>
      <c r="E591" t="s">
        <v>6065</v>
      </c>
      <c r="F591" t="s">
        <v>5193</v>
      </c>
      <c r="G591" t="s">
        <v>5296</v>
      </c>
    </row>
    <row r="592" spans="1:7" x14ac:dyDescent="0.2">
      <c r="A592" t="s">
        <v>99</v>
      </c>
      <c r="B592" t="s">
        <v>328</v>
      </c>
      <c r="C592" t="s">
        <v>1166</v>
      </c>
      <c r="D592" t="s">
        <v>38</v>
      </c>
      <c r="E592" t="s">
        <v>6066</v>
      </c>
      <c r="F592" t="s">
        <v>5160</v>
      </c>
      <c r="G592" t="s">
        <v>6067</v>
      </c>
    </row>
    <row r="593" spans="1:7" x14ac:dyDescent="0.2">
      <c r="A593" t="s">
        <v>99</v>
      </c>
      <c r="B593" t="s">
        <v>166</v>
      </c>
      <c r="C593" t="s">
        <v>334</v>
      </c>
      <c r="D593" t="s">
        <v>38</v>
      </c>
      <c r="E593" t="s">
        <v>6068</v>
      </c>
      <c r="F593" t="s">
        <v>5163</v>
      </c>
      <c r="G593" t="s">
        <v>5540</v>
      </c>
    </row>
    <row r="594" spans="1:7" x14ac:dyDescent="0.2">
      <c r="A594" t="s">
        <v>34</v>
      </c>
      <c r="B594" t="s">
        <v>125</v>
      </c>
      <c r="C594" t="s">
        <v>2532</v>
      </c>
      <c r="D594" t="s">
        <v>31</v>
      </c>
      <c r="E594" t="s">
        <v>6069</v>
      </c>
      <c r="F594" t="s">
        <v>5160</v>
      </c>
      <c r="G594" t="s">
        <v>6070</v>
      </c>
    </row>
    <row r="595" spans="1:7" x14ac:dyDescent="0.2">
      <c r="A595" t="s">
        <v>34</v>
      </c>
      <c r="B595" t="s">
        <v>547</v>
      </c>
      <c r="C595" t="s">
        <v>2510</v>
      </c>
      <c r="D595" t="s">
        <v>31</v>
      </c>
      <c r="E595" t="s">
        <v>6071</v>
      </c>
      <c r="F595" t="s">
        <v>5163</v>
      </c>
      <c r="G595" t="s">
        <v>6072</v>
      </c>
    </row>
    <row r="596" spans="1:7" x14ac:dyDescent="0.2">
      <c r="A596" t="s">
        <v>34</v>
      </c>
      <c r="B596" t="s">
        <v>595</v>
      </c>
      <c r="C596" t="s">
        <v>680</v>
      </c>
      <c r="D596" t="s">
        <v>31</v>
      </c>
      <c r="E596" t="s">
        <v>6073</v>
      </c>
      <c r="F596" t="s">
        <v>5193</v>
      </c>
      <c r="G596" t="s">
        <v>6074</v>
      </c>
    </row>
    <row r="597" spans="1:7" x14ac:dyDescent="0.2">
      <c r="A597" t="s">
        <v>34</v>
      </c>
      <c r="B597" t="s">
        <v>595</v>
      </c>
      <c r="C597" t="s">
        <v>431</v>
      </c>
      <c r="D597" t="s">
        <v>38</v>
      </c>
      <c r="E597" t="s">
        <v>6075</v>
      </c>
      <c r="F597" t="s">
        <v>5193</v>
      </c>
      <c r="G597" t="s">
        <v>6076</v>
      </c>
    </row>
    <row r="598" spans="1:7" x14ac:dyDescent="0.2">
      <c r="A598" t="s">
        <v>34</v>
      </c>
      <c r="B598" t="s">
        <v>181</v>
      </c>
      <c r="C598" t="s">
        <v>2522</v>
      </c>
      <c r="D598" t="s">
        <v>38</v>
      </c>
      <c r="E598" t="s">
        <v>6077</v>
      </c>
      <c r="F598" t="s">
        <v>5163</v>
      </c>
      <c r="G598" t="s">
        <v>5296</v>
      </c>
    </row>
    <row r="599" spans="1:7" x14ac:dyDescent="0.2">
      <c r="A599" t="s">
        <v>34</v>
      </c>
      <c r="B599" t="s">
        <v>166</v>
      </c>
      <c r="C599" t="s">
        <v>626</v>
      </c>
      <c r="D599" t="s">
        <v>38</v>
      </c>
      <c r="E599" t="s">
        <v>6078</v>
      </c>
      <c r="F599" t="s">
        <v>5160</v>
      </c>
      <c r="G599" t="s">
        <v>6079</v>
      </c>
    </row>
    <row r="600" spans="1:7" x14ac:dyDescent="0.2">
      <c r="A600" t="s">
        <v>34</v>
      </c>
      <c r="B600" t="s">
        <v>188</v>
      </c>
      <c r="C600" t="s">
        <v>932</v>
      </c>
      <c r="D600" t="s">
        <v>38</v>
      </c>
      <c r="E600" t="s">
        <v>6080</v>
      </c>
      <c r="F600" t="s">
        <v>5160</v>
      </c>
      <c r="G600" t="s">
        <v>6081</v>
      </c>
    </row>
    <row r="601" spans="1:7" x14ac:dyDescent="0.2">
      <c r="A601" t="s">
        <v>71</v>
      </c>
      <c r="B601" t="s">
        <v>2551</v>
      </c>
      <c r="C601" t="s">
        <v>2552</v>
      </c>
      <c r="D601" t="s">
        <v>31</v>
      </c>
      <c r="E601" t="s">
        <v>6082</v>
      </c>
      <c r="F601" t="s">
        <v>5160</v>
      </c>
      <c r="G601" t="s">
        <v>4569</v>
      </c>
    </row>
    <row r="602" spans="1:7" x14ac:dyDescent="0.2">
      <c r="A602" t="s">
        <v>71</v>
      </c>
      <c r="B602" t="s">
        <v>2565</v>
      </c>
      <c r="C602" t="s">
        <v>295</v>
      </c>
      <c r="D602" t="s">
        <v>31</v>
      </c>
      <c r="E602" t="s">
        <v>6083</v>
      </c>
      <c r="F602" t="s">
        <v>5163</v>
      </c>
      <c r="G602" t="s">
        <v>5280</v>
      </c>
    </row>
    <row r="603" spans="1:7" x14ac:dyDescent="0.2">
      <c r="A603" t="s">
        <v>71</v>
      </c>
      <c r="B603" t="s">
        <v>2557</v>
      </c>
      <c r="C603" t="s">
        <v>680</v>
      </c>
      <c r="D603" t="s">
        <v>31</v>
      </c>
      <c r="E603" t="s">
        <v>6084</v>
      </c>
      <c r="F603" t="s">
        <v>5160</v>
      </c>
      <c r="G603" t="s">
        <v>5382</v>
      </c>
    </row>
    <row r="604" spans="1:7" x14ac:dyDescent="0.2">
      <c r="A604" t="s">
        <v>71</v>
      </c>
      <c r="B604" t="s">
        <v>540</v>
      </c>
      <c r="C604" t="s">
        <v>1686</v>
      </c>
      <c r="D604" t="s">
        <v>31</v>
      </c>
      <c r="E604" t="s">
        <v>6085</v>
      </c>
      <c r="F604" t="s">
        <v>5160</v>
      </c>
      <c r="G604" t="s">
        <v>5396</v>
      </c>
    </row>
    <row r="605" spans="1:7" x14ac:dyDescent="0.2">
      <c r="A605" t="s">
        <v>71</v>
      </c>
      <c r="B605" t="s">
        <v>481</v>
      </c>
      <c r="C605" t="s">
        <v>709</v>
      </c>
      <c r="D605" t="s">
        <v>38</v>
      </c>
      <c r="E605" t="s">
        <v>6086</v>
      </c>
      <c r="F605" t="s">
        <v>5160</v>
      </c>
      <c r="G605" t="s">
        <v>5236</v>
      </c>
    </row>
    <row r="606" spans="1:7" x14ac:dyDescent="0.2">
      <c r="A606" t="s">
        <v>68</v>
      </c>
      <c r="B606" t="s">
        <v>174</v>
      </c>
      <c r="C606" t="s">
        <v>2617</v>
      </c>
      <c r="D606" t="s">
        <v>31</v>
      </c>
      <c r="E606" t="s">
        <v>6087</v>
      </c>
      <c r="F606" t="s">
        <v>5160</v>
      </c>
      <c r="G606" t="s">
        <v>5220</v>
      </c>
    </row>
    <row r="607" spans="1:7" x14ac:dyDescent="0.2">
      <c r="A607" t="s">
        <v>68</v>
      </c>
      <c r="B607" t="s">
        <v>595</v>
      </c>
      <c r="C607" t="s">
        <v>2623</v>
      </c>
      <c r="D607" t="s">
        <v>31</v>
      </c>
      <c r="E607" t="s">
        <v>6088</v>
      </c>
      <c r="F607" t="s">
        <v>5193</v>
      </c>
      <c r="G607" t="s">
        <v>5878</v>
      </c>
    </row>
    <row r="608" spans="1:7" x14ac:dyDescent="0.2">
      <c r="A608" t="s">
        <v>68</v>
      </c>
      <c r="B608" t="s">
        <v>1617</v>
      </c>
      <c r="C608" t="s">
        <v>1021</v>
      </c>
      <c r="D608" t="s">
        <v>31</v>
      </c>
      <c r="E608" t="s">
        <v>6089</v>
      </c>
      <c r="F608" t="s">
        <v>5163</v>
      </c>
      <c r="G608" t="s">
        <v>5276</v>
      </c>
    </row>
    <row r="609" spans="1:7" x14ac:dyDescent="0.2">
      <c r="A609" t="s">
        <v>68</v>
      </c>
      <c r="B609" t="s">
        <v>588</v>
      </c>
      <c r="C609" t="s">
        <v>5465</v>
      </c>
      <c r="D609" t="s">
        <v>38</v>
      </c>
      <c r="E609" t="s">
        <v>6090</v>
      </c>
      <c r="F609" t="s">
        <v>5160</v>
      </c>
      <c r="G609" t="s">
        <v>5357</v>
      </c>
    </row>
    <row r="610" spans="1:7" x14ac:dyDescent="0.2">
      <c r="A610" t="s">
        <v>68</v>
      </c>
      <c r="B610" t="s">
        <v>125</v>
      </c>
      <c r="C610" t="s">
        <v>2608</v>
      </c>
      <c r="D610" t="s">
        <v>38</v>
      </c>
      <c r="E610" t="s">
        <v>6091</v>
      </c>
      <c r="F610" t="s">
        <v>5160</v>
      </c>
      <c r="G610" t="s">
        <v>5172</v>
      </c>
    </row>
    <row r="611" spans="1:7" x14ac:dyDescent="0.2">
      <c r="A611" t="s">
        <v>68</v>
      </c>
      <c r="B611" t="s">
        <v>166</v>
      </c>
      <c r="C611" t="s">
        <v>1970</v>
      </c>
      <c r="D611" t="s">
        <v>38</v>
      </c>
      <c r="E611" t="s">
        <v>6092</v>
      </c>
      <c r="F611" t="s">
        <v>5169</v>
      </c>
      <c r="G611" t="s">
        <v>5236</v>
      </c>
    </row>
    <row r="612" spans="1:7" x14ac:dyDescent="0.2">
      <c r="A612" t="s">
        <v>90</v>
      </c>
      <c r="B612" t="s">
        <v>1103</v>
      </c>
      <c r="C612" t="s">
        <v>2658</v>
      </c>
      <c r="D612" t="s">
        <v>31</v>
      </c>
      <c r="E612" t="s">
        <v>6093</v>
      </c>
      <c r="F612" t="s">
        <v>5160</v>
      </c>
      <c r="G612" t="s">
        <v>5357</v>
      </c>
    </row>
    <row r="613" spans="1:7" x14ac:dyDescent="0.2">
      <c r="A613" t="s">
        <v>90</v>
      </c>
      <c r="B613" t="s">
        <v>2646</v>
      </c>
      <c r="C613" t="s">
        <v>2647</v>
      </c>
      <c r="D613" t="s">
        <v>31</v>
      </c>
      <c r="E613" t="s">
        <v>6094</v>
      </c>
      <c r="F613" t="s">
        <v>5163</v>
      </c>
      <c r="G613" t="s">
        <v>5331</v>
      </c>
    </row>
    <row r="614" spans="1:7" x14ac:dyDescent="0.2">
      <c r="A614" t="s">
        <v>90</v>
      </c>
      <c r="B614" t="s">
        <v>1988</v>
      </c>
      <c r="C614" t="s">
        <v>174</v>
      </c>
      <c r="D614" t="s">
        <v>31</v>
      </c>
      <c r="E614" t="s">
        <v>6095</v>
      </c>
      <c r="F614" t="s">
        <v>5160</v>
      </c>
      <c r="G614" t="s">
        <v>4447</v>
      </c>
    </row>
    <row r="615" spans="1:7" x14ac:dyDescent="0.2">
      <c r="A615" t="s">
        <v>90</v>
      </c>
      <c r="B615" t="s">
        <v>2672</v>
      </c>
      <c r="C615" t="s">
        <v>2673</v>
      </c>
      <c r="D615" t="s">
        <v>38</v>
      </c>
      <c r="E615" t="s">
        <v>6096</v>
      </c>
      <c r="F615" t="s">
        <v>5160</v>
      </c>
      <c r="G615" t="s">
        <v>5766</v>
      </c>
    </row>
    <row r="616" spans="1:7" x14ac:dyDescent="0.2">
      <c r="A616" t="s">
        <v>90</v>
      </c>
      <c r="B616" t="s">
        <v>166</v>
      </c>
      <c r="C616" t="s">
        <v>2682</v>
      </c>
      <c r="D616" t="s">
        <v>38</v>
      </c>
      <c r="E616" t="s">
        <v>6097</v>
      </c>
      <c r="F616" t="s">
        <v>5169</v>
      </c>
      <c r="G616" t="s">
        <v>5375</v>
      </c>
    </row>
    <row r="617" spans="1:7" x14ac:dyDescent="0.2">
      <c r="A617" t="s">
        <v>90</v>
      </c>
      <c r="B617" t="s">
        <v>188</v>
      </c>
      <c r="C617" t="s">
        <v>2686</v>
      </c>
      <c r="D617" t="s">
        <v>38</v>
      </c>
      <c r="E617" t="s">
        <v>6098</v>
      </c>
      <c r="F617" t="s">
        <v>5160</v>
      </c>
      <c r="G617" t="s">
        <v>5326</v>
      </c>
    </row>
    <row r="618" spans="1:7" x14ac:dyDescent="0.2">
      <c r="A618" t="s">
        <v>90</v>
      </c>
      <c r="B618" t="s">
        <v>196</v>
      </c>
      <c r="C618" t="s">
        <v>197</v>
      </c>
      <c r="D618" t="s">
        <v>38</v>
      </c>
      <c r="E618" t="s">
        <v>6099</v>
      </c>
      <c r="F618" t="s">
        <v>5160</v>
      </c>
      <c r="G618" t="s">
        <v>5328</v>
      </c>
    </row>
    <row r="619" spans="1:7" x14ac:dyDescent="0.2">
      <c r="A619" t="s">
        <v>96</v>
      </c>
      <c r="B619" t="s">
        <v>464</v>
      </c>
      <c r="C619" t="s">
        <v>1072</v>
      </c>
      <c r="D619" t="s">
        <v>31</v>
      </c>
      <c r="E619" t="s">
        <v>6100</v>
      </c>
      <c r="F619" t="s">
        <v>5160</v>
      </c>
      <c r="G619" t="s">
        <v>5705</v>
      </c>
    </row>
    <row r="620" spans="1:7" x14ac:dyDescent="0.2">
      <c r="A620" t="s">
        <v>96</v>
      </c>
      <c r="B620" t="s">
        <v>125</v>
      </c>
      <c r="C620" t="s">
        <v>709</v>
      </c>
      <c r="D620" t="s">
        <v>31</v>
      </c>
      <c r="E620" t="s">
        <v>6101</v>
      </c>
      <c r="F620" t="s">
        <v>5160</v>
      </c>
      <c r="G620" t="s">
        <v>5181</v>
      </c>
    </row>
    <row r="621" spans="1:7" x14ac:dyDescent="0.2">
      <c r="A621" t="s">
        <v>96</v>
      </c>
      <c r="B621" t="s">
        <v>135</v>
      </c>
      <c r="C621" t="s">
        <v>2690</v>
      </c>
      <c r="D621" t="s">
        <v>31</v>
      </c>
      <c r="E621" t="s">
        <v>6102</v>
      </c>
      <c r="F621" t="s">
        <v>5163</v>
      </c>
      <c r="G621" t="s">
        <v>3267</v>
      </c>
    </row>
    <row r="622" spans="1:7" x14ac:dyDescent="0.2">
      <c r="A622" t="s">
        <v>96</v>
      </c>
      <c r="B622" t="s">
        <v>1438</v>
      </c>
      <c r="C622" t="s">
        <v>2705</v>
      </c>
      <c r="D622" t="s">
        <v>31</v>
      </c>
      <c r="E622" t="s">
        <v>6103</v>
      </c>
      <c r="F622" t="s">
        <v>5169</v>
      </c>
      <c r="G622" t="s">
        <v>5179</v>
      </c>
    </row>
    <row r="623" spans="1:7" x14ac:dyDescent="0.2">
      <c r="A623" t="s">
        <v>96</v>
      </c>
      <c r="B623" t="s">
        <v>166</v>
      </c>
      <c r="C623" t="s">
        <v>2714</v>
      </c>
      <c r="D623" t="s">
        <v>38</v>
      </c>
      <c r="E623" t="s">
        <v>6104</v>
      </c>
      <c r="F623" t="s">
        <v>5193</v>
      </c>
      <c r="G623" t="s">
        <v>5737</v>
      </c>
    </row>
    <row r="624" spans="1:7" x14ac:dyDescent="0.2">
      <c r="A624" t="s">
        <v>96</v>
      </c>
      <c r="B624" t="s">
        <v>188</v>
      </c>
      <c r="C624" t="s">
        <v>2728</v>
      </c>
      <c r="D624" t="s">
        <v>38</v>
      </c>
      <c r="E624" t="s">
        <v>6105</v>
      </c>
      <c r="F624" t="s">
        <v>5160</v>
      </c>
      <c r="G624" t="s">
        <v>5255</v>
      </c>
    </row>
    <row r="625" spans="1:7" x14ac:dyDescent="0.2">
      <c r="A625" t="s">
        <v>96</v>
      </c>
      <c r="B625" t="s">
        <v>181</v>
      </c>
      <c r="C625" t="s">
        <v>182</v>
      </c>
      <c r="D625" t="s">
        <v>38</v>
      </c>
      <c r="E625" t="s">
        <v>6106</v>
      </c>
      <c r="F625" t="s">
        <v>5160</v>
      </c>
      <c r="G625" t="s">
        <v>6107</v>
      </c>
    </row>
    <row r="626" spans="1:7" x14ac:dyDescent="0.2">
      <c r="A626" t="s">
        <v>86</v>
      </c>
      <c r="B626" t="s">
        <v>1357</v>
      </c>
      <c r="C626" t="s">
        <v>2733</v>
      </c>
      <c r="D626" t="s">
        <v>31</v>
      </c>
      <c r="E626" t="s">
        <v>6108</v>
      </c>
      <c r="F626" t="s">
        <v>5160</v>
      </c>
      <c r="G626" t="s">
        <v>5641</v>
      </c>
    </row>
    <row r="627" spans="1:7" x14ac:dyDescent="0.2">
      <c r="A627" t="s">
        <v>86</v>
      </c>
      <c r="B627" t="s">
        <v>595</v>
      </c>
      <c r="C627" t="s">
        <v>680</v>
      </c>
      <c r="D627" t="s">
        <v>31</v>
      </c>
      <c r="E627" t="s">
        <v>6109</v>
      </c>
      <c r="F627" t="s">
        <v>5160</v>
      </c>
      <c r="G627" t="s">
        <v>5059</v>
      </c>
    </row>
    <row r="628" spans="1:7" x14ac:dyDescent="0.2">
      <c r="A628" t="s">
        <v>86</v>
      </c>
      <c r="B628" t="s">
        <v>595</v>
      </c>
      <c r="C628" t="s">
        <v>431</v>
      </c>
      <c r="D628" t="s">
        <v>31</v>
      </c>
      <c r="E628" t="s">
        <v>6110</v>
      </c>
      <c r="F628" t="s">
        <v>5193</v>
      </c>
      <c r="G628" t="s">
        <v>5059</v>
      </c>
    </row>
    <row r="629" spans="1:7" x14ac:dyDescent="0.2">
      <c r="A629" t="s">
        <v>86</v>
      </c>
      <c r="B629" t="s">
        <v>547</v>
      </c>
      <c r="C629" t="s">
        <v>635</v>
      </c>
      <c r="D629" t="s">
        <v>38</v>
      </c>
      <c r="E629" t="s">
        <v>6111</v>
      </c>
      <c r="F629" t="s">
        <v>5169</v>
      </c>
      <c r="G629" t="s">
        <v>5236</v>
      </c>
    </row>
    <row r="630" spans="1:7" x14ac:dyDescent="0.2">
      <c r="A630" t="s">
        <v>86</v>
      </c>
      <c r="B630" t="s">
        <v>125</v>
      </c>
      <c r="C630" t="s">
        <v>709</v>
      </c>
      <c r="D630" t="s">
        <v>38</v>
      </c>
      <c r="E630" t="s">
        <v>6112</v>
      </c>
      <c r="F630" t="s">
        <v>5160</v>
      </c>
      <c r="G630" t="s">
        <v>5164</v>
      </c>
    </row>
    <row r="631" spans="1:7" x14ac:dyDescent="0.2">
      <c r="A631" t="s">
        <v>86</v>
      </c>
      <c r="B631" t="s">
        <v>540</v>
      </c>
      <c r="C631" t="s">
        <v>197</v>
      </c>
      <c r="D631" t="s">
        <v>38</v>
      </c>
      <c r="E631" t="s">
        <v>6113</v>
      </c>
      <c r="F631" t="s">
        <v>5193</v>
      </c>
      <c r="G631" t="s">
        <v>5587</v>
      </c>
    </row>
    <row r="632" spans="1:7" x14ac:dyDescent="0.2">
      <c r="A632" t="s">
        <v>86</v>
      </c>
      <c r="B632" t="s">
        <v>188</v>
      </c>
      <c r="C632" t="s">
        <v>932</v>
      </c>
      <c r="D632" t="s">
        <v>38</v>
      </c>
      <c r="E632" t="s">
        <v>6114</v>
      </c>
      <c r="F632" t="s">
        <v>5160</v>
      </c>
      <c r="G632" t="s">
        <v>4447</v>
      </c>
    </row>
    <row r="633" spans="1:7" x14ac:dyDescent="0.2">
      <c r="A633" t="s">
        <v>69</v>
      </c>
      <c r="B633" t="s">
        <v>2776</v>
      </c>
      <c r="C633" t="s">
        <v>2777</v>
      </c>
      <c r="D633" t="s">
        <v>31</v>
      </c>
      <c r="E633" t="s">
        <v>6115</v>
      </c>
      <c r="F633" t="s">
        <v>5160</v>
      </c>
      <c r="G633" t="s">
        <v>5234</v>
      </c>
    </row>
    <row r="634" spans="1:7" x14ac:dyDescent="0.2">
      <c r="A634" t="s">
        <v>69</v>
      </c>
      <c r="B634" t="s">
        <v>135</v>
      </c>
      <c r="C634" t="s">
        <v>532</v>
      </c>
      <c r="D634" t="s">
        <v>31</v>
      </c>
      <c r="E634" t="s">
        <v>6116</v>
      </c>
      <c r="F634" t="s">
        <v>5163</v>
      </c>
      <c r="G634" t="s">
        <v>5443</v>
      </c>
    </row>
    <row r="635" spans="1:7" x14ac:dyDescent="0.2">
      <c r="A635" t="s">
        <v>69</v>
      </c>
      <c r="B635" t="s">
        <v>125</v>
      </c>
      <c r="C635" t="s">
        <v>2787</v>
      </c>
      <c r="D635" t="s">
        <v>38</v>
      </c>
      <c r="E635" t="s">
        <v>6117</v>
      </c>
      <c r="F635" t="s">
        <v>5160</v>
      </c>
      <c r="G635" t="s">
        <v>5172</v>
      </c>
    </row>
    <row r="636" spans="1:7" x14ac:dyDescent="0.2">
      <c r="A636" t="s">
        <v>69</v>
      </c>
      <c r="B636" t="s">
        <v>595</v>
      </c>
      <c r="C636" t="s">
        <v>159</v>
      </c>
      <c r="D636" t="s">
        <v>38</v>
      </c>
      <c r="E636" t="s">
        <v>6118</v>
      </c>
      <c r="F636" t="s">
        <v>5160</v>
      </c>
      <c r="G636" t="s">
        <v>4447</v>
      </c>
    </row>
    <row r="637" spans="1:7" x14ac:dyDescent="0.2">
      <c r="A637" t="s">
        <v>69</v>
      </c>
      <c r="B637" t="s">
        <v>166</v>
      </c>
      <c r="C637" t="s">
        <v>2793</v>
      </c>
      <c r="D637" t="s">
        <v>38</v>
      </c>
      <c r="E637" t="s">
        <v>6119</v>
      </c>
      <c r="F637" t="s">
        <v>5193</v>
      </c>
      <c r="G637" t="s">
        <v>5259</v>
      </c>
    </row>
    <row r="638" spans="1:7" x14ac:dyDescent="0.2">
      <c r="A638" t="s">
        <v>69</v>
      </c>
      <c r="B638" t="s">
        <v>181</v>
      </c>
      <c r="C638" t="s">
        <v>1166</v>
      </c>
      <c r="D638" t="s">
        <v>38</v>
      </c>
      <c r="E638" t="s">
        <v>6120</v>
      </c>
      <c r="F638" t="s">
        <v>5163</v>
      </c>
      <c r="G638" t="s">
        <v>4570</v>
      </c>
    </row>
    <row r="639" spans="1:7" x14ac:dyDescent="0.2">
      <c r="A639" t="s">
        <v>69</v>
      </c>
      <c r="B639" t="s">
        <v>188</v>
      </c>
      <c r="C639" t="s">
        <v>2798</v>
      </c>
      <c r="D639" t="s">
        <v>38</v>
      </c>
      <c r="E639" t="s">
        <v>6121</v>
      </c>
      <c r="F639" t="s">
        <v>5169</v>
      </c>
      <c r="G639" t="s">
        <v>5164</v>
      </c>
    </row>
    <row r="640" spans="1:7" x14ac:dyDescent="0.2">
      <c r="A640" t="s">
        <v>61</v>
      </c>
      <c r="B640" t="s">
        <v>2824</v>
      </c>
      <c r="C640" t="s">
        <v>2636</v>
      </c>
      <c r="D640" t="s">
        <v>31</v>
      </c>
      <c r="E640" t="s">
        <v>6122</v>
      </c>
      <c r="F640" t="s">
        <v>5160</v>
      </c>
      <c r="G640" t="s">
        <v>5641</v>
      </c>
    </row>
    <row r="641" spans="1:7" x14ac:dyDescent="0.2">
      <c r="A641" t="s">
        <v>61</v>
      </c>
      <c r="B641" t="s">
        <v>1247</v>
      </c>
      <c r="C641" t="s">
        <v>2840</v>
      </c>
      <c r="D641" t="s">
        <v>31</v>
      </c>
      <c r="E641" t="s">
        <v>6123</v>
      </c>
      <c r="F641" t="s">
        <v>5160</v>
      </c>
      <c r="G641" t="s">
        <v>5059</v>
      </c>
    </row>
    <row r="642" spans="1:7" x14ac:dyDescent="0.2">
      <c r="A642" t="s">
        <v>61</v>
      </c>
      <c r="B642" t="s">
        <v>174</v>
      </c>
      <c r="C642" t="s">
        <v>581</v>
      </c>
      <c r="D642" t="s">
        <v>38</v>
      </c>
      <c r="E642" t="s">
        <v>6124</v>
      </c>
      <c r="F642" t="s">
        <v>5160</v>
      </c>
      <c r="G642" t="s">
        <v>5283</v>
      </c>
    </row>
    <row r="643" spans="1:7" x14ac:dyDescent="0.2">
      <c r="A643" t="s">
        <v>61</v>
      </c>
      <c r="B643" t="s">
        <v>158</v>
      </c>
      <c r="C643" t="s">
        <v>698</v>
      </c>
      <c r="D643" t="s">
        <v>38</v>
      </c>
      <c r="E643" t="s">
        <v>6125</v>
      </c>
      <c r="F643" t="s">
        <v>5160</v>
      </c>
      <c r="G643" t="s">
        <v>5227</v>
      </c>
    </row>
    <row r="644" spans="1:7" x14ac:dyDescent="0.2">
      <c r="A644" t="s">
        <v>61</v>
      </c>
      <c r="B644" t="s">
        <v>188</v>
      </c>
      <c r="C644" t="s">
        <v>1013</v>
      </c>
      <c r="D644" t="s">
        <v>38</v>
      </c>
      <c r="E644" t="s">
        <v>6126</v>
      </c>
      <c r="F644" t="s">
        <v>5160</v>
      </c>
      <c r="G644" t="s">
        <v>5285</v>
      </c>
    </row>
    <row r="645" spans="1:7" x14ac:dyDescent="0.2">
      <c r="A645" t="s">
        <v>61</v>
      </c>
      <c r="B645" t="s">
        <v>1247</v>
      </c>
      <c r="C645" t="s">
        <v>1601</v>
      </c>
      <c r="D645" t="s">
        <v>38</v>
      </c>
      <c r="E645" t="s">
        <v>6127</v>
      </c>
      <c r="F645" t="s">
        <v>5193</v>
      </c>
      <c r="G645" t="s">
        <v>5181</v>
      </c>
    </row>
  </sheetData>
  <pageMargins left="0.7" right="0.7" top="0.75" bottom="0.75" header="0.3" footer="0.3"/>
  <ignoredErrors>
    <ignoredError sqref="A1:G64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1"/>
  <sheetViews>
    <sheetView workbookViewId="0"/>
  </sheetViews>
  <sheetFormatPr baseColWidth="10" defaultRowHeight="16" x14ac:dyDescent="0.2"/>
  <cols>
    <col min="1" max="1" width="25.83203125" customWidth="1"/>
    <col min="2" max="2" width="10.83203125" customWidth="1"/>
    <col min="3" max="3" width="40.83203125" customWidth="1"/>
    <col min="4" max="5" width="50.83203125" customWidth="1"/>
    <col min="6" max="7" width="15.83203125" customWidth="1"/>
  </cols>
  <sheetData>
    <row r="1" spans="1:7" x14ac:dyDescent="0.2">
      <c r="A1" t="s">
        <v>17</v>
      </c>
      <c r="B1" t="s">
        <v>6128</v>
      </c>
      <c r="C1" t="s">
        <v>6129</v>
      </c>
      <c r="D1" t="s">
        <v>6130</v>
      </c>
      <c r="E1" t="s">
        <v>6131</v>
      </c>
      <c r="F1" t="s">
        <v>6132</v>
      </c>
      <c r="G1" t="s">
        <v>6133</v>
      </c>
    </row>
    <row r="2" spans="1:7" x14ac:dyDescent="0.2">
      <c r="A2" t="s">
        <v>93</v>
      </c>
      <c r="B2">
        <v>1</v>
      </c>
      <c r="C2" t="s">
        <v>6134</v>
      </c>
      <c r="D2" t="s">
        <v>6135</v>
      </c>
      <c r="E2" t="s">
        <v>6136</v>
      </c>
      <c r="F2" t="s">
        <v>5160</v>
      </c>
      <c r="G2" t="s">
        <v>5169</v>
      </c>
    </row>
    <row r="3" spans="1:7" x14ac:dyDescent="0.2">
      <c r="A3" t="s">
        <v>93</v>
      </c>
      <c r="B3">
        <v>2</v>
      </c>
      <c r="C3" t="s">
        <v>6137</v>
      </c>
      <c r="D3" t="s">
        <v>6138</v>
      </c>
      <c r="E3" t="s">
        <v>6139</v>
      </c>
      <c r="F3" t="s">
        <v>5160</v>
      </c>
      <c r="G3" t="s">
        <v>5193</v>
      </c>
    </row>
    <row r="4" spans="1:7" x14ac:dyDescent="0.2">
      <c r="A4" t="s">
        <v>93</v>
      </c>
      <c r="B4">
        <v>3</v>
      </c>
      <c r="C4" t="s">
        <v>6140</v>
      </c>
      <c r="D4" t="s">
        <v>6141</v>
      </c>
      <c r="E4" t="s">
        <v>6142</v>
      </c>
      <c r="F4" t="s">
        <v>5163</v>
      </c>
      <c r="G4" t="s">
        <v>5160</v>
      </c>
    </row>
    <row r="5" spans="1:7" x14ac:dyDescent="0.2">
      <c r="A5" t="s">
        <v>93</v>
      </c>
      <c r="B5">
        <v>4</v>
      </c>
      <c r="C5" t="s">
        <v>6143</v>
      </c>
      <c r="D5" t="s">
        <v>6144</v>
      </c>
      <c r="E5" t="s">
        <v>6145</v>
      </c>
      <c r="F5" t="s">
        <v>5160</v>
      </c>
      <c r="G5" t="s">
        <v>5193</v>
      </c>
    </row>
    <row r="6" spans="1:7" x14ac:dyDescent="0.2">
      <c r="A6" t="s">
        <v>93</v>
      </c>
      <c r="B6">
        <v>5</v>
      </c>
      <c r="C6" t="s">
        <v>6146</v>
      </c>
      <c r="D6" t="s">
        <v>6147</v>
      </c>
      <c r="E6" t="s">
        <v>6148</v>
      </c>
      <c r="F6" t="s">
        <v>5169</v>
      </c>
      <c r="G6" t="s">
        <v>5160</v>
      </c>
    </row>
    <row r="7" spans="1:7" x14ac:dyDescent="0.2">
      <c r="A7" t="s">
        <v>92</v>
      </c>
      <c r="B7">
        <v>1</v>
      </c>
      <c r="C7" t="s">
        <v>6149</v>
      </c>
      <c r="D7" t="s">
        <v>6150</v>
      </c>
      <c r="E7" t="s">
        <v>6151</v>
      </c>
      <c r="F7" t="s">
        <v>5160</v>
      </c>
      <c r="G7" t="s">
        <v>5163</v>
      </c>
    </row>
    <row r="8" spans="1:7" x14ac:dyDescent="0.2">
      <c r="A8" t="s">
        <v>92</v>
      </c>
      <c r="B8">
        <v>2</v>
      </c>
      <c r="C8" t="s">
        <v>6152</v>
      </c>
      <c r="D8" t="s">
        <v>6153</v>
      </c>
      <c r="E8" t="s">
        <v>6154</v>
      </c>
      <c r="F8" t="s">
        <v>5160</v>
      </c>
      <c r="G8" t="s">
        <v>5169</v>
      </c>
    </row>
    <row r="9" spans="1:7" x14ac:dyDescent="0.2">
      <c r="A9" t="s">
        <v>92</v>
      </c>
      <c r="B9">
        <v>3</v>
      </c>
      <c r="C9" t="s">
        <v>6155</v>
      </c>
      <c r="D9" t="s">
        <v>6156</v>
      </c>
      <c r="E9" t="s">
        <v>6157</v>
      </c>
      <c r="F9" t="s">
        <v>5163</v>
      </c>
      <c r="G9" t="s">
        <v>5160</v>
      </c>
    </row>
    <row r="10" spans="1:7" x14ac:dyDescent="0.2">
      <c r="A10" t="s">
        <v>92</v>
      </c>
      <c r="B10">
        <v>4</v>
      </c>
      <c r="C10" t="s">
        <v>6158</v>
      </c>
      <c r="D10" t="s">
        <v>6159</v>
      </c>
      <c r="E10" t="s">
        <v>6160</v>
      </c>
      <c r="F10" t="s">
        <v>5169</v>
      </c>
      <c r="G10" t="s">
        <v>5160</v>
      </c>
    </row>
    <row r="11" spans="1:7" x14ac:dyDescent="0.2">
      <c r="A11" t="s">
        <v>92</v>
      </c>
      <c r="B11">
        <v>5</v>
      </c>
      <c r="C11" t="s">
        <v>6161</v>
      </c>
      <c r="D11" t="s">
        <v>6162</v>
      </c>
      <c r="E11" t="s">
        <v>6163</v>
      </c>
      <c r="F11" t="s">
        <v>5160</v>
      </c>
      <c r="G11" t="s">
        <v>5163</v>
      </c>
    </row>
    <row r="12" spans="1:7" x14ac:dyDescent="0.2">
      <c r="A12" t="s">
        <v>53</v>
      </c>
      <c r="B12">
        <v>1</v>
      </c>
      <c r="C12" t="s">
        <v>6164</v>
      </c>
      <c r="D12" t="s">
        <v>6165</v>
      </c>
      <c r="E12" t="s">
        <v>6166</v>
      </c>
      <c r="F12" t="s">
        <v>5160</v>
      </c>
      <c r="G12" t="s">
        <v>5169</v>
      </c>
    </row>
    <row r="13" spans="1:7" x14ac:dyDescent="0.2">
      <c r="A13" t="s">
        <v>53</v>
      </c>
      <c r="B13">
        <v>2</v>
      </c>
      <c r="C13" t="s">
        <v>6167</v>
      </c>
      <c r="D13" t="s">
        <v>6168</v>
      </c>
      <c r="E13" t="s">
        <v>6169</v>
      </c>
      <c r="F13" t="s">
        <v>5160</v>
      </c>
      <c r="G13" t="s">
        <v>5163</v>
      </c>
    </row>
    <row r="14" spans="1:7" x14ac:dyDescent="0.2">
      <c r="A14" t="s">
        <v>53</v>
      </c>
      <c r="B14">
        <v>3</v>
      </c>
      <c r="C14" t="s">
        <v>6170</v>
      </c>
      <c r="D14" t="s">
        <v>6171</v>
      </c>
      <c r="E14" t="s">
        <v>6172</v>
      </c>
      <c r="F14" t="s">
        <v>5163</v>
      </c>
      <c r="G14" t="s">
        <v>5193</v>
      </c>
    </row>
    <row r="15" spans="1:7" x14ac:dyDescent="0.2">
      <c r="A15" t="s">
        <v>53</v>
      </c>
      <c r="B15">
        <v>4</v>
      </c>
      <c r="C15" t="s">
        <v>6173</v>
      </c>
      <c r="D15" t="s">
        <v>6174</v>
      </c>
      <c r="E15" t="s">
        <v>6175</v>
      </c>
      <c r="F15" t="s">
        <v>5169</v>
      </c>
      <c r="G15" t="s">
        <v>5160</v>
      </c>
    </row>
    <row r="16" spans="1:7" x14ac:dyDescent="0.2">
      <c r="A16" t="s">
        <v>53</v>
      </c>
      <c r="B16">
        <v>5</v>
      </c>
      <c r="C16" t="s">
        <v>6176</v>
      </c>
      <c r="D16" t="s">
        <v>6177</v>
      </c>
      <c r="E16" t="s">
        <v>6178</v>
      </c>
      <c r="F16" t="s">
        <v>5160</v>
      </c>
      <c r="G16" t="s">
        <v>5193</v>
      </c>
    </row>
    <row r="17" spans="1:7" x14ac:dyDescent="0.2">
      <c r="A17" t="s">
        <v>57</v>
      </c>
      <c r="B17">
        <v>1</v>
      </c>
      <c r="C17" t="s">
        <v>6179</v>
      </c>
      <c r="D17" t="s">
        <v>6180</v>
      </c>
      <c r="E17" t="s">
        <v>6181</v>
      </c>
      <c r="F17" t="s">
        <v>5163</v>
      </c>
      <c r="G17" t="s">
        <v>5160</v>
      </c>
    </row>
    <row r="18" spans="1:7" x14ac:dyDescent="0.2">
      <c r="A18" t="s">
        <v>57</v>
      </c>
      <c r="B18">
        <v>2</v>
      </c>
      <c r="C18" t="s">
        <v>6182</v>
      </c>
      <c r="D18" t="s">
        <v>6183</v>
      </c>
      <c r="E18" t="s">
        <v>6184</v>
      </c>
      <c r="F18" t="s">
        <v>5193</v>
      </c>
      <c r="G18" t="s">
        <v>5160</v>
      </c>
    </row>
    <row r="19" spans="1:7" x14ac:dyDescent="0.2">
      <c r="A19" t="s">
        <v>57</v>
      </c>
      <c r="B19">
        <v>3</v>
      </c>
      <c r="C19" t="s">
        <v>6185</v>
      </c>
      <c r="D19" t="s">
        <v>6186</v>
      </c>
      <c r="E19" t="s">
        <v>6187</v>
      </c>
      <c r="F19" t="s">
        <v>5160</v>
      </c>
      <c r="G19" t="s">
        <v>5169</v>
      </c>
    </row>
    <row r="20" spans="1:7" x14ac:dyDescent="0.2">
      <c r="A20" t="s">
        <v>57</v>
      </c>
      <c r="B20">
        <v>4</v>
      </c>
      <c r="C20" t="s">
        <v>6188</v>
      </c>
      <c r="D20" t="s">
        <v>6189</v>
      </c>
      <c r="E20" t="s">
        <v>6190</v>
      </c>
      <c r="F20" t="s">
        <v>5163</v>
      </c>
      <c r="G20" t="s">
        <v>5169</v>
      </c>
    </row>
    <row r="21" spans="1:7" x14ac:dyDescent="0.2">
      <c r="A21" t="s">
        <v>57</v>
      </c>
      <c r="B21">
        <v>5</v>
      </c>
      <c r="C21" t="s">
        <v>6191</v>
      </c>
      <c r="D21" t="s">
        <v>6192</v>
      </c>
      <c r="E21" t="s">
        <v>6193</v>
      </c>
      <c r="F21" t="s">
        <v>5169</v>
      </c>
      <c r="G21" t="s">
        <v>5160</v>
      </c>
    </row>
    <row r="22" spans="1:7" x14ac:dyDescent="0.2">
      <c r="A22" t="s">
        <v>102</v>
      </c>
      <c r="B22">
        <v>1</v>
      </c>
      <c r="C22" t="s">
        <v>6194</v>
      </c>
      <c r="D22" t="s">
        <v>6195</v>
      </c>
      <c r="E22" t="s">
        <v>6196</v>
      </c>
      <c r="F22" t="s">
        <v>5160</v>
      </c>
      <c r="G22" t="s">
        <v>5193</v>
      </c>
    </row>
    <row r="23" spans="1:7" x14ac:dyDescent="0.2">
      <c r="A23" t="s">
        <v>102</v>
      </c>
      <c r="B23">
        <v>2</v>
      </c>
      <c r="C23" t="s">
        <v>6197</v>
      </c>
      <c r="D23" t="s">
        <v>6198</v>
      </c>
      <c r="E23" t="s">
        <v>6199</v>
      </c>
      <c r="F23" t="s">
        <v>5163</v>
      </c>
      <c r="G23" t="s">
        <v>5160</v>
      </c>
    </row>
    <row r="24" spans="1:7" x14ac:dyDescent="0.2">
      <c r="A24" t="s">
        <v>102</v>
      </c>
      <c r="B24">
        <v>3</v>
      </c>
      <c r="C24" t="s">
        <v>6200</v>
      </c>
      <c r="D24" t="s">
        <v>6201</v>
      </c>
      <c r="E24" t="s">
        <v>6202</v>
      </c>
      <c r="F24" t="s">
        <v>5160</v>
      </c>
      <c r="G24" t="s">
        <v>5169</v>
      </c>
    </row>
    <row r="25" spans="1:7" x14ac:dyDescent="0.2">
      <c r="A25" t="s">
        <v>102</v>
      </c>
      <c r="B25">
        <v>4</v>
      </c>
      <c r="C25" t="s">
        <v>6203</v>
      </c>
      <c r="D25" t="s">
        <v>6204</v>
      </c>
      <c r="E25" t="s">
        <v>6205</v>
      </c>
      <c r="F25" t="s">
        <v>5193</v>
      </c>
      <c r="G25" t="s">
        <v>5160</v>
      </c>
    </row>
    <row r="26" spans="1:7" x14ac:dyDescent="0.2">
      <c r="A26" t="s">
        <v>102</v>
      </c>
      <c r="B26">
        <v>5</v>
      </c>
      <c r="C26" t="s">
        <v>6206</v>
      </c>
      <c r="D26" t="s">
        <v>6207</v>
      </c>
      <c r="E26" t="s">
        <v>6208</v>
      </c>
      <c r="F26" t="s">
        <v>5163</v>
      </c>
      <c r="G26" t="s">
        <v>5169</v>
      </c>
    </row>
    <row r="27" spans="1:7" x14ac:dyDescent="0.2">
      <c r="A27" t="s">
        <v>103</v>
      </c>
      <c r="B27">
        <v>1</v>
      </c>
      <c r="C27" t="s">
        <v>6209</v>
      </c>
      <c r="D27" t="s">
        <v>6210</v>
      </c>
      <c r="E27" t="s">
        <v>6211</v>
      </c>
      <c r="F27" t="s">
        <v>5163</v>
      </c>
      <c r="G27" t="s">
        <v>5169</v>
      </c>
    </row>
    <row r="28" spans="1:7" x14ac:dyDescent="0.2">
      <c r="A28" t="s">
        <v>103</v>
      </c>
      <c r="B28">
        <v>2</v>
      </c>
      <c r="C28" t="s">
        <v>6212</v>
      </c>
      <c r="D28" t="s">
        <v>6213</v>
      </c>
      <c r="E28" t="s">
        <v>6214</v>
      </c>
      <c r="F28" t="s">
        <v>5160</v>
      </c>
      <c r="G28" t="s">
        <v>5163</v>
      </c>
    </row>
    <row r="29" spans="1:7" x14ac:dyDescent="0.2">
      <c r="A29" t="s">
        <v>103</v>
      </c>
      <c r="B29">
        <v>3</v>
      </c>
      <c r="C29" t="s">
        <v>6215</v>
      </c>
      <c r="D29" t="s">
        <v>6216</v>
      </c>
      <c r="E29" t="s">
        <v>6217</v>
      </c>
      <c r="F29" t="s">
        <v>5163</v>
      </c>
      <c r="G29" t="s">
        <v>5193</v>
      </c>
    </row>
    <row r="30" spans="1:7" x14ac:dyDescent="0.2">
      <c r="A30" t="s">
        <v>103</v>
      </c>
      <c r="B30">
        <v>4</v>
      </c>
      <c r="C30" t="s">
        <v>6218</v>
      </c>
      <c r="D30" t="s">
        <v>6219</v>
      </c>
      <c r="E30" t="s">
        <v>6220</v>
      </c>
      <c r="F30" t="s">
        <v>5169</v>
      </c>
      <c r="G30" t="s">
        <v>5160</v>
      </c>
    </row>
    <row r="31" spans="1:7" x14ac:dyDescent="0.2">
      <c r="A31" t="s">
        <v>103</v>
      </c>
      <c r="B31">
        <v>5</v>
      </c>
      <c r="C31" t="s">
        <v>6221</v>
      </c>
      <c r="D31" t="s">
        <v>6222</v>
      </c>
      <c r="E31" t="s">
        <v>6223</v>
      </c>
      <c r="F31" t="s">
        <v>5193</v>
      </c>
      <c r="G31" t="s">
        <v>5160</v>
      </c>
    </row>
    <row r="32" spans="1:7" x14ac:dyDescent="0.2">
      <c r="A32" t="s">
        <v>66</v>
      </c>
      <c r="B32">
        <v>1</v>
      </c>
      <c r="C32" t="s">
        <v>6224</v>
      </c>
      <c r="D32" t="s">
        <v>6225</v>
      </c>
      <c r="E32" t="s">
        <v>6226</v>
      </c>
      <c r="F32" t="s">
        <v>5160</v>
      </c>
      <c r="G32" t="s">
        <v>5193</v>
      </c>
    </row>
    <row r="33" spans="1:7" x14ac:dyDescent="0.2">
      <c r="A33" t="s">
        <v>66</v>
      </c>
      <c r="B33">
        <v>2</v>
      </c>
      <c r="C33" t="s">
        <v>6227</v>
      </c>
      <c r="D33" t="s">
        <v>6228</v>
      </c>
      <c r="E33" t="s">
        <v>6229</v>
      </c>
      <c r="F33" t="s">
        <v>5163</v>
      </c>
      <c r="G33" t="s">
        <v>5160</v>
      </c>
    </row>
    <row r="34" spans="1:7" x14ac:dyDescent="0.2">
      <c r="A34" t="s">
        <v>66</v>
      </c>
      <c r="B34">
        <v>3</v>
      </c>
      <c r="C34" t="s">
        <v>6230</v>
      </c>
      <c r="D34" t="s">
        <v>6231</v>
      </c>
      <c r="E34" t="s">
        <v>6232</v>
      </c>
      <c r="F34" t="s">
        <v>5160</v>
      </c>
      <c r="G34" t="s">
        <v>5163</v>
      </c>
    </row>
    <row r="35" spans="1:7" x14ac:dyDescent="0.2">
      <c r="A35" t="s">
        <v>66</v>
      </c>
      <c r="B35">
        <v>4</v>
      </c>
      <c r="C35" t="s">
        <v>6233</v>
      </c>
      <c r="D35" t="s">
        <v>6234</v>
      </c>
      <c r="E35" t="s">
        <v>6235</v>
      </c>
      <c r="F35" t="s">
        <v>5169</v>
      </c>
      <c r="G35" t="s">
        <v>5163</v>
      </c>
    </row>
    <row r="36" spans="1:7" x14ac:dyDescent="0.2">
      <c r="A36" t="s">
        <v>66</v>
      </c>
      <c r="B36">
        <v>5</v>
      </c>
      <c r="C36" t="s">
        <v>6236</v>
      </c>
      <c r="D36" t="s">
        <v>6237</v>
      </c>
      <c r="E36" t="s">
        <v>6238</v>
      </c>
      <c r="F36" t="s">
        <v>5163</v>
      </c>
      <c r="G36" t="s">
        <v>5193</v>
      </c>
    </row>
    <row r="37" spans="1:7" x14ac:dyDescent="0.2">
      <c r="A37" t="s">
        <v>75</v>
      </c>
      <c r="B37">
        <v>1</v>
      </c>
      <c r="C37" t="s">
        <v>6239</v>
      </c>
      <c r="D37" t="s">
        <v>6240</v>
      </c>
      <c r="E37" t="s">
        <v>6241</v>
      </c>
      <c r="F37" t="s">
        <v>5193</v>
      </c>
      <c r="G37" t="s">
        <v>5160</v>
      </c>
    </row>
    <row r="38" spans="1:7" x14ac:dyDescent="0.2">
      <c r="A38" t="s">
        <v>75</v>
      </c>
      <c r="B38">
        <v>2</v>
      </c>
      <c r="C38" t="s">
        <v>6242</v>
      </c>
      <c r="D38" t="s">
        <v>6243</v>
      </c>
      <c r="E38" t="s">
        <v>6244</v>
      </c>
      <c r="F38" t="s">
        <v>5163</v>
      </c>
      <c r="G38" t="s">
        <v>5160</v>
      </c>
    </row>
    <row r="39" spans="1:7" x14ac:dyDescent="0.2">
      <c r="A39" t="s">
        <v>75</v>
      </c>
      <c r="B39">
        <v>3</v>
      </c>
      <c r="C39" t="s">
        <v>6245</v>
      </c>
      <c r="D39" t="s">
        <v>6246</v>
      </c>
      <c r="E39" t="s">
        <v>6247</v>
      </c>
      <c r="F39" t="s">
        <v>5169</v>
      </c>
      <c r="G39" t="s">
        <v>5160</v>
      </c>
    </row>
    <row r="40" spans="1:7" x14ac:dyDescent="0.2">
      <c r="A40" t="s">
        <v>75</v>
      </c>
      <c r="B40">
        <v>4</v>
      </c>
      <c r="C40" t="s">
        <v>6248</v>
      </c>
      <c r="D40" t="s">
        <v>6249</v>
      </c>
      <c r="E40" t="s">
        <v>6250</v>
      </c>
      <c r="F40" t="s">
        <v>5163</v>
      </c>
      <c r="G40" t="s">
        <v>5160</v>
      </c>
    </row>
    <row r="41" spans="1:7" x14ac:dyDescent="0.2">
      <c r="A41" t="s">
        <v>75</v>
      </c>
      <c r="B41">
        <v>5</v>
      </c>
      <c r="C41" t="s">
        <v>6251</v>
      </c>
      <c r="D41" t="s">
        <v>6252</v>
      </c>
      <c r="E41" t="s">
        <v>6253</v>
      </c>
      <c r="F41" t="s">
        <v>5160</v>
      </c>
      <c r="G41" t="s">
        <v>5193</v>
      </c>
    </row>
    <row r="42" spans="1:7" x14ac:dyDescent="0.2">
      <c r="A42" t="s">
        <v>81</v>
      </c>
      <c r="B42">
        <v>1</v>
      </c>
      <c r="C42" t="s">
        <v>6254</v>
      </c>
      <c r="D42" t="s">
        <v>6255</v>
      </c>
      <c r="E42" t="s">
        <v>6256</v>
      </c>
      <c r="F42" t="s">
        <v>5160</v>
      </c>
      <c r="G42" t="s">
        <v>5169</v>
      </c>
    </row>
    <row r="43" spans="1:7" x14ac:dyDescent="0.2">
      <c r="A43" t="s">
        <v>81</v>
      </c>
      <c r="B43">
        <v>2</v>
      </c>
      <c r="C43" t="s">
        <v>6257</v>
      </c>
      <c r="D43" t="s">
        <v>6258</v>
      </c>
      <c r="E43" t="s">
        <v>6259</v>
      </c>
      <c r="F43" t="s">
        <v>5160</v>
      </c>
      <c r="G43" t="s">
        <v>5193</v>
      </c>
    </row>
    <row r="44" spans="1:7" x14ac:dyDescent="0.2">
      <c r="A44" t="s">
        <v>81</v>
      </c>
      <c r="B44">
        <v>3</v>
      </c>
      <c r="C44" t="s">
        <v>6260</v>
      </c>
      <c r="D44" t="s">
        <v>6261</v>
      </c>
      <c r="E44" t="s">
        <v>6262</v>
      </c>
      <c r="F44" t="s">
        <v>5193</v>
      </c>
      <c r="G44" t="s">
        <v>5160</v>
      </c>
    </row>
    <row r="45" spans="1:7" x14ac:dyDescent="0.2">
      <c r="A45" t="s">
        <v>81</v>
      </c>
      <c r="B45">
        <v>4</v>
      </c>
      <c r="C45" t="s">
        <v>6263</v>
      </c>
      <c r="D45" t="s">
        <v>6264</v>
      </c>
      <c r="E45" t="s">
        <v>6265</v>
      </c>
      <c r="F45" t="s">
        <v>5163</v>
      </c>
      <c r="G45" t="s">
        <v>5160</v>
      </c>
    </row>
    <row r="46" spans="1:7" x14ac:dyDescent="0.2">
      <c r="A46" t="s">
        <v>81</v>
      </c>
      <c r="B46">
        <v>5</v>
      </c>
      <c r="C46" t="s">
        <v>6266</v>
      </c>
      <c r="D46" t="s">
        <v>6267</v>
      </c>
      <c r="E46" t="s">
        <v>6268</v>
      </c>
      <c r="F46" t="s">
        <v>5163</v>
      </c>
      <c r="G46" t="s">
        <v>5169</v>
      </c>
    </row>
    <row r="47" spans="1:7" x14ac:dyDescent="0.2">
      <c r="A47" t="s">
        <v>29</v>
      </c>
      <c r="B47">
        <v>1</v>
      </c>
      <c r="C47" t="s">
        <v>6269</v>
      </c>
      <c r="D47" t="s">
        <v>6270</v>
      </c>
      <c r="E47" t="s">
        <v>6271</v>
      </c>
      <c r="F47" t="s">
        <v>5163</v>
      </c>
      <c r="G47" t="s">
        <v>5160</v>
      </c>
    </row>
    <row r="48" spans="1:7" x14ac:dyDescent="0.2">
      <c r="A48" t="s">
        <v>29</v>
      </c>
      <c r="B48">
        <v>2</v>
      </c>
      <c r="C48" t="s">
        <v>6272</v>
      </c>
      <c r="D48" t="s">
        <v>6273</v>
      </c>
      <c r="E48" t="s">
        <v>6274</v>
      </c>
      <c r="F48" t="s">
        <v>5160</v>
      </c>
      <c r="G48" t="s">
        <v>5169</v>
      </c>
    </row>
    <row r="49" spans="1:7" x14ac:dyDescent="0.2">
      <c r="A49" t="s">
        <v>29</v>
      </c>
      <c r="B49">
        <v>3</v>
      </c>
      <c r="C49" t="s">
        <v>630</v>
      </c>
      <c r="D49" t="s">
        <v>6275</v>
      </c>
      <c r="E49" t="s">
        <v>6276</v>
      </c>
      <c r="F49" t="s">
        <v>5163</v>
      </c>
      <c r="G49" t="s">
        <v>5193</v>
      </c>
    </row>
    <row r="50" spans="1:7" x14ac:dyDescent="0.2">
      <c r="A50" t="s">
        <v>29</v>
      </c>
      <c r="B50">
        <v>4</v>
      </c>
      <c r="C50" t="s">
        <v>6277</v>
      </c>
      <c r="D50" t="s">
        <v>6278</v>
      </c>
      <c r="E50" t="s">
        <v>6279</v>
      </c>
      <c r="F50" t="s">
        <v>5160</v>
      </c>
      <c r="G50" t="s">
        <v>5169</v>
      </c>
    </row>
    <row r="51" spans="1:7" x14ac:dyDescent="0.2">
      <c r="A51" t="s">
        <v>29</v>
      </c>
      <c r="B51">
        <v>5</v>
      </c>
      <c r="C51" t="s">
        <v>6280</v>
      </c>
      <c r="D51" t="s">
        <v>6281</v>
      </c>
      <c r="E51" t="s">
        <v>6282</v>
      </c>
      <c r="F51" t="s">
        <v>5169</v>
      </c>
      <c r="G51" t="s">
        <v>5160</v>
      </c>
    </row>
    <row r="52" spans="1:7" x14ac:dyDescent="0.2">
      <c r="A52" t="s">
        <v>97</v>
      </c>
      <c r="B52">
        <v>1</v>
      </c>
      <c r="C52" t="s">
        <v>6283</v>
      </c>
      <c r="D52" t="s">
        <v>6284</v>
      </c>
      <c r="E52" t="s">
        <v>6285</v>
      </c>
      <c r="F52" t="s">
        <v>5160</v>
      </c>
      <c r="G52" t="s">
        <v>5169</v>
      </c>
    </row>
    <row r="53" spans="1:7" x14ac:dyDescent="0.2">
      <c r="A53" t="s">
        <v>97</v>
      </c>
      <c r="B53">
        <v>2</v>
      </c>
      <c r="C53" t="s">
        <v>6286</v>
      </c>
      <c r="D53" t="s">
        <v>6287</v>
      </c>
      <c r="E53" t="s">
        <v>6288</v>
      </c>
      <c r="F53" t="s">
        <v>5163</v>
      </c>
      <c r="G53" t="s">
        <v>5193</v>
      </c>
    </row>
    <row r="54" spans="1:7" x14ac:dyDescent="0.2">
      <c r="A54" t="s">
        <v>97</v>
      </c>
      <c r="B54">
        <v>3</v>
      </c>
      <c r="C54" t="s">
        <v>6289</v>
      </c>
      <c r="D54" t="s">
        <v>6290</v>
      </c>
      <c r="E54" t="s">
        <v>6291</v>
      </c>
      <c r="F54" t="s">
        <v>5160</v>
      </c>
      <c r="G54" t="s">
        <v>5193</v>
      </c>
    </row>
    <row r="55" spans="1:7" x14ac:dyDescent="0.2">
      <c r="A55" t="s">
        <v>97</v>
      </c>
      <c r="B55">
        <v>4</v>
      </c>
      <c r="C55" t="s">
        <v>6292</v>
      </c>
      <c r="D55" t="s">
        <v>6293</v>
      </c>
      <c r="E55" t="s">
        <v>6294</v>
      </c>
      <c r="F55" t="s">
        <v>5169</v>
      </c>
      <c r="G55" t="s">
        <v>5160</v>
      </c>
    </row>
    <row r="56" spans="1:7" x14ac:dyDescent="0.2">
      <c r="A56" t="s">
        <v>97</v>
      </c>
      <c r="B56">
        <v>5</v>
      </c>
      <c r="C56" t="s">
        <v>6295</v>
      </c>
      <c r="D56" t="s">
        <v>6296</v>
      </c>
      <c r="E56" t="s">
        <v>6297</v>
      </c>
      <c r="F56" t="s">
        <v>5163</v>
      </c>
      <c r="G56" t="s">
        <v>5169</v>
      </c>
    </row>
    <row r="57" spans="1:7" x14ac:dyDescent="0.2">
      <c r="A57" t="s">
        <v>78</v>
      </c>
      <c r="B57">
        <v>1</v>
      </c>
      <c r="C57" t="s">
        <v>6298</v>
      </c>
      <c r="D57" t="s">
        <v>6299</v>
      </c>
      <c r="E57" t="s">
        <v>6300</v>
      </c>
      <c r="F57" t="s">
        <v>5163</v>
      </c>
      <c r="G57" t="s">
        <v>5160</v>
      </c>
    </row>
    <row r="58" spans="1:7" x14ac:dyDescent="0.2">
      <c r="A58" t="s">
        <v>78</v>
      </c>
      <c r="B58">
        <v>2</v>
      </c>
      <c r="C58" t="s">
        <v>6301</v>
      </c>
      <c r="D58" t="s">
        <v>6302</v>
      </c>
      <c r="E58" t="s">
        <v>6303</v>
      </c>
      <c r="F58" t="s">
        <v>5160</v>
      </c>
      <c r="G58" t="s">
        <v>5163</v>
      </c>
    </row>
    <row r="59" spans="1:7" x14ac:dyDescent="0.2">
      <c r="A59" t="s">
        <v>78</v>
      </c>
      <c r="B59">
        <v>3</v>
      </c>
      <c r="C59" t="s">
        <v>6304</v>
      </c>
      <c r="D59" t="s">
        <v>6305</v>
      </c>
      <c r="E59" t="s">
        <v>6306</v>
      </c>
      <c r="F59" t="s">
        <v>5193</v>
      </c>
      <c r="G59" t="s">
        <v>5160</v>
      </c>
    </row>
    <row r="60" spans="1:7" x14ac:dyDescent="0.2">
      <c r="A60" t="s">
        <v>78</v>
      </c>
      <c r="B60">
        <v>4</v>
      </c>
      <c r="C60" t="s">
        <v>6307</v>
      </c>
      <c r="D60" t="s">
        <v>6308</v>
      </c>
      <c r="E60" t="s">
        <v>6309</v>
      </c>
      <c r="F60" t="s">
        <v>5169</v>
      </c>
      <c r="G60" t="s">
        <v>5160</v>
      </c>
    </row>
    <row r="61" spans="1:7" x14ac:dyDescent="0.2">
      <c r="A61" t="s">
        <v>78</v>
      </c>
      <c r="B61">
        <v>5</v>
      </c>
      <c r="C61" t="s">
        <v>6310</v>
      </c>
      <c r="D61" t="s">
        <v>6311</v>
      </c>
      <c r="E61" t="s">
        <v>6312</v>
      </c>
      <c r="F61" t="s">
        <v>5163</v>
      </c>
      <c r="G61" t="s">
        <v>5169</v>
      </c>
    </row>
    <row r="62" spans="1:7" x14ac:dyDescent="0.2">
      <c r="A62" t="s">
        <v>54</v>
      </c>
      <c r="B62">
        <v>1</v>
      </c>
      <c r="C62" t="s">
        <v>6313</v>
      </c>
      <c r="D62" t="s">
        <v>6314</v>
      </c>
      <c r="E62" t="s">
        <v>6315</v>
      </c>
      <c r="F62" t="s">
        <v>5160</v>
      </c>
      <c r="G62" t="s">
        <v>5169</v>
      </c>
    </row>
    <row r="63" spans="1:7" x14ac:dyDescent="0.2">
      <c r="A63" t="s">
        <v>54</v>
      </c>
      <c r="B63">
        <v>2</v>
      </c>
      <c r="C63" t="s">
        <v>6316</v>
      </c>
      <c r="D63" t="s">
        <v>6317</v>
      </c>
      <c r="E63" t="s">
        <v>6318</v>
      </c>
      <c r="F63" t="s">
        <v>5193</v>
      </c>
      <c r="G63" t="s">
        <v>5160</v>
      </c>
    </row>
    <row r="64" spans="1:7" x14ac:dyDescent="0.2">
      <c r="A64" t="s">
        <v>54</v>
      </c>
      <c r="B64">
        <v>3</v>
      </c>
      <c r="C64" t="s">
        <v>1438</v>
      </c>
      <c r="D64" t="s">
        <v>6319</v>
      </c>
      <c r="E64" t="s">
        <v>6320</v>
      </c>
      <c r="F64" t="s">
        <v>5169</v>
      </c>
      <c r="G64" t="s">
        <v>5160</v>
      </c>
    </row>
    <row r="65" spans="1:7" x14ac:dyDescent="0.2">
      <c r="A65" t="s">
        <v>54</v>
      </c>
      <c r="B65">
        <v>4</v>
      </c>
      <c r="C65" t="s">
        <v>6321</v>
      </c>
      <c r="D65" t="s">
        <v>6322</v>
      </c>
      <c r="E65" t="s">
        <v>6323</v>
      </c>
      <c r="F65" t="s">
        <v>5163</v>
      </c>
      <c r="G65" t="s">
        <v>5193</v>
      </c>
    </row>
    <row r="66" spans="1:7" x14ac:dyDescent="0.2">
      <c r="A66" t="s">
        <v>54</v>
      </c>
      <c r="B66">
        <v>5</v>
      </c>
      <c r="C66" t="s">
        <v>6324</v>
      </c>
      <c r="D66" t="s">
        <v>6325</v>
      </c>
      <c r="E66" t="s">
        <v>6326</v>
      </c>
      <c r="F66" t="s">
        <v>5163</v>
      </c>
      <c r="G66" t="s">
        <v>5160</v>
      </c>
    </row>
    <row r="67" spans="1:7" x14ac:dyDescent="0.2">
      <c r="A67" t="s">
        <v>84</v>
      </c>
      <c r="B67">
        <v>1</v>
      </c>
      <c r="C67" t="s">
        <v>6327</v>
      </c>
      <c r="D67" t="s">
        <v>6328</v>
      </c>
      <c r="E67" t="s">
        <v>6329</v>
      </c>
      <c r="F67" t="s">
        <v>5160</v>
      </c>
      <c r="G67" t="s">
        <v>5193</v>
      </c>
    </row>
    <row r="68" spans="1:7" x14ac:dyDescent="0.2">
      <c r="A68" t="s">
        <v>84</v>
      </c>
      <c r="B68">
        <v>2</v>
      </c>
      <c r="C68" t="s">
        <v>6330</v>
      </c>
      <c r="D68" t="s">
        <v>6331</v>
      </c>
      <c r="E68" t="s">
        <v>6332</v>
      </c>
      <c r="F68" t="s">
        <v>5160</v>
      </c>
      <c r="G68" t="s">
        <v>5163</v>
      </c>
    </row>
    <row r="69" spans="1:7" x14ac:dyDescent="0.2">
      <c r="A69" t="s">
        <v>84</v>
      </c>
      <c r="B69">
        <v>3</v>
      </c>
      <c r="C69" t="s">
        <v>6333</v>
      </c>
      <c r="D69" t="s">
        <v>6334</v>
      </c>
      <c r="E69" t="s">
        <v>6335</v>
      </c>
      <c r="F69" t="s">
        <v>5163</v>
      </c>
      <c r="G69" t="s">
        <v>5169</v>
      </c>
    </row>
    <row r="70" spans="1:7" x14ac:dyDescent="0.2">
      <c r="A70" t="s">
        <v>84</v>
      </c>
      <c r="B70">
        <v>4</v>
      </c>
      <c r="C70" t="s">
        <v>6336</v>
      </c>
      <c r="D70" t="s">
        <v>6337</v>
      </c>
      <c r="E70" t="s">
        <v>6338</v>
      </c>
      <c r="F70" t="s">
        <v>5160</v>
      </c>
      <c r="G70" t="s">
        <v>5163</v>
      </c>
    </row>
    <row r="71" spans="1:7" x14ac:dyDescent="0.2">
      <c r="A71" t="s">
        <v>84</v>
      </c>
      <c r="B71">
        <v>5</v>
      </c>
      <c r="C71" t="s">
        <v>6339</v>
      </c>
      <c r="D71" t="s">
        <v>6340</v>
      </c>
      <c r="E71" t="s">
        <v>6341</v>
      </c>
      <c r="F71" t="s">
        <v>5160</v>
      </c>
      <c r="G71" t="s">
        <v>5193</v>
      </c>
    </row>
    <row r="72" spans="1:7" x14ac:dyDescent="0.2">
      <c r="A72" t="s">
        <v>100</v>
      </c>
      <c r="B72">
        <v>1</v>
      </c>
      <c r="C72" t="s">
        <v>6342</v>
      </c>
      <c r="D72" t="s">
        <v>6343</v>
      </c>
      <c r="E72" t="s">
        <v>6344</v>
      </c>
      <c r="F72" t="s">
        <v>5160</v>
      </c>
      <c r="G72" t="s">
        <v>5163</v>
      </c>
    </row>
    <row r="73" spans="1:7" x14ac:dyDescent="0.2">
      <c r="A73" t="s">
        <v>100</v>
      </c>
      <c r="B73">
        <v>2</v>
      </c>
      <c r="C73" t="s">
        <v>6345</v>
      </c>
      <c r="D73" t="s">
        <v>6346</v>
      </c>
      <c r="E73" t="s">
        <v>6347</v>
      </c>
      <c r="F73" t="s">
        <v>5193</v>
      </c>
      <c r="G73" t="s">
        <v>5160</v>
      </c>
    </row>
    <row r="74" spans="1:7" x14ac:dyDescent="0.2">
      <c r="A74" t="s">
        <v>100</v>
      </c>
      <c r="B74">
        <v>3</v>
      </c>
      <c r="C74" t="s">
        <v>6348</v>
      </c>
      <c r="D74" t="s">
        <v>6349</v>
      </c>
      <c r="E74" t="s">
        <v>6350</v>
      </c>
      <c r="F74" t="s">
        <v>5160</v>
      </c>
      <c r="G74" t="s">
        <v>5163</v>
      </c>
    </row>
    <row r="75" spans="1:7" x14ac:dyDescent="0.2">
      <c r="A75" t="s">
        <v>100</v>
      </c>
      <c r="B75">
        <v>4</v>
      </c>
      <c r="C75" t="s">
        <v>6351</v>
      </c>
      <c r="D75" t="s">
        <v>6352</v>
      </c>
      <c r="E75" t="s">
        <v>6353</v>
      </c>
      <c r="F75" t="s">
        <v>5163</v>
      </c>
      <c r="G75" t="s">
        <v>5169</v>
      </c>
    </row>
    <row r="76" spans="1:7" x14ac:dyDescent="0.2">
      <c r="A76" t="s">
        <v>100</v>
      </c>
      <c r="B76">
        <v>5</v>
      </c>
      <c r="C76" t="s">
        <v>6354</v>
      </c>
      <c r="D76" t="s">
        <v>6355</v>
      </c>
      <c r="E76" t="s">
        <v>6356</v>
      </c>
      <c r="F76" t="s">
        <v>5169</v>
      </c>
      <c r="G76" t="s">
        <v>5160</v>
      </c>
    </row>
    <row r="77" spans="1:7" x14ac:dyDescent="0.2">
      <c r="A77" t="s">
        <v>98</v>
      </c>
      <c r="B77">
        <v>1</v>
      </c>
      <c r="C77" t="s">
        <v>6357</v>
      </c>
      <c r="D77" t="s">
        <v>6358</v>
      </c>
      <c r="E77" t="s">
        <v>6359</v>
      </c>
      <c r="F77" t="s">
        <v>5163</v>
      </c>
      <c r="G77" t="s">
        <v>5160</v>
      </c>
    </row>
    <row r="78" spans="1:7" x14ac:dyDescent="0.2">
      <c r="A78" t="s">
        <v>98</v>
      </c>
      <c r="B78">
        <v>2</v>
      </c>
      <c r="C78" t="s">
        <v>6360</v>
      </c>
      <c r="D78" t="s">
        <v>6361</v>
      </c>
      <c r="E78" t="s">
        <v>6362</v>
      </c>
      <c r="F78" t="s">
        <v>5169</v>
      </c>
      <c r="G78" t="s">
        <v>5160</v>
      </c>
    </row>
    <row r="79" spans="1:7" x14ac:dyDescent="0.2">
      <c r="A79" t="s">
        <v>98</v>
      </c>
      <c r="B79">
        <v>3</v>
      </c>
      <c r="C79" t="s">
        <v>6263</v>
      </c>
      <c r="D79" t="s">
        <v>6363</v>
      </c>
      <c r="E79" t="s">
        <v>6364</v>
      </c>
      <c r="F79" t="s">
        <v>5160</v>
      </c>
      <c r="G79" t="s">
        <v>5163</v>
      </c>
    </row>
    <row r="80" spans="1:7" x14ac:dyDescent="0.2">
      <c r="A80" t="s">
        <v>98</v>
      </c>
      <c r="B80">
        <v>4</v>
      </c>
      <c r="C80" t="s">
        <v>6365</v>
      </c>
      <c r="D80" t="s">
        <v>6366</v>
      </c>
      <c r="E80" t="s">
        <v>6367</v>
      </c>
      <c r="F80" t="s">
        <v>5160</v>
      </c>
      <c r="G80" t="s">
        <v>5163</v>
      </c>
    </row>
    <row r="81" spans="1:7" x14ac:dyDescent="0.2">
      <c r="A81" t="s">
        <v>98</v>
      </c>
      <c r="B81">
        <v>5</v>
      </c>
      <c r="C81" t="s">
        <v>6368</v>
      </c>
      <c r="D81" t="s">
        <v>6369</v>
      </c>
      <c r="E81" t="s">
        <v>6370</v>
      </c>
      <c r="F81" t="s">
        <v>5163</v>
      </c>
      <c r="G81" t="s">
        <v>5160</v>
      </c>
    </row>
    <row r="82" spans="1:7" x14ac:dyDescent="0.2">
      <c r="A82" t="s">
        <v>76</v>
      </c>
      <c r="B82">
        <v>1</v>
      </c>
      <c r="C82" t="s">
        <v>6371</v>
      </c>
      <c r="D82" t="s">
        <v>6372</v>
      </c>
      <c r="E82" t="s">
        <v>6373</v>
      </c>
      <c r="F82" t="s">
        <v>5163</v>
      </c>
      <c r="G82" t="s">
        <v>5160</v>
      </c>
    </row>
    <row r="83" spans="1:7" x14ac:dyDescent="0.2">
      <c r="A83" t="s">
        <v>76</v>
      </c>
      <c r="B83">
        <v>2</v>
      </c>
      <c r="C83" t="s">
        <v>6374</v>
      </c>
      <c r="D83" t="s">
        <v>6375</v>
      </c>
      <c r="E83" t="s">
        <v>6376</v>
      </c>
      <c r="F83" t="s">
        <v>5193</v>
      </c>
      <c r="G83" t="s">
        <v>5160</v>
      </c>
    </row>
    <row r="84" spans="1:7" x14ac:dyDescent="0.2">
      <c r="A84" t="s">
        <v>76</v>
      </c>
      <c r="B84">
        <v>3</v>
      </c>
      <c r="C84" t="s">
        <v>6377</v>
      </c>
      <c r="D84" t="s">
        <v>6378</v>
      </c>
      <c r="E84" t="s">
        <v>6379</v>
      </c>
      <c r="F84" t="s">
        <v>5160</v>
      </c>
      <c r="G84" t="s">
        <v>5163</v>
      </c>
    </row>
    <row r="85" spans="1:7" x14ac:dyDescent="0.2">
      <c r="A85" t="s">
        <v>76</v>
      </c>
      <c r="B85">
        <v>4</v>
      </c>
      <c r="C85" t="s">
        <v>6380</v>
      </c>
      <c r="D85" t="s">
        <v>6381</v>
      </c>
      <c r="E85" t="s">
        <v>6382</v>
      </c>
      <c r="F85" t="s">
        <v>5169</v>
      </c>
      <c r="G85" t="s">
        <v>5160</v>
      </c>
    </row>
    <row r="86" spans="1:7" x14ac:dyDescent="0.2">
      <c r="A86" t="s">
        <v>76</v>
      </c>
      <c r="B86">
        <v>5</v>
      </c>
      <c r="C86" t="s">
        <v>6383</v>
      </c>
      <c r="D86" t="s">
        <v>6384</v>
      </c>
      <c r="E86" t="s">
        <v>6385</v>
      </c>
      <c r="F86" t="s">
        <v>5163</v>
      </c>
      <c r="G86" t="s">
        <v>5160</v>
      </c>
    </row>
    <row r="87" spans="1:7" x14ac:dyDescent="0.2">
      <c r="A87" t="s">
        <v>82</v>
      </c>
      <c r="B87">
        <v>1</v>
      </c>
      <c r="C87" t="s">
        <v>6386</v>
      </c>
      <c r="D87" t="s">
        <v>6387</v>
      </c>
      <c r="E87" t="s">
        <v>6388</v>
      </c>
      <c r="F87" t="s">
        <v>5160</v>
      </c>
      <c r="G87" t="s">
        <v>5163</v>
      </c>
    </row>
    <row r="88" spans="1:7" x14ac:dyDescent="0.2">
      <c r="A88" t="s">
        <v>82</v>
      </c>
      <c r="B88">
        <v>2</v>
      </c>
      <c r="C88" t="s">
        <v>6389</v>
      </c>
      <c r="D88" t="s">
        <v>6390</v>
      </c>
      <c r="E88" t="s">
        <v>6391</v>
      </c>
      <c r="F88" t="s">
        <v>5169</v>
      </c>
      <c r="G88" t="s">
        <v>5160</v>
      </c>
    </row>
    <row r="89" spans="1:7" x14ac:dyDescent="0.2">
      <c r="A89" t="s">
        <v>82</v>
      </c>
      <c r="B89">
        <v>3</v>
      </c>
      <c r="C89" t="s">
        <v>6392</v>
      </c>
      <c r="D89" t="s">
        <v>6393</v>
      </c>
      <c r="E89" t="s">
        <v>6394</v>
      </c>
      <c r="F89" t="s">
        <v>5163</v>
      </c>
      <c r="G89" t="s">
        <v>5160</v>
      </c>
    </row>
    <row r="90" spans="1:7" x14ac:dyDescent="0.2">
      <c r="A90" t="s">
        <v>82</v>
      </c>
      <c r="B90">
        <v>4</v>
      </c>
      <c r="C90" t="s">
        <v>6395</v>
      </c>
      <c r="D90" t="s">
        <v>6396</v>
      </c>
      <c r="E90" t="s">
        <v>6397</v>
      </c>
      <c r="F90" t="s">
        <v>5163</v>
      </c>
      <c r="G90" t="s">
        <v>5160</v>
      </c>
    </row>
    <row r="91" spans="1:7" x14ac:dyDescent="0.2">
      <c r="A91" t="s">
        <v>82</v>
      </c>
      <c r="B91">
        <v>5</v>
      </c>
      <c r="C91" t="s">
        <v>6398</v>
      </c>
      <c r="D91" t="s">
        <v>6399</v>
      </c>
      <c r="E91" t="s">
        <v>6400</v>
      </c>
      <c r="F91" t="s">
        <v>5160</v>
      </c>
      <c r="G91" t="s">
        <v>5169</v>
      </c>
    </row>
    <row r="92" spans="1:7" x14ac:dyDescent="0.2">
      <c r="A92" t="s">
        <v>88</v>
      </c>
      <c r="B92">
        <v>1</v>
      </c>
      <c r="C92" t="s">
        <v>6401</v>
      </c>
      <c r="D92" t="s">
        <v>6402</v>
      </c>
      <c r="E92" t="s">
        <v>6403</v>
      </c>
      <c r="F92" t="s">
        <v>5160</v>
      </c>
      <c r="G92" t="s">
        <v>5169</v>
      </c>
    </row>
    <row r="93" spans="1:7" x14ac:dyDescent="0.2">
      <c r="A93" t="s">
        <v>88</v>
      </c>
      <c r="B93">
        <v>2</v>
      </c>
      <c r="C93" t="s">
        <v>6404</v>
      </c>
      <c r="D93" t="s">
        <v>6405</v>
      </c>
      <c r="E93" t="s">
        <v>6406</v>
      </c>
      <c r="F93" t="s">
        <v>5160</v>
      </c>
      <c r="G93" t="s">
        <v>5163</v>
      </c>
    </row>
    <row r="94" spans="1:7" x14ac:dyDescent="0.2">
      <c r="A94" t="s">
        <v>88</v>
      </c>
      <c r="B94">
        <v>3</v>
      </c>
      <c r="C94" t="s">
        <v>6407</v>
      </c>
      <c r="D94" t="s">
        <v>6408</v>
      </c>
      <c r="E94" t="s">
        <v>6409</v>
      </c>
      <c r="F94" t="s">
        <v>5160</v>
      </c>
      <c r="G94" t="s">
        <v>5193</v>
      </c>
    </row>
    <row r="95" spans="1:7" x14ac:dyDescent="0.2">
      <c r="A95" t="s">
        <v>88</v>
      </c>
      <c r="B95">
        <v>4</v>
      </c>
      <c r="C95" t="s">
        <v>6410</v>
      </c>
      <c r="D95" t="s">
        <v>6411</v>
      </c>
      <c r="E95" t="s">
        <v>6412</v>
      </c>
      <c r="F95" t="s">
        <v>5163</v>
      </c>
      <c r="G95" t="s">
        <v>5160</v>
      </c>
    </row>
    <row r="96" spans="1:7" x14ac:dyDescent="0.2">
      <c r="A96" t="s">
        <v>88</v>
      </c>
      <c r="B96">
        <v>5</v>
      </c>
      <c r="C96" t="s">
        <v>6413</v>
      </c>
      <c r="D96" t="s">
        <v>6414</v>
      </c>
      <c r="E96" t="s">
        <v>6415</v>
      </c>
      <c r="F96" t="s">
        <v>5169</v>
      </c>
      <c r="G96" t="s">
        <v>5193</v>
      </c>
    </row>
    <row r="97" spans="1:7" x14ac:dyDescent="0.2">
      <c r="A97" t="s">
        <v>94</v>
      </c>
      <c r="B97">
        <v>1</v>
      </c>
      <c r="C97" t="s">
        <v>6416</v>
      </c>
      <c r="D97" t="s">
        <v>6417</v>
      </c>
      <c r="E97" t="s">
        <v>6418</v>
      </c>
      <c r="F97" t="s">
        <v>5160</v>
      </c>
      <c r="G97" t="s">
        <v>5163</v>
      </c>
    </row>
    <row r="98" spans="1:7" x14ac:dyDescent="0.2">
      <c r="A98" t="s">
        <v>94</v>
      </c>
      <c r="B98">
        <v>2</v>
      </c>
      <c r="C98" t="s">
        <v>6419</v>
      </c>
      <c r="D98" t="s">
        <v>6420</v>
      </c>
      <c r="E98" t="s">
        <v>6421</v>
      </c>
      <c r="F98" t="s">
        <v>5163</v>
      </c>
      <c r="G98" t="s">
        <v>5193</v>
      </c>
    </row>
    <row r="99" spans="1:7" x14ac:dyDescent="0.2">
      <c r="A99" t="s">
        <v>94</v>
      </c>
      <c r="B99">
        <v>3</v>
      </c>
      <c r="C99" t="s">
        <v>6422</v>
      </c>
      <c r="D99" t="s">
        <v>6423</v>
      </c>
      <c r="E99" t="s">
        <v>6424</v>
      </c>
      <c r="F99" t="s">
        <v>5160</v>
      </c>
      <c r="G99" t="s">
        <v>5169</v>
      </c>
    </row>
    <row r="100" spans="1:7" x14ac:dyDescent="0.2">
      <c r="A100" t="s">
        <v>94</v>
      </c>
      <c r="B100">
        <v>4</v>
      </c>
      <c r="C100" t="s">
        <v>6425</v>
      </c>
      <c r="D100" t="s">
        <v>6426</v>
      </c>
      <c r="E100" t="s">
        <v>6427</v>
      </c>
      <c r="F100" t="s">
        <v>5163</v>
      </c>
      <c r="G100" t="s">
        <v>5193</v>
      </c>
    </row>
    <row r="101" spans="1:7" x14ac:dyDescent="0.2">
      <c r="A101" t="s">
        <v>94</v>
      </c>
      <c r="B101">
        <v>5</v>
      </c>
      <c r="C101" t="s">
        <v>6428</v>
      </c>
      <c r="D101" t="s">
        <v>6429</v>
      </c>
      <c r="E101" t="s">
        <v>6430</v>
      </c>
      <c r="F101" t="s">
        <v>5163</v>
      </c>
      <c r="G101" t="s">
        <v>5169</v>
      </c>
    </row>
    <row r="102" spans="1:7" x14ac:dyDescent="0.2">
      <c r="A102" t="s">
        <v>89</v>
      </c>
      <c r="B102">
        <v>1</v>
      </c>
      <c r="C102" t="s">
        <v>6431</v>
      </c>
      <c r="D102" t="s">
        <v>6432</v>
      </c>
      <c r="E102" t="s">
        <v>6433</v>
      </c>
      <c r="F102" t="s">
        <v>5160</v>
      </c>
      <c r="G102" t="s">
        <v>5163</v>
      </c>
    </row>
    <row r="103" spans="1:7" x14ac:dyDescent="0.2">
      <c r="A103" t="s">
        <v>89</v>
      </c>
      <c r="B103">
        <v>2</v>
      </c>
      <c r="C103" t="s">
        <v>6434</v>
      </c>
      <c r="D103" t="s">
        <v>6435</v>
      </c>
      <c r="E103" t="s">
        <v>6436</v>
      </c>
      <c r="F103" t="s">
        <v>5160</v>
      </c>
      <c r="G103" t="s">
        <v>5193</v>
      </c>
    </row>
    <row r="104" spans="1:7" x14ac:dyDescent="0.2">
      <c r="A104" t="s">
        <v>89</v>
      </c>
      <c r="B104">
        <v>3</v>
      </c>
      <c r="C104" t="s">
        <v>6437</v>
      </c>
      <c r="D104" t="s">
        <v>6438</v>
      </c>
      <c r="E104" t="s">
        <v>6439</v>
      </c>
      <c r="F104" t="s">
        <v>5160</v>
      </c>
      <c r="G104" t="s">
        <v>5169</v>
      </c>
    </row>
    <row r="105" spans="1:7" x14ac:dyDescent="0.2">
      <c r="A105" t="s">
        <v>89</v>
      </c>
      <c r="B105">
        <v>4</v>
      </c>
      <c r="C105" t="s">
        <v>6440</v>
      </c>
      <c r="D105" t="s">
        <v>6441</v>
      </c>
      <c r="E105" t="s">
        <v>6442</v>
      </c>
      <c r="F105" t="s">
        <v>5163</v>
      </c>
      <c r="G105" t="s">
        <v>5160</v>
      </c>
    </row>
    <row r="106" spans="1:7" x14ac:dyDescent="0.2">
      <c r="A106" t="s">
        <v>89</v>
      </c>
      <c r="B106">
        <v>5</v>
      </c>
      <c r="C106" t="s">
        <v>6443</v>
      </c>
      <c r="D106" t="s">
        <v>6444</v>
      </c>
      <c r="E106" t="s">
        <v>6445</v>
      </c>
      <c r="F106" t="s">
        <v>5160</v>
      </c>
      <c r="G106" t="s">
        <v>5169</v>
      </c>
    </row>
    <row r="107" spans="1:7" x14ac:dyDescent="0.2">
      <c r="A107" t="s">
        <v>63</v>
      </c>
      <c r="B107">
        <v>1</v>
      </c>
      <c r="C107" t="s">
        <v>6446</v>
      </c>
      <c r="D107" t="s">
        <v>6447</v>
      </c>
      <c r="E107" t="s">
        <v>6448</v>
      </c>
      <c r="F107" t="s">
        <v>5163</v>
      </c>
      <c r="G107" t="s">
        <v>5169</v>
      </c>
    </row>
    <row r="108" spans="1:7" x14ac:dyDescent="0.2">
      <c r="A108" t="s">
        <v>63</v>
      </c>
      <c r="B108">
        <v>2</v>
      </c>
      <c r="C108" t="s">
        <v>6449</v>
      </c>
      <c r="D108" t="s">
        <v>6450</v>
      </c>
      <c r="E108" t="s">
        <v>6451</v>
      </c>
      <c r="F108" t="s">
        <v>5160</v>
      </c>
      <c r="G108" t="s">
        <v>5193</v>
      </c>
    </row>
    <row r="109" spans="1:7" x14ac:dyDescent="0.2">
      <c r="A109" t="s">
        <v>63</v>
      </c>
      <c r="B109">
        <v>3</v>
      </c>
      <c r="C109" t="s">
        <v>6452</v>
      </c>
      <c r="D109" t="s">
        <v>6453</v>
      </c>
      <c r="E109" t="s">
        <v>6454</v>
      </c>
      <c r="F109" t="s">
        <v>5163</v>
      </c>
      <c r="G109" t="s">
        <v>5160</v>
      </c>
    </row>
    <row r="110" spans="1:7" x14ac:dyDescent="0.2">
      <c r="A110" t="s">
        <v>63</v>
      </c>
      <c r="B110">
        <v>4</v>
      </c>
      <c r="C110" t="s">
        <v>6455</v>
      </c>
      <c r="D110" t="s">
        <v>6456</v>
      </c>
      <c r="E110" t="s">
        <v>6457</v>
      </c>
      <c r="F110" t="s">
        <v>5160</v>
      </c>
      <c r="G110" t="s">
        <v>5163</v>
      </c>
    </row>
    <row r="111" spans="1:7" x14ac:dyDescent="0.2">
      <c r="A111" t="s">
        <v>63</v>
      </c>
      <c r="B111">
        <v>5</v>
      </c>
      <c r="C111" t="s">
        <v>6458</v>
      </c>
      <c r="D111" t="s">
        <v>6459</v>
      </c>
      <c r="E111" t="s">
        <v>6460</v>
      </c>
      <c r="F111" t="s">
        <v>5193</v>
      </c>
      <c r="G111" t="s">
        <v>5163</v>
      </c>
    </row>
    <row r="112" spans="1:7" x14ac:dyDescent="0.2">
      <c r="A112" t="s">
        <v>79</v>
      </c>
      <c r="B112">
        <v>1</v>
      </c>
      <c r="C112" t="s">
        <v>4567</v>
      </c>
      <c r="D112" t="s">
        <v>6461</v>
      </c>
      <c r="E112" t="s">
        <v>6462</v>
      </c>
      <c r="F112" t="s">
        <v>5160</v>
      </c>
      <c r="G112" t="s">
        <v>5193</v>
      </c>
    </row>
    <row r="113" spans="1:7" x14ac:dyDescent="0.2">
      <c r="A113" t="s">
        <v>79</v>
      </c>
      <c r="B113">
        <v>2</v>
      </c>
      <c r="C113" t="s">
        <v>6463</v>
      </c>
      <c r="D113" t="s">
        <v>6464</v>
      </c>
      <c r="E113" t="s">
        <v>6465</v>
      </c>
      <c r="F113" t="s">
        <v>5160</v>
      </c>
      <c r="G113" t="s">
        <v>5163</v>
      </c>
    </row>
    <row r="114" spans="1:7" x14ac:dyDescent="0.2">
      <c r="A114" t="s">
        <v>79</v>
      </c>
      <c r="B114">
        <v>3</v>
      </c>
      <c r="C114" t="s">
        <v>6466</v>
      </c>
      <c r="D114" t="s">
        <v>6467</v>
      </c>
      <c r="E114" t="s">
        <v>6468</v>
      </c>
      <c r="F114" t="s">
        <v>5169</v>
      </c>
      <c r="G114" t="s">
        <v>5160</v>
      </c>
    </row>
    <row r="115" spans="1:7" x14ac:dyDescent="0.2">
      <c r="A115" t="s">
        <v>79</v>
      </c>
      <c r="B115">
        <v>4</v>
      </c>
      <c r="C115" t="s">
        <v>9</v>
      </c>
      <c r="D115" t="s">
        <v>6469</v>
      </c>
      <c r="E115" t="s">
        <v>6470</v>
      </c>
      <c r="F115" t="s">
        <v>5163</v>
      </c>
      <c r="G115" t="s">
        <v>5193</v>
      </c>
    </row>
    <row r="116" spans="1:7" x14ac:dyDescent="0.2">
      <c r="A116" t="s">
        <v>79</v>
      </c>
      <c r="B116">
        <v>5</v>
      </c>
      <c r="C116" t="s">
        <v>6471</v>
      </c>
      <c r="D116" t="s">
        <v>6472</v>
      </c>
      <c r="E116" t="s">
        <v>6473</v>
      </c>
      <c r="F116" t="s">
        <v>5160</v>
      </c>
      <c r="G116" t="s">
        <v>5169</v>
      </c>
    </row>
    <row r="117" spans="1:7" x14ac:dyDescent="0.2">
      <c r="A117" t="s">
        <v>74</v>
      </c>
      <c r="B117">
        <v>1</v>
      </c>
      <c r="C117" t="s">
        <v>6474</v>
      </c>
      <c r="D117" t="s">
        <v>6475</v>
      </c>
      <c r="E117" t="s">
        <v>6476</v>
      </c>
      <c r="F117" t="s">
        <v>5193</v>
      </c>
      <c r="G117" t="s">
        <v>5160</v>
      </c>
    </row>
    <row r="118" spans="1:7" x14ac:dyDescent="0.2">
      <c r="A118" t="s">
        <v>74</v>
      </c>
      <c r="B118">
        <v>2</v>
      </c>
      <c r="C118" t="s">
        <v>4014</v>
      </c>
      <c r="D118" t="s">
        <v>6477</v>
      </c>
      <c r="E118" t="s">
        <v>6478</v>
      </c>
      <c r="F118" t="s">
        <v>5163</v>
      </c>
      <c r="G118" t="s">
        <v>5160</v>
      </c>
    </row>
    <row r="119" spans="1:7" x14ac:dyDescent="0.2">
      <c r="A119" t="s">
        <v>74</v>
      </c>
      <c r="B119">
        <v>3</v>
      </c>
      <c r="C119" t="s">
        <v>6479</v>
      </c>
      <c r="D119" t="s">
        <v>6480</v>
      </c>
      <c r="E119" t="s">
        <v>6481</v>
      </c>
      <c r="F119" t="s">
        <v>5163</v>
      </c>
      <c r="G119" t="s">
        <v>5160</v>
      </c>
    </row>
    <row r="120" spans="1:7" x14ac:dyDescent="0.2">
      <c r="A120" t="s">
        <v>74</v>
      </c>
      <c r="B120">
        <v>4</v>
      </c>
      <c r="C120" t="s">
        <v>6482</v>
      </c>
      <c r="D120" t="s">
        <v>6483</v>
      </c>
      <c r="E120" t="s">
        <v>6484</v>
      </c>
      <c r="F120" t="s">
        <v>5169</v>
      </c>
      <c r="G120" t="s">
        <v>5160</v>
      </c>
    </row>
    <row r="121" spans="1:7" x14ac:dyDescent="0.2">
      <c r="A121" t="s">
        <v>74</v>
      </c>
      <c r="B121">
        <v>5</v>
      </c>
      <c r="C121" t="s">
        <v>6485</v>
      </c>
      <c r="D121" t="s">
        <v>6486</v>
      </c>
      <c r="E121" t="s">
        <v>6487</v>
      </c>
      <c r="F121" t="s">
        <v>5163</v>
      </c>
      <c r="G121" t="s">
        <v>5193</v>
      </c>
    </row>
    <row r="122" spans="1:7" x14ac:dyDescent="0.2">
      <c r="A122" t="s">
        <v>101</v>
      </c>
      <c r="B122">
        <v>1</v>
      </c>
      <c r="C122" t="s">
        <v>6488</v>
      </c>
      <c r="D122" t="s">
        <v>6489</v>
      </c>
      <c r="E122" t="s">
        <v>6490</v>
      </c>
      <c r="F122" t="s">
        <v>5160</v>
      </c>
      <c r="G122" t="s">
        <v>5169</v>
      </c>
    </row>
    <row r="123" spans="1:7" x14ac:dyDescent="0.2">
      <c r="A123" t="s">
        <v>101</v>
      </c>
      <c r="B123">
        <v>2</v>
      </c>
      <c r="C123" t="s">
        <v>6491</v>
      </c>
      <c r="D123" t="s">
        <v>6492</v>
      </c>
      <c r="E123" t="s">
        <v>6493</v>
      </c>
      <c r="F123" t="s">
        <v>5160</v>
      </c>
      <c r="G123" t="s">
        <v>5169</v>
      </c>
    </row>
    <row r="124" spans="1:7" x14ac:dyDescent="0.2">
      <c r="A124" t="s">
        <v>101</v>
      </c>
      <c r="B124">
        <v>3</v>
      </c>
      <c r="C124" t="s">
        <v>6494</v>
      </c>
      <c r="D124" t="s">
        <v>6495</v>
      </c>
      <c r="E124" t="s">
        <v>6496</v>
      </c>
      <c r="F124" t="s">
        <v>5160</v>
      </c>
      <c r="G124" t="s">
        <v>5163</v>
      </c>
    </row>
    <row r="125" spans="1:7" x14ac:dyDescent="0.2">
      <c r="A125" t="s">
        <v>101</v>
      </c>
      <c r="B125">
        <v>4</v>
      </c>
      <c r="C125" t="s">
        <v>6497</v>
      </c>
      <c r="D125" t="s">
        <v>6498</v>
      </c>
      <c r="E125" t="s">
        <v>6499</v>
      </c>
      <c r="F125" t="s">
        <v>5193</v>
      </c>
      <c r="G125" t="s">
        <v>5169</v>
      </c>
    </row>
    <row r="126" spans="1:7" x14ac:dyDescent="0.2">
      <c r="A126" t="s">
        <v>101</v>
      </c>
      <c r="B126">
        <v>5</v>
      </c>
      <c r="C126" t="s">
        <v>6500</v>
      </c>
      <c r="D126" t="s">
        <v>6501</v>
      </c>
      <c r="E126" t="s">
        <v>6502</v>
      </c>
      <c r="F126" t="s">
        <v>5160</v>
      </c>
      <c r="G126" t="s">
        <v>5169</v>
      </c>
    </row>
    <row r="127" spans="1:7" x14ac:dyDescent="0.2">
      <c r="A127" t="s">
        <v>55</v>
      </c>
      <c r="B127">
        <v>1</v>
      </c>
      <c r="C127" t="s">
        <v>6503</v>
      </c>
      <c r="D127" t="s">
        <v>6504</v>
      </c>
      <c r="E127" t="s">
        <v>6505</v>
      </c>
      <c r="F127" t="s">
        <v>5193</v>
      </c>
      <c r="G127" t="s">
        <v>5163</v>
      </c>
    </row>
    <row r="128" spans="1:7" x14ac:dyDescent="0.2">
      <c r="A128" t="s">
        <v>55</v>
      </c>
      <c r="B128">
        <v>2</v>
      </c>
      <c r="C128" t="s">
        <v>6506</v>
      </c>
      <c r="D128" t="s">
        <v>6507</v>
      </c>
      <c r="E128" t="s">
        <v>6508</v>
      </c>
      <c r="F128" t="s">
        <v>5160</v>
      </c>
      <c r="G128" t="s">
        <v>5169</v>
      </c>
    </row>
    <row r="129" spans="1:7" x14ac:dyDescent="0.2">
      <c r="A129" t="s">
        <v>55</v>
      </c>
      <c r="B129">
        <v>3</v>
      </c>
      <c r="C129" t="s">
        <v>6509</v>
      </c>
      <c r="D129" t="s">
        <v>6510</v>
      </c>
      <c r="E129" t="s">
        <v>6511</v>
      </c>
      <c r="F129" t="s">
        <v>5169</v>
      </c>
      <c r="G129" t="s">
        <v>5193</v>
      </c>
    </row>
    <row r="130" spans="1:7" x14ac:dyDescent="0.2">
      <c r="A130" t="s">
        <v>55</v>
      </c>
      <c r="B130">
        <v>4</v>
      </c>
      <c r="C130" t="s">
        <v>6512</v>
      </c>
      <c r="D130" t="s">
        <v>6513</v>
      </c>
      <c r="E130" t="s">
        <v>6514</v>
      </c>
      <c r="F130" t="s">
        <v>5163</v>
      </c>
      <c r="G130" t="s">
        <v>5160</v>
      </c>
    </row>
    <row r="131" spans="1:7" x14ac:dyDescent="0.2">
      <c r="A131" t="s">
        <v>55</v>
      </c>
      <c r="B131">
        <v>5</v>
      </c>
      <c r="C131" t="s">
        <v>6263</v>
      </c>
      <c r="D131" t="s">
        <v>6515</v>
      </c>
      <c r="E131" t="s">
        <v>6516</v>
      </c>
      <c r="F131" t="s">
        <v>5160</v>
      </c>
      <c r="G131" t="s">
        <v>5169</v>
      </c>
    </row>
    <row r="132" spans="1:7" x14ac:dyDescent="0.2">
      <c r="A132" t="s">
        <v>72</v>
      </c>
      <c r="B132">
        <v>1</v>
      </c>
      <c r="C132" t="s">
        <v>6517</v>
      </c>
      <c r="D132" t="s">
        <v>6518</v>
      </c>
      <c r="E132" t="s">
        <v>6519</v>
      </c>
      <c r="F132" t="s">
        <v>5160</v>
      </c>
      <c r="G132" t="s">
        <v>5163</v>
      </c>
    </row>
    <row r="133" spans="1:7" x14ac:dyDescent="0.2">
      <c r="A133" t="s">
        <v>72</v>
      </c>
      <c r="B133">
        <v>2</v>
      </c>
      <c r="C133" t="s">
        <v>6520</v>
      </c>
      <c r="D133" t="s">
        <v>6521</v>
      </c>
      <c r="E133" t="s">
        <v>6522</v>
      </c>
      <c r="F133" t="s">
        <v>5163</v>
      </c>
      <c r="G133" t="s">
        <v>5160</v>
      </c>
    </row>
    <row r="134" spans="1:7" x14ac:dyDescent="0.2">
      <c r="A134" t="s">
        <v>72</v>
      </c>
      <c r="B134">
        <v>3</v>
      </c>
      <c r="C134" t="s">
        <v>6523</v>
      </c>
      <c r="D134" t="s">
        <v>6524</v>
      </c>
      <c r="E134" t="s">
        <v>6525</v>
      </c>
      <c r="F134" t="s">
        <v>5193</v>
      </c>
      <c r="G134" t="s">
        <v>5169</v>
      </c>
    </row>
    <row r="135" spans="1:7" x14ac:dyDescent="0.2">
      <c r="A135" t="s">
        <v>72</v>
      </c>
      <c r="B135">
        <v>4</v>
      </c>
      <c r="C135" t="s">
        <v>6526</v>
      </c>
      <c r="D135" t="s">
        <v>6527</v>
      </c>
      <c r="E135" t="s">
        <v>6528</v>
      </c>
      <c r="F135" t="s">
        <v>5163</v>
      </c>
      <c r="G135" t="s">
        <v>5193</v>
      </c>
    </row>
    <row r="136" spans="1:7" x14ac:dyDescent="0.2">
      <c r="A136" t="s">
        <v>72</v>
      </c>
      <c r="B136">
        <v>5</v>
      </c>
      <c r="C136" t="s">
        <v>6529</v>
      </c>
      <c r="D136" t="s">
        <v>6530</v>
      </c>
      <c r="E136" t="s">
        <v>6531</v>
      </c>
      <c r="F136" t="s">
        <v>5169</v>
      </c>
      <c r="G136" t="s">
        <v>5160</v>
      </c>
    </row>
    <row r="137" spans="1:7" x14ac:dyDescent="0.2">
      <c r="A137" t="s">
        <v>56</v>
      </c>
      <c r="B137">
        <v>1</v>
      </c>
      <c r="C137" t="s">
        <v>6532</v>
      </c>
      <c r="D137" t="s">
        <v>6533</v>
      </c>
      <c r="E137" t="s">
        <v>6534</v>
      </c>
      <c r="F137" t="s">
        <v>5163</v>
      </c>
      <c r="G137" t="s">
        <v>5160</v>
      </c>
    </row>
    <row r="138" spans="1:7" x14ac:dyDescent="0.2">
      <c r="A138" t="s">
        <v>56</v>
      </c>
      <c r="B138">
        <v>2</v>
      </c>
      <c r="C138" t="s">
        <v>6535</v>
      </c>
      <c r="D138" t="s">
        <v>6536</v>
      </c>
      <c r="E138" t="s">
        <v>6537</v>
      </c>
      <c r="F138" t="s">
        <v>5160</v>
      </c>
      <c r="G138" t="s">
        <v>5169</v>
      </c>
    </row>
    <row r="139" spans="1:7" x14ac:dyDescent="0.2">
      <c r="A139" t="s">
        <v>56</v>
      </c>
      <c r="B139">
        <v>3</v>
      </c>
      <c r="C139" t="s">
        <v>6538</v>
      </c>
      <c r="D139" t="s">
        <v>6539</v>
      </c>
      <c r="E139" t="s">
        <v>6540</v>
      </c>
      <c r="F139" t="s">
        <v>5163</v>
      </c>
      <c r="G139" t="s">
        <v>5160</v>
      </c>
    </row>
    <row r="140" spans="1:7" x14ac:dyDescent="0.2">
      <c r="A140" t="s">
        <v>56</v>
      </c>
      <c r="B140">
        <v>4</v>
      </c>
      <c r="C140" t="s">
        <v>6541</v>
      </c>
      <c r="D140" t="s">
        <v>6542</v>
      </c>
      <c r="E140" t="s">
        <v>6543</v>
      </c>
      <c r="F140" t="s">
        <v>5169</v>
      </c>
      <c r="G140" t="s">
        <v>5160</v>
      </c>
    </row>
    <row r="141" spans="1:7" x14ac:dyDescent="0.2">
      <c r="A141" t="s">
        <v>56</v>
      </c>
      <c r="B141">
        <v>5</v>
      </c>
      <c r="C141" t="s">
        <v>6544</v>
      </c>
      <c r="D141" t="s">
        <v>6545</v>
      </c>
      <c r="E141" t="s">
        <v>6546</v>
      </c>
      <c r="F141" t="s">
        <v>5163</v>
      </c>
      <c r="G141" t="s">
        <v>5193</v>
      </c>
    </row>
    <row r="142" spans="1:7" x14ac:dyDescent="0.2">
      <c r="A142" t="s">
        <v>64</v>
      </c>
      <c r="B142">
        <v>1</v>
      </c>
      <c r="C142" t="s">
        <v>6547</v>
      </c>
      <c r="D142" t="s">
        <v>6548</v>
      </c>
      <c r="E142" t="s">
        <v>6549</v>
      </c>
      <c r="F142" t="s">
        <v>5163</v>
      </c>
      <c r="G142" t="s">
        <v>5160</v>
      </c>
    </row>
    <row r="143" spans="1:7" x14ac:dyDescent="0.2">
      <c r="A143" t="s">
        <v>64</v>
      </c>
      <c r="B143">
        <v>2</v>
      </c>
      <c r="C143" t="s">
        <v>6550</v>
      </c>
      <c r="D143" t="s">
        <v>6551</v>
      </c>
      <c r="E143" t="s">
        <v>6552</v>
      </c>
      <c r="F143" t="s">
        <v>5160</v>
      </c>
      <c r="G143" t="s">
        <v>5193</v>
      </c>
    </row>
    <row r="144" spans="1:7" x14ac:dyDescent="0.2">
      <c r="A144" t="s">
        <v>64</v>
      </c>
      <c r="B144">
        <v>3</v>
      </c>
      <c r="C144" t="s">
        <v>6553</v>
      </c>
      <c r="D144" t="s">
        <v>6554</v>
      </c>
      <c r="E144" t="s">
        <v>6555</v>
      </c>
      <c r="F144" t="s">
        <v>5169</v>
      </c>
      <c r="G144" t="s">
        <v>5160</v>
      </c>
    </row>
    <row r="145" spans="1:7" x14ac:dyDescent="0.2">
      <c r="A145" t="s">
        <v>64</v>
      </c>
      <c r="B145">
        <v>4</v>
      </c>
      <c r="C145" t="s">
        <v>6556</v>
      </c>
      <c r="D145" t="s">
        <v>6557</v>
      </c>
      <c r="E145" t="s">
        <v>6558</v>
      </c>
      <c r="F145" t="s">
        <v>5193</v>
      </c>
      <c r="G145" t="s">
        <v>5163</v>
      </c>
    </row>
    <row r="146" spans="1:7" x14ac:dyDescent="0.2">
      <c r="A146" t="s">
        <v>64</v>
      </c>
      <c r="B146">
        <v>5</v>
      </c>
      <c r="C146" t="s">
        <v>6559</v>
      </c>
      <c r="D146" t="s">
        <v>6560</v>
      </c>
      <c r="E146" t="s">
        <v>6561</v>
      </c>
      <c r="F146" t="s">
        <v>5160</v>
      </c>
      <c r="G146" t="s">
        <v>5163</v>
      </c>
    </row>
    <row r="147" spans="1:7" x14ac:dyDescent="0.2">
      <c r="A147" t="s">
        <v>59</v>
      </c>
      <c r="B147">
        <v>1</v>
      </c>
      <c r="C147" t="s">
        <v>6562</v>
      </c>
      <c r="D147" t="s">
        <v>6563</v>
      </c>
      <c r="E147" t="s">
        <v>6564</v>
      </c>
      <c r="F147" t="s">
        <v>5193</v>
      </c>
      <c r="G147" t="s">
        <v>5160</v>
      </c>
    </row>
    <row r="148" spans="1:7" x14ac:dyDescent="0.2">
      <c r="A148" t="s">
        <v>59</v>
      </c>
      <c r="B148">
        <v>2</v>
      </c>
      <c r="C148" t="s">
        <v>6565</v>
      </c>
      <c r="D148" t="s">
        <v>6566</v>
      </c>
      <c r="E148" t="s">
        <v>6567</v>
      </c>
      <c r="F148" t="s">
        <v>5160</v>
      </c>
      <c r="G148" t="s">
        <v>5163</v>
      </c>
    </row>
    <row r="149" spans="1:7" x14ac:dyDescent="0.2">
      <c r="A149" t="s">
        <v>59</v>
      </c>
      <c r="B149">
        <v>3</v>
      </c>
      <c r="C149" t="s">
        <v>6568</v>
      </c>
      <c r="D149" t="s">
        <v>6569</v>
      </c>
      <c r="E149" t="s">
        <v>6570</v>
      </c>
      <c r="F149" t="s">
        <v>5160</v>
      </c>
      <c r="G149" t="s">
        <v>5169</v>
      </c>
    </row>
    <row r="150" spans="1:7" x14ac:dyDescent="0.2">
      <c r="A150" t="s">
        <v>59</v>
      </c>
      <c r="B150">
        <v>4</v>
      </c>
      <c r="C150" t="s">
        <v>6571</v>
      </c>
      <c r="D150" t="s">
        <v>6572</v>
      </c>
      <c r="E150" t="s">
        <v>6573</v>
      </c>
      <c r="F150" t="s">
        <v>5163</v>
      </c>
      <c r="G150" t="s">
        <v>5169</v>
      </c>
    </row>
    <row r="151" spans="1:7" x14ac:dyDescent="0.2">
      <c r="A151" t="s">
        <v>59</v>
      </c>
      <c r="B151">
        <v>5</v>
      </c>
      <c r="C151" t="s">
        <v>6574</v>
      </c>
      <c r="D151" t="s">
        <v>6575</v>
      </c>
      <c r="E151" t="s">
        <v>6576</v>
      </c>
      <c r="F151" t="s">
        <v>5169</v>
      </c>
      <c r="G151" t="s">
        <v>5160</v>
      </c>
    </row>
    <row r="152" spans="1:7" x14ac:dyDescent="0.2">
      <c r="A152" t="s">
        <v>91</v>
      </c>
      <c r="B152">
        <v>1</v>
      </c>
      <c r="C152" t="s">
        <v>6577</v>
      </c>
      <c r="D152" t="s">
        <v>6578</v>
      </c>
      <c r="E152" t="s">
        <v>6579</v>
      </c>
      <c r="F152" t="s">
        <v>5160</v>
      </c>
      <c r="G152" t="s">
        <v>5193</v>
      </c>
    </row>
    <row r="153" spans="1:7" x14ac:dyDescent="0.2">
      <c r="A153" t="s">
        <v>91</v>
      </c>
      <c r="B153">
        <v>2</v>
      </c>
      <c r="C153" t="s">
        <v>6580</v>
      </c>
      <c r="D153" t="s">
        <v>6581</v>
      </c>
      <c r="E153" t="s">
        <v>6582</v>
      </c>
      <c r="F153" t="s">
        <v>5163</v>
      </c>
      <c r="G153" t="s">
        <v>5160</v>
      </c>
    </row>
    <row r="154" spans="1:7" x14ac:dyDescent="0.2">
      <c r="A154" t="s">
        <v>91</v>
      </c>
      <c r="B154">
        <v>3</v>
      </c>
      <c r="C154" t="s">
        <v>6583</v>
      </c>
      <c r="D154" t="s">
        <v>6584</v>
      </c>
      <c r="E154" t="s">
        <v>6585</v>
      </c>
      <c r="F154" t="s">
        <v>5160</v>
      </c>
      <c r="G154" t="s">
        <v>5193</v>
      </c>
    </row>
    <row r="155" spans="1:7" x14ac:dyDescent="0.2">
      <c r="A155" t="s">
        <v>91</v>
      </c>
      <c r="B155">
        <v>4</v>
      </c>
      <c r="C155" t="s">
        <v>6586</v>
      </c>
      <c r="D155" t="s">
        <v>6587</v>
      </c>
      <c r="E155" t="s">
        <v>6588</v>
      </c>
      <c r="F155" t="s">
        <v>5169</v>
      </c>
      <c r="G155" t="s">
        <v>5160</v>
      </c>
    </row>
    <row r="156" spans="1:7" x14ac:dyDescent="0.2">
      <c r="A156" t="s">
        <v>91</v>
      </c>
      <c r="B156">
        <v>5</v>
      </c>
      <c r="C156" t="s">
        <v>6589</v>
      </c>
      <c r="D156" t="s">
        <v>6590</v>
      </c>
      <c r="E156" t="s">
        <v>6591</v>
      </c>
      <c r="F156" t="s">
        <v>5163</v>
      </c>
      <c r="G156" t="s">
        <v>5160</v>
      </c>
    </row>
    <row r="157" spans="1:7" x14ac:dyDescent="0.2">
      <c r="A157" t="s">
        <v>73</v>
      </c>
      <c r="B157">
        <v>1</v>
      </c>
      <c r="C157" t="s">
        <v>6592</v>
      </c>
      <c r="D157" t="s">
        <v>6593</v>
      </c>
      <c r="E157" t="s">
        <v>6594</v>
      </c>
      <c r="F157" t="s">
        <v>5163</v>
      </c>
      <c r="G157" t="s">
        <v>5169</v>
      </c>
    </row>
    <row r="158" spans="1:7" x14ac:dyDescent="0.2">
      <c r="A158" t="s">
        <v>73</v>
      </c>
      <c r="B158">
        <v>2</v>
      </c>
      <c r="C158" t="s">
        <v>6595</v>
      </c>
      <c r="D158" t="s">
        <v>6596</v>
      </c>
      <c r="E158" t="s">
        <v>6597</v>
      </c>
      <c r="F158" t="s">
        <v>5160</v>
      </c>
      <c r="G158" t="s">
        <v>5193</v>
      </c>
    </row>
    <row r="159" spans="1:7" x14ac:dyDescent="0.2">
      <c r="A159" t="s">
        <v>73</v>
      </c>
      <c r="B159">
        <v>3</v>
      </c>
      <c r="C159" t="s">
        <v>6598</v>
      </c>
      <c r="D159" t="s">
        <v>6599</v>
      </c>
      <c r="E159" t="s">
        <v>6600</v>
      </c>
      <c r="F159" t="s">
        <v>5193</v>
      </c>
      <c r="G159" t="s">
        <v>5163</v>
      </c>
    </row>
    <row r="160" spans="1:7" x14ac:dyDescent="0.2">
      <c r="A160" t="s">
        <v>73</v>
      </c>
      <c r="B160">
        <v>4</v>
      </c>
      <c r="C160" t="s">
        <v>6601</v>
      </c>
      <c r="D160" t="s">
        <v>6602</v>
      </c>
      <c r="E160" t="s">
        <v>6603</v>
      </c>
      <c r="F160" t="s">
        <v>5169</v>
      </c>
      <c r="G160" t="s">
        <v>5160</v>
      </c>
    </row>
    <row r="161" spans="1:7" x14ac:dyDescent="0.2">
      <c r="A161" t="s">
        <v>73</v>
      </c>
      <c r="B161">
        <v>5</v>
      </c>
      <c r="C161" t="s">
        <v>6604</v>
      </c>
      <c r="D161" t="s">
        <v>6605</v>
      </c>
      <c r="E161" t="s">
        <v>6606</v>
      </c>
      <c r="F161" t="s">
        <v>5160</v>
      </c>
      <c r="G161" t="s">
        <v>5163</v>
      </c>
    </row>
    <row r="162" spans="1:7" x14ac:dyDescent="0.2">
      <c r="A162" t="s">
        <v>58</v>
      </c>
      <c r="B162">
        <v>1</v>
      </c>
      <c r="C162" t="s">
        <v>6607</v>
      </c>
      <c r="D162" t="s">
        <v>6608</v>
      </c>
      <c r="E162" t="s">
        <v>6609</v>
      </c>
      <c r="F162" t="s">
        <v>5163</v>
      </c>
      <c r="G162" t="s">
        <v>5160</v>
      </c>
    </row>
    <row r="163" spans="1:7" x14ac:dyDescent="0.2">
      <c r="A163" t="s">
        <v>58</v>
      </c>
      <c r="B163">
        <v>2</v>
      </c>
      <c r="C163" t="s">
        <v>6610</v>
      </c>
      <c r="D163" t="s">
        <v>6611</v>
      </c>
      <c r="E163" t="s">
        <v>6612</v>
      </c>
      <c r="F163" t="s">
        <v>5169</v>
      </c>
      <c r="G163" t="s">
        <v>5163</v>
      </c>
    </row>
    <row r="164" spans="1:7" x14ac:dyDescent="0.2">
      <c r="A164" t="s">
        <v>58</v>
      </c>
      <c r="B164">
        <v>3</v>
      </c>
      <c r="C164" t="s">
        <v>6613</v>
      </c>
      <c r="D164" t="s">
        <v>6614</v>
      </c>
      <c r="E164" t="s">
        <v>6615</v>
      </c>
      <c r="F164" t="s">
        <v>5193</v>
      </c>
      <c r="G164" t="s">
        <v>5160</v>
      </c>
    </row>
    <row r="165" spans="1:7" x14ac:dyDescent="0.2">
      <c r="A165" t="s">
        <v>58</v>
      </c>
      <c r="B165">
        <v>4</v>
      </c>
      <c r="C165" t="s">
        <v>6616</v>
      </c>
      <c r="D165" t="s">
        <v>6617</v>
      </c>
      <c r="E165" t="s">
        <v>6618</v>
      </c>
      <c r="F165" t="s">
        <v>5160</v>
      </c>
      <c r="G165" t="s">
        <v>5169</v>
      </c>
    </row>
    <row r="166" spans="1:7" x14ac:dyDescent="0.2">
      <c r="A166" t="s">
        <v>58</v>
      </c>
      <c r="B166">
        <v>5</v>
      </c>
      <c r="C166" t="s">
        <v>6619</v>
      </c>
      <c r="D166" t="s">
        <v>6620</v>
      </c>
      <c r="E166" t="s">
        <v>6621</v>
      </c>
      <c r="F166" t="s">
        <v>5160</v>
      </c>
      <c r="G166" t="s">
        <v>5169</v>
      </c>
    </row>
    <row r="167" spans="1:7" x14ac:dyDescent="0.2">
      <c r="A167" t="s">
        <v>62</v>
      </c>
      <c r="B167">
        <v>1</v>
      </c>
      <c r="C167" t="s">
        <v>6622</v>
      </c>
      <c r="D167" t="s">
        <v>6623</v>
      </c>
      <c r="E167" t="s">
        <v>6624</v>
      </c>
      <c r="F167" t="s">
        <v>5160</v>
      </c>
      <c r="G167" t="s">
        <v>5169</v>
      </c>
    </row>
    <row r="168" spans="1:7" x14ac:dyDescent="0.2">
      <c r="A168" t="s">
        <v>62</v>
      </c>
      <c r="B168">
        <v>2</v>
      </c>
      <c r="C168" t="s">
        <v>6625</v>
      </c>
      <c r="D168" t="s">
        <v>6626</v>
      </c>
      <c r="E168" t="s">
        <v>6627</v>
      </c>
      <c r="F168" t="s">
        <v>5163</v>
      </c>
      <c r="G168" t="s">
        <v>5160</v>
      </c>
    </row>
    <row r="169" spans="1:7" x14ac:dyDescent="0.2">
      <c r="A169" t="s">
        <v>62</v>
      </c>
      <c r="B169">
        <v>3</v>
      </c>
      <c r="C169" t="s">
        <v>6628</v>
      </c>
      <c r="D169" t="s">
        <v>6629</v>
      </c>
      <c r="E169" t="s">
        <v>6630</v>
      </c>
      <c r="F169" t="s">
        <v>5163</v>
      </c>
      <c r="G169" t="s">
        <v>5193</v>
      </c>
    </row>
    <row r="170" spans="1:7" x14ac:dyDescent="0.2">
      <c r="A170" t="s">
        <v>62</v>
      </c>
      <c r="B170">
        <v>4</v>
      </c>
      <c r="C170" t="s">
        <v>6631</v>
      </c>
      <c r="D170" t="s">
        <v>6632</v>
      </c>
      <c r="E170" t="s">
        <v>6633</v>
      </c>
      <c r="F170" t="s">
        <v>5160</v>
      </c>
      <c r="G170" t="s">
        <v>5163</v>
      </c>
    </row>
    <row r="171" spans="1:7" x14ac:dyDescent="0.2">
      <c r="A171" t="s">
        <v>62</v>
      </c>
      <c r="B171">
        <v>5</v>
      </c>
      <c r="C171" t="s">
        <v>6634</v>
      </c>
      <c r="D171" t="s">
        <v>6635</v>
      </c>
      <c r="E171" t="s">
        <v>6636</v>
      </c>
      <c r="F171" t="s">
        <v>5163</v>
      </c>
      <c r="G171" t="s">
        <v>5160</v>
      </c>
    </row>
    <row r="172" spans="1:7" x14ac:dyDescent="0.2">
      <c r="A172" t="s">
        <v>95</v>
      </c>
      <c r="B172">
        <v>1</v>
      </c>
      <c r="C172" t="s">
        <v>6637</v>
      </c>
      <c r="D172" t="s">
        <v>6638</v>
      </c>
      <c r="E172" t="s">
        <v>6639</v>
      </c>
      <c r="F172" t="s">
        <v>5163</v>
      </c>
      <c r="G172" t="s">
        <v>5160</v>
      </c>
    </row>
    <row r="173" spans="1:7" x14ac:dyDescent="0.2">
      <c r="A173" t="s">
        <v>95</v>
      </c>
      <c r="B173">
        <v>2</v>
      </c>
      <c r="C173" t="s">
        <v>6640</v>
      </c>
      <c r="D173" t="s">
        <v>6641</v>
      </c>
      <c r="E173" t="s">
        <v>6642</v>
      </c>
      <c r="F173" t="s">
        <v>5160</v>
      </c>
      <c r="G173" t="s">
        <v>5193</v>
      </c>
    </row>
    <row r="174" spans="1:7" x14ac:dyDescent="0.2">
      <c r="A174" t="s">
        <v>95</v>
      </c>
      <c r="B174">
        <v>3</v>
      </c>
      <c r="C174" t="s">
        <v>6643</v>
      </c>
      <c r="D174" t="s">
        <v>6644</v>
      </c>
      <c r="E174" t="s">
        <v>6645</v>
      </c>
      <c r="F174" t="s">
        <v>5163</v>
      </c>
      <c r="G174" t="s">
        <v>5160</v>
      </c>
    </row>
    <row r="175" spans="1:7" x14ac:dyDescent="0.2">
      <c r="A175" t="s">
        <v>95</v>
      </c>
      <c r="B175">
        <v>4</v>
      </c>
      <c r="C175" t="s">
        <v>6646</v>
      </c>
      <c r="D175" t="s">
        <v>6647</v>
      </c>
      <c r="E175" t="s">
        <v>6648</v>
      </c>
      <c r="F175" t="s">
        <v>5163</v>
      </c>
      <c r="G175" t="s">
        <v>5169</v>
      </c>
    </row>
    <row r="176" spans="1:7" x14ac:dyDescent="0.2">
      <c r="A176" t="s">
        <v>95</v>
      </c>
      <c r="B176">
        <v>5</v>
      </c>
      <c r="C176" t="s">
        <v>6649</v>
      </c>
      <c r="D176" t="s">
        <v>6650</v>
      </c>
      <c r="E176" t="s">
        <v>6651</v>
      </c>
      <c r="F176" t="s">
        <v>5160</v>
      </c>
      <c r="G176" t="s">
        <v>5163</v>
      </c>
    </row>
    <row r="177" spans="1:7" x14ac:dyDescent="0.2">
      <c r="A177" t="s">
        <v>67</v>
      </c>
      <c r="B177">
        <v>1</v>
      </c>
      <c r="C177" t="s">
        <v>6652</v>
      </c>
      <c r="D177" t="s">
        <v>6653</v>
      </c>
      <c r="E177" t="s">
        <v>6654</v>
      </c>
      <c r="F177" t="s">
        <v>5163</v>
      </c>
      <c r="G177" t="s">
        <v>5160</v>
      </c>
    </row>
    <row r="178" spans="1:7" x14ac:dyDescent="0.2">
      <c r="A178" t="s">
        <v>67</v>
      </c>
      <c r="B178">
        <v>2</v>
      </c>
      <c r="C178" t="s">
        <v>6655</v>
      </c>
      <c r="D178" t="s">
        <v>6656</v>
      </c>
      <c r="E178" t="s">
        <v>6657</v>
      </c>
      <c r="F178" t="s">
        <v>5163</v>
      </c>
      <c r="G178" t="s">
        <v>5169</v>
      </c>
    </row>
    <row r="179" spans="1:7" x14ac:dyDescent="0.2">
      <c r="A179" t="s">
        <v>67</v>
      </c>
      <c r="B179">
        <v>3</v>
      </c>
      <c r="C179" t="s">
        <v>6658</v>
      </c>
      <c r="D179" t="s">
        <v>6659</v>
      </c>
      <c r="E179" t="s">
        <v>6660</v>
      </c>
      <c r="F179" t="s">
        <v>5160</v>
      </c>
      <c r="G179" t="s">
        <v>5193</v>
      </c>
    </row>
    <row r="180" spans="1:7" x14ac:dyDescent="0.2">
      <c r="A180" t="s">
        <v>67</v>
      </c>
      <c r="B180">
        <v>4</v>
      </c>
      <c r="C180" t="s">
        <v>6661</v>
      </c>
      <c r="D180" t="s">
        <v>6662</v>
      </c>
      <c r="E180" t="s">
        <v>6663</v>
      </c>
      <c r="F180" t="s">
        <v>5193</v>
      </c>
      <c r="G180" t="s">
        <v>5160</v>
      </c>
    </row>
    <row r="181" spans="1:7" x14ac:dyDescent="0.2">
      <c r="A181" t="s">
        <v>67</v>
      </c>
      <c r="B181">
        <v>5</v>
      </c>
      <c r="C181" t="s">
        <v>6664</v>
      </c>
      <c r="D181" t="s">
        <v>6665</v>
      </c>
      <c r="E181" t="s">
        <v>6666</v>
      </c>
      <c r="F181" t="s">
        <v>5169</v>
      </c>
      <c r="G181" t="s">
        <v>5160</v>
      </c>
    </row>
    <row r="182" spans="1:7" x14ac:dyDescent="0.2">
      <c r="A182" t="s">
        <v>60</v>
      </c>
      <c r="B182">
        <v>1</v>
      </c>
      <c r="C182" t="s">
        <v>6667</v>
      </c>
      <c r="D182" t="s">
        <v>6668</v>
      </c>
      <c r="E182" t="s">
        <v>6669</v>
      </c>
      <c r="F182" t="s">
        <v>5160</v>
      </c>
      <c r="G182" t="s">
        <v>5169</v>
      </c>
    </row>
    <row r="183" spans="1:7" x14ac:dyDescent="0.2">
      <c r="A183" t="s">
        <v>60</v>
      </c>
      <c r="B183">
        <v>2</v>
      </c>
      <c r="C183" t="s">
        <v>6670</v>
      </c>
      <c r="D183" t="s">
        <v>6671</v>
      </c>
      <c r="E183" t="s">
        <v>6672</v>
      </c>
      <c r="F183" t="s">
        <v>5160</v>
      </c>
      <c r="G183" t="s">
        <v>5193</v>
      </c>
    </row>
    <row r="184" spans="1:7" x14ac:dyDescent="0.2">
      <c r="A184" t="s">
        <v>60</v>
      </c>
      <c r="B184">
        <v>3</v>
      </c>
      <c r="C184" t="s">
        <v>6673</v>
      </c>
      <c r="D184" t="s">
        <v>6674</v>
      </c>
      <c r="E184" t="s">
        <v>6675</v>
      </c>
      <c r="F184" t="s">
        <v>5163</v>
      </c>
      <c r="G184" t="s">
        <v>5160</v>
      </c>
    </row>
    <row r="185" spans="1:7" x14ac:dyDescent="0.2">
      <c r="A185" t="s">
        <v>60</v>
      </c>
      <c r="B185">
        <v>4</v>
      </c>
      <c r="C185" t="s">
        <v>6676</v>
      </c>
      <c r="D185" t="s">
        <v>6677</v>
      </c>
      <c r="E185" t="s">
        <v>6678</v>
      </c>
      <c r="F185" t="s">
        <v>5160</v>
      </c>
      <c r="G185" t="s">
        <v>5163</v>
      </c>
    </row>
    <row r="186" spans="1:7" x14ac:dyDescent="0.2">
      <c r="A186" t="s">
        <v>60</v>
      </c>
      <c r="B186">
        <v>5</v>
      </c>
      <c r="C186" t="s">
        <v>6679</v>
      </c>
      <c r="D186" t="s">
        <v>6680</v>
      </c>
      <c r="E186" t="s">
        <v>6681</v>
      </c>
      <c r="F186" t="s">
        <v>5163</v>
      </c>
      <c r="G186" t="s">
        <v>5193</v>
      </c>
    </row>
    <row r="187" spans="1:7" x14ac:dyDescent="0.2">
      <c r="A187" t="s">
        <v>77</v>
      </c>
      <c r="B187">
        <v>1</v>
      </c>
      <c r="C187" t="s">
        <v>6682</v>
      </c>
      <c r="D187" t="s">
        <v>6683</v>
      </c>
      <c r="E187" t="s">
        <v>6684</v>
      </c>
      <c r="F187" t="s">
        <v>5160</v>
      </c>
      <c r="G187" t="s">
        <v>5163</v>
      </c>
    </row>
    <row r="188" spans="1:7" x14ac:dyDescent="0.2">
      <c r="A188" t="s">
        <v>77</v>
      </c>
      <c r="B188">
        <v>2</v>
      </c>
      <c r="C188" t="s">
        <v>6685</v>
      </c>
      <c r="D188" t="s">
        <v>6686</v>
      </c>
      <c r="E188" t="s">
        <v>6687</v>
      </c>
      <c r="F188" t="s">
        <v>5160</v>
      </c>
      <c r="G188" t="s">
        <v>5169</v>
      </c>
    </row>
    <row r="189" spans="1:7" x14ac:dyDescent="0.2">
      <c r="A189" t="s">
        <v>77</v>
      </c>
      <c r="B189">
        <v>3</v>
      </c>
      <c r="C189" t="s">
        <v>6688</v>
      </c>
      <c r="D189" t="s">
        <v>6689</v>
      </c>
      <c r="E189" t="s">
        <v>6690</v>
      </c>
      <c r="F189" t="s">
        <v>5163</v>
      </c>
      <c r="G189" t="s">
        <v>5160</v>
      </c>
    </row>
    <row r="190" spans="1:7" x14ac:dyDescent="0.2">
      <c r="A190" t="s">
        <v>77</v>
      </c>
      <c r="B190">
        <v>4</v>
      </c>
      <c r="C190" t="s">
        <v>6491</v>
      </c>
      <c r="D190" t="s">
        <v>6691</v>
      </c>
      <c r="E190" t="s">
        <v>6692</v>
      </c>
      <c r="F190" t="s">
        <v>5169</v>
      </c>
      <c r="G190" t="s">
        <v>5160</v>
      </c>
    </row>
    <row r="191" spans="1:7" x14ac:dyDescent="0.2">
      <c r="A191" t="s">
        <v>77</v>
      </c>
      <c r="B191">
        <v>5</v>
      </c>
      <c r="C191" t="s">
        <v>6693</v>
      </c>
      <c r="D191" t="s">
        <v>6694</v>
      </c>
      <c r="E191" t="s">
        <v>6695</v>
      </c>
      <c r="F191" t="s">
        <v>5163</v>
      </c>
      <c r="G191" t="s">
        <v>5193</v>
      </c>
    </row>
    <row r="192" spans="1:7" x14ac:dyDescent="0.2">
      <c r="A192" t="s">
        <v>65</v>
      </c>
      <c r="B192">
        <v>1</v>
      </c>
      <c r="C192" t="s">
        <v>6696</v>
      </c>
      <c r="D192" t="s">
        <v>6697</v>
      </c>
      <c r="E192" t="s">
        <v>6698</v>
      </c>
      <c r="F192" t="s">
        <v>5160</v>
      </c>
      <c r="G192" t="s">
        <v>5169</v>
      </c>
    </row>
    <row r="193" spans="1:7" x14ac:dyDescent="0.2">
      <c r="A193" t="s">
        <v>65</v>
      </c>
      <c r="B193">
        <v>2</v>
      </c>
      <c r="C193" t="s">
        <v>6699</v>
      </c>
      <c r="D193" t="s">
        <v>6700</v>
      </c>
      <c r="E193" t="s">
        <v>6701</v>
      </c>
      <c r="F193" t="s">
        <v>5160</v>
      </c>
      <c r="G193" t="s">
        <v>5193</v>
      </c>
    </row>
    <row r="194" spans="1:7" x14ac:dyDescent="0.2">
      <c r="A194" t="s">
        <v>65</v>
      </c>
      <c r="B194">
        <v>3</v>
      </c>
      <c r="C194" t="s">
        <v>6702</v>
      </c>
      <c r="D194" t="s">
        <v>6703</v>
      </c>
      <c r="E194" t="s">
        <v>6704</v>
      </c>
      <c r="F194" t="s">
        <v>5160</v>
      </c>
      <c r="G194" t="s">
        <v>5163</v>
      </c>
    </row>
    <row r="195" spans="1:7" x14ac:dyDescent="0.2">
      <c r="A195" t="s">
        <v>65</v>
      </c>
      <c r="B195">
        <v>4</v>
      </c>
      <c r="C195" t="s">
        <v>6705</v>
      </c>
      <c r="D195" t="s">
        <v>6706</v>
      </c>
      <c r="E195" t="s">
        <v>6707</v>
      </c>
      <c r="F195" t="s">
        <v>5163</v>
      </c>
      <c r="G195" t="s">
        <v>5160</v>
      </c>
    </row>
    <row r="196" spans="1:7" x14ac:dyDescent="0.2">
      <c r="A196" t="s">
        <v>65</v>
      </c>
      <c r="B196">
        <v>5</v>
      </c>
      <c r="C196" t="s">
        <v>6708</v>
      </c>
      <c r="D196" t="s">
        <v>6709</v>
      </c>
      <c r="E196" t="s">
        <v>6710</v>
      </c>
      <c r="F196" t="s">
        <v>5193</v>
      </c>
      <c r="G196" t="s">
        <v>5169</v>
      </c>
    </row>
    <row r="197" spans="1:7" x14ac:dyDescent="0.2">
      <c r="A197" t="s">
        <v>87</v>
      </c>
      <c r="B197">
        <v>1</v>
      </c>
      <c r="C197" t="s">
        <v>6711</v>
      </c>
      <c r="D197" t="s">
        <v>6712</v>
      </c>
      <c r="E197" t="s">
        <v>6713</v>
      </c>
      <c r="F197" t="s">
        <v>5163</v>
      </c>
      <c r="G197" t="s">
        <v>5160</v>
      </c>
    </row>
    <row r="198" spans="1:7" x14ac:dyDescent="0.2">
      <c r="A198" t="s">
        <v>87</v>
      </c>
      <c r="B198">
        <v>2</v>
      </c>
      <c r="C198" t="s">
        <v>6714</v>
      </c>
      <c r="D198" t="s">
        <v>6715</v>
      </c>
      <c r="E198" t="s">
        <v>6716</v>
      </c>
      <c r="F198" t="s">
        <v>5160</v>
      </c>
      <c r="G198" t="s">
        <v>5169</v>
      </c>
    </row>
    <row r="199" spans="1:7" x14ac:dyDescent="0.2">
      <c r="A199" t="s">
        <v>87</v>
      </c>
      <c r="B199">
        <v>3</v>
      </c>
      <c r="C199" t="s">
        <v>6717</v>
      </c>
      <c r="D199" t="s">
        <v>6718</v>
      </c>
      <c r="E199" t="s">
        <v>6719</v>
      </c>
      <c r="F199" t="s">
        <v>5193</v>
      </c>
      <c r="G199" t="s">
        <v>5160</v>
      </c>
    </row>
    <row r="200" spans="1:7" x14ac:dyDescent="0.2">
      <c r="A200" t="s">
        <v>87</v>
      </c>
      <c r="B200">
        <v>4</v>
      </c>
      <c r="C200" t="s">
        <v>6720</v>
      </c>
      <c r="D200" t="s">
        <v>6721</v>
      </c>
      <c r="E200" t="s">
        <v>6722</v>
      </c>
      <c r="F200" t="s">
        <v>5169</v>
      </c>
      <c r="G200" t="s">
        <v>5160</v>
      </c>
    </row>
    <row r="201" spans="1:7" x14ac:dyDescent="0.2">
      <c r="A201" t="s">
        <v>87</v>
      </c>
      <c r="B201">
        <v>5</v>
      </c>
      <c r="C201" t="s">
        <v>6723</v>
      </c>
      <c r="D201" t="s">
        <v>6724</v>
      </c>
      <c r="E201" t="s">
        <v>6725</v>
      </c>
      <c r="F201" t="s">
        <v>5160</v>
      </c>
      <c r="G201" t="s">
        <v>5163</v>
      </c>
    </row>
    <row r="202" spans="1:7" x14ac:dyDescent="0.2">
      <c r="A202" t="s">
        <v>70</v>
      </c>
      <c r="B202">
        <v>1</v>
      </c>
      <c r="C202" t="s">
        <v>6726</v>
      </c>
      <c r="D202" t="s">
        <v>6727</v>
      </c>
      <c r="E202" t="s">
        <v>6728</v>
      </c>
      <c r="F202" t="s">
        <v>5160</v>
      </c>
      <c r="G202" t="s">
        <v>5193</v>
      </c>
    </row>
    <row r="203" spans="1:7" x14ac:dyDescent="0.2">
      <c r="A203" t="s">
        <v>70</v>
      </c>
      <c r="B203">
        <v>2</v>
      </c>
      <c r="C203" t="s">
        <v>6729</v>
      </c>
      <c r="D203" t="s">
        <v>6730</v>
      </c>
      <c r="E203" t="s">
        <v>6731</v>
      </c>
      <c r="F203" t="s">
        <v>5169</v>
      </c>
      <c r="G203" t="s">
        <v>5160</v>
      </c>
    </row>
    <row r="204" spans="1:7" x14ac:dyDescent="0.2">
      <c r="A204" t="s">
        <v>70</v>
      </c>
      <c r="B204">
        <v>3</v>
      </c>
      <c r="C204" t="s">
        <v>6732</v>
      </c>
      <c r="D204" t="s">
        <v>6733</v>
      </c>
      <c r="E204" t="s">
        <v>6734</v>
      </c>
      <c r="F204" t="s">
        <v>5169</v>
      </c>
      <c r="G204" t="s">
        <v>5160</v>
      </c>
    </row>
    <row r="205" spans="1:7" x14ac:dyDescent="0.2">
      <c r="A205" t="s">
        <v>70</v>
      </c>
      <c r="B205">
        <v>4</v>
      </c>
      <c r="C205" t="s">
        <v>6735</v>
      </c>
      <c r="D205" t="s">
        <v>6736</v>
      </c>
      <c r="E205" t="s">
        <v>6737</v>
      </c>
      <c r="F205" t="s">
        <v>5163</v>
      </c>
      <c r="G205" t="s">
        <v>5169</v>
      </c>
    </row>
    <row r="206" spans="1:7" x14ac:dyDescent="0.2">
      <c r="A206" t="s">
        <v>70</v>
      </c>
      <c r="B206">
        <v>5</v>
      </c>
      <c r="C206" t="s">
        <v>6738</v>
      </c>
      <c r="D206" t="s">
        <v>6739</v>
      </c>
      <c r="E206" t="s">
        <v>6740</v>
      </c>
      <c r="F206" t="s">
        <v>5160</v>
      </c>
      <c r="G206" t="s">
        <v>5163</v>
      </c>
    </row>
    <row r="207" spans="1:7" x14ac:dyDescent="0.2">
      <c r="A207" t="s">
        <v>83</v>
      </c>
      <c r="B207">
        <v>1</v>
      </c>
      <c r="C207" t="s">
        <v>6741</v>
      </c>
      <c r="D207" t="s">
        <v>6742</v>
      </c>
      <c r="E207" t="s">
        <v>6743</v>
      </c>
      <c r="F207" t="s">
        <v>5163</v>
      </c>
      <c r="G207" t="s">
        <v>5160</v>
      </c>
    </row>
    <row r="208" spans="1:7" x14ac:dyDescent="0.2">
      <c r="A208" t="s">
        <v>83</v>
      </c>
      <c r="B208">
        <v>2</v>
      </c>
      <c r="C208" t="s">
        <v>6744</v>
      </c>
      <c r="D208" t="s">
        <v>6745</v>
      </c>
      <c r="E208" t="s">
        <v>6746</v>
      </c>
      <c r="F208" t="s">
        <v>5169</v>
      </c>
      <c r="G208" t="s">
        <v>5160</v>
      </c>
    </row>
    <row r="209" spans="1:7" x14ac:dyDescent="0.2">
      <c r="A209" t="s">
        <v>83</v>
      </c>
      <c r="B209">
        <v>3</v>
      </c>
      <c r="C209" t="s">
        <v>6747</v>
      </c>
      <c r="D209" t="s">
        <v>6748</v>
      </c>
      <c r="E209" t="s">
        <v>6749</v>
      </c>
      <c r="F209" t="s">
        <v>5193</v>
      </c>
      <c r="G209" t="s">
        <v>5169</v>
      </c>
    </row>
    <row r="210" spans="1:7" x14ac:dyDescent="0.2">
      <c r="A210" t="s">
        <v>83</v>
      </c>
      <c r="B210">
        <v>4</v>
      </c>
      <c r="C210" t="s">
        <v>6750</v>
      </c>
      <c r="D210" t="s">
        <v>6751</v>
      </c>
      <c r="E210" t="s">
        <v>6752</v>
      </c>
      <c r="F210" t="s">
        <v>5160</v>
      </c>
      <c r="G210" t="s">
        <v>5163</v>
      </c>
    </row>
    <row r="211" spans="1:7" x14ac:dyDescent="0.2">
      <c r="A211" t="s">
        <v>83</v>
      </c>
      <c r="B211">
        <v>5</v>
      </c>
      <c r="C211" t="s">
        <v>6753</v>
      </c>
      <c r="D211" t="s">
        <v>6754</v>
      </c>
      <c r="E211" t="s">
        <v>6755</v>
      </c>
      <c r="F211" t="s">
        <v>5169</v>
      </c>
      <c r="G211" t="s">
        <v>5193</v>
      </c>
    </row>
    <row r="212" spans="1:7" x14ac:dyDescent="0.2">
      <c r="A212" t="s">
        <v>26</v>
      </c>
      <c r="B212">
        <v>1</v>
      </c>
      <c r="C212" t="s">
        <v>6756</v>
      </c>
      <c r="D212" t="s">
        <v>6757</v>
      </c>
      <c r="E212" t="s">
        <v>6758</v>
      </c>
      <c r="F212" t="s">
        <v>5163</v>
      </c>
      <c r="G212" t="s">
        <v>5169</v>
      </c>
    </row>
    <row r="213" spans="1:7" x14ac:dyDescent="0.2">
      <c r="A213" t="s">
        <v>26</v>
      </c>
      <c r="B213">
        <v>2</v>
      </c>
      <c r="C213" t="s">
        <v>6759</v>
      </c>
      <c r="D213" t="s">
        <v>6760</v>
      </c>
      <c r="E213" t="s">
        <v>6761</v>
      </c>
      <c r="F213" t="s">
        <v>5160</v>
      </c>
      <c r="G213" t="s">
        <v>5193</v>
      </c>
    </row>
    <row r="214" spans="1:7" x14ac:dyDescent="0.2">
      <c r="A214" t="s">
        <v>26</v>
      </c>
      <c r="B214">
        <v>3</v>
      </c>
      <c r="C214" t="s">
        <v>6762</v>
      </c>
      <c r="D214" t="s">
        <v>6763</v>
      </c>
      <c r="E214" t="s">
        <v>6764</v>
      </c>
      <c r="F214" t="s">
        <v>5163</v>
      </c>
      <c r="G214" t="s">
        <v>5160</v>
      </c>
    </row>
    <row r="215" spans="1:7" x14ac:dyDescent="0.2">
      <c r="A215" t="s">
        <v>26</v>
      </c>
      <c r="B215">
        <v>4</v>
      </c>
      <c r="C215" t="s">
        <v>6765</v>
      </c>
      <c r="D215" t="s">
        <v>6766</v>
      </c>
      <c r="E215" t="s">
        <v>6767</v>
      </c>
      <c r="F215" t="s">
        <v>5193</v>
      </c>
      <c r="G215" t="s">
        <v>5160</v>
      </c>
    </row>
    <row r="216" spans="1:7" x14ac:dyDescent="0.2">
      <c r="A216" t="s">
        <v>26</v>
      </c>
      <c r="B216">
        <v>5</v>
      </c>
      <c r="C216" t="s">
        <v>6768</v>
      </c>
      <c r="D216" t="s">
        <v>6769</v>
      </c>
      <c r="E216" t="s">
        <v>6770</v>
      </c>
      <c r="F216" t="s">
        <v>5163</v>
      </c>
      <c r="G216" t="s">
        <v>5169</v>
      </c>
    </row>
    <row r="217" spans="1:7" x14ac:dyDescent="0.2">
      <c r="A217" t="s">
        <v>22</v>
      </c>
      <c r="B217">
        <v>1</v>
      </c>
      <c r="C217" t="s">
        <v>6771</v>
      </c>
      <c r="D217" t="s">
        <v>6772</v>
      </c>
      <c r="E217" t="s">
        <v>6773</v>
      </c>
      <c r="F217" t="s">
        <v>5193</v>
      </c>
      <c r="G217" t="s">
        <v>5163</v>
      </c>
    </row>
    <row r="218" spans="1:7" x14ac:dyDescent="0.2">
      <c r="A218" t="s">
        <v>22</v>
      </c>
      <c r="B218">
        <v>2</v>
      </c>
      <c r="C218" t="s">
        <v>6774</v>
      </c>
      <c r="D218" t="s">
        <v>6775</v>
      </c>
      <c r="E218" t="s">
        <v>6776</v>
      </c>
      <c r="F218" t="s">
        <v>5163</v>
      </c>
      <c r="G218" t="s">
        <v>5160</v>
      </c>
    </row>
    <row r="219" spans="1:7" x14ac:dyDescent="0.2">
      <c r="A219" t="s">
        <v>22</v>
      </c>
      <c r="B219">
        <v>3</v>
      </c>
      <c r="C219" t="s">
        <v>6777</v>
      </c>
      <c r="D219" t="s">
        <v>6778</v>
      </c>
      <c r="E219" t="s">
        <v>6779</v>
      </c>
      <c r="F219" t="s">
        <v>5160</v>
      </c>
      <c r="G219" t="s">
        <v>5169</v>
      </c>
    </row>
    <row r="220" spans="1:7" x14ac:dyDescent="0.2">
      <c r="A220" t="s">
        <v>22</v>
      </c>
      <c r="B220">
        <v>4</v>
      </c>
      <c r="C220" t="s">
        <v>6780</v>
      </c>
      <c r="D220" t="s">
        <v>6781</v>
      </c>
      <c r="E220" t="s">
        <v>6782</v>
      </c>
      <c r="F220" t="s">
        <v>5160</v>
      </c>
      <c r="G220" t="s">
        <v>5163</v>
      </c>
    </row>
    <row r="221" spans="1:7" x14ac:dyDescent="0.2">
      <c r="A221" t="s">
        <v>22</v>
      </c>
      <c r="B221">
        <v>5</v>
      </c>
      <c r="C221" t="s">
        <v>6783</v>
      </c>
      <c r="D221" t="s">
        <v>6784</v>
      </c>
      <c r="E221" t="s">
        <v>6785</v>
      </c>
      <c r="F221" t="s">
        <v>5169</v>
      </c>
      <c r="G221" t="s">
        <v>5163</v>
      </c>
    </row>
    <row r="222" spans="1:7" x14ac:dyDescent="0.2">
      <c r="A222" t="s">
        <v>80</v>
      </c>
      <c r="B222">
        <v>1</v>
      </c>
      <c r="C222" t="s">
        <v>6786</v>
      </c>
      <c r="D222" t="s">
        <v>6787</v>
      </c>
      <c r="E222" t="s">
        <v>6788</v>
      </c>
      <c r="F222" t="s">
        <v>5163</v>
      </c>
      <c r="G222" t="s">
        <v>5160</v>
      </c>
    </row>
    <row r="223" spans="1:7" x14ac:dyDescent="0.2">
      <c r="A223" t="s">
        <v>80</v>
      </c>
      <c r="B223">
        <v>2</v>
      </c>
      <c r="C223" t="s">
        <v>6789</v>
      </c>
      <c r="D223" t="s">
        <v>6790</v>
      </c>
      <c r="E223" t="s">
        <v>6791</v>
      </c>
      <c r="F223" t="s">
        <v>5160</v>
      </c>
      <c r="G223" t="s">
        <v>5163</v>
      </c>
    </row>
    <row r="224" spans="1:7" x14ac:dyDescent="0.2">
      <c r="A224" t="s">
        <v>80</v>
      </c>
      <c r="B224">
        <v>3</v>
      </c>
      <c r="C224" t="s">
        <v>6792</v>
      </c>
      <c r="D224" t="s">
        <v>6793</v>
      </c>
      <c r="E224" t="s">
        <v>6794</v>
      </c>
      <c r="F224" t="s">
        <v>5169</v>
      </c>
      <c r="G224" t="s">
        <v>5163</v>
      </c>
    </row>
    <row r="225" spans="1:7" x14ac:dyDescent="0.2">
      <c r="A225" t="s">
        <v>80</v>
      </c>
      <c r="B225">
        <v>4</v>
      </c>
      <c r="C225" t="s">
        <v>6795</v>
      </c>
      <c r="D225" t="s">
        <v>6796</v>
      </c>
      <c r="E225" t="s">
        <v>6797</v>
      </c>
      <c r="F225" t="s">
        <v>5160</v>
      </c>
      <c r="G225" t="s">
        <v>5169</v>
      </c>
    </row>
    <row r="226" spans="1:7" x14ac:dyDescent="0.2">
      <c r="A226" t="s">
        <v>80</v>
      </c>
      <c r="B226">
        <v>5</v>
      </c>
      <c r="C226" t="s">
        <v>6798</v>
      </c>
      <c r="D226" t="s">
        <v>6799</v>
      </c>
      <c r="E226" t="s">
        <v>6800</v>
      </c>
      <c r="F226" t="s">
        <v>5160</v>
      </c>
      <c r="G226" t="s">
        <v>5193</v>
      </c>
    </row>
    <row r="227" spans="1:7" x14ac:dyDescent="0.2">
      <c r="A227" t="s">
        <v>99</v>
      </c>
      <c r="B227">
        <v>1</v>
      </c>
      <c r="C227" t="s">
        <v>6801</v>
      </c>
      <c r="D227" t="s">
        <v>6802</v>
      </c>
      <c r="E227" t="s">
        <v>6803</v>
      </c>
      <c r="F227" t="s">
        <v>5163</v>
      </c>
      <c r="G227" t="s">
        <v>5160</v>
      </c>
    </row>
    <row r="228" spans="1:7" x14ac:dyDescent="0.2">
      <c r="A228" t="s">
        <v>99</v>
      </c>
      <c r="B228">
        <v>2</v>
      </c>
      <c r="C228" t="s">
        <v>6804</v>
      </c>
      <c r="D228" t="s">
        <v>6805</v>
      </c>
      <c r="E228" t="s">
        <v>6806</v>
      </c>
      <c r="F228" t="s">
        <v>5160</v>
      </c>
      <c r="G228" t="s">
        <v>5163</v>
      </c>
    </row>
    <row r="229" spans="1:7" x14ac:dyDescent="0.2">
      <c r="A229" t="s">
        <v>99</v>
      </c>
      <c r="B229">
        <v>3</v>
      </c>
      <c r="C229" t="s">
        <v>6807</v>
      </c>
      <c r="D229" t="s">
        <v>6808</v>
      </c>
      <c r="E229" t="s">
        <v>6809</v>
      </c>
      <c r="F229" t="s">
        <v>5193</v>
      </c>
      <c r="G229" t="s">
        <v>5160</v>
      </c>
    </row>
    <row r="230" spans="1:7" x14ac:dyDescent="0.2">
      <c r="A230" t="s">
        <v>99</v>
      </c>
      <c r="B230">
        <v>4</v>
      </c>
      <c r="C230" t="s">
        <v>6810</v>
      </c>
      <c r="D230" t="s">
        <v>6811</v>
      </c>
      <c r="E230" t="s">
        <v>6812</v>
      </c>
      <c r="F230" t="s">
        <v>5163</v>
      </c>
      <c r="G230" t="s">
        <v>5169</v>
      </c>
    </row>
    <row r="231" spans="1:7" x14ac:dyDescent="0.2">
      <c r="A231" t="s">
        <v>99</v>
      </c>
      <c r="B231">
        <v>5</v>
      </c>
      <c r="C231" t="s">
        <v>6813</v>
      </c>
      <c r="D231" t="s">
        <v>6814</v>
      </c>
      <c r="E231" t="s">
        <v>6815</v>
      </c>
      <c r="F231" t="s">
        <v>5169</v>
      </c>
      <c r="G231" t="s">
        <v>5193</v>
      </c>
    </row>
    <row r="232" spans="1:7" x14ac:dyDescent="0.2">
      <c r="A232" t="s">
        <v>34</v>
      </c>
      <c r="B232">
        <v>1</v>
      </c>
      <c r="C232" t="s">
        <v>6816</v>
      </c>
      <c r="D232" t="s">
        <v>6817</v>
      </c>
      <c r="E232" t="s">
        <v>6818</v>
      </c>
      <c r="F232" t="s">
        <v>5163</v>
      </c>
      <c r="G232" t="s">
        <v>5193</v>
      </c>
    </row>
    <row r="233" spans="1:7" x14ac:dyDescent="0.2">
      <c r="A233" t="s">
        <v>34</v>
      </c>
      <c r="B233">
        <v>2</v>
      </c>
      <c r="C233" t="s">
        <v>6819</v>
      </c>
      <c r="D233" t="s">
        <v>6820</v>
      </c>
      <c r="E233" t="s">
        <v>6821</v>
      </c>
      <c r="F233" t="s">
        <v>5160</v>
      </c>
      <c r="G233" t="s">
        <v>5169</v>
      </c>
    </row>
    <row r="234" spans="1:7" x14ac:dyDescent="0.2">
      <c r="A234" t="s">
        <v>34</v>
      </c>
      <c r="B234">
        <v>3</v>
      </c>
      <c r="C234" t="s">
        <v>6822</v>
      </c>
      <c r="D234" t="s">
        <v>6823</v>
      </c>
      <c r="E234" t="s">
        <v>6824</v>
      </c>
      <c r="F234" t="s">
        <v>5163</v>
      </c>
      <c r="G234" t="s">
        <v>5160</v>
      </c>
    </row>
    <row r="235" spans="1:7" x14ac:dyDescent="0.2">
      <c r="A235" t="s">
        <v>34</v>
      </c>
      <c r="B235">
        <v>4</v>
      </c>
      <c r="C235" t="s">
        <v>6316</v>
      </c>
      <c r="D235" t="s">
        <v>6825</v>
      </c>
      <c r="E235" t="s">
        <v>6826</v>
      </c>
      <c r="F235" t="s">
        <v>5193</v>
      </c>
      <c r="G235" t="s">
        <v>5160</v>
      </c>
    </row>
    <row r="236" spans="1:7" x14ac:dyDescent="0.2">
      <c r="A236" t="s">
        <v>34</v>
      </c>
      <c r="B236">
        <v>5</v>
      </c>
      <c r="C236" t="s">
        <v>6827</v>
      </c>
      <c r="D236" t="s">
        <v>6828</v>
      </c>
      <c r="E236" t="s">
        <v>6829</v>
      </c>
      <c r="F236" t="s">
        <v>5160</v>
      </c>
      <c r="G236" t="s">
        <v>5193</v>
      </c>
    </row>
    <row r="237" spans="1:7" x14ac:dyDescent="0.2">
      <c r="A237" t="s">
        <v>71</v>
      </c>
      <c r="B237">
        <v>1</v>
      </c>
      <c r="C237" t="s">
        <v>6830</v>
      </c>
      <c r="D237" t="s">
        <v>6831</v>
      </c>
      <c r="E237" t="s">
        <v>6832</v>
      </c>
      <c r="F237" t="s">
        <v>5160</v>
      </c>
      <c r="G237" t="s">
        <v>5163</v>
      </c>
    </row>
    <row r="238" spans="1:7" x14ac:dyDescent="0.2">
      <c r="A238" t="s">
        <v>71</v>
      </c>
      <c r="B238">
        <v>2</v>
      </c>
      <c r="C238" t="s">
        <v>6833</v>
      </c>
      <c r="D238" t="s">
        <v>6834</v>
      </c>
      <c r="E238" t="s">
        <v>6835</v>
      </c>
      <c r="F238" t="s">
        <v>5160</v>
      </c>
      <c r="G238" t="s">
        <v>5193</v>
      </c>
    </row>
    <row r="239" spans="1:7" x14ac:dyDescent="0.2">
      <c r="A239" t="s">
        <v>71</v>
      </c>
      <c r="B239">
        <v>3</v>
      </c>
      <c r="C239" t="s">
        <v>6836</v>
      </c>
      <c r="D239" t="s">
        <v>6837</v>
      </c>
      <c r="E239" t="s">
        <v>6838</v>
      </c>
      <c r="F239" t="s">
        <v>5163</v>
      </c>
      <c r="G239" t="s">
        <v>5160</v>
      </c>
    </row>
    <row r="240" spans="1:7" x14ac:dyDescent="0.2">
      <c r="A240" t="s">
        <v>71</v>
      </c>
      <c r="B240">
        <v>4</v>
      </c>
      <c r="C240" t="s">
        <v>6839</v>
      </c>
      <c r="D240" t="s">
        <v>6840</v>
      </c>
      <c r="E240" t="s">
        <v>6841</v>
      </c>
      <c r="F240" t="s">
        <v>5169</v>
      </c>
      <c r="G240" t="s">
        <v>5160</v>
      </c>
    </row>
    <row r="241" spans="1:7" x14ac:dyDescent="0.2">
      <c r="A241" t="s">
        <v>71</v>
      </c>
      <c r="B241">
        <v>5</v>
      </c>
      <c r="C241" t="s">
        <v>6842</v>
      </c>
      <c r="D241" t="s">
        <v>6843</v>
      </c>
      <c r="E241" t="s">
        <v>6844</v>
      </c>
      <c r="F241" t="s">
        <v>5160</v>
      </c>
      <c r="G241" t="s">
        <v>5169</v>
      </c>
    </row>
    <row r="242" spans="1:7" x14ac:dyDescent="0.2">
      <c r="A242" t="s">
        <v>68</v>
      </c>
      <c r="B242">
        <v>1</v>
      </c>
      <c r="C242" t="s">
        <v>6845</v>
      </c>
      <c r="D242" t="s">
        <v>6846</v>
      </c>
      <c r="E242" t="s">
        <v>6847</v>
      </c>
      <c r="F242" t="s">
        <v>5160</v>
      </c>
      <c r="G242" t="s">
        <v>5169</v>
      </c>
    </row>
    <row r="243" spans="1:7" x14ac:dyDescent="0.2">
      <c r="A243" t="s">
        <v>68</v>
      </c>
      <c r="B243">
        <v>2</v>
      </c>
      <c r="C243" t="s">
        <v>6509</v>
      </c>
      <c r="D243" t="s">
        <v>6848</v>
      </c>
      <c r="E243" t="s">
        <v>6849</v>
      </c>
      <c r="F243" t="s">
        <v>5193</v>
      </c>
      <c r="G243" t="s">
        <v>5160</v>
      </c>
    </row>
    <row r="244" spans="1:7" x14ac:dyDescent="0.2">
      <c r="A244" t="s">
        <v>68</v>
      </c>
      <c r="B244">
        <v>3</v>
      </c>
      <c r="C244" t="s">
        <v>6850</v>
      </c>
      <c r="D244" t="s">
        <v>6851</v>
      </c>
      <c r="E244" t="s">
        <v>6852</v>
      </c>
      <c r="F244" t="s">
        <v>5160</v>
      </c>
      <c r="G244" t="s">
        <v>5163</v>
      </c>
    </row>
    <row r="245" spans="1:7" x14ac:dyDescent="0.2">
      <c r="A245" t="s">
        <v>68</v>
      </c>
      <c r="B245">
        <v>4</v>
      </c>
      <c r="C245" t="s">
        <v>6853</v>
      </c>
      <c r="D245" t="s">
        <v>6854</v>
      </c>
      <c r="E245" t="s">
        <v>6855</v>
      </c>
      <c r="F245" t="s">
        <v>5163</v>
      </c>
      <c r="G245" t="s">
        <v>5160</v>
      </c>
    </row>
    <row r="246" spans="1:7" x14ac:dyDescent="0.2">
      <c r="A246" t="s">
        <v>68</v>
      </c>
      <c r="B246">
        <v>5</v>
      </c>
      <c r="C246" t="s">
        <v>6491</v>
      </c>
      <c r="D246" t="s">
        <v>6856</v>
      </c>
      <c r="E246" t="s">
        <v>6857</v>
      </c>
      <c r="F246" t="s">
        <v>5169</v>
      </c>
      <c r="G246" t="s">
        <v>5160</v>
      </c>
    </row>
    <row r="247" spans="1:7" x14ac:dyDescent="0.2">
      <c r="A247" t="s">
        <v>90</v>
      </c>
      <c r="B247">
        <v>1</v>
      </c>
      <c r="C247" t="s">
        <v>6858</v>
      </c>
      <c r="D247" t="s">
        <v>6859</v>
      </c>
      <c r="E247" t="s">
        <v>6860</v>
      </c>
      <c r="F247" t="s">
        <v>5163</v>
      </c>
      <c r="G247" t="s">
        <v>5160</v>
      </c>
    </row>
    <row r="248" spans="1:7" x14ac:dyDescent="0.2">
      <c r="A248" t="s">
        <v>90</v>
      </c>
      <c r="B248">
        <v>2</v>
      </c>
      <c r="C248" t="s">
        <v>6861</v>
      </c>
      <c r="D248" t="s">
        <v>6862</v>
      </c>
      <c r="E248" t="s">
        <v>6863</v>
      </c>
      <c r="F248" t="s">
        <v>5163</v>
      </c>
      <c r="G248" t="s">
        <v>5193</v>
      </c>
    </row>
    <row r="249" spans="1:7" x14ac:dyDescent="0.2">
      <c r="A249" t="s">
        <v>90</v>
      </c>
      <c r="B249">
        <v>3</v>
      </c>
      <c r="C249" t="s">
        <v>6864</v>
      </c>
      <c r="D249" t="s">
        <v>6865</v>
      </c>
      <c r="E249" t="s">
        <v>6866</v>
      </c>
      <c r="F249" t="s">
        <v>5160</v>
      </c>
      <c r="G249" t="s">
        <v>5169</v>
      </c>
    </row>
    <row r="250" spans="1:7" x14ac:dyDescent="0.2">
      <c r="A250" t="s">
        <v>90</v>
      </c>
      <c r="B250">
        <v>4</v>
      </c>
      <c r="C250" t="s">
        <v>6867</v>
      </c>
      <c r="D250" t="s">
        <v>6868</v>
      </c>
      <c r="E250" t="s">
        <v>6869</v>
      </c>
      <c r="F250" t="s">
        <v>5160</v>
      </c>
      <c r="G250" t="s">
        <v>5169</v>
      </c>
    </row>
    <row r="251" spans="1:7" x14ac:dyDescent="0.2">
      <c r="A251" t="s">
        <v>90</v>
      </c>
      <c r="B251">
        <v>5</v>
      </c>
      <c r="C251" t="s">
        <v>6870</v>
      </c>
      <c r="D251" t="s">
        <v>6871</v>
      </c>
      <c r="E251" t="s">
        <v>6872</v>
      </c>
      <c r="F251" t="s">
        <v>5193</v>
      </c>
      <c r="G251" t="s">
        <v>5169</v>
      </c>
    </row>
    <row r="252" spans="1:7" x14ac:dyDescent="0.2">
      <c r="A252" t="s">
        <v>96</v>
      </c>
      <c r="B252">
        <v>1</v>
      </c>
      <c r="C252" t="s">
        <v>6873</v>
      </c>
      <c r="D252" t="s">
        <v>6874</v>
      </c>
      <c r="E252" t="s">
        <v>6875</v>
      </c>
      <c r="F252" t="s">
        <v>5163</v>
      </c>
      <c r="G252" t="s">
        <v>5160</v>
      </c>
    </row>
    <row r="253" spans="1:7" x14ac:dyDescent="0.2">
      <c r="A253" t="s">
        <v>96</v>
      </c>
      <c r="B253">
        <v>2</v>
      </c>
      <c r="C253" t="s">
        <v>6876</v>
      </c>
      <c r="D253" t="s">
        <v>6877</v>
      </c>
      <c r="E253" t="s">
        <v>6878</v>
      </c>
      <c r="F253" t="s">
        <v>5160</v>
      </c>
      <c r="G253" t="s">
        <v>5193</v>
      </c>
    </row>
    <row r="254" spans="1:7" x14ac:dyDescent="0.2">
      <c r="A254" t="s">
        <v>96</v>
      </c>
      <c r="B254">
        <v>3</v>
      </c>
      <c r="C254" t="s">
        <v>6879</v>
      </c>
      <c r="D254" t="s">
        <v>6880</v>
      </c>
      <c r="E254" t="s">
        <v>6881</v>
      </c>
      <c r="F254" t="s">
        <v>5163</v>
      </c>
      <c r="G254" t="s">
        <v>5160</v>
      </c>
    </row>
    <row r="255" spans="1:7" x14ac:dyDescent="0.2">
      <c r="A255" t="s">
        <v>96</v>
      </c>
      <c r="B255">
        <v>4</v>
      </c>
      <c r="C255" t="s">
        <v>6882</v>
      </c>
      <c r="D255" t="s">
        <v>6883</v>
      </c>
      <c r="E255" t="s">
        <v>6884</v>
      </c>
      <c r="F255" t="s">
        <v>5169</v>
      </c>
      <c r="G255" t="s">
        <v>5160</v>
      </c>
    </row>
    <row r="256" spans="1:7" x14ac:dyDescent="0.2">
      <c r="A256" t="s">
        <v>96</v>
      </c>
      <c r="B256">
        <v>5</v>
      </c>
      <c r="C256" t="s">
        <v>6885</v>
      </c>
      <c r="D256" t="s">
        <v>6886</v>
      </c>
      <c r="E256" t="s">
        <v>6887</v>
      </c>
      <c r="F256" t="s">
        <v>5193</v>
      </c>
      <c r="G256" t="s">
        <v>5160</v>
      </c>
    </row>
    <row r="257" spans="1:7" x14ac:dyDescent="0.2">
      <c r="A257" t="s">
        <v>86</v>
      </c>
      <c r="B257">
        <v>1</v>
      </c>
      <c r="C257" t="s">
        <v>6888</v>
      </c>
      <c r="D257" t="s">
        <v>6889</v>
      </c>
      <c r="E257" t="s">
        <v>6890</v>
      </c>
      <c r="F257" t="s">
        <v>5163</v>
      </c>
      <c r="G257" t="s">
        <v>5160</v>
      </c>
    </row>
    <row r="258" spans="1:7" x14ac:dyDescent="0.2">
      <c r="A258" t="s">
        <v>86</v>
      </c>
      <c r="B258">
        <v>2</v>
      </c>
      <c r="C258" t="s">
        <v>6891</v>
      </c>
      <c r="D258" t="s">
        <v>6892</v>
      </c>
      <c r="E258" t="s">
        <v>6893</v>
      </c>
      <c r="F258" t="s">
        <v>5160</v>
      </c>
      <c r="G258" t="s">
        <v>5193</v>
      </c>
    </row>
    <row r="259" spans="1:7" x14ac:dyDescent="0.2">
      <c r="A259" t="s">
        <v>86</v>
      </c>
      <c r="B259">
        <v>3</v>
      </c>
      <c r="C259" t="s">
        <v>6894</v>
      </c>
      <c r="D259" t="s">
        <v>6895</v>
      </c>
      <c r="E259" t="s">
        <v>6896</v>
      </c>
      <c r="F259" t="s">
        <v>5160</v>
      </c>
      <c r="G259" t="s">
        <v>5169</v>
      </c>
    </row>
    <row r="260" spans="1:7" x14ac:dyDescent="0.2">
      <c r="A260" t="s">
        <v>86</v>
      </c>
      <c r="B260">
        <v>4</v>
      </c>
      <c r="C260" t="s">
        <v>6897</v>
      </c>
      <c r="D260" t="s">
        <v>6898</v>
      </c>
      <c r="E260" t="s">
        <v>6899</v>
      </c>
      <c r="F260" t="s">
        <v>5163</v>
      </c>
      <c r="G260" t="s">
        <v>5160</v>
      </c>
    </row>
    <row r="261" spans="1:7" x14ac:dyDescent="0.2">
      <c r="A261" t="s">
        <v>86</v>
      </c>
      <c r="B261">
        <v>5</v>
      </c>
      <c r="C261" t="s">
        <v>6339</v>
      </c>
      <c r="D261" t="s">
        <v>6900</v>
      </c>
      <c r="E261" t="s">
        <v>6901</v>
      </c>
      <c r="F261" t="s">
        <v>5163</v>
      </c>
      <c r="G261" t="s">
        <v>5160</v>
      </c>
    </row>
    <row r="262" spans="1:7" x14ac:dyDescent="0.2">
      <c r="A262" t="s">
        <v>69</v>
      </c>
      <c r="B262">
        <v>1</v>
      </c>
      <c r="C262" t="s">
        <v>6902</v>
      </c>
      <c r="D262" t="s">
        <v>6903</v>
      </c>
      <c r="E262" t="s">
        <v>6904</v>
      </c>
      <c r="F262" t="s">
        <v>5160</v>
      </c>
      <c r="G262" t="s">
        <v>5193</v>
      </c>
    </row>
    <row r="263" spans="1:7" x14ac:dyDescent="0.2">
      <c r="A263" t="s">
        <v>69</v>
      </c>
      <c r="B263">
        <v>2</v>
      </c>
      <c r="C263" t="s">
        <v>6905</v>
      </c>
      <c r="D263" t="s">
        <v>6906</v>
      </c>
      <c r="E263" t="s">
        <v>6907</v>
      </c>
      <c r="F263" t="s">
        <v>5163</v>
      </c>
      <c r="G263" t="s">
        <v>5160</v>
      </c>
    </row>
    <row r="264" spans="1:7" x14ac:dyDescent="0.2">
      <c r="A264" t="s">
        <v>69</v>
      </c>
      <c r="B264">
        <v>3</v>
      </c>
      <c r="C264" t="s">
        <v>6908</v>
      </c>
      <c r="D264" t="s">
        <v>6909</v>
      </c>
      <c r="E264" t="s">
        <v>6910</v>
      </c>
      <c r="F264" t="s">
        <v>5169</v>
      </c>
      <c r="G264" t="s">
        <v>5160</v>
      </c>
    </row>
    <row r="265" spans="1:7" x14ac:dyDescent="0.2">
      <c r="A265" t="s">
        <v>69</v>
      </c>
      <c r="B265">
        <v>4</v>
      </c>
      <c r="C265" t="s">
        <v>6197</v>
      </c>
      <c r="D265" t="s">
        <v>6911</v>
      </c>
      <c r="E265" t="s">
        <v>6912</v>
      </c>
      <c r="F265" t="s">
        <v>5163</v>
      </c>
      <c r="G265" t="s">
        <v>5169</v>
      </c>
    </row>
    <row r="266" spans="1:7" x14ac:dyDescent="0.2">
      <c r="A266" t="s">
        <v>69</v>
      </c>
      <c r="B266">
        <v>5</v>
      </c>
      <c r="C266" t="s">
        <v>6913</v>
      </c>
      <c r="D266" t="s">
        <v>6914</v>
      </c>
      <c r="E266" t="s">
        <v>6915</v>
      </c>
      <c r="F266" t="s">
        <v>5160</v>
      </c>
      <c r="G266" t="s">
        <v>5193</v>
      </c>
    </row>
    <row r="267" spans="1:7" x14ac:dyDescent="0.2">
      <c r="A267" t="s">
        <v>61</v>
      </c>
      <c r="B267">
        <v>1</v>
      </c>
      <c r="C267" t="s">
        <v>6916</v>
      </c>
      <c r="D267" t="s">
        <v>6917</v>
      </c>
      <c r="E267" t="s">
        <v>6918</v>
      </c>
      <c r="F267" t="s">
        <v>5163</v>
      </c>
      <c r="G267" t="s">
        <v>5160</v>
      </c>
    </row>
    <row r="268" spans="1:7" x14ac:dyDescent="0.2">
      <c r="A268" t="s">
        <v>61</v>
      </c>
      <c r="B268">
        <v>2</v>
      </c>
      <c r="C268" t="s">
        <v>6919</v>
      </c>
      <c r="D268" t="s">
        <v>6920</v>
      </c>
      <c r="E268" t="s">
        <v>6921</v>
      </c>
      <c r="F268" t="s">
        <v>5160</v>
      </c>
      <c r="G268" t="s">
        <v>5193</v>
      </c>
    </row>
    <row r="269" spans="1:7" x14ac:dyDescent="0.2">
      <c r="A269" t="s">
        <v>61</v>
      </c>
      <c r="B269">
        <v>3</v>
      </c>
      <c r="C269" t="s">
        <v>6922</v>
      </c>
      <c r="D269" t="s">
        <v>6923</v>
      </c>
      <c r="E269" t="s">
        <v>6924</v>
      </c>
      <c r="F269" t="s">
        <v>5169</v>
      </c>
      <c r="G269" t="s">
        <v>5160</v>
      </c>
    </row>
    <row r="270" spans="1:7" x14ac:dyDescent="0.2">
      <c r="A270" t="s">
        <v>61</v>
      </c>
      <c r="B270">
        <v>4</v>
      </c>
      <c r="C270" t="s">
        <v>6925</v>
      </c>
      <c r="D270" t="s">
        <v>6926</v>
      </c>
      <c r="E270" t="s">
        <v>6927</v>
      </c>
      <c r="F270" t="s">
        <v>5193</v>
      </c>
      <c r="G270" t="s">
        <v>5163</v>
      </c>
    </row>
    <row r="271" spans="1:7" x14ac:dyDescent="0.2">
      <c r="A271" t="s">
        <v>61</v>
      </c>
      <c r="B271">
        <v>5</v>
      </c>
      <c r="C271" t="s">
        <v>6928</v>
      </c>
      <c r="D271" t="s">
        <v>6929</v>
      </c>
      <c r="E271" t="s">
        <v>6930</v>
      </c>
      <c r="F271" t="s">
        <v>5169</v>
      </c>
      <c r="G271" t="s">
        <v>5160</v>
      </c>
    </row>
  </sheetData>
  <pageMargins left="0.7" right="0.7" top="0.75" bottom="0.75" header="0.3" footer="0.3"/>
  <ignoredErrors>
    <ignoredError sqref="A1:G27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5"/>
  <sheetViews>
    <sheetView workbookViewId="0"/>
  </sheetViews>
  <sheetFormatPr baseColWidth="10" defaultRowHeight="16" x14ac:dyDescent="0.2"/>
  <cols>
    <col min="1" max="1" width="25.83203125" customWidth="1"/>
    <col min="2" max="2" width="45.83203125" customWidth="1"/>
    <col min="3" max="3" width="12.83203125" customWidth="1"/>
    <col min="4" max="4" width="18.83203125" customWidth="1"/>
    <col min="5" max="5" width="16.83203125" customWidth="1"/>
  </cols>
  <sheetData>
    <row r="1" spans="1:5" x14ac:dyDescent="0.2">
      <c r="A1" t="s">
        <v>6931</v>
      </c>
    </row>
    <row r="3" spans="1:5" x14ac:dyDescent="0.2">
      <c r="A3" t="s">
        <v>6932</v>
      </c>
    </row>
    <row r="5" spans="1:5" x14ac:dyDescent="0.2">
      <c r="A5" t="s">
        <v>6933</v>
      </c>
    </row>
    <row r="6" spans="1:5" x14ac:dyDescent="0.2">
      <c r="A6" t="s">
        <v>17</v>
      </c>
      <c r="B6" t="s">
        <v>18</v>
      </c>
      <c r="C6" t="s">
        <v>20</v>
      </c>
      <c r="D6" t="s">
        <v>19</v>
      </c>
      <c r="E6" t="s">
        <v>112</v>
      </c>
    </row>
    <row r="7" spans="1:5" x14ac:dyDescent="0.2">
      <c r="A7" t="s">
        <v>22</v>
      </c>
      <c r="B7" t="s">
        <v>23</v>
      </c>
      <c r="C7" t="s">
        <v>24</v>
      </c>
      <c r="D7">
        <v>32.5</v>
      </c>
      <c r="E7">
        <v>12</v>
      </c>
    </row>
    <row r="8" spans="1:5" x14ac:dyDescent="0.2">
      <c r="A8" t="s">
        <v>29</v>
      </c>
      <c r="B8" t="s">
        <v>668</v>
      </c>
      <c r="C8" t="s">
        <v>31</v>
      </c>
      <c r="D8">
        <v>9.8000000000000007</v>
      </c>
      <c r="E8">
        <v>6</v>
      </c>
    </row>
    <row r="9" spans="1:5" x14ac:dyDescent="0.2">
      <c r="A9" t="s">
        <v>78</v>
      </c>
      <c r="B9" t="s">
        <v>813</v>
      </c>
      <c r="C9" t="s">
        <v>31</v>
      </c>
      <c r="D9">
        <v>9.5</v>
      </c>
      <c r="E9">
        <v>6</v>
      </c>
    </row>
    <row r="10" spans="1:5" x14ac:dyDescent="0.2">
      <c r="A10" t="s">
        <v>22</v>
      </c>
      <c r="B10" t="s">
        <v>2399</v>
      </c>
      <c r="C10" t="s">
        <v>31</v>
      </c>
      <c r="D10">
        <v>9</v>
      </c>
      <c r="E10">
        <v>6</v>
      </c>
    </row>
    <row r="11" spans="1:5" x14ac:dyDescent="0.2">
      <c r="A11" t="s">
        <v>22</v>
      </c>
      <c r="B11" t="s">
        <v>2410</v>
      </c>
      <c r="C11" t="s">
        <v>31</v>
      </c>
      <c r="D11">
        <v>8.8000000000000007</v>
      </c>
      <c r="E11">
        <v>6</v>
      </c>
    </row>
    <row r="12" spans="1:5" x14ac:dyDescent="0.2">
      <c r="A12" t="s">
        <v>78</v>
      </c>
      <c r="B12" t="s">
        <v>829</v>
      </c>
      <c r="C12" t="s">
        <v>31</v>
      </c>
      <c r="D12">
        <v>7.9</v>
      </c>
      <c r="E12">
        <v>9</v>
      </c>
    </row>
    <row r="13" spans="1:5" x14ac:dyDescent="0.2">
      <c r="A13" t="s">
        <v>26</v>
      </c>
      <c r="B13" t="s">
        <v>2337</v>
      </c>
      <c r="C13" t="s">
        <v>24</v>
      </c>
      <c r="D13">
        <v>7.8</v>
      </c>
      <c r="E13">
        <v>6</v>
      </c>
    </row>
    <row r="14" spans="1:5" x14ac:dyDescent="0.2">
      <c r="A14" t="s">
        <v>26</v>
      </c>
      <c r="B14" t="s">
        <v>2322</v>
      </c>
      <c r="C14" t="s">
        <v>24</v>
      </c>
      <c r="D14">
        <v>6.4</v>
      </c>
      <c r="E14">
        <v>6</v>
      </c>
    </row>
    <row r="15" spans="1:5" x14ac:dyDescent="0.2">
      <c r="A15" t="s">
        <v>34</v>
      </c>
      <c r="B15" t="s">
        <v>2537</v>
      </c>
      <c r="C15" t="s">
        <v>31</v>
      </c>
      <c r="D15">
        <v>4.5999999999999996</v>
      </c>
      <c r="E15">
        <v>4</v>
      </c>
    </row>
    <row r="16" spans="1:5" x14ac:dyDescent="0.2">
      <c r="A16" t="s">
        <v>29</v>
      </c>
      <c r="B16" t="s">
        <v>634</v>
      </c>
      <c r="C16" t="s">
        <v>24</v>
      </c>
      <c r="D16">
        <v>4.2</v>
      </c>
      <c r="E16">
        <v>4</v>
      </c>
    </row>
    <row r="17" spans="1:5" x14ac:dyDescent="0.2">
      <c r="A17" t="s">
        <v>99</v>
      </c>
      <c r="B17" t="s">
        <v>2471</v>
      </c>
      <c r="C17" t="s">
        <v>31</v>
      </c>
      <c r="D17">
        <v>3.8</v>
      </c>
      <c r="E17">
        <v>6</v>
      </c>
    </row>
    <row r="18" spans="1:5" x14ac:dyDescent="0.2">
      <c r="A18" t="s">
        <v>29</v>
      </c>
      <c r="B18" t="s">
        <v>659</v>
      </c>
      <c r="C18" t="s">
        <v>24</v>
      </c>
      <c r="D18">
        <v>3.2</v>
      </c>
      <c r="E18">
        <v>4</v>
      </c>
    </row>
    <row r="19" spans="1:5" x14ac:dyDescent="0.2">
      <c r="A19" t="s">
        <v>34</v>
      </c>
      <c r="B19" t="s">
        <v>2541</v>
      </c>
      <c r="C19" t="s">
        <v>31</v>
      </c>
      <c r="D19">
        <v>3.1</v>
      </c>
      <c r="E19">
        <v>3</v>
      </c>
    </row>
    <row r="20" spans="1:5" x14ac:dyDescent="0.2">
      <c r="A20" t="s">
        <v>26</v>
      </c>
      <c r="B20" t="s">
        <v>2328</v>
      </c>
      <c r="C20" t="s">
        <v>24</v>
      </c>
      <c r="D20">
        <v>2.9</v>
      </c>
      <c r="E20">
        <v>5</v>
      </c>
    </row>
    <row r="21" spans="1:5" x14ac:dyDescent="0.2">
      <c r="A21" t="s">
        <v>34</v>
      </c>
      <c r="B21" t="s">
        <v>2545</v>
      </c>
      <c r="C21" t="s">
        <v>31</v>
      </c>
      <c r="D21">
        <v>2.6</v>
      </c>
      <c r="E21">
        <v>5</v>
      </c>
    </row>
    <row r="22" spans="1:5" x14ac:dyDescent="0.2">
      <c r="A22" t="s">
        <v>29</v>
      </c>
      <c r="B22" t="s">
        <v>654</v>
      </c>
      <c r="C22" t="s">
        <v>24</v>
      </c>
      <c r="D22">
        <v>2.1</v>
      </c>
      <c r="E22">
        <v>5</v>
      </c>
    </row>
    <row r="23" spans="1:5" x14ac:dyDescent="0.2">
      <c r="A23" t="s">
        <v>100</v>
      </c>
      <c r="B23" t="s">
        <v>994</v>
      </c>
      <c r="C23" t="s">
        <v>31</v>
      </c>
      <c r="D23">
        <v>1.2</v>
      </c>
      <c r="E23">
        <v>5</v>
      </c>
    </row>
    <row r="24" spans="1:5" x14ac:dyDescent="0.2">
      <c r="A24" t="s">
        <v>100</v>
      </c>
      <c r="B24" t="s">
        <v>988</v>
      </c>
      <c r="C24" t="s">
        <v>31</v>
      </c>
      <c r="D24">
        <v>1</v>
      </c>
      <c r="E24">
        <v>5</v>
      </c>
    </row>
    <row r="25" spans="1:5" x14ac:dyDescent="0.2">
      <c r="A25" t="s">
        <v>100</v>
      </c>
      <c r="B25" t="s">
        <v>961</v>
      </c>
      <c r="C25" t="s">
        <v>24</v>
      </c>
      <c r="D25">
        <v>0.9</v>
      </c>
      <c r="E25">
        <v>6</v>
      </c>
    </row>
    <row r="26" spans="1:5" x14ac:dyDescent="0.2">
      <c r="A26" t="s">
        <v>97</v>
      </c>
      <c r="B26" t="s">
        <v>737</v>
      </c>
      <c r="C26" t="s">
        <v>24</v>
      </c>
      <c r="D26">
        <v>0.7</v>
      </c>
      <c r="E26">
        <v>6</v>
      </c>
    </row>
    <row r="28" spans="1:5" x14ac:dyDescent="0.2">
      <c r="A28" t="s">
        <v>6934</v>
      </c>
    </row>
    <row r="29" spans="1:5" x14ac:dyDescent="0.2">
      <c r="A29" t="s">
        <v>17</v>
      </c>
      <c r="B29" t="s">
        <v>18</v>
      </c>
      <c r="C29" t="s">
        <v>20</v>
      </c>
      <c r="D29" t="s">
        <v>19</v>
      </c>
      <c r="E29" t="s">
        <v>112</v>
      </c>
    </row>
    <row r="30" spans="1:5" x14ac:dyDescent="0.2">
      <c r="A30" t="s">
        <v>26</v>
      </c>
      <c r="B30" t="s">
        <v>27</v>
      </c>
      <c r="C30" t="s">
        <v>24</v>
      </c>
      <c r="D30">
        <v>17.399999999999999</v>
      </c>
      <c r="E30">
        <v>9</v>
      </c>
    </row>
    <row r="31" spans="1:5" x14ac:dyDescent="0.2">
      <c r="A31" t="s">
        <v>29</v>
      </c>
      <c r="B31" t="s">
        <v>30</v>
      </c>
      <c r="C31" t="s">
        <v>31</v>
      </c>
      <c r="D31">
        <v>17.2</v>
      </c>
      <c r="E31">
        <v>9</v>
      </c>
    </row>
    <row r="32" spans="1:5" x14ac:dyDescent="0.2">
      <c r="A32" t="s">
        <v>34</v>
      </c>
      <c r="B32" t="s">
        <v>35</v>
      </c>
      <c r="C32" t="s">
        <v>24</v>
      </c>
      <c r="D32">
        <v>12.7</v>
      </c>
      <c r="E32">
        <v>15</v>
      </c>
    </row>
    <row r="33" spans="1:5" x14ac:dyDescent="0.2">
      <c r="A33" t="s">
        <v>26</v>
      </c>
      <c r="B33" t="s">
        <v>36</v>
      </c>
      <c r="C33" t="s">
        <v>24</v>
      </c>
      <c r="D33">
        <v>12.6</v>
      </c>
      <c r="E33">
        <v>7</v>
      </c>
    </row>
    <row r="34" spans="1:5" x14ac:dyDescent="0.2">
      <c r="A34" t="s">
        <v>34</v>
      </c>
      <c r="B34" t="s">
        <v>40</v>
      </c>
      <c r="C34" t="s">
        <v>24</v>
      </c>
      <c r="D34">
        <v>10.7</v>
      </c>
      <c r="E34">
        <v>12</v>
      </c>
    </row>
    <row r="35" spans="1:5" x14ac:dyDescent="0.2">
      <c r="A35" t="s">
        <v>26</v>
      </c>
      <c r="B35" t="s">
        <v>2343</v>
      </c>
      <c r="C35" t="s">
        <v>24</v>
      </c>
      <c r="D35">
        <v>7.8</v>
      </c>
      <c r="E35">
        <v>7</v>
      </c>
    </row>
    <row r="36" spans="1:5" x14ac:dyDescent="0.2">
      <c r="A36" t="s">
        <v>26</v>
      </c>
      <c r="B36" t="s">
        <v>2316</v>
      </c>
      <c r="C36" t="s">
        <v>24</v>
      </c>
      <c r="D36">
        <v>7.4</v>
      </c>
      <c r="E36">
        <v>8</v>
      </c>
    </row>
    <row r="37" spans="1:5" x14ac:dyDescent="0.2">
      <c r="A37" t="s">
        <v>29</v>
      </c>
      <c r="B37" t="s">
        <v>639</v>
      </c>
      <c r="C37" t="s">
        <v>24</v>
      </c>
      <c r="D37">
        <v>6.9</v>
      </c>
      <c r="E37">
        <v>7</v>
      </c>
    </row>
    <row r="38" spans="1:5" x14ac:dyDescent="0.2">
      <c r="A38" t="s">
        <v>78</v>
      </c>
      <c r="B38" t="s">
        <v>790</v>
      </c>
      <c r="C38" t="s">
        <v>24</v>
      </c>
      <c r="D38">
        <v>6.4</v>
      </c>
      <c r="E38">
        <v>15</v>
      </c>
    </row>
    <row r="39" spans="1:5" x14ac:dyDescent="0.2">
      <c r="A39" t="s">
        <v>78</v>
      </c>
      <c r="B39" t="s">
        <v>823</v>
      </c>
      <c r="C39" t="s">
        <v>31</v>
      </c>
      <c r="D39">
        <v>6.1</v>
      </c>
      <c r="E39">
        <v>6</v>
      </c>
    </row>
    <row r="40" spans="1:5" x14ac:dyDescent="0.2">
      <c r="A40" t="s">
        <v>78</v>
      </c>
      <c r="B40" t="s">
        <v>783</v>
      </c>
      <c r="C40" t="s">
        <v>24</v>
      </c>
      <c r="D40">
        <v>5.3</v>
      </c>
      <c r="E40">
        <v>9</v>
      </c>
    </row>
    <row r="41" spans="1:5" x14ac:dyDescent="0.2">
      <c r="A41" t="s">
        <v>22</v>
      </c>
      <c r="B41" t="s">
        <v>2415</v>
      </c>
      <c r="C41" t="s">
        <v>31</v>
      </c>
      <c r="D41">
        <v>4.8</v>
      </c>
      <c r="E41">
        <v>6</v>
      </c>
    </row>
    <row r="42" spans="1:5" x14ac:dyDescent="0.2">
      <c r="A42" t="s">
        <v>100</v>
      </c>
      <c r="B42" t="s">
        <v>935</v>
      </c>
      <c r="C42" t="s">
        <v>24</v>
      </c>
      <c r="D42">
        <v>4.5999999999999996</v>
      </c>
      <c r="E42">
        <v>9</v>
      </c>
    </row>
    <row r="43" spans="1:5" x14ac:dyDescent="0.2">
      <c r="A43" t="s">
        <v>34</v>
      </c>
      <c r="B43" t="s">
        <v>2521</v>
      </c>
      <c r="C43" t="s">
        <v>24</v>
      </c>
      <c r="D43">
        <v>4</v>
      </c>
      <c r="E43">
        <v>8</v>
      </c>
    </row>
    <row r="44" spans="1:5" x14ac:dyDescent="0.2">
      <c r="A44" t="s">
        <v>22</v>
      </c>
      <c r="B44" t="s">
        <v>2368</v>
      </c>
      <c r="C44" t="s">
        <v>24</v>
      </c>
      <c r="D44">
        <v>3.7</v>
      </c>
      <c r="E44">
        <v>9</v>
      </c>
    </row>
    <row r="45" spans="1:5" x14ac:dyDescent="0.2">
      <c r="A45" t="s">
        <v>22</v>
      </c>
      <c r="B45" t="s">
        <v>2404</v>
      </c>
      <c r="C45" t="s">
        <v>31</v>
      </c>
      <c r="D45">
        <v>3.7</v>
      </c>
      <c r="E45">
        <v>6</v>
      </c>
    </row>
    <row r="46" spans="1:5" x14ac:dyDescent="0.2">
      <c r="A46" t="s">
        <v>29</v>
      </c>
      <c r="B46" t="s">
        <v>650</v>
      </c>
      <c r="C46" t="s">
        <v>24</v>
      </c>
      <c r="D46">
        <v>3.6</v>
      </c>
      <c r="E46">
        <v>6</v>
      </c>
    </row>
    <row r="47" spans="1:5" x14ac:dyDescent="0.2">
      <c r="A47" t="s">
        <v>34</v>
      </c>
      <c r="B47" t="s">
        <v>2526</v>
      </c>
      <c r="C47" t="s">
        <v>24</v>
      </c>
      <c r="D47">
        <v>2.5</v>
      </c>
      <c r="E47">
        <v>7</v>
      </c>
    </row>
    <row r="48" spans="1:5" x14ac:dyDescent="0.2">
      <c r="A48" t="s">
        <v>99</v>
      </c>
      <c r="B48" t="s">
        <v>2308</v>
      </c>
      <c r="C48" t="s">
        <v>24</v>
      </c>
      <c r="D48">
        <v>2.2000000000000002</v>
      </c>
      <c r="E48">
        <v>9</v>
      </c>
    </row>
    <row r="49" spans="1:5" x14ac:dyDescent="0.2">
      <c r="A49" t="s">
        <v>100</v>
      </c>
      <c r="B49" t="s">
        <v>942</v>
      </c>
      <c r="C49" t="s">
        <v>24</v>
      </c>
      <c r="D49">
        <v>2.1</v>
      </c>
      <c r="E49">
        <v>7</v>
      </c>
    </row>
    <row r="51" spans="1:5" x14ac:dyDescent="0.2">
      <c r="A51" t="s">
        <v>6935</v>
      </c>
    </row>
    <row r="52" spans="1:5" x14ac:dyDescent="0.2">
      <c r="A52" t="s">
        <v>17</v>
      </c>
      <c r="B52" t="s">
        <v>18</v>
      </c>
      <c r="C52" t="s">
        <v>20</v>
      </c>
      <c r="D52" t="s">
        <v>19</v>
      </c>
      <c r="E52" t="s">
        <v>112</v>
      </c>
    </row>
    <row r="53" spans="1:5" x14ac:dyDescent="0.2">
      <c r="A53" t="s">
        <v>29</v>
      </c>
      <c r="B53" t="s">
        <v>32</v>
      </c>
      <c r="C53" t="s">
        <v>24</v>
      </c>
      <c r="D53">
        <v>14.7</v>
      </c>
      <c r="E53">
        <v>12</v>
      </c>
    </row>
    <row r="54" spans="1:5" x14ac:dyDescent="0.2">
      <c r="A54" t="s">
        <v>26</v>
      </c>
      <c r="B54" t="s">
        <v>37</v>
      </c>
      <c r="C54" t="s">
        <v>38</v>
      </c>
      <c r="D54">
        <v>11.6</v>
      </c>
      <c r="E54">
        <v>12</v>
      </c>
    </row>
    <row r="55" spans="1:5" x14ac:dyDescent="0.2">
      <c r="A55" t="s">
        <v>29</v>
      </c>
      <c r="B55" t="s">
        <v>39</v>
      </c>
      <c r="C55" t="s">
        <v>24</v>
      </c>
      <c r="D55">
        <v>10.7</v>
      </c>
      <c r="E55">
        <v>10</v>
      </c>
    </row>
    <row r="56" spans="1:5" x14ac:dyDescent="0.2">
      <c r="A56" t="s">
        <v>26</v>
      </c>
      <c r="B56" t="s">
        <v>41</v>
      </c>
      <c r="C56" t="s">
        <v>38</v>
      </c>
      <c r="D56">
        <v>10</v>
      </c>
      <c r="E56">
        <v>10</v>
      </c>
    </row>
    <row r="57" spans="1:5" x14ac:dyDescent="0.2">
      <c r="A57" t="s">
        <v>29</v>
      </c>
      <c r="B57" t="s">
        <v>663</v>
      </c>
      <c r="C57" t="s">
        <v>24</v>
      </c>
      <c r="D57">
        <v>9.1999999999999993</v>
      </c>
      <c r="E57">
        <v>8</v>
      </c>
    </row>
    <row r="58" spans="1:5" x14ac:dyDescent="0.2">
      <c r="A58" t="s">
        <v>26</v>
      </c>
      <c r="B58" t="s">
        <v>2362</v>
      </c>
      <c r="C58" t="s">
        <v>38</v>
      </c>
      <c r="D58">
        <v>6.7</v>
      </c>
      <c r="E58">
        <v>9</v>
      </c>
    </row>
    <row r="59" spans="1:5" x14ac:dyDescent="0.2">
      <c r="A59" t="s">
        <v>78</v>
      </c>
      <c r="B59" t="s">
        <v>818</v>
      </c>
      <c r="C59" t="s">
        <v>31</v>
      </c>
      <c r="D59">
        <v>4.9000000000000004</v>
      </c>
      <c r="E59">
        <v>6</v>
      </c>
    </row>
    <row r="60" spans="1:5" x14ac:dyDescent="0.2">
      <c r="A60" t="s">
        <v>78</v>
      </c>
      <c r="B60" t="s">
        <v>806</v>
      </c>
      <c r="C60" t="s">
        <v>24</v>
      </c>
      <c r="D60">
        <v>4.3</v>
      </c>
      <c r="E60">
        <v>9</v>
      </c>
    </row>
    <row r="61" spans="1:5" x14ac:dyDescent="0.2">
      <c r="A61" t="s">
        <v>78</v>
      </c>
      <c r="B61" t="s">
        <v>795</v>
      </c>
      <c r="C61" t="s">
        <v>24</v>
      </c>
      <c r="D61">
        <v>3.4</v>
      </c>
      <c r="E61">
        <v>9</v>
      </c>
    </row>
    <row r="62" spans="1:5" x14ac:dyDescent="0.2">
      <c r="A62" t="s">
        <v>99</v>
      </c>
      <c r="B62" t="s">
        <v>2477</v>
      </c>
      <c r="C62" t="s">
        <v>38</v>
      </c>
      <c r="D62">
        <v>2.9</v>
      </c>
      <c r="E62">
        <v>12</v>
      </c>
    </row>
    <row r="63" spans="1:5" x14ac:dyDescent="0.2">
      <c r="A63" t="s">
        <v>34</v>
      </c>
      <c r="B63" t="s">
        <v>2531</v>
      </c>
      <c r="C63" t="s">
        <v>38</v>
      </c>
      <c r="D63">
        <v>2.73</v>
      </c>
      <c r="E63">
        <v>9</v>
      </c>
    </row>
    <row r="64" spans="1:5" x14ac:dyDescent="0.2">
      <c r="A64" t="s">
        <v>22</v>
      </c>
      <c r="B64" t="s">
        <v>2386</v>
      </c>
      <c r="C64" t="s">
        <v>24</v>
      </c>
      <c r="D64">
        <v>2.5</v>
      </c>
      <c r="E64">
        <v>9</v>
      </c>
    </row>
    <row r="65" spans="1:5" x14ac:dyDescent="0.2">
      <c r="A65" t="s">
        <v>99</v>
      </c>
      <c r="B65" t="s">
        <v>2500</v>
      </c>
      <c r="C65" t="s">
        <v>38</v>
      </c>
      <c r="D65">
        <v>2.1</v>
      </c>
      <c r="E65">
        <v>9</v>
      </c>
    </row>
    <row r="66" spans="1:5" x14ac:dyDescent="0.2">
      <c r="A66" t="s">
        <v>99</v>
      </c>
      <c r="B66" t="s">
        <v>2486</v>
      </c>
      <c r="C66" t="s">
        <v>38</v>
      </c>
      <c r="D66">
        <v>1.8</v>
      </c>
      <c r="E66">
        <v>9</v>
      </c>
    </row>
    <row r="67" spans="1:5" x14ac:dyDescent="0.2">
      <c r="A67" t="s">
        <v>22</v>
      </c>
      <c r="B67" t="s">
        <v>2393</v>
      </c>
      <c r="C67" t="s">
        <v>24</v>
      </c>
      <c r="D67">
        <v>1.5</v>
      </c>
      <c r="E67">
        <v>6</v>
      </c>
    </row>
    <row r="68" spans="1:5" x14ac:dyDescent="0.2">
      <c r="A68" t="s">
        <v>22</v>
      </c>
      <c r="B68" t="s">
        <v>2228</v>
      </c>
      <c r="C68" t="s">
        <v>24</v>
      </c>
      <c r="D68">
        <v>1.4</v>
      </c>
      <c r="E68">
        <v>6</v>
      </c>
    </row>
    <row r="69" spans="1:5" x14ac:dyDescent="0.2">
      <c r="A69" t="s">
        <v>99</v>
      </c>
      <c r="B69" t="s">
        <v>2503</v>
      </c>
      <c r="C69" t="s">
        <v>38</v>
      </c>
      <c r="D69">
        <v>1.4</v>
      </c>
      <c r="E69">
        <v>8</v>
      </c>
    </row>
    <row r="70" spans="1:5" x14ac:dyDescent="0.2">
      <c r="A70" t="s">
        <v>99</v>
      </c>
      <c r="B70" t="s">
        <v>2495</v>
      </c>
      <c r="C70" t="s">
        <v>38</v>
      </c>
      <c r="D70">
        <v>1.3</v>
      </c>
      <c r="E70">
        <v>8</v>
      </c>
    </row>
    <row r="71" spans="1:5" x14ac:dyDescent="0.2">
      <c r="A71" t="s">
        <v>95</v>
      </c>
      <c r="B71" t="s">
        <v>2070</v>
      </c>
      <c r="C71" t="s">
        <v>38</v>
      </c>
      <c r="D71">
        <v>0.9</v>
      </c>
      <c r="E71">
        <v>7</v>
      </c>
    </row>
    <row r="72" spans="1:5" x14ac:dyDescent="0.2">
      <c r="A72" t="s">
        <v>97</v>
      </c>
      <c r="B72" t="s">
        <v>760</v>
      </c>
      <c r="C72" t="s">
        <v>38</v>
      </c>
      <c r="D72">
        <v>0.8</v>
      </c>
      <c r="E72">
        <v>9</v>
      </c>
    </row>
    <row r="74" spans="1:5" x14ac:dyDescent="0.2">
      <c r="A74" t="s">
        <v>6936</v>
      </c>
    </row>
    <row r="75" spans="1:5" x14ac:dyDescent="0.2">
      <c r="A75" t="s">
        <v>17</v>
      </c>
      <c r="B75" t="s">
        <v>18</v>
      </c>
      <c r="C75" t="s">
        <v>20</v>
      </c>
      <c r="D75" t="s">
        <v>19</v>
      </c>
      <c r="E75" t="s">
        <v>112</v>
      </c>
    </row>
    <row r="76" spans="1:5" x14ac:dyDescent="0.2">
      <c r="A76" t="s">
        <v>78</v>
      </c>
      <c r="B76" t="s">
        <v>801</v>
      </c>
      <c r="C76" t="s">
        <v>24</v>
      </c>
      <c r="D76">
        <v>2.1</v>
      </c>
      <c r="E76">
        <v>6</v>
      </c>
    </row>
    <row r="77" spans="1:5" x14ac:dyDescent="0.2">
      <c r="A77" t="s">
        <v>99</v>
      </c>
      <c r="B77" t="s">
        <v>2490</v>
      </c>
      <c r="C77" t="s">
        <v>38</v>
      </c>
      <c r="D77">
        <v>1.6</v>
      </c>
      <c r="E77">
        <v>12</v>
      </c>
    </row>
    <row r="78" spans="1:5" x14ac:dyDescent="0.2">
      <c r="A78" t="s">
        <v>78</v>
      </c>
      <c r="B78" t="s">
        <v>834</v>
      </c>
      <c r="C78" t="s">
        <v>38</v>
      </c>
      <c r="D78">
        <v>1.2</v>
      </c>
      <c r="E78">
        <v>9</v>
      </c>
    </row>
    <row r="79" spans="1:5" x14ac:dyDescent="0.2">
      <c r="A79" t="s">
        <v>98</v>
      </c>
      <c r="B79" t="s">
        <v>1036</v>
      </c>
      <c r="C79" t="s">
        <v>38</v>
      </c>
      <c r="D79">
        <v>0.9</v>
      </c>
      <c r="E79">
        <v>9</v>
      </c>
    </row>
    <row r="80" spans="1:5" x14ac:dyDescent="0.2">
      <c r="A80" t="s">
        <v>91</v>
      </c>
      <c r="B80" t="s">
        <v>1759</v>
      </c>
      <c r="C80" t="s">
        <v>38</v>
      </c>
      <c r="D80">
        <v>0.9</v>
      </c>
      <c r="E80">
        <v>9</v>
      </c>
    </row>
    <row r="81" spans="1:5" x14ac:dyDescent="0.2">
      <c r="A81" t="s">
        <v>96</v>
      </c>
      <c r="B81" t="s">
        <v>2701</v>
      </c>
      <c r="C81" t="s">
        <v>38</v>
      </c>
      <c r="D81">
        <v>0.9</v>
      </c>
      <c r="E81">
        <v>12</v>
      </c>
    </row>
    <row r="82" spans="1:5" x14ac:dyDescent="0.2">
      <c r="A82" t="s">
        <v>98</v>
      </c>
      <c r="B82" t="s">
        <v>1025</v>
      </c>
      <c r="C82" t="s">
        <v>38</v>
      </c>
      <c r="D82">
        <v>0.8</v>
      </c>
      <c r="E82">
        <v>5</v>
      </c>
    </row>
    <row r="83" spans="1:5" x14ac:dyDescent="0.2">
      <c r="A83" t="s">
        <v>95</v>
      </c>
      <c r="B83" t="s">
        <v>2061</v>
      </c>
      <c r="C83" t="s">
        <v>38</v>
      </c>
      <c r="D83">
        <v>0.8</v>
      </c>
      <c r="E83">
        <v>10</v>
      </c>
    </row>
    <row r="84" spans="1:5" x14ac:dyDescent="0.2">
      <c r="A84" t="s">
        <v>84</v>
      </c>
      <c r="B84" t="s">
        <v>931</v>
      </c>
      <c r="C84" t="s">
        <v>38</v>
      </c>
      <c r="D84">
        <v>0.7</v>
      </c>
      <c r="E84">
        <v>3</v>
      </c>
    </row>
    <row r="85" spans="1:5" x14ac:dyDescent="0.2">
      <c r="A85" t="s">
        <v>96</v>
      </c>
      <c r="B85" t="s">
        <v>2727</v>
      </c>
      <c r="C85" t="s">
        <v>38</v>
      </c>
      <c r="D85">
        <v>0.5</v>
      </c>
      <c r="E85">
        <v>9</v>
      </c>
    </row>
    <row r="86" spans="1:5" x14ac:dyDescent="0.2">
      <c r="A86" t="s">
        <v>98</v>
      </c>
      <c r="B86" t="s">
        <v>1044</v>
      </c>
      <c r="C86" t="s">
        <v>38</v>
      </c>
      <c r="D86">
        <v>0.4</v>
      </c>
      <c r="E86">
        <v>4</v>
      </c>
    </row>
    <row r="87" spans="1:5" x14ac:dyDescent="0.2">
      <c r="A87" t="s">
        <v>90</v>
      </c>
      <c r="B87" t="s">
        <v>2681</v>
      </c>
      <c r="C87" t="s">
        <v>38</v>
      </c>
      <c r="D87">
        <v>0.4</v>
      </c>
      <c r="E87">
        <v>9</v>
      </c>
    </row>
    <row r="88" spans="1:5" x14ac:dyDescent="0.2">
      <c r="A88" t="s">
        <v>90</v>
      </c>
      <c r="B88" t="s">
        <v>2685</v>
      </c>
      <c r="C88" t="s">
        <v>38</v>
      </c>
      <c r="D88">
        <v>0.2</v>
      </c>
      <c r="E88">
        <v>6</v>
      </c>
    </row>
    <row r="89" spans="1:5" x14ac:dyDescent="0.2">
      <c r="A89" t="s">
        <v>53</v>
      </c>
      <c r="B89" t="s">
        <v>450</v>
      </c>
      <c r="C89" t="s">
        <v>38</v>
      </c>
      <c r="D89">
        <v>2.2899999999999998E-5</v>
      </c>
      <c r="E89">
        <v>12</v>
      </c>
    </row>
    <row r="90" spans="1:5" x14ac:dyDescent="0.2">
      <c r="A90" t="s">
        <v>55</v>
      </c>
      <c r="B90" t="s">
        <v>1528</v>
      </c>
      <c r="C90" t="s">
        <v>38</v>
      </c>
      <c r="D90">
        <v>1.9600000000000002E-5</v>
      </c>
      <c r="E90">
        <v>18</v>
      </c>
    </row>
    <row r="91" spans="1:5" x14ac:dyDescent="0.2">
      <c r="A91" t="s">
        <v>74</v>
      </c>
      <c r="B91" t="s">
        <v>1395</v>
      </c>
      <c r="C91" t="s">
        <v>38</v>
      </c>
      <c r="D91">
        <v>1.11E-5</v>
      </c>
      <c r="E91">
        <v>12</v>
      </c>
    </row>
    <row r="92" spans="1:5" x14ac:dyDescent="0.2">
      <c r="A92" t="s">
        <v>61</v>
      </c>
      <c r="B92" t="s">
        <v>2864</v>
      </c>
      <c r="C92" t="s">
        <v>38</v>
      </c>
      <c r="D92">
        <v>1.0900000000000001E-5</v>
      </c>
      <c r="E92">
        <v>9</v>
      </c>
    </row>
    <row r="93" spans="1:5" x14ac:dyDescent="0.2">
      <c r="A93" t="s">
        <v>59</v>
      </c>
      <c r="B93" t="s">
        <v>1732</v>
      </c>
      <c r="C93" t="s">
        <v>38</v>
      </c>
      <c r="D93">
        <v>8.8000000000000004E-6</v>
      </c>
      <c r="E93">
        <v>12</v>
      </c>
    </row>
    <row r="94" spans="1:5" x14ac:dyDescent="0.2">
      <c r="A94" t="s">
        <v>54</v>
      </c>
      <c r="B94" t="s">
        <v>879</v>
      </c>
      <c r="C94" t="s">
        <v>38</v>
      </c>
      <c r="D94">
        <v>8.3000000000000002E-6</v>
      </c>
      <c r="E94">
        <v>12</v>
      </c>
    </row>
    <row r="95" spans="1:5" x14ac:dyDescent="0.2">
      <c r="A95" t="s">
        <v>65</v>
      </c>
      <c r="B95" t="s">
        <v>2106</v>
      </c>
      <c r="C95" t="s">
        <v>38</v>
      </c>
      <c r="D95">
        <v>8.1999999999999994E-6</v>
      </c>
      <c r="E95">
        <v>15</v>
      </c>
    </row>
  </sheetData>
  <pageMargins left="0.7" right="0.7" top="0.75" bottom="0.75" header="0.3" footer="0.3"/>
  <ignoredErrors>
    <ignoredError sqref="A1:E9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zoomScale="150" zoomScaleNormal="150" workbookViewId="0"/>
  </sheetViews>
  <sheetFormatPr baseColWidth="10" defaultRowHeight="16" x14ac:dyDescent="0.2"/>
  <cols>
    <col min="1" max="1" width="25.83203125" customWidth="1"/>
    <col min="2" max="2" width="15.83203125" customWidth="1"/>
    <col min="3" max="3" width="18.83203125" customWidth="1"/>
  </cols>
  <sheetData>
    <row r="1" spans="1:1" x14ac:dyDescent="0.2">
      <c r="A1" t="s">
        <v>6937</v>
      </c>
    </row>
    <row r="3" spans="1:1" x14ac:dyDescent="0.2">
      <c r="A3" t="s">
        <v>6938</v>
      </c>
    </row>
    <row r="5" spans="1:1" x14ac:dyDescent="0.2">
      <c r="A5" t="s">
        <v>6939</v>
      </c>
    </row>
    <row r="6" spans="1:1" x14ac:dyDescent="0.2">
      <c r="A6" t="s">
        <v>6940</v>
      </c>
    </row>
    <row r="7" spans="1:1" x14ac:dyDescent="0.2">
      <c r="A7" t="s">
        <v>6941</v>
      </c>
    </row>
    <row r="8" spans="1:1" x14ac:dyDescent="0.2">
      <c r="A8" t="s">
        <v>6942</v>
      </c>
    </row>
    <row r="9" spans="1:1" x14ac:dyDescent="0.2">
      <c r="A9" t="s">
        <v>6943</v>
      </c>
    </row>
    <row r="11" spans="1:1" x14ac:dyDescent="0.2">
      <c r="A11" t="s">
        <v>6944</v>
      </c>
    </row>
    <row r="12" spans="1:1" x14ac:dyDescent="0.2">
      <c r="A12" t="s">
        <v>6945</v>
      </c>
    </row>
    <row r="13" spans="1:1" x14ac:dyDescent="0.2">
      <c r="A13" t="s">
        <v>6946</v>
      </c>
    </row>
    <row r="15" spans="1:1" x14ac:dyDescent="0.2">
      <c r="A15" t="s">
        <v>6947</v>
      </c>
    </row>
    <row r="16" spans="1:1" x14ac:dyDescent="0.2">
      <c r="A16" t="s">
        <v>6948</v>
      </c>
    </row>
    <row r="18" spans="1:3" x14ac:dyDescent="0.2">
      <c r="A18" t="s">
        <v>6949</v>
      </c>
    </row>
    <row r="19" spans="1:3" x14ac:dyDescent="0.2">
      <c r="A19" t="s">
        <v>6950</v>
      </c>
      <c r="B19" t="s">
        <v>6951</v>
      </c>
      <c r="C19" t="s">
        <v>19</v>
      </c>
    </row>
  </sheetData>
  <pageMargins left="0.7" right="0.7" top="0.75" bottom="0.75" header="0.3" footer="0.3"/>
  <ignoredErrors>
    <ignoredError sqref="A1:C1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baseColWidth="10" defaultRowHeight="16" x14ac:dyDescent="0.2"/>
  <cols>
    <col min="1" max="1" width="30.83203125" customWidth="1"/>
    <col min="2" max="2" width="12.83203125" customWidth="1"/>
    <col min="3" max="3" width="15.83203125" customWidth="1"/>
    <col min="4" max="4" width="20.83203125" customWidth="1"/>
  </cols>
  <sheetData>
    <row r="1" spans="1:4" x14ac:dyDescent="0.2">
      <c r="A1" t="s">
        <v>6952</v>
      </c>
    </row>
    <row r="3" spans="1:4" x14ac:dyDescent="0.2">
      <c r="A3" t="s">
        <v>6953</v>
      </c>
    </row>
    <row r="5" spans="1:4" x14ac:dyDescent="0.2">
      <c r="A5" t="s">
        <v>6954</v>
      </c>
    </row>
    <row r="6" spans="1:4" x14ac:dyDescent="0.2">
      <c r="A6" t="s">
        <v>6955</v>
      </c>
    </row>
    <row r="7" spans="1:4" x14ac:dyDescent="0.2">
      <c r="A7" t="s">
        <v>6956</v>
      </c>
    </row>
    <row r="8" spans="1:4" x14ac:dyDescent="0.2">
      <c r="A8" t="s">
        <v>6957</v>
      </c>
    </row>
    <row r="10" spans="1:4" x14ac:dyDescent="0.2">
      <c r="A10" t="s">
        <v>6958</v>
      </c>
    </row>
    <row r="11" spans="1:4" x14ac:dyDescent="0.2">
      <c r="A11" t="s">
        <v>6959</v>
      </c>
    </row>
    <row r="13" spans="1:4" x14ac:dyDescent="0.2">
      <c r="A13" t="s">
        <v>6960</v>
      </c>
    </row>
    <row r="14" spans="1:4" x14ac:dyDescent="0.2">
      <c r="A14" t="s">
        <v>106</v>
      </c>
      <c r="B14" t="s">
        <v>2883</v>
      </c>
      <c r="C14" t="s">
        <v>6961</v>
      </c>
      <c r="D14" t="s">
        <v>6962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"/>
  <sheetViews>
    <sheetView zoomScale="140" zoomScaleNormal="140" workbookViewId="0"/>
  </sheetViews>
  <sheetFormatPr baseColWidth="10" defaultRowHeight="16" x14ac:dyDescent="0.2"/>
  <cols>
    <col min="1" max="1" width="40.83203125" customWidth="1"/>
    <col min="2" max="2" width="12.83203125" customWidth="1"/>
    <col min="3" max="3" width="18.83203125" customWidth="1"/>
    <col min="4" max="4" width="16.83203125" customWidth="1"/>
  </cols>
  <sheetData>
    <row r="1" spans="1:1" x14ac:dyDescent="0.2">
      <c r="A1" t="s">
        <v>6963</v>
      </c>
    </row>
    <row r="3" spans="1:1" x14ac:dyDescent="0.2">
      <c r="A3" t="s">
        <v>6964</v>
      </c>
    </row>
    <row r="5" spans="1:1" x14ac:dyDescent="0.2">
      <c r="A5" t="s">
        <v>6965</v>
      </c>
    </row>
    <row r="7" spans="1:1" x14ac:dyDescent="0.2">
      <c r="A7" t="s">
        <v>6966</v>
      </c>
    </row>
    <row r="8" spans="1:1" x14ac:dyDescent="0.2">
      <c r="A8" t="s">
        <v>6967</v>
      </c>
    </row>
    <row r="9" spans="1:1" x14ac:dyDescent="0.2">
      <c r="A9" t="s">
        <v>6968</v>
      </c>
    </row>
    <row r="10" spans="1:1" x14ac:dyDescent="0.2">
      <c r="A10" t="s">
        <v>6969</v>
      </c>
    </row>
    <row r="11" spans="1:1" x14ac:dyDescent="0.2">
      <c r="A11" t="s">
        <v>6970</v>
      </c>
    </row>
    <row r="13" spans="1:1" x14ac:dyDescent="0.2">
      <c r="A13" t="s">
        <v>6971</v>
      </c>
    </row>
    <row r="14" spans="1:1" x14ac:dyDescent="0.2">
      <c r="A14" t="s">
        <v>6972</v>
      </c>
    </row>
    <row r="15" spans="1:1" x14ac:dyDescent="0.2">
      <c r="A15" t="s">
        <v>6973</v>
      </c>
    </row>
    <row r="16" spans="1:1" x14ac:dyDescent="0.2">
      <c r="A16" t="s">
        <v>6974</v>
      </c>
    </row>
    <row r="17" spans="1:4" x14ac:dyDescent="0.2">
      <c r="A17" t="s">
        <v>6975</v>
      </c>
    </row>
    <row r="19" spans="1:4" x14ac:dyDescent="0.2">
      <c r="A19" t="s">
        <v>6976</v>
      </c>
    </row>
    <row r="20" spans="1:4" x14ac:dyDescent="0.2">
      <c r="A20" t="s">
        <v>6977</v>
      </c>
    </row>
    <row r="21" spans="1:4" x14ac:dyDescent="0.2">
      <c r="A21" t="s">
        <v>6978</v>
      </c>
    </row>
    <row r="22" spans="1:4" x14ac:dyDescent="0.2">
      <c r="A22" t="s">
        <v>6979</v>
      </c>
    </row>
    <row r="24" spans="1:4" x14ac:dyDescent="0.2">
      <c r="A24" t="s">
        <v>6980</v>
      </c>
    </row>
    <row r="25" spans="1:4" x14ac:dyDescent="0.2">
      <c r="A25" t="s">
        <v>6981</v>
      </c>
      <c r="B25" t="s">
        <v>2883</v>
      </c>
      <c r="C25" t="s">
        <v>19</v>
      </c>
      <c r="D25" t="s">
        <v>6982</v>
      </c>
    </row>
  </sheetData>
  <pageMargins left="0.7" right="0.7" top="0.75" bottom="0.75" header="0.3" footer="0.3"/>
  <ignoredErrors>
    <ignoredError sqref="A1:D2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"/>
  <sheetViews>
    <sheetView workbookViewId="0"/>
  </sheetViews>
  <sheetFormatPr baseColWidth="10" defaultRowHeight="16" x14ac:dyDescent="0.2"/>
  <cols>
    <col min="1" max="1" width="30.83203125" customWidth="1"/>
    <col min="2" max="2" width="15.83203125" customWidth="1"/>
    <col min="3" max="3" width="50.83203125" customWidth="1"/>
  </cols>
  <sheetData>
    <row r="1" spans="1:3" x14ac:dyDescent="0.2">
      <c r="A1" t="s">
        <v>6983</v>
      </c>
    </row>
    <row r="2" spans="1:3" x14ac:dyDescent="0.2">
      <c r="A2" t="s">
        <v>6984</v>
      </c>
    </row>
    <row r="4" spans="1:3" x14ac:dyDescent="0.2">
      <c r="A4" t="s">
        <v>6985</v>
      </c>
      <c r="B4" t="s">
        <v>6986</v>
      </c>
      <c r="C4" t="s">
        <v>6987</v>
      </c>
    </row>
    <row r="5" spans="1:3" x14ac:dyDescent="0.2">
      <c r="A5" t="s">
        <v>6988</v>
      </c>
      <c r="B5">
        <v>0.9</v>
      </c>
      <c r="C5" t="s">
        <v>6989</v>
      </c>
    </row>
    <row r="6" spans="1:3" x14ac:dyDescent="0.2">
      <c r="A6" t="s">
        <v>6990</v>
      </c>
      <c r="B6">
        <v>0.75</v>
      </c>
      <c r="C6" t="s">
        <v>6991</v>
      </c>
    </row>
    <row r="7" spans="1:3" x14ac:dyDescent="0.2">
      <c r="A7" t="s">
        <v>6992</v>
      </c>
      <c r="B7">
        <v>0.8</v>
      </c>
      <c r="C7" t="s">
        <v>6993</v>
      </c>
    </row>
    <row r="9" spans="1:3" x14ac:dyDescent="0.2">
      <c r="A9" t="s">
        <v>6994</v>
      </c>
    </row>
    <row r="10" spans="1:3" x14ac:dyDescent="0.2">
      <c r="A10" t="s">
        <v>6995</v>
      </c>
      <c r="B10">
        <v>395</v>
      </c>
      <c r="C10" t="s">
        <v>6996</v>
      </c>
    </row>
    <row r="11" spans="1:3" x14ac:dyDescent="0.2">
      <c r="A11" t="s">
        <v>6997</v>
      </c>
      <c r="B11">
        <v>150</v>
      </c>
      <c r="C11" t="s">
        <v>6998</v>
      </c>
    </row>
    <row r="12" spans="1:3" x14ac:dyDescent="0.2">
      <c r="A12" t="s">
        <v>6999</v>
      </c>
      <c r="B12">
        <v>100</v>
      </c>
      <c r="C12" t="s">
        <v>7000</v>
      </c>
    </row>
    <row r="13" spans="1:3" x14ac:dyDescent="0.2">
      <c r="A13" t="s">
        <v>7001</v>
      </c>
      <c r="B13">
        <v>85</v>
      </c>
      <c r="C13" t="s">
        <v>7002</v>
      </c>
    </row>
    <row r="15" spans="1:3" x14ac:dyDescent="0.2">
      <c r="A15" t="s">
        <v>7003</v>
      </c>
    </row>
    <row r="16" spans="1:3" x14ac:dyDescent="0.2">
      <c r="A16" t="s">
        <v>7004</v>
      </c>
      <c r="B16">
        <v>3</v>
      </c>
      <c r="C16" t="s">
        <v>7005</v>
      </c>
    </row>
    <row r="17" spans="1:3" x14ac:dyDescent="0.2">
      <c r="A17" t="s">
        <v>7006</v>
      </c>
      <c r="B17">
        <v>15</v>
      </c>
      <c r="C17" t="s">
        <v>7007</v>
      </c>
    </row>
    <row r="19" spans="1:3" x14ac:dyDescent="0.2">
      <c r="A19" t="s">
        <v>7008</v>
      </c>
    </row>
    <row r="20" spans="1:3" x14ac:dyDescent="0.2">
      <c r="A20" t="s">
        <v>7009</v>
      </c>
      <c r="B20">
        <v>7</v>
      </c>
      <c r="C20" t="s">
        <v>7010</v>
      </c>
    </row>
    <row r="21" spans="1:3" x14ac:dyDescent="0.2">
      <c r="A21" t="s">
        <v>7011</v>
      </c>
      <c r="B21">
        <v>7</v>
      </c>
      <c r="C21" t="s">
        <v>7012</v>
      </c>
    </row>
    <row r="22" spans="1:3" x14ac:dyDescent="0.2">
      <c r="A22" t="s">
        <v>7013</v>
      </c>
      <c r="B22">
        <v>7</v>
      </c>
      <c r="C22" t="s">
        <v>7014</v>
      </c>
    </row>
    <row r="23" spans="1:3" x14ac:dyDescent="0.2">
      <c r="A23" t="s">
        <v>7015</v>
      </c>
      <c r="B23">
        <v>9</v>
      </c>
      <c r="C23" t="s">
        <v>7016</v>
      </c>
    </row>
    <row r="24" spans="1:3" x14ac:dyDescent="0.2">
      <c r="A24" t="s">
        <v>7017</v>
      </c>
      <c r="B24">
        <v>18</v>
      </c>
      <c r="C24" t="s">
        <v>7018</v>
      </c>
    </row>
  </sheetData>
  <pageMargins left="0.7" right="0.7" top="0.75" bottom="0.75" header="0.3" footer="0.3"/>
  <ignoredErrors>
    <ignoredError sqref="A1:C2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6"/>
  <sheetViews>
    <sheetView workbookViewId="0"/>
  </sheetViews>
  <sheetFormatPr baseColWidth="10" defaultRowHeight="16" x14ac:dyDescent="0.2"/>
  <cols>
    <col min="1" max="1" width="25.83203125" customWidth="1"/>
    <col min="2" max="2" width="50.83203125" customWidth="1"/>
    <col min="3" max="3" width="30.83203125" customWidth="1"/>
  </cols>
  <sheetData>
    <row r="1" spans="1:3" x14ac:dyDescent="0.2">
      <c r="A1" t="s">
        <v>7019</v>
      </c>
    </row>
    <row r="3" spans="1:3" x14ac:dyDescent="0.2">
      <c r="A3" t="s">
        <v>7020</v>
      </c>
      <c r="B3" t="s">
        <v>6987</v>
      </c>
      <c r="C3" t="s">
        <v>7021</v>
      </c>
    </row>
    <row r="5" spans="1:3" x14ac:dyDescent="0.2">
      <c r="A5" t="s">
        <v>7022</v>
      </c>
    </row>
    <row r="6" spans="1:3" x14ac:dyDescent="0.2">
      <c r="A6" t="s">
        <v>7023</v>
      </c>
      <c r="B6" t="s">
        <v>7024</v>
      </c>
      <c r="C6" t="s">
        <v>7025</v>
      </c>
    </row>
    <row r="7" spans="1:3" x14ac:dyDescent="0.2">
      <c r="A7" t="s">
        <v>43</v>
      </c>
      <c r="B7" t="s">
        <v>7026</v>
      </c>
      <c r="C7" t="s">
        <v>7027</v>
      </c>
    </row>
    <row r="8" spans="1:3" x14ac:dyDescent="0.2">
      <c r="A8" t="s">
        <v>44</v>
      </c>
      <c r="B8" t="s">
        <v>7028</v>
      </c>
      <c r="C8" t="s">
        <v>7029</v>
      </c>
    </row>
    <row r="9" spans="1:3" x14ac:dyDescent="0.2">
      <c r="A9" t="s">
        <v>45</v>
      </c>
      <c r="B9" t="s">
        <v>7030</v>
      </c>
      <c r="C9" t="s">
        <v>7031</v>
      </c>
    </row>
    <row r="11" spans="1:3" x14ac:dyDescent="0.2">
      <c r="A11" t="s">
        <v>7032</v>
      </c>
    </row>
    <row r="12" spans="1:3" x14ac:dyDescent="0.2">
      <c r="A12" t="s">
        <v>104</v>
      </c>
      <c r="B12" t="s">
        <v>7033</v>
      </c>
      <c r="C12" t="s">
        <v>7034</v>
      </c>
    </row>
    <row r="13" spans="1:3" x14ac:dyDescent="0.2">
      <c r="A13" t="s">
        <v>105</v>
      </c>
      <c r="B13" t="s">
        <v>7035</v>
      </c>
      <c r="C13" t="s">
        <v>7036</v>
      </c>
    </row>
    <row r="14" spans="1:3" x14ac:dyDescent="0.2">
      <c r="A14" t="s">
        <v>106</v>
      </c>
      <c r="B14" t="s">
        <v>7037</v>
      </c>
      <c r="C14" t="s">
        <v>7038</v>
      </c>
    </row>
    <row r="15" spans="1:3" x14ac:dyDescent="0.2">
      <c r="A15" t="s">
        <v>107</v>
      </c>
      <c r="B15" t="s">
        <v>7039</v>
      </c>
      <c r="C15" t="s">
        <v>7040</v>
      </c>
    </row>
    <row r="16" spans="1:3" x14ac:dyDescent="0.2">
      <c r="A16" t="s">
        <v>7041</v>
      </c>
      <c r="B16" t="s">
        <v>7042</v>
      </c>
      <c r="C16" t="s">
        <v>7043</v>
      </c>
    </row>
    <row r="17" spans="1:3" x14ac:dyDescent="0.2">
      <c r="A17" t="s">
        <v>108</v>
      </c>
      <c r="B17" t="s">
        <v>7044</v>
      </c>
      <c r="C17" t="s">
        <v>7045</v>
      </c>
    </row>
    <row r="18" spans="1:3" x14ac:dyDescent="0.2">
      <c r="A18" t="s">
        <v>7046</v>
      </c>
      <c r="B18" t="s">
        <v>7047</v>
      </c>
      <c r="C18" t="s">
        <v>7048</v>
      </c>
    </row>
    <row r="19" spans="1:3" x14ac:dyDescent="0.2">
      <c r="A19" t="s">
        <v>122</v>
      </c>
      <c r="B19" t="s">
        <v>7049</v>
      </c>
      <c r="C19" t="s">
        <v>7050</v>
      </c>
    </row>
    <row r="21" spans="1:3" x14ac:dyDescent="0.2">
      <c r="A21" t="s">
        <v>7051</v>
      </c>
    </row>
    <row r="22" spans="1:3" x14ac:dyDescent="0.2">
      <c r="A22" t="s">
        <v>118</v>
      </c>
      <c r="B22" t="s">
        <v>7052</v>
      </c>
      <c r="C22" t="s">
        <v>7053</v>
      </c>
    </row>
    <row r="23" spans="1:3" x14ac:dyDescent="0.2">
      <c r="A23" t="s">
        <v>7054</v>
      </c>
      <c r="B23" t="s">
        <v>7055</v>
      </c>
      <c r="C23" t="s">
        <v>7056</v>
      </c>
    </row>
    <row r="24" spans="1:3" x14ac:dyDescent="0.2">
      <c r="A24" t="s">
        <v>119</v>
      </c>
      <c r="B24" t="s">
        <v>7057</v>
      </c>
      <c r="C24" t="s">
        <v>7058</v>
      </c>
    </row>
    <row r="25" spans="1:3" x14ac:dyDescent="0.2">
      <c r="A25" t="s">
        <v>7059</v>
      </c>
      <c r="B25" t="s">
        <v>7060</v>
      </c>
      <c r="C25" t="s">
        <v>7061</v>
      </c>
    </row>
    <row r="26" spans="1:3" x14ac:dyDescent="0.2">
      <c r="A26" t="s">
        <v>120</v>
      </c>
      <c r="B26" t="s">
        <v>7062</v>
      </c>
      <c r="C26" t="s">
        <v>7063</v>
      </c>
    </row>
    <row r="27" spans="1:3" x14ac:dyDescent="0.2">
      <c r="A27" t="s">
        <v>7064</v>
      </c>
      <c r="B27" t="s">
        <v>7065</v>
      </c>
      <c r="C27" t="s">
        <v>7066</v>
      </c>
    </row>
    <row r="28" spans="1:3" x14ac:dyDescent="0.2">
      <c r="A28" t="s">
        <v>121</v>
      </c>
      <c r="B28" t="s">
        <v>7067</v>
      </c>
      <c r="C28" t="s">
        <v>7068</v>
      </c>
    </row>
    <row r="29" spans="1:3" x14ac:dyDescent="0.2">
      <c r="A29" t="s">
        <v>7069</v>
      </c>
      <c r="B29" t="s">
        <v>7070</v>
      </c>
      <c r="C29" t="s">
        <v>7071</v>
      </c>
    </row>
    <row r="30" spans="1:3" x14ac:dyDescent="0.2">
      <c r="A30" t="s">
        <v>7072</v>
      </c>
      <c r="B30" t="s">
        <v>7073</v>
      </c>
      <c r="C30" t="s">
        <v>7074</v>
      </c>
    </row>
    <row r="31" spans="1:3" x14ac:dyDescent="0.2">
      <c r="A31" t="s">
        <v>111</v>
      </c>
      <c r="B31" t="s">
        <v>7075</v>
      </c>
      <c r="C31" t="s">
        <v>7076</v>
      </c>
    </row>
    <row r="33" spans="1:3" x14ac:dyDescent="0.2">
      <c r="A33" t="s">
        <v>7077</v>
      </c>
    </row>
    <row r="34" spans="1:3" x14ac:dyDescent="0.2">
      <c r="A34" t="s">
        <v>7078</v>
      </c>
      <c r="B34" t="s">
        <v>7079</v>
      </c>
      <c r="C34" t="s">
        <v>7080</v>
      </c>
    </row>
    <row r="35" spans="1:3" x14ac:dyDescent="0.2">
      <c r="A35" t="s">
        <v>7081</v>
      </c>
      <c r="B35" t="s">
        <v>7082</v>
      </c>
      <c r="C35" t="s">
        <v>7083</v>
      </c>
    </row>
    <row r="36" spans="1:3" x14ac:dyDescent="0.2">
      <c r="A36" t="s">
        <v>7084</v>
      </c>
      <c r="B36" t="s">
        <v>7085</v>
      </c>
      <c r="C36" t="s">
        <v>7086</v>
      </c>
    </row>
    <row r="37" spans="1:3" x14ac:dyDescent="0.2">
      <c r="A37" t="s">
        <v>7087</v>
      </c>
      <c r="B37" t="s">
        <v>7088</v>
      </c>
      <c r="C37" t="s">
        <v>7089</v>
      </c>
    </row>
    <row r="38" spans="1:3" x14ac:dyDescent="0.2">
      <c r="A38" t="s">
        <v>7090</v>
      </c>
      <c r="B38" t="s">
        <v>7091</v>
      </c>
      <c r="C38" t="s">
        <v>7092</v>
      </c>
    </row>
    <row r="39" spans="1:3" x14ac:dyDescent="0.2">
      <c r="A39" t="s">
        <v>7093</v>
      </c>
      <c r="B39" t="s">
        <v>7094</v>
      </c>
      <c r="C39" t="s">
        <v>7095</v>
      </c>
    </row>
    <row r="40" spans="1:3" x14ac:dyDescent="0.2">
      <c r="A40" t="s">
        <v>7096</v>
      </c>
      <c r="B40" t="s">
        <v>7097</v>
      </c>
      <c r="C40" t="s">
        <v>7098</v>
      </c>
    </row>
    <row r="41" spans="1:3" x14ac:dyDescent="0.2">
      <c r="A41" t="s">
        <v>7099</v>
      </c>
      <c r="B41" t="s">
        <v>7100</v>
      </c>
      <c r="C41" t="s">
        <v>7101</v>
      </c>
    </row>
    <row r="43" spans="1:3" x14ac:dyDescent="0.2">
      <c r="A43" t="s">
        <v>7102</v>
      </c>
    </row>
    <row r="44" spans="1:3" x14ac:dyDescent="0.2">
      <c r="A44" t="s">
        <v>109</v>
      </c>
      <c r="B44" t="s">
        <v>7103</v>
      </c>
      <c r="C44" t="s">
        <v>7104</v>
      </c>
    </row>
    <row r="45" spans="1:3" x14ac:dyDescent="0.2">
      <c r="A45" t="s">
        <v>7105</v>
      </c>
      <c r="B45" t="s">
        <v>7106</v>
      </c>
      <c r="C45" t="s">
        <v>7107</v>
      </c>
    </row>
    <row r="46" spans="1:3" x14ac:dyDescent="0.2">
      <c r="A46" t="s">
        <v>7108</v>
      </c>
      <c r="B46" t="s">
        <v>7109</v>
      </c>
      <c r="C46" t="s">
        <v>7110</v>
      </c>
    </row>
    <row r="47" spans="1:3" x14ac:dyDescent="0.2">
      <c r="A47" t="s">
        <v>7111</v>
      </c>
      <c r="B47" t="s">
        <v>7112</v>
      </c>
      <c r="C47" t="s">
        <v>7113</v>
      </c>
    </row>
    <row r="48" spans="1:3" x14ac:dyDescent="0.2">
      <c r="A48" t="s">
        <v>7114</v>
      </c>
      <c r="B48" t="s">
        <v>7115</v>
      </c>
      <c r="C48" t="s">
        <v>7116</v>
      </c>
    </row>
    <row r="49" spans="1:3" x14ac:dyDescent="0.2">
      <c r="A49" t="s">
        <v>110</v>
      </c>
      <c r="B49" t="s">
        <v>7117</v>
      </c>
      <c r="C49" t="s">
        <v>7118</v>
      </c>
    </row>
    <row r="51" spans="1:3" x14ac:dyDescent="0.2">
      <c r="A51" t="s">
        <v>7119</v>
      </c>
    </row>
    <row r="52" spans="1:3" x14ac:dyDescent="0.2">
      <c r="A52" t="s">
        <v>7120</v>
      </c>
      <c r="B52" t="s">
        <v>7121</v>
      </c>
      <c r="C52" t="s">
        <v>1161</v>
      </c>
    </row>
    <row r="53" spans="1:3" x14ac:dyDescent="0.2">
      <c r="A53" t="s">
        <v>7122</v>
      </c>
      <c r="B53" t="s">
        <v>7123</v>
      </c>
      <c r="C53" t="s">
        <v>1161</v>
      </c>
    </row>
    <row r="54" spans="1:3" x14ac:dyDescent="0.2">
      <c r="A54" t="s">
        <v>7124</v>
      </c>
      <c r="B54" t="s">
        <v>7125</v>
      </c>
      <c r="C54" t="s">
        <v>1161</v>
      </c>
    </row>
    <row r="55" spans="1:3" x14ac:dyDescent="0.2">
      <c r="A55" t="s">
        <v>7126</v>
      </c>
      <c r="B55" t="s">
        <v>7127</v>
      </c>
      <c r="C55" t="s">
        <v>1161</v>
      </c>
    </row>
    <row r="56" spans="1:3" x14ac:dyDescent="0.2">
      <c r="A56" t="s">
        <v>7128</v>
      </c>
      <c r="B56" t="s">
        <v>7129</v>
      </c>
      <c r="C56" t="s">
        <v>1161</v>
      </c>
    </row>
  </sheetData>
  <pageMargins left="0.7" right="0.7" top="0.75" bottom="0.75" header="0.3" footer="0.3"/>
  <ignoredErrors>
    <ignoredError sqref="A1:C5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C87C-1C02-8A48-AC58-0D62DA4C65C2}">
  <sheetPr>
    <tabColor rgb="FF1F4E79"/>
  </sheetPr>
  <dimension ref="A1:Y662"/>
  <sheetViews>
    <sheetView topLeftCell="K1" zoomScale="120" zoomScaleNormal="120" workbookViewId="0">
      <pane ySplit="16" topLeftCell="A430" activePane="bottomLeft" state="frozen"/>
      <selection pane="bottomLeft" activeCell="O9" sqref="O9"/>
    </sheetView>
  </sheetViews>
  <sheetFormatPr baseColWidth="10" defaultRowHeight="16" x14ac:dyDescent="0.2"/>
  <cols>
    <col min="1" max="1" width="20" customWidth="1"/>
    <col min="2" max="2" width="18.33203125" customWidth="1"/>
    <col min="3" max="3" width="38" customWidth="1"/>
    <col min="4" max="4" width="46.33203125" customWidth="1"/>
    <col min="5" max="5" width="26.33203125" customWidth="1"/>
    <col min="6" max="6" width="16.6640625" customWidth="1"/>
    <col min="7" max="7" width="24.83203125" customWidth="1"/>
    <col min="8" max="8" width="33.1640625" customWidth="1"/>
    <col min="9" max="9" width="11.6640625" customWidth="1"/>
    <col min="10" max="10" width="57.33203125" customWidth="1"/>
    <col min="11" max="11" width="50.5" customWidth="1"/>
    <col min="12" max="12" width="19.1640625" customWidth="1"/>
    <col min="13" max="14" width="15.83203125" customWidth="1"/>
    <col min="15" max="15" width="48.1640625" customWidth="1"/>
    <col min="16" max="16" width="23" customWidth="1"/>
    <col min="17" max="18" width="15" customWidth="1"/>
    <col min="19" max="25" width="14.1640625" customWidth="1"/>
  </cols>
  <sheetData>
    <row r="1" spans="1:25" ht="24" x14ac:dyDescent="0.3">
      <c r="A1" s="3">
        <v>0.03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3" spans="1:25" ht="19" x14ac:dyDescent="0.25">
      <c r="A3" s="5" t="s">
        <v>7130</v>
      </c>
      <c r="B3" s="6"/>
      <c r="C3" s="6"/>
      <c r="D3" s="6"/>
      <c r="E3" s="5" t="s">
        <v>7131</v>
      </c>
      <c r="F3" s="6"/>
      <c r="G3" s="6"/>
      <c r="H3" s="6"/>
      <c r="J3" s="5" t="s">
        <v>7187</v>
      </c>
      <c r="K3" s="6"/>
      <c r="L3" s="6"/>
      <c r="M3" s="6"/>
      <c r="N3" s="6"/>
      <c r="P3" s="5" t="s">
        <v>7201</v>
      </c>
      <c r="Q3" s="6"/>
      <c r="R3" s="6"/>
      <c r="S3" s="6"/>
      <c r="U3" s="5" t="s">
        <v>7210</v>
      </c>
      <c r="V3" s="6"/>
      <c r="W3" s="6"/>
      <c r="X3" s="6"/>
      <c r="Y3" s="6"/>
    </row>
    <row r="4" spans="1:25" x14ac:dyDescent="0.2">
      <c r="A4" s="8" t="s">
        <v>7132</v>
      </c>
      <c r="B4" s="9" t="s">
        <v>7133</v>
      </c>
      <c r="C4" s="8" t="s">
        <v>7041</v>
      </c>
      <c r="E4" s="8" t="s">
        <v>7132</v>
      </c>
      <c r="F4" s="9" t="s">
        <v>7133</v>
      </c>
      <c r="G4" s="9" t="s">
        <v>7134</v>
      </c>
      <c r="H4" s="8" t="s">
        <v>7041</v>
      </c>
      <c r="J4" s="8" t="s">
        <v>7188</v>
      </c>
      <c r="K4" s="9" t="s">
        <v>7133</v>
      </c>
      <c r="L4" s="8" t="s">
        <v>7188</v>
      </c>
      <c r="M4" s="9" t="s">
        <v>7133</v>
      </c>
      <c r="P4" s="8" t="s">
        <v>7202</v>
      </c>
      <c r="Q4" s="9" t="s">
        <v>7203</v>
      </c>
      <c r="R4" s="9" t="s">
        <v>2875</v>
      </c>
      <c r="U4" s="8" t="s">
        <v>7211</v>
      </c>
      <c r="V4" s="52"/>
      <c r="W4" s="52"/>
      <c r="X4" s="52"/>
      <c r="Y4" s="52"/>
    </row>
    <row r="5" spans="1:25" x14ac:dyDescent="0.2">
      <c r="A5" t="s">
        <v>7135</v>
      </c>
      <c r="B5" s="12">
        <v>0.85</v>
      </c>
      <c r="C5" t="s">
        <v>7136</v>
      </c>
      <c r="E5" t="s">
        <v>7137</v>
      </c>
      <c r="F5" s="13">
        <v>395</v>
      </c>
      <c r="G5" t="s">
        <v>7138</v>
      </c>
      <c r="H5" t="s">
        <v>6996</v>
      </c>
      <c r="J5" t="s">
        <v>7189</v>
      </c>
      <c r="K5" s="38">
        <f>COUNTA(A17:A662)</f>
        <v>646</v>
      </c>
      <c r="L5" t="s">
        <v>7190</v>
      </c>
      <c r="M5" s="39">
        <f>COUNTIF(Y17:Y662,"🔥 Critical")</f>
        <v>216</v>
      </c>
      <c r="P5" s="48" t="s">
        <v>7204</v>
      </c>
      <c r="Q5" s="15">
        <f>COUNTIF(L17:L662,"&gt;0.75")</f>
        <v>50</v>
      </c>
      <c r="R5" s="34">
        <f t="shared" ref="R5:R10" si="0">IFERROR(Q5/$K$5,0)</f>
        <v>7.7399380804953566E-2</v>
      </c>
      <c r="U5" t="s">
        <v>7212</v>
      </c>
    </row>
    <row r="6" spans="1:25" x14ac:dyDescent="0.2">
      <c r="A6" t="s">
        <v>7139</v>
      </c>
      <c r="B6" s="14">
        <v>1</v>
      </c>
      <c r="C6" t="s">
        <v>7140</v>
      </c>
      <c r="E6" t="s">
        <v>7141</v>
      </c>
      <c r="F6" s="13">
        <v>150</v>
      </c>
      <c r="G6" t="s">
        <v>7138</v>
      </c>
      <c r="H6" t="s">
        <v>6998</v>
      </c>
      <c r="J6" t="s">
        <v>7191</v>
      </c>
      <c r="K6" s="38">
        <f>COUNTA(_xlfn.UNIQUE(A17:A662))</f>
        <v>54</v>
      </c>
      <c r="L6" t="s">
        <v>7192</v>
      </c>
      <c r="M6" s="40">
        <f>COUNTIF(Y17:Y662,"⚠️ High")</f>
        <v>203</v>
      </c>
      <c r="P6" s="48" t="s">
        <v>7205</v>
      </c>
      <c r="Q6" s="15">
        <f>COUNTIFS(L17:L662,"&gt;0.5",L17:L662,"&lt;=0.75")</f>
        <v>166</v>
      </c>
      <c r="R6" s="34">
        <f t="shared" si="0"/>
        <v>0.25696594427244585</v>
      </c>
      <c r="U6" t="s">
        <v>7213</v>
      </c>
    </row>
    <row r="7" spans="1:25" x14ac:dyDescent="0.2">
      <c r="A7" t="s">
        <v>7142</v>
      </c>
      <c r="B7" s="12">
        <v>0.9</v>
      </c>
      <c r="C7" t="s">
        <v>7143</v>
      </c>
      <c r="E7" t="s">
        <v>7144</v>
      </c>
      <c r="F7" s="13">
        <v>100</v>
      </c>
      <c r="G7" t="s">
        <v>7138</v>
      </c>
      <c r="H7" t="s">
        <v>7000</v>
      </c>
      <c r="J7" t="s">
        <v>7193</v>
      </c>
      <c r="K7" s="38">
        <f>COUNTA(_xlfn.UNIQUE(B17:B662))</f>
        <v>133</v>
      </c>
      <c r="L7" t="s">
        <v>7194</v>
      </c>
      <c r="M7" s="41">
        <f>COUNTIF(Y17:Y662,"📊 Medium")</f>
        <v>101</v>
      </c>
      <c r="P7" s="49" t="s">
        <v>7206</v>
      </c>
      <c r="Q7" s="15">
        <f>COUNTIFS(L17:L662,"&gt;0.25",L17:L662,"&lt;=0.5")</f>
        <v>202</v>
      </c>
      <c r="R7" s="34">
        <f t="shared" si="0"/>
        <v>0.31269349845201239</v>
      </c>
      <c r="U7" t="s">
        <v>7214</v>
      </c>
    </row>
    <row r="8" spans="1:25" x14ac:dyDescent="0.2">
      <c r="A8" t="s">
        <v>7145</v>
      </c>
      <c r="B8" s="12">
        <v>0.75</v>
      </c>
      <c r="C8" t="s">
        <v>7146</v>
      </c>
      <c r="E8" t="s">
        <v>7147</v>
      </c>
      <c r="F8" s="13">
        <v>85</v>
      </c>
      <c r="G8" t="s">
        <v>7138</v>
      </c>
      <c r="H8" t="s">
        <v>7002</v>
      </c>
      <c r="J8" t="s">
        <v>7195</v>
      </c>
      <c r="K8" s="42">
        <f>IFERROR(AVERAGEIF(L17:L662,"&gt;0"),0)</f>
        <v>0.46827834700383536</v>
      </c>
      <c r="L8" t="s">
        <v>7196</v>
      </c>
      <c r="M8" s="43">
        <f>COUNTIF(Y17:Y662,"📉 Low")</f>
        <v>126</v>
      </c>
      <c r="P8" s="49" t="s">
        <v>7207</v>
      </c>
      <c r="Q8" s="15">
        <f>COUNTIFS(L17:L662,"&gt;0.1",L17:L662,"&lt;=0.25")</f>
        <v>101</v>
      </c>
      <c r="R8" s="34">
        <f t="shared" si="0"/>
        <v>0.15634674922600619</v>
      </c>
      <c r="U8" t="s">
        <v>7215</v>
      </c>
    </row>
    <row r="9" spans="1:25" x14ac:dyDescent="0.2">
      <c r="A9" t="s">
        <v>7148</v>
      </c>
      <c r="B9" s="12">
        <v>0.5</v>
      </c>
      <c r="C9" t="s">
        <v>7149</v>
      </c>
      <c r="E9" t="s">
        <v>7150</v>
      </c>
      <c r="F9" s="16">
        <f>AVERAGE(F5:F8)</f>
        <v>182.5</v>
      </c>
      <c r="G9" t="s">
        <v>7138</v>
      </c>
      <c r="H9" t="s">
        <v>7151</v>
      </c>
      <c r="J9" t="s">
        <v>7197</v>
      </c>
      <c r="K9" s="46">
        <f>SUM(V17:V662)</f>
        <v>29135925.865132816</v>
      </c>
      <c r="L9" t="s">
        <v>7198</v>
      </c>
      <c r="M9" s="47">
        <f>COUNTIF(R17:R662,"🟢 Leading")</f>
        <v>19</v>
      </c>
      <c r="P9" s="50" t="s">
        <v>7208</v>
      </c>
      <c r="Q9" s="15">
        <f>COUNTIFS(L17:L662,"&gt;0",L17:L662,"&lt;=0.1")</f>
        <v>33</v>
      </c>
      <c r="R9" s="34">
        <f t="shared" si="0"/>
        <v>5.108359133126935E-2</v>
      </c>
      <c r="U9" t="s">
        <v>7216</v>
      </c>
    </row>
    <row r="10" spans="1:25" x14ac:dyDescent="0.2">
      <c r="A10" t="s">
        <v>7152</v>
      </c>
      <c r="B10" s="17">
        <v>3</v>
      </c>
      <c r="C10" t="s">
        <v>7153</v>
      </c>
      <c r="E10" t="s">
        <v>7154</v>
      </c>
      <c r="F10" s="18">
        <v>2080</v>
      </c>
      <c r="G10" t="s">
        <v>7155</v>
      </c>
      <c r="H10" t="s">
        <v>7156</v>
      </c>
      <c r="J10" t="s">
        <v>7199</v>
      </c>
      <c r="K10" s="46">
        <f>SUM(W17:W662)</f>
        <v>72456735.246874318</v>
      </c>
      <c r="L10" t="s">
        <v>7200</v>
      </c>
      <c r="M10" s="39">
        <f>COUNTIF(R17:R662,"🔴 Lagging")</f>
        <v>478</v>
      </c>
      <c r="P10" s="51" t="s">
        <v>7209</v>
      </c>
      <c r="Q10" s="34">
        <f>COUNTIF(L17:L662,"-")+COUNTIF(L17:L662,0)</f>
        <v>93</v>
      </c>
      <c r="R10" s="34">
        <f t="shared" si="0"/>
        <v>0.14396284829721362</v>
      </c>
    </row>
    <row r="11" spans="1:25" x14ac:dyDescent="0.2">
      <c r="A11" t="s">
        <v>7157</v>
      </c>
      <c r="B11" s="12">
        <v>0.1</v>
      </c>
      <c r="C11" t="s">
        <v>7158</v>
      </c>
      <c r="E11" t="s">
        <v>7159</v>
      </c>
      <c r="F11" s="13">
        <v>250000</v>
      </c>
      <c r="G11" t="s">
        <v>7160</v>
      </c>
      <c r="H11" t="s">
        <v>7161</v>
      </c>
      <c r="J11" s="19"/>
      <c r="K11" s="19"/>
      <c r="L11" s="19"/>
      <c r="M11" s="19"/>
      <c r="N11" s="19"/>
      <c r="P11" s="19"/>
      <c r="Q11" s="19"/>
      <c r="R11" s="19"/>
      <c r="S11" s="19"/>
      <c r="U11" s="53" t="s">
        <v>7217</v>
      </c>
      <c r="V11" s="19"/>
      <c r="W11" s="19"/>
      <c r="X11" s="19"/>
      <c r="Y11" s="19"/>
    </row>
    <row r="12" spans="1:25" x14ac:dyDescent="0.2">
      <c r="A12" s="19"/>
      <c r="B12" s="19"/>
      <c r="C12" s="21" t="s">
        <v>7162</v>
      </c>
      <c r="D12" s="19"/>
      <c r="E12" s="19"/>
      <c r="F12" s="19"/>
      <c r="G12" s="19"/>
      <c r="H12" s="19"/>
    </row>
    <row r="14" spans="1:25" ht="19" x14ac:dyDescent="0.25">
      <c r="A14" s="22" t="s">
        <v>7163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">
      <c r="A15" s="23" t="s">
        <v>7164</v>
      </c>
      <c r="B15" s="24"/>
      <c r="C15" s="24"/>
      <c r="D15" s="24"/>
      <c r="E15" s="24"/>
      <c r="F15" s="24"/>
      <c r="G15" s="24"/>
      <c r="H15" s="24"/>
      <c r="I15" s="24"/>
      <c r="J15" s="24"/>
      <c r="K15" s="25" t="s">
        <v>7165</v>
      </c>
      <c r="L15" s="26"/>
      <c r="M15" s="26"/>
      <c r="N15" s="26"/>
      <c r="O15" s="27" t="s">
        <v>7166</v>
      </c>
      <c r="P15" s="28"/>
      <c r="Q15" s="28"/>
      <c r="R15" s="28"/>
      <c r="S15" s="29" t="s">
        <v>7167</v>
      </c>
      <c r="T15" s="30"/>
      <c r="U15" s="30"/>
      <c r="V15" s="30"/>
      <c r="W15" s="30"/>
      <c r="X15" s="30"/>
      <c r="Y15" s="30"/>
    </row>
    <row r="16" spans="1:25" ht="51" x14ac:dyDescent="0.2">
      <c r="A16" s="9" t="s">
        <v>17</v>
      </c>
      <c r="B16" s="9" t="s">
        <v>106</v>
      </c>
      <c r="C16" s="9" t="s">
        <v>107</v>
      </c>
      <c r="D16" s="9" t="s">
        <v>2884</v>
      </c>
      <c r="E16" s="9" t="s">
        <v>7168</v>
      </c>
      <c r="F16" s="9" t="s">
        <v>7169</v>
      </c>
      <c r="G16" s="9" t="s">
        <v>7170</v>
      </c>
      <c r="H16" s="9" t="s">
        <v>2888</v>
      </c>
      <c r="I16" s="9" t="s">
        <v>2889</v>
      </c>
      <c r="J16" s="9" t="s">
        <v>7171</v>
      </c>
      <c r="K16" s="31" t="s">
        <v>7172</v>
      </c>
      <c r="L16" s="31" t="s">
        <v>7173</v>
      </c>
      <c r="M16" s="31" t="s">
        <v>7174</v>
      </c>
      <c r="N16" s="31" t="s">
        <v>7175</v>
      </c>
      <c r="O16" s="32" t="s">
        <v>7176</v>
      </c>
      <c r="P16" s="32" t="s">
        <v>7177</v>
      </c>
      <c r="Q16" s="32" t="s">
        <v>7178</v>
      </c>
      <c r="R16" s="32" t="s">
        <v>7179</v>
      </c>
      <c r="S16" s="33" t="s">
        <v>7180</v>
      </c>
      <c r="T16" s="33" t="s">
        <v>7181</v>
      </c>
      <c r="U16" s="33" t="s">
        <v>7182</v>
      </c>
      <c r="V16" s="33" t="s">
        <v>7183</v>
      </c>
      <c r="W16" s="33" t="s">
        <v>7184</v>
      </c>
      <c r="X16" s="33" t="s">
        <v>7185</v>
      </c>
      <c r="Y16" s="33" t="s">
        <v>7186</v>
      </c>
    </row>
    <row r="17" spans="1:25" x14ac:dyDescent="0.2">
      <c r="A17" t="str">
        <f>'5. KPI Baselines'!A2</f>
        <v>50 Floor</v>
      </c>
      <c r="B17" t="str">
        <f>'5. KPI Baselines'!B2</f>
        <v>Sales Operations</v>
      </c>
      <c r="C17" t="str">
        <f>'5. KPI Baselines'!C2</f>
        <v>In-Home Consultations</v>
      </c>
      <c r="D17" t="str">
        <f>'5. KPI Baselines'!D2</f>
        <v>Appointment Close Rate</v>
      </c>
      <c r="E17" t="str">
        <f>'5. KPI Baselines'!E2</f>
        <v>68%</v>
      </c>
      <c r="F17" t="str">
        <f>'5. KPI Baselines'!F2</f>
        <v>75%</v>
      </c>
      <c r="G17" t="str">
        <f>'5. KPI Baselines'!G2</f>
        <v>72%</v>
      </c>
      <c r="H17" t="str">
        <f>'5. KPI Baselines'!H2</f>
        <v>↑</v>
      </c>
      <c r="I17" t="str">
        <f>'5. KPI Baselines'!I2</f>
        <v>12 months</v>
      </c>
      <c r="J17" t="str">
        <f>'5. KPI Baselines'!J2</f>
        <v>Closed sales / qualified appointments scheduled</v>
      </c>
      <c r="K17" s="15" t="str">
        <f>IFERROR(IF(OR(E17="",F17=""),"-",IF(H17="↓",E17&amp;" → "&amp;F17,F17&amp;" - "&amp;E17)),"-")</f>
        <v>75% - 68%</v>
      </c>
      <c r="L17" s="34" cm="1">
        <f t="array" ref="L17">IFERROR(_xlfn.LET(_xlpm.e,E17,_xlpm.f,F17,_xlpm.h,H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0.10294102508672781</v>
      </c>
      <c r="M17" s="15" cm="1">
        <f t="array" ref="M17">IFERROR(_xlfn.LET(_xlpm.e,E17,_xlpm.f,F17,_xlpm.h,H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74</v>
      </c>
      <c r="N17" s="15" cm="1">
        <f t="array" ref="N17">IFERROR(_xlfn.LET(_xlpm.e,E17,_xlpm.f,F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17" s="15" t="str">
        <f>IFERROR(IF(OR(G17="",G17="Not Available",F17=""),"-",IF(H17="↓",G17&amp;" → "&amp;F17,F17&amp;" - "&amp;G17)),"-")</f>
        <v>75% - 72%</v>
      </c>
      <c r="P17" s="34" cm="1">
        <f t="array" ref="P17">IFERROR(_xlfn.LET(_xlpm.g,G17,_xlpm.f,F17,_xlpm.h,H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4.1666608796376667E-2</v>
      </c>
      <c r="Q17" s="15" t="str" cm="1">
        <f t="array" ref="Q17">IFERROR(_xlfn.LET(_xlpm.e,E17,_xlpm.g,G17,_xlpm.h,H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" s="15" t="str">
        <f>IFERROR(IF(Q17="Below Industry","🔴 Lagging",IF(Q17="Above Industry","🟢 Leading","⚪ N/A")),"⚪ N/A")</f>
        <v>🔴 Lagging</v>
      </c>
      <c r="S17" s="35" cm="1">
        <f t="array" ref="S17">IFERROR(_xlfn.LET(_xlpm.e,E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17" s="36">
        <f>IFERROR(IF(L17="-",0,ABS(L17)*100),0)</f>
        <v>10.294102508672781</v>
      </c>
      <c r="U17" s="15">
        <f>IFERROR(RANK(T17,$T$17:$T$662,0),"-")</f>
        <v>518</v>
      </c>
      <c r="V17" s="16">
        <f>IFERROR(IF(OR(L17="-",S17=0),0,S17*ABS(L17)*$F$9*$B$5*$B$7),0)</f>
        <v>977.28606281461339</v>
      </c>
      <c r="W17" s="16">
        <f>IFERROR(IF(V17=0,0,V17*(1-(1/(1+$B$11)^$B$10))/$B$11),0)</f>
        <v>2430.3657910716552</v>
      </c>
      <c r="X17" s="37">
        <f>IFERROR(IF(V17=0,"-",ROUND(12/(V17/($F$9*40)+0.001),0)),"-")</f>
        <v>89</v>
      </c>
      <c r="Y17" s="15" t="str">
        <f>IF(T17&gt;=50,"🔥 Critical",IF(T17&gt;=25,"⚠️ High",IF(T17&gt;=10,"📊 Medium","📉 Low")))</f>
        <v>📊 Medium</v>
      </c>
    </row>
    <row r="18" spans="1:25" x14ac:dyDescent="0.2">
      <c r="A18" t="str">
        <f>'5. KPI Baselines'!A3</f>
        <v>50 Floor</v>
      </c>
      <c r="B18" t="str">
        <f>'5. KPI Baselines'!B3</f>
        <v>Sales Operations</v>
      </c>
      <c r="C18" t="str">
        <f>'5. KPI Baselines'!C3</f>
        <v>Lead Management</v>
      </c>
      <c r="D18" t="str">
        <f>'5. KPI Baselines'!D3</f>
        <v>Customer Acquisition Cost</v>
      </c>
      <c r="E18" t="str">
        <f>'5. KPI Baselines'!E3</f>
        <v>$420</v>
      </c>
      <c r="F18" t="str">
        <f>'5. KPI Baselines'!F3</f>
        <v>$380</v>
      </c>
      <c r="G18" t="str">
        <f>'5. KPI Baselines'!G3</f>
        <v>$385</v>
      </c>
      <c r="H18" t="str">
        <f>'5. KPI Baselines'!H3</f>
        <v>↓</v>
      </c>
      <c r="I18" t="str">
        <f>'5. KPI Baselines'!I3</f>
        <v>12 months</v>
      </c>
      <c r="J18" t="str">
        <f>'5. KPI Baselines'!J3</f>
        <v>Total marketing spend / closed sales</v>
      </c>
      <c r="K18" s="15" t="str">
        <f t="shared" ref="K18:K81" si="1">IFERROR(IF(OR(E18="",F18=""),"-",IF(H18="↓",E18&amp;" → "&amp;F18,F18&amp;" - "&amp;E18)),"-")</f>
        <v>$420 → $380</v>
      </c>
      <c r="L18" s="34" cm="1">
        <f t="array" ref="L18">IFERROR(_xlfn.LET(_xlpm.e,E18,_xlpm.f,F18,_xlpm.h,H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9.5238072562363676E-2</v>
      </c>
      <c r="M18" s="15" cm="1">
        <f t="array" ref="M18">IFERROR(_xlfn.LET(_xlpm.e,E18,_xlpm.f,F18,_xlpm.h,H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386</v>
      </c>
      <c r="N18" s="15" cm="1">
        <f t="array" ref="N18">IFERROR(_xlfn.LET(_xlpm.e,E18,_xlpm.f,F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30.6</v>
      </c>
      <c r="O18" s="15" t="str">
        <f t="shared" ref="O18:O81" si="2">IFERROR(IF(OR(G18="",G18="Not Available",F18=""),"-",IF(H18="↓",G18&amp;" → "&amp;F18,F18&amp;" - "&amp;G18)),"-")</f>
        <v>$385 → $380</v>
      </c>
      <c r="P18" s="34" cm="1">
        <f t="array" ref="P18">IFERROR(_xlfn.LET(_xlpm.g,G18,_xlpm.f,F18,_xlpm.h,H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1.2987009613763737E-2</v>
      </c>
      <c r="Q18" s="15" t="str" cm="1">
        <f t="array" ref="Q18">IFERROR(_xlfn.LET(_xlpm.e,E18,_xlpm.g,G18,_xlpm.h,H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" s="15" t="str">
        <f t="shared" ref="R18:R81" si="3">IFERROR(IF(Q18="Below Industry","🔴 Lagging",IF(Q18="Above Industry","🟢 Leading","⚪ N/A")),"⚪ N/A")</f>
        <v>🔴 Lagging</v>
      </c>
      <c r="S18" s="35" cm="1">
        <f t="array" ref="S18">IFERROR(_xlfn.LET(_xlpm.e,E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420</v>
      </c>
      <c r="T18" s="36">
        <f t="shared" ref="T18:T81" si="4">IFERROR(IF(L18="-",0,ABS(L18)*100),0)</f>
        <v>9.5238072562363669</v>
      </c>
      <c r="U18" s="15">
        <f t="shared" ref="U18:U81" si="5">IFERROR(RANK(T18,$T$17:$T$662,0),"-")</f>
        <v>522</v>
      </c>
      <c r="V18" s="16">
        <f t="shared" ref="V18:V81" si="6">IFERROR(IF(OR(L18="-",S18=0),0,S18*ABS(L18)*$F$9*$B$5*$B$7),0)</f>
        <v>5584.4986703574586</v>
      </c>
      <c r="W18" s="16">
        <f t="shared" ref="W18:W81" si="7">IFERROR(IF(V18=0,0,V18*(1-(1/(1+$B$11)^$B$10))/$B$11),0)</f>
        <v>13887.8216370272</v>
      </c>
      <c r="X18" s="37">
        <f t="shared" ref="X18:X81" si="8">IFERROR(IF(V18=0,"-",ROUND(12/(V18/($F$9*40)+0.001),0)),"-")</f>
        <v>16</v>
      </c>
      <c r="Y18" s="15" t="str">
        <f t="shared" ref="Y18:Y81" si="9">IF(T18&gt;=50,"🔥 Critical",IF(T18&gt;=25,"⚠️ High",IF(T18&gt;=10,"📊 Medium","📉 Low")))</f>
        <v>📉 Low</v>
      </c>
    </row>
    <row r="19" spans="1:25" x14ac:dyDescent="0.2">
      <c r="A19" t="str">
        <f>'5. KPI Baselines'!A4</f>
        <v>50 Floor</v>
      </c>
      <c r="B19" t="str">
        <f>'5. KPI Baselines'!B4</f>
        <v>Installation Coordination</v>
      </c>
      <c r="C19" t="str">
        <f>'5. KPI Baselines'!C4</f>
        <v>Measurement Validation</v>
      </c>
      <c r="D19" t="str">
        <f>'5. KPI Baselines'!D4</f>
        <v>Material Waste Rate</v>
      </c>
      <c r="E19" t="str">
        <f>'5. KPI Baselines'!E4</f>
        <v>8.2%</v>
      </c>
      <c r="F19" t="str">
        <f>'5. KPI Baselines'!F4</f>
        <v>3.0%</v>
      </c>
      <c r="G19" t="str">
        <f>'5. KPI Baselines'!G4</f>
        <v>4.5%</v>
      </c>
      <c r="H19" t="str">
        <f>'5. KPI Baselines'!H4</f>
        <v>↓</v>
      </c>
      <c r="I19" t="str">
        <f>'5. KPI Baselines'!I4</f>
        <v>9 months</v>
      </c>
      <c r="J19" t="str">
        <f>'5. KPI Baselines'!J4</f>
        <v>Excess material cost / total material cost</v>
      </c>
      <c r="K19" s="15" t="str">
        <f t="shared" si="1"/>
        <v>8.2% → 3.0%</v>
      </c>
      <c r="L19" s="34" cm="1">
        <f t="array" ref="L19">IFERROR(_xlfn.LET(_xlpm.e,E19,_xlpm.f,F19,_xlpm.h,H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0.63413860806575528</v>
      </c>
      <c r="M19" s="15" cm="1">
        <f t="array" ref="M19">IFERROR(_xlfn.LET(_xlpm.e,E19,_xlpm.f,F19,_xlpm.h,H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19" s="15" cm="1">
        <f t="array" ref="N19">IFERROR(_xlfn.LET(_xlpm.e,E19,_xlpm.f,F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3.98</v>
      </c>
      <c r="O19" s="15" t="str">
        <f t="shared" si="2"/>
        <v>4.5% → 3.0%</v>
      </c>
      <c r="P19" s="34" cm="1">
        <f t="array" ref="P19">IFERROR(_xlfn.LET(_xlpm.g,G19,_xlpm.f,F19,_xlpm.h,H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0.33332592609053135</v>
      </c>
      <c r="Q19" s="15" t="str" cm="1">
        <f t="array" ref="Q19">IFERROR(_xlfn.LET(_xlpm.e,E19,_xlpm.g,G19,_xlpm.h,H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" s="15" t="str">
        <f t="shared" si="3"/>
        <v>🔴 Lagging</v>
      </c>
      <c r="S19" s="35" cm="1">
        <f t="array" ref="S19">IFERROR(_xlfn.LET(_xlpm.e,E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8.1999999999999993</v>
      </c>
      <c r="T19" s="36">
        <f t="shared" si="4"/>
        <v>63.413860806575528</v>
      </c>
      <c r="U19" s="15">
        <f t="shared" si="5"/>
        <v>124</v>
      </c>
      <c r="V19" s="16">
        <f t="shared" si="6"/>
        <v>725.97614663235811</v>
      </c>
      <c r="W19" s="16">
        <f t="shared" si="7"/>
        <v>1805.3952256597352</v>
      </c>
      <c r="X19" s="37">
        <f t="shared" si="8"/>
        <v>119</v>
      </c>
      <c r="Y19" s="15" t="str">
        <f t="shared" si="9"/>
        <v>🔥 Critical</v>
      </c>
    </row>
    <row r="20" spans="1:25" x14ac:dyDescent="0.2">
      <c r="A20" t="str">
        <f>'5. KPI Baselines'!A5</f>
        <v>50 Floor</v>
      </c>
      <c r="B20" t="str">
        <f>'5. KPI Baselines'!B5</f>
        <v>Installation Coordination</v>
      </c>
      <c r="C20" t="str">
        <f>'5. KPI Baselines'!C5</f>
        <v>Scheduling</v>
      </c>
      <c r="D20" t="str">
        <f>'5. KPI Baselines'!D5</f>
        <v>Average Days to Installation</v>
      </c>
      <c r="E20" t="str">
        <f>'5. KPI Baselines'!E5</f>
        <v>6 days</v>
      </c>
      <c r="F20" t="str">
        <f>'5. KPI Baselines'!F5</f>
        <v>2 days</v>
      </c>
      <c r="G20" t="str">
        <f>'5. KPI Baselines'!G5</f>
        <v>3 days</v>
      </c>
      <c r="H20" t="str">
        <f>'5. KPI Baselines'!H5</f>
        <v>↓</v>
      </c>
      <c r="I20" t="str">
        <f>'5. KPI Baselines'!I5</f>
        <v>9 months</v>
      </c>
      <c r="J20" t="str">
        <f>'5. KPI Baselines'!J5</f>
        <v>Calendar days from order to installation start</v>
      </c>
      <c r="K20" s="15" t="str">
        <f t="shared" si="1"/>
        <v>6 days → 2 days</v>
      </c>
      <c r="L20" s="34" cm="1">
        <f t="array" ref="L20">IFERROR(_xlfn.LET(_xlpm.e,E20,_xlpm.f,F20,_xlpm.h,H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0.66665555574073765</v>
      </c>
      <c r="M20" s="15" cm="1">
        <f t="array" ref="M20">IFERROR(_xlfn.LET(_xlpm.e,E20,_xlpm.f,F20,_xlpm.h,H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20" s="15" cm="1">
        <f t="array" ref="N20">IFERROR(_xlfn.LET(_xlpm.e,E20,_xlpm.f,F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0" s="15" t="str">
        <f t="shared" si="2"/>
        <v>3 days → 2 days</v>
      </c>
      <c r="P20" s="34" cm="1">
        <f t="array" ref="P20">IFERROR(_xlfn.LET(_xlpm.g,G20,_xlpm.f,F20,_xlpm.h,H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0.33332222259258021</v>
      </c>
      <c r="Q20" s="15" t="str" cm="1">
        <f t="array" ref="Q20">IFERROR(_xlfn.LET(_xlpm.e,E20,_xlpm.g,G20,_xlpm.h,H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" s="15" t="str">
        <f t="shared" si="3"/>
        <v>🔴 Lagging</v>
      </c>
      <c r="S20" s="35" cm="1">
        <f t="array" ref="S20">IFERROR(_xlfn.LET(_xlpm.e,E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20" s="36">
        <f t="shared" si="4"/>
        <v>66.665555574073764</v>
      </c>
      <c r="U20" s="15">
        <f t="shared" si="5"/>
        <v>105</v>
      </c>
      <c r="V20" s="16">
        <f t="shared" si="6"/>
        <v>558.44069265512235</v>
      </c>
      <c r="W20" s="16">
        <f t="shared" si="7"/>
        <v>1388.7593483760004</v>
      </c>
      <c r="X20" s="37">
        <f t="shared" si="8"/>
        <v>155</v>
      </c>
      <c r="Y20" s="15" t="str">
        <f t="shared" si="9"/>
        <v>🔥 Critical</v>
      </c>
    </row>
    <row r="21" spans="1:25" x14ac:dyDescent="0.2">
      <c r="A21" t="str">
        <f>'5. KPI Baselines'!A6</f>
        <v>50 Floor</v>
      </c>
      <c r="B21" t="str">
        <f>'5. KPI Baselines'!B6</f>
        <v>Customer Service</v>
      </c>
      <c r="C21" t="str">
        <f>'5. KPI Baselines'!C6</f>
        <v>Inquiry Resolution</v>
      </c>
      <c r="D21" t="str">
        <f>'5. KPI Baselines'!D6</f>
        <v>Average Response Time (Peak)</v>
      </c>
      <c r="E21" t="str">
        <f>'5. KPI Baselines'!E6</f>
        <v>18 hours</v>
      </c>
      <c r="F21" t="str">
        <f>'5. KPI Baselines'!F6</f>
        <v>4 hours</v>
      </c>
      <c r="G21" t="str">
        <f>'5. KPI Baselines'!G6</f>
        <v>6 hours</v>
      </c>
      <c r="H21" t="str">
        <f>'5. KPI Baselines'!H6</f>
        <v>↓</v>
      </c>
      <c r="I21" t="str">
        <f>'5. KPI Baselines'!I6</f>
        <v>6 months</v>
      </c>
      <c r="J21" t="str">
        <f>'5. KPI Baselines'!J6</f>
        <v>Time from inquiry receipt to first response</v>
      </c>
      <c r="K21" s="15" t="str">
        <f t="shared" si="1"/>
        <v>18 hours → 4 hours</v>
      </c>
      <c r="L21" s="34" cm="1">
        <f t="array" ref="L21">IFERROR(_xlfn.LET(_xlpm.e,E21,_xlpm.f,F21,_xlpm.h,H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0.77777345681412879</v>
      </c>
      <c r="M21" s="15" cm="1">
        <f t="array" ref="M21">IFERROR(_xlfn.LET(_xlpm.e,E21,_xlpm.f,F21,_xlpm.h,H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21" s="15" cm="1">
        <f t="array" ref="N21">IFERROR(_xlfn.LET(_xlpm.e,E21,_xlpm.f,F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1" s="15" t="str">
        <f t="shared" si="2"/>
        <v>6 hours → 4 hours</v>
      </c>
      <c r="P21" s="34" cm="1">
        <f t="array" ref="P21">IFERROR(_xlfn.LET(_xlpm.g,G21,_xlpm.f,F21,_xlpm.h,H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0.33332777787036882</v>
      </c>
      <c r="Q21" s="15" t="str" cm="1">
        <f t="array" ref="Q21">IFERROR(_xlfn.LET(_xlpm.e,E21,_xlpm.g,G21,_xlpm.h,H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" s="15" t="str">
        <f t="shared" si="3"/>
        <v>🔴 Lagging</v>
      </c>
      <c r="S21" s="35" cm="1">
        <f t="array" ref="S21">IFERROR(_xlfn.LET(_xlpm.e,E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1" s="36">
        <f t="shared" si="4"/>
        <v>77.777345681412882</v>
      </c>
      <c r="U21" s="15">
        <f t="shared" si="5"/>
        <v>45</v>
      </c>
      <c r="V21" s="16">
        <f t="shared" si="6"/>
        <v>1954.5641413103256</v>
      </c>
      <c r="W21" s="16">
        <f t="shared" si="7"/>
        <v>4860.7117263239543</v>
      </c>
      <c r="X21" s="37">
        <f t="shared" si="8"/>
        <v>45</v>
      </c>
      <c r="Y21" s="15" t="str">
        <f t="shared" si="9"/>
        <v>🔥 Critical</v>
      </c>
    </row>
    <row r="22" spans="1:25" x14ac:dyDescent="0.2">
      <c r="A22" t="str">
        <f>'5. KPI Baselines'!A7</f>
        <v>50 Floor</v>
      </c>
      <c r="B22" t="str">
        <f>'5. KPI Baselines'!B7</f>
        <v>Customer Service</v>
      </c>
      <c r="C22" t="str">
        <f>'5. KPI Baselines'!C7</f>
        <v>Inquiry Resolution</v>
      </c>
      <c r="D22" t="str">
        <f>'5. KPI Baselines'!D7</f>
        <v>Routine Inquiry Deflection Rate</v>
      </c>
      <c r="E22" t="str">
        <f>'5. KPI Baselines'!E7</f>
        <v>12%</v>
      </c>
      <c r="F22" t="str">
        <f>'5. KPI Baselines'!F7</f>
        <v>60%</v>
      </c>
      <c r="G22" t="str">
        <f>'5. KPI Baselines'!G7</f>
        <v>45%</v>
      </c>
      <c r="H22" t="str">
        <f>'5. KPI Baselines'!H7</f>
        <v>↑</v>
      </c>
      <c r="I22" t="str">
        <f>'5. KPI Baselines'!I7</f>
        <v>6 months</v>
      </c>
      <c r="J22" t="str">
        <f>'5. KPI Baselines'!J7</f>
        <v>Self-service resolutions / total inquiries</v>
      </c>
      <c r="K22" s="15" t="str">
        <f t="shared" si="1"/>
        <v>60% - 12%</v>
      </c>
      <c r="L22" s="34" cm="1">
        <f t="array" ref="L22">IFERROR(_xlfn.LET(_xlpm.e,E22,_xlpm.f,F22,_xlpm.h,H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3.999966666944442</v>
      </c>
      <c r="M22" s="15" cm="1">
        <f t="array" ref="M22">IFERROR(_xlfn.LET(_xlpm.e,E22,_xlpm.f,F22,_xlpm.h,H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52.8</v>
      </c>
      <c r="N22" s="15" cm="1">
        <f t="array" ref="N22">IFERROR(_xlfn.LET(_xlpm.e,E22,_xlpm.f,F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36.72</v>
      </c>
      <c r="O22" s="15" t="str">
        <f t="shared" si="2"/>
        <v>60% - 45%</v>
      </c>
      <c r="P22" s="34" cm="1">
        <f t="array" ref="P22">IFERROR(_xlfn.LET(_xlpm.g,G22,_xlpm.f,F22,_xlpm.h,H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0.33333259259423864</v>
      </c>
      <c r="Q22" s="15" t="str" cm="1">
        <f t="array" ref="Q22">IFERROR(_xlfn.LET(_xlpm.e,E22,_xlpm.g,G22,_xlpm.h,H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2" s="15" t="str">
        <f t="shared" si="3"/>
        <v>🔴 Lagging</v>
      </c>
      <c r="S22" s="35" cm="1">
        <f t="array" ref="S22">IFERROR(_xlfn.LET(_xlpm.e,E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2" s="36">
        <f t="shared" si="4"/>
        <v>399.99666669444423</v>
      </c>
      <c r="U22" s="15">
        <f t="shared" si="5"/>
        <v>1</v>
      </c>
      <c r="V22" s="16">
        <f t="shared" si="6"/>
        <v>6701.3441554653709</v>
      </c>
      <c r="W22" s="16">
        <f t="shared" si="7"/>
        <v>16665.251055289555</v>
      </c>
      <c r="X22" s="37">
        <f t="shared" si="8"/>
        <v>13</v>
      </c>
      <c r="Y22" s="15" t="str">
        <f t="shared" si="9"/>
        <v>🔥 Critical</v>
      </c>
    </row>
    <row r="23" spans="1:25" x14ac:dyDescent="0.2">
      <c r="A23" t="str">
        <f>'5. KPI Baselines'!A8</f>
        <v>50 Floor</v>
      </c>
      <c r="B23" t="str">
        <f>'5. KPI Baselines'!B8</f>
        <v>Procurement</v>
      </c>
      <c r="C23" t="str">
        <f>'5. KPI Baselines'!C8</f>
        <v>Supplier Coordination</v>
      </c>
      <c r="D23" t="str">
        <f>'5. KPI Baselines'!D8</f>
        <v>Order-to-Delivery Cycle Time</v>
      </c>
      <c r="E23" t="str">
        <f>'5. KPI Baselines'!E8</f>
        <v>12 days</v>
      </c>
      <c r="F23" t="str">
        <f>'5. KPI Baselines'!F8</f>
        <v>7 days</v>
      </c>
      <c r="G23" t="str">
        <f>'5. KPI Baselines'!G8</f>
        <v>8 days</v>
      </c>
      <c r="H23" t="str">
        <f>'5. KPI Baselines'!H8</f>
        <v>↓</v>
      </c>
      <c r="I23" t="str">
        <f>'5. KPI Baselines'!I8</f>
        <v>12 months</v>
      </c>
      <c r="J23" t="str">
        <f>'5. KPI Baselines'!J8</f>
        <v>Days from purchase order to material receipt</v>
      </c>
      <c r="K23" s="15" t="str">
        <f t="shared" si="1"/>
        <v>12 days → 7 days</v>
      </c>
      <c r="L23" s="34" cm="1">
        <f t="array" ref="L23">IFERROR(_xlfn.LET(_xlpm.e,E23,_xlpm.f,F23,_xlpm.h,H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23" s="15" cm="1">
        <f t="array" ref="M23">IFERROR(_xlfn.LET(_xlpm.e,E23,_xlpm.f,F23,_xlpm.h,H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23" s="15" cm="1">
        <f t="array" ref="N23">IFERROR(_xlfn.LET(_xlpm.e,E23,_xlpm.f,F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23" s="15" t="str">
        <f t="shared" si="2"/>
        <v>8 days → 7 days</v>
      </c>
      <c r="P23" s="34" cm="1">
        <f t="array" ref="P23">IFERROR(_xlfn.LET(_xlpm.g,G23,_xlpm.f,F23,_xlpm.h,H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0.12499843751953101</v>
      </c>
      <c r="Q23" s="15" t="str" cm="1">
        <f t="array" ref="Q23">IFERROR(_xlfn.LET(_xlpm.e,E23,_xlpm.g,G23,_xlpm.h,H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" s="15" t="str">
        <f t="shared" si="3"/>
        <v>🔴 Lagging</v>
      </c>
      <c r="S23" s="35" cm="1">
        <f t="array" ref="S23">IFERROR(_xlfn.LET(_xlpm.e,E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3" s="36">
        <f t="shared" si="4"/>
        <v>41.666319447337941</v>
      </c>
      <c r="U23" s="15">
        <f t="shared" si="5"/>
        <v>292</v>
      </c>
      <c r="V23" s="16">
        <f t="shared" si="6"/>
        <v>698.05668286097625</v>
      </c>
      <c r="W23" s="16">
        <f t="shared" si="7"/>
        <v>1735.963651592662</v>
      </c>
      <c r="X23" s="37">
        <f t="shared" si="8"/>
        <v>124</v>
      </c>
      <c r="Y23" s="15" t="str">
        <f t="shared" si="9"/>
        <v>⚠️ High</v>
      </c>
    </row>
    <row r="24" spans="1:25" x14ac:dyDescent="0.2">
      <c r="A24" t="str">
        <f>'5. KPI Baselines'!A9</f>
        <v>50 Floor</v>
      </c>
      <c r="B24" t="str">
        <f>'5. KPI Baselines'!B9</f>
        <v>Finance</v>
      </c>
      <c r="C24" t="str">
        <f>'5. KPI Baselines'!C9</f>
        <v>Accounts Payable</v>
      </c>
      <c r="D24" t="str">
        <f>'5. KPI Baselines'!D9</f>
        <v>Invoice Processing Time</v>
      </c>
      <c r="E24" t="str">
        <f>'5. KPI Baselines'!E9</f>
        <v>8 days</v>
      </c>
      <c r="F24" t="str">
        <f>'5. KPI Baselines'!F9</f>
        <v>2 days</v>
      </c>
      <c r="G24" t="str">
        <f>'5. KPI Baselines'!G9</f>
        <v>3 days</v>
      </c>
      <c r="H24" t="str">
        <f>'5. KPI Baselines'!H9</f>
        <v>↓</v>
      </c>
      <c r="I24" t="str">
        <f>'5. KPI Baselines'!I9</f>
        <v>6 months</v>
      </c>
      <c r="J24" t="str">
        <f>'5. KPI Baselines'!J9</f>
        <v>Days from invoice receipt to payment approval</v>
      </c>
      <c r="K24" s="15" t="str">
        <f t="shared" si="1"/>
        <v>8 days → 2 days</v>
      </c>
      <c r="L24" s="34" cm="1">
        <f t="array" ref="L24">IFERROR(_xlfn.LET(_xlpm.e,E24,_xlpm.f,F24,_xlpm.h,H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0.74999062511718606</v>
      </c>
      <c r="M24" s="15" cm="1">
        <f t="array" ref="M24">IFERROR(_xlfn.LET(_xlpm.e,E24,_xlpm.f,F24,_xlpm.h,H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2.9</v>
      </c>
      <c r="N24" s="15" cm="1">
        <f t="array" ref="N24">IFERROR(_xlfn.LET(_xlpm.e,E24,_xlpm.f,F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24" s="15" t="str">
        <f t="shared" si="2"/>
        <v>3 days → 2 days</v>
      </c>
      <c r="P24" s="34" cm="1">
        <f t="array" ref="P24">IFERROR(_xlfn.LET(_xlpm.g,G24,_xlpm.f,F24,_xlpm.h,H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0.33332222259258021</v>
      </c>
      <c r="Q24" s="15" t="str" cm="1">
        <f t="array" ref="Q24">IFERROR(_xlfn.LET(_xlpm.e,E24,_xlpm.g,G24,_xlpm.h,H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" s="15" t="str">
        <f t="shared" si="3"/>
        <v>🔴 Lagging</v>
      </c>
      <c r="S24" s="35" cm="1">
        <f t="array" ref="S24">IFERROR(_xlfn.LET(_xlpm.e,E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24" s="36">
        <f t="shared" si="4"/>
        <v>74.999062511718606</v>
      </c>
      <c r="U24" s="15">
        <f t="shared" si="5"/>
        <v>60</v>
      </c>
      <c r="V24" s="16">
        <f t="shared" si="6"/>
        <v>837.66452919338496</v>
      </c>
      <c r="W24" s="16">
        <f t="shared" si="7"/>
        <v>2083.1477022014324</v>
      </c>
      <c r="X24" s="37">
        <f t="shared" si="8"/>
        <v>104</v>
      </c>
      <c r="Y24" s="15" t="str">
        <f t="shared" si="9"/>
        <v>🔥 Critical</v>
      </c>
    </row>
    <row r="25" spans="1:25" x14ac:dyDescent="0.2">
      <c r="A25" t="str">
        <f>'5. KPI Baselines'!A10</f>
        <v>50 Floor</v>
      </c>
      <c r="B25" t="str">
        <f>'5. KPI Baselines'!B10</f>
        <v>Quality Assurance</v>
      </c>
      <c r="C25" t="str">
        <f>'5. KPI Baselines'!C10</f>
        <v>Pre-Installation Review</v>
      </c>
      <c r="D25" t="str">
        <f>'5. KPI Baselines'!D10</f>
        <v>Measurement Review Hours</v>
      </c>
      <c r="E25" t="str">
        <f>'5. KPI Baselines'!E10</f>
        <v>18,500 hours/year</v>
      </c>
      <c r="F25" t="str">
        <f>'5. KPI Baselines'!F10</f>
        <v>5,000 hours/year</v>
      </c>
      <c r="G25" t="str">
        <f>'5. KPI Baselines'!G10</f>
        <v>Not Available</v>
      </c>
      <c r="H25" t="str">
        <f>'5. KPI Baselines'!H10</f>
        <v>↓</v>
      </c>
      <c r="I25" t="str">
        <f>'5. KPI Baselines'!I10</f>
        <v>9 months</v>
      </c>
      <c r="J25" t="str">
        <f>'5. KPI Baselines'!J10</f>
        <v>Manager hours spent on measurement validation</v>
      </c>
      <c r="K25" s="15" t="str">
        <f t="shared" si="1"/>
        <v>18,500 hours/year → 5,000 hours/year</v>
      </c>
      <c r="L25" s="34" t="str" cm="1">
        <f t="array" ref="L25">IFERROR(_xlfn.LET(_xlpm.e,E25,_xlpm.f,F25,_xlpm.h,H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5" s="15" t="str" cm="1">
        <f t="array" ref="M25">IFERROR(_xlfn.LET(_xlpm.e,E25,_xlpm.f,F25,_xlpm.h,H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5" s="15" t="str" cm="1">
        <f t="array" ref="N25">IFERROR(_xlfn.LET(_xlpm.e,E25,_xlpm.f,F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5" s="15" t="str">
        <f t="shared" si="2"/>
        <v>-</v>
      </c>
      <c r="P25" s="34" t="str" cm="1">
        <f t="array" ref="P25">IFERROR(_xlfn.LET(_xlpm.g,G25,_xlpm.f,F25,_xlpm.h,H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" s="15" t="str" cm="1">
        <f t="array" ref="Q25">IFERROR(_xlfn.LET(_xlpm.e,E25,_xlpm.g,G25,_xlpm.h,H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" s="15" t="str">
        <f t="shared" si="3"/>
        <v>⚪ N/A</v>
      </c>
      <c r="S25" s="35" cm="1">
        <f t="array" ref="S25">IFERROR(_xlfn.LET(_xlpm.e,E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5" s="36">
        <f t="shared" si="4"/>
        <v>0</v>
      </c>
      <c r="U25" s="15">
        <f t="shared" si="5"/>
        <v>554</v>
      </c>
      <c r="V25" s="16">
        <f t="shared" si="6"/>
        <v>0</v>
      </c>
      <c r="W25" s="16">
        <f t="shared" si="7"/>
        <v>0</v>
      </c>
      <c r="X25" s="37" t="str">
        <f t="shared" si="8"/>
        <v>-</v>
      </c>
      <c r="Y25" s="15" t="str">
        <f t="shared" si="9"/>
        <v>📉 Low</v>
      </c>
    </row>
    <row r="26" spans="1:25" x14ac:dyDescent="0.2">
      <c r="A26" t="str">
        <f>'5. KPI Baselines'!A11</f>
        <v>50 Floor</v>
      </c>
      <c r="B26" t="str">
        <f>'5. KPI Baselines'!B11</f>
        <v>Marketing</v>
      </c>
      <c r="C26" t="str">
        <f>'5. KPI Baselines'!C11</f>
        <v>Content Production</v>
      </c>
      <c r="D26" t="str">
        <f>'5. KPI Baselines'!D11</f>
        <v>Product Description Creation Time</v>
      </c>
      <c r="E26" t="str">
        <f>'5. KPI Baselines'!E11</f>
        <v>4 hours per SKU</v>
      </c>
      <c r="F26" t="str">
        <f>'5. KPI Baselines'!F11</f>
        <v>1 hour per SKU</v>
      </c>
      <c r="G26" t="str">
        <f>'5. KPI Baselines'!G11</f>
        <v>2 hours per SKU</v>
      </c>
      <c r="H26" t="str">
        <f>'5. KPI Baselines'!H11</f>
        <v>↓</v>
      </c>
      <c r="I26" t="str">
        <f>'5. KPI Baselines'!I11</f>
        <v>6 months</v>
      </c>
      <c r="J26" t="str">
        <f>'5. KPI Baselines'!J11</f>
        <v>Hours from assignment to published content</v>
      </c>
      <c r="K26" s="15" t="str">
        <f t="shared" si="1"/>
        <v>4 hours per SKU → 1 hour per SKU</v>
      </c>
      <c r="L26" s="34" cm="1">
        <f t="array" ref="L26">IFERROR(_xlfn.LET(_xlpm.e,E26,_xlpm.f,F26,_xlpm.h,H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0.74998125046873831</v>
      </c>
      <c r="M26" s="15" cm="1">
        <f t="array" ref="M26">IFERROR(_xlfn.LET(_xlpm.e,E26,_xlpm.f,F26,_xlpm.h,H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1.5</v>
      </c>
      <c r="N26" s="15" cm="1">
        <f t="array" ref="N26">IFERROR(_xlfn.LET(_xlpm.e,E26,_xlpm.f,F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26" s="15" t="str">
        <f t="shared" si="2"/>
        <v>2 hours per SKU → 1 hour per SKU</v>
      </c>
      <c r="P26" s="34" cm="1">
        <f t="array" ref="P26">IFERROR(_xlfn.LET(_xlpm.g,G26,_xlpm.f,F26,_xlpm.h,H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26" s="15" t="str" cm="1">
        <f t="array" ref="Q26">IFERROR(_xlfn.LET(_xlpm.e,E26,_xlpm.g,G26,_xlpm.h,H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6" s="15" t="str">
        <f t="shared" si="3"/>
        <v>🔴 Lagging</v>
      </c>
      <c r="S26" s="35" cm="1">
        <f t="array" ref="S26">IFERROR(_xlfn.LET(_xlpm.e,E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</v>
      </c>
      <c r="T26" s="36">
        <f t="shared" si="4"/>
        <v>74.998125046873838</v>
      </c>
      <c r="U26" s="15">
        <f t="shared" si="5"/>
        <v>62</v>
      </c>
      <c r="V26" s="16">
        <f t="shared" si="6"/>
        <v>418.82702932426696</v>
      </c>
      <c r="W26" s="16">
        <f t="shared" si="7"/>
        <v>1041.5608317530614</v>
      </c>
      <c r="X26" s="37">
        <f t="shared" si="8"/>
        <v>206</v>
      </c>
      <c r="Y26" s="15" t="str">
        <f t="shared" si="9"/>
        <v>🔥 Critical</v>
      </c>
    </row>
    <row r="27" spans="1:25" x14ac:dyDescent="0.2">
      <c r="A27" t="str">
        <f>'5. KPI Baselines'!A12</f>
        <v>50 Floor</v>
      </c>
      <c r="B27" t="str">
        <f>'5. KPI Baselines'!B12</f>
        <v>Human Resources</v>
      </c>
      <c r="C27" t="str">
        <f>'5. KPI Baselines'!C12</f>
        <v>Installer Training</v>
      </c>
      <c r="D27" t="str">
        <f>'5. KPI Baselines'!D12</f>
        <v>Training Material Development Time</v>
      </c>
      <c r="E27" t="str">
        <f>'5. KPI Baselines'!E12</f>
        <v>120 hours per module</v>
      </c>
      <c r="F27" t="str">
        <f>'5. KPI Baselines'!F12</f>
        <v>40 hours per module</v>
      </c>
      <c r="G27" t="str">
        <f>'5. KPI Baselines'!G12</f>
        <v>60 hours per module</v>
      </c>
      <c r="H27" t="str">
        <f>'5. KPI Baselines'!H12</f>
        <v>↓</v>
      </c>
      <c r="I27" t="str">
        <f>'5. KPI Baselines'!I12</f>
        <v>9 months</v>
      </c>
      <c r="J27" t="str">
        <f>'5. KPI Baselines'!J12</f>
        <v>Hours from concept to deployable training content</v>
      </c>
      <c r="K27" s="15" t="str">
        <f t="shared" si="1"/>
        <v>120 hours per module → 40 hours per module</v>
      </c>
      <c r="L27" s="34" cm="1">
        <f t="array" ref="L27">IFERROR(_xlfn.LET(_xlpm.e,E27,_xlpm.f,F27,_xlpm.h,H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0.66666611111157403</v>
      </c>
      <c r="M27" s="15" cm="1">
        <f t="array" ref="M27">IFERROR(_xlfn.LET(_xlpm.e,E27,_xlpm.f,F27,_xlpm.h,H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52</v>
      </c>
      <c r="N27" s="15" cm="1">
        <f t="array" ref="N27">IFERROR(_xlfn.LET(_xlpm.e,E27,_xlpm.f,F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61.2</v>
      </c>
      <c r="O27" s="15" t="str">
        <f t="shared" si="2"/>
        <v>60 hours per module → 40 hours per module</v>
      </c>
      <c r="P27" s="34" cm="1">
        <f t="array" ref="P27">IFERROR(_xlfn.LET(_xlpm.g,G27,_xlpm.f,F27,_xlpm.h,H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0.33333277777870368</v>
      </c>
      <c r="Q27" s="15" t="str" cm="1">
        <f t="array" ref="Q27">IFERROR(_xlfn.LET(_xlpm.e,E27,_xlpm.g,G27,_xlpm.h,H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" s="15" t="str">
        <f t="shared" si="3"/>
        <v>🔴 Lagging</v>
      </c>
      <c r="S27" s="35" cm="1">
        <f t="array" ref="S27">IFERROR(_xlfn.LET(_xlpm.e,E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120</v>
      </c>
      <c r="T27" s="36">
        <f t="shared" si="4"/>
        <v>66.666611111157408</v>
      </c>
      <c r="U27" s="15">
        <f t="shared" si="5"/>
        <v>89</v>
      </c>
      <c r="V27" s="16">
        <f t="shared" si="6"/>
        <v>11168.990692507756</v>
      </c>
      <c r="W27" s="16">
        <f t="shared" si="7"/>
        <v>27775.626740947184</v>
      </c>
      <c r="X27" s="37">
        <f t="shared" si="8"/>
        <v>8</v>
      </c>
      <c r="Y27" s="15" t="str">
        <f t="shared" si="9"/>
        <v>🔥 Critical</v>
      </c>
    </row>
    <row r="28" spans="1:25" x14ac:dyDescent="0.2">
      <c r="A28" t="str">
        <f>'5. KPI Baselines'!A13</f>
        <v>50 Floor</v>
      </c>
      <c r="B28" t="str">
        <f>'5. KPI Baselines'!B13</f>
        <v>Legal &amp; Compliance</v>
      </c>
      <c r="C28" t="str">
        <f>'5. KPI Baselines'!C13</f>
        <v>Contract Management</v>
      </c>
      <c r="D28" t="str">
        <f>'5. KPI Baselines'!D13</f>
        <v>Contract Review Cycle Time</v>
      </c>
      <c r="E28" t="str">
        <f>'5. KPI Baselines'!E13</f>
        <v>6 days</v>
      </c>
      <c r="F28" t="str">
        <f>'5. KPI Baselines'!F13</f>
        <v>1 day</v>
      </c>
      <c r="G28" t="str">
        <f>'5. KPI Baselines'!G13</f>
        <v>2 days</v>
      </c>
      <c r="H28" t="str">
        <f>'5. KPI Baselines'!H13</f>
        <v>↓</v>
      </c>
      <c r="I28" t="str">
        <f>'5. KPI Baselines'!I13</f>
        <v>6 months</v>
      </c>
      <c r="J28" t="str">
        <f>'5. KPI Baselines'!J13</f>
        <v>Days from contract receipt to approval/revision</v>
      </c>
      <c r="K28" s="15" t="str">
        <f t="shared" si="1"/>
        <v>6 days → 1 day</v>
      </c>
      <c r="L28" s="34" cm="1">
        <f t="array" ref="L28">IFERROR(_xlfn.LET(_xlpm.e,E28,_xlpm.f,F28,_xlpm.h,H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0.83331944467592212</v>
      </c>
      <c r="M28" s="15" cm="1">
        <f t="array" ref="M28">IFERROR(_xlfn.LET(_xlpm.e,E28,_xlpm.f,F28,_xlpm.h,H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1.8</v>
      </c>
      <c r="N28" s="15" cm="1">
        <f t="array" ref="N28">IFERROR(_xlfn.LET(_xlpm.e,E28,_xlpm.f,F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28" s="15" t="str">
        <f t="shared" si="2"/>
        <v>2 days → 1 day</v>
      </c>
      <c r="P28" s="34" cm="1">
        <f t="array" ref="P28">IFERROR(_xlfn.LET(_xlpm.g,G28,_xlpm.f,F28,_xlpm.h,H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28" s="15" t="str" cm="1">
        <f t="array" ref="Q28">IFERROR(_xlfn.LET(_xlpm.e,E28,_xlpm.g,G28,_xlpm.h,H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" s="15" t="str">
        <f t="shared" si="3"/>
        <v>🔴 Lagging</v>
      </c>
      <c r="S28" s="35" cm="1">
        <f t="array" ref="S28">IFERROR(_xlfn.LET(_xlpm.e,E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28" s="36">
        <f t="shared" si="4"/>
        <v>83.331944467592209</v>
      </c>
      <c r="U28" s="15">
        <f t="shared" si="5"/>
        <v>32</v>
      </c>
      <c r="V28" s="16">
        <f t="shared" si="6"/>
        <v>698.05086581890305</v>
      </c>
      <c r="W28" s="16">
        <f t="shared" si="7"/>
        <v>1735.9491854700007</v>
      </c>
      <c r="X28" s="37">
        <f t="shared" si="8"/>
        <v>124</v>
      </c>
      <c r="Y28" s="15" t="str">
        <f t="shared" si="9"/>
        <v>🔥 Critical</v>
      </c>
    </row>
    <row r="29" spans="1:25" x14ac:dyDescent="0.2">
      <c r="A29" t="str">
        <f>'5. KPI Baselines'!A14</f>
        <v>AS Software</v>
      </c>
      <c r="B29" t="str">
        <f>'5. KPI Baselines'!B14</f>
        <v>Professional Services</v>
      </c>
      <c r="C29" t="str">
        <f>'5. KPI Baselines'!C14</f>
        <v>Implementation &amp; Configuration</v>
      </c>
      <c r="D29" t="str">
        <f>'5. KPI Baselines'!D14</f>
        <v>Average Implementation Cycle Time</v>
      </c>
      <c r="E29" t="str">
        <f>'5. KPI Baselines'!E14</f>
        <v>120 days</v>
      </c>
      <c r="F29" t="str">
        <f>'5. KPI Baselines'!F14</f>
        <v>75 days</v>
      </c>
      <c r="G29" t="str">
        <f>'5. KPI Baselines'!G14</f>
        <v>75 days</v>
      </c>
      <c r="H29" t="str">
        <f>'5. KPI Baselines'!H14</f>
        <v>↓</v>
      </c>
      <c r="I29" t="str">
        <f>'5. KPI Baselines'!I14</f>
        <v>18 months</v>
      </c>
      <c r="J29" t="str">
        <f>'5. KPI Baselines'!J14</f>
        <v>Days from contract signature to production deployment</v>
      </c>
      <c r="K29" s="15" t="str">
        <f t="shared" si="1"/>
        <v>120 days → 75 days</v>
      </c>
      <c r="L29" s="34" cm="1">
        <f t="array" ref="L29">IFERROR(_xlfn.LET(_xlpm.e,E29,_xlpm.f,F29,_xlpm.h,H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0.37499968750026041</v>
      </c>
      <c r="M29" s="15" cm="1">
        <f t="array" ref="M29">IFERROR(_xlfn.LET(_xlpm.e,E29,_xlpm.f,F29,_xlpm.h,H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81.8</v>
      </c>
      <c r="N29" s="15" cm="1">
        <f t="array" ref="N29">IFERROR(_xlfn.LET(_xlpm.e,E29,_xlpm.f,F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34.43</v>
      </c>
      <c r="O29" s="15" t="str">
        <f t="shared" si="2"/>
        <v>75 days → 75 days</v>
      </c>
      <c r="P29" s="34" cm="1">
        <f t="array" ref="P29">IFERROR(_xlfn.LET(_xlpm.g,G29,_xlpm.f,F29,_xlpm.h,H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29" s="15" t="str" cm="1">
        <f t="array" ref="Q29">IFERROR(_xlfn.LET(_xlpm.e,E29,_xlpm.g,G29,_xlpm.h,H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" s="15" t="str">
        <f t="shared" si="3"/>
        <v>🔴 Lagging</v>
      </c>
      <c r="S29" s="35" cm="1">
        <f t="array" ref="S29">IFERROR(_xlfn.LET(_xlpm.e,E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120</v>
      </c>
      <c r="T29" s="36">
        <f t="shared" si="4"/>
        <v>37.499968750026042</v>
      </c>
      <c r="U29" s="15">
        <f t="shared" si="5"/>
        <v>328</v>
      </c>
      <c r="V29" s="16">
        <f t="shared" si="6"/>
        <v>6282.5572645356133</v>
      </c>
      <c r="W29" s="16">
        <f t="shared" si="7"/>
        <v>15623.790041782791</v>
      </c>
      <c r="X29" s="37">
        <f t="shared" si="8"/>
        <v>14</v>
      </c>
      <c r="Y29" s="15" t="str">
        <f t="shared" si="9"/>
        <v>⚠️ High</v>
      </c>
    </row>
    <row r="30" spans="1:25" x14ac:dyDescent="0.2">
      <c r="A30" t="str">
        <f>'5. KPI Baselines'!A15</f>
        <v>AS Software</v>
      </c>
      <c r="B30" t="str">
        <f>'5. KPI Baselines'!B15</f>
        <v>Professional Services</v>
      </c>
      <c r="C30" t="str">
        <f>'5. KPI Baselines'!C15</f>
        <v>Custom Integration Development</v>
      </c>
      <c r="D30" t="str">
        <f>'5. KPI Baselines'!D15</f>
        <v>Annual Consulting Hours on Repetitive Work</v>
      </c>
      <c r="E30" t="str">
        <f>'5. KPI Baselines'!E15</f>
        <v>47,000 hours</v>
      </c>
      <c r="F30" t="str">
        <f>'5. KPI Baselines'!F15</f>
        <v>19,000 hours</v>
      </c>
      <c r="G30" t="str">
        <f>'5. KPI Baselines'!G15</f>
        <v>22,000 hours</v>
      </c>
      <c r="H30" t="str">
        <f>'5. KPI Baselines'!H15</f>
        <v>↓</v>
      </c>
      <c r="I30" t="str">
        <f>'5. KPI Baselines'!I15</f>
        <v>12 months</v>
      </c>
      <c r="J30" t="str">
        <f>'5. KPI Baselines'!J15</f>
        <v>Tracked hours on configuration and data mapping tasks</v>
      </c>
      <c r="K30" s="15" t="str">
        <f t="shared" si="1"/>
        <v>47,000 hours → 19,000 hours</v>
      </c>
      <c r="L30" s="34" cm="1">
        <f t="array" ref="L30">IFERROR(_xlfn.LET(_xlpm.e,E30,_xlpm.f,F30,_xlpm.h,H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0.59574467958352195</v>
      </c>
      <c r="M30" s="15" cm="1">
        <f t="array" ref="M30">IFERROR(_xlfn.LET(_xlpm.e,E30,_xlpm.f,F30,_xlpm.h,H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23200</v>
      </c>
      <c r="N30" s="15" cm="1">
        <f t="array" ref="N30">IFERROR(_xlfn.LET(_xlpm.e,E30,_xlpm.f,F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21420</v>
      </c>
      <c r="O30" s="15" t="str">
        <f t="shared" si="2"/>
        <v>22,000 hours → 19,000 hours</v>
      </c>
      <c r="P30" s="34" cm="1">
        <f t="array" ref="P30">IFERROR(_xlfn.LET(_xlpm.g,G30,_xlpm.f,F30,_xlpm.h,H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0.13636363574380164</v>
      </c>
      <c r="Q30" s="15" t="str" cm="1">
        <f t="array" ref="Q30">IFERROR(_xlfn.LET(_xlpm.e,E30,_xlpm.g,G30,_xlpm.h,H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" s="15" t="str">
        <f t="shared" si="3"/>
        <v>🔴 Lagging</v>
      </c>
      <c r="S30" s="35" cm="1">
        <f t="array" ref="S30">IFERROR(_xlfn.LET(_xlpm.e,E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47000</v>
      </c>
      <c r="T30" s="36">
        <f t="shared" si="4"/>
        <v>59.574467958352194</v>
      </c>
      <c r="U30" s="15">
        <f t="shared" si="5"/>
        <v>157</v>
      </c>
      <c r="V30" s="16">
        <f t="shared" si="6"/>
        <v>3909149.9916826594</v>
      </c>
      <c r="W30" s="16">
        <f t="shared" si="7"/>
        <v>9721477.4398719855</v>
      </c>
      <c r="X30" s="37">
        <f t="shared" si="8"/>
        <v>0</v>
      </c>
      <c r="Y30" s="15" t="str">
        <f t="shared" si="9"/>
        <v>🔥 Critical</v>
      </c>
    </row>
    <row r="31" spans="1:25" x14ac:dyDescent="0.2">
      <c r="A31" t="str">
        <f>'5. KPI Baselines'!A16</f>
        <v>AS Software</v>
      </c>
      <c r="B31" t="str">
        <f>'5. KPI Baselines'!B16</f>
        <v>Customer Support</v>
      </c>
      <c r="C31" t="str">
        <f>'5. KPI Baselines'!C16</f>
        <v>Tier 1 Support</v>
      </c>
      <c r="D31" t="str">
        <f>'5. KPI Baselines'!D16</f>
        <v>First-Contact Resolution Rate</v>
      </c>
      <c r="E31" t="str">
        <f>'5. KPI Baselines'!E16</f>
        <v>42%</v>
      </c>
      <c r="F31" t="str">
        <f>'5. KPI Baselines'!F16</f>
        <v>68%</v>
      </c>
      <c r="G31" t="str">
        <f>'5. KPI Baselines'!G16</f>
        <v>65%</v>
      </c>
      <c r="H31" t="str">
        <f>'5. KPI Baselines'!H16</f>
        <v>↑</v>
      </c>
      <c r="I31" t="str">
        <f>'5. KPI Baselines'!I16</f>
        <v>12 months</v>
      </c>
      <c r="J31" t="str">
        <f>'5. KPI Baselines'!J16</f>
        <v>Percentage of tickets closed without escalation</v>
      </c>
      <c r="K31" s="15" t="str">
        <f t="shared" si="1"/>
        <v>68% - 42%</v>
      </c>
      <c r="L31" s="34" cm="1">
        <f t="array" ref="L31">IFERROR(_xlfn.LET(_xlpm.e,E31,_xlpm.f,F31,_xlpm.h,H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0.61904614512822587</v>
      </c>
      <c r="M31" s="15" cm="1">
        <f t="array" ref="M31">IFERROR(_xlfn.LET(_xlpm.e,E31,_xlpm.f,F31,_xlpm.h,H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64.099999999999994</v>
      </c>
      <c r="N31" s="15" cm="1">
        <f t="array" ref="N31">IFERROR(_xlfn.LET(_xlpm.e,E31,_xlpm.f,F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19.89</v>
      </c>
      <c r="O31" s="15" t="str">
        <f t="shared" si="2"/>
        <v>68% - 65%</v>
      </c>
      <c r="P31" s="34" cm="1">
        <f t="array" ref="P31">IFERROR(_xlfn.LET(_xlpm.g,G31,_xlpm.f,F31,_xlpm.h,H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4.6153775148038229E-2</v>
      </c>
      <c r="Q31" s="15" t="str" cm="1">
        <f t="array" ref="Q31">IFERROR(_xlfn.LET(_xlpm.e,E31,_xlpm.g,G31,_xlpm.h,H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" s="15" t="str">
        <f t="shared" si="3"/>
        <v>🔴 Lagging</v>
      </c>
      <c r="S31" s="35" cm="1">
        <f t="array" ref="S31">IFERROR(_xlfn.LET(_xlpm.e,E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31" s="36">
        <f t="shared" si="4"/>
        <v>61.90461451282259</v>
      </c>
      <c r="U31" s="15">
        <f t="shared" si="5"/>
        <v>142</v>
      </c>
      <c r="V31" s="16">
        <f t="shared" si="6"/>
        <v>3629.9163573420064</v>
      </c>
      <c r="W31" s="16">
        <f t="shared" si="7"/>
        <v>9027.064720362172</v>
      </c>
      <c r="X31" s="37">
        <f t="shared" si="8"/>
        <v>24</v>
      </c>
      <c r="Y31" s="15" t="str">
        <f t="shared" si="9"/>
        <v>🔥 Critical</v>
      </c>
    </row>
    <row r="32" spans="1:25" x14ac:dyDescent="0.2">
      <c r="A32" t="str">
        <f>'5. KPI Baselines'!A17</f>
        <v>AS Software</v>
      </c>
      <c r="B32" t="str">
        <f>'5. KPI Baselines'!B17</f>
        <v>Customer Support</v>
      </c>
      <c r="C32" t="str">
        <f>'5. KPI Baselines'!C17</f>
        <v>Escalation Management</v>
      </c>
      <c r="D32" t="str">
        <f>'5. KPI Baselines'!D17</f>
        <v>Average Resolution Time for Escalated Tickets</v>
      </c>
      <c r="E32" t="str">
        <f>'5. KPI Baselines'!E17</f>
        <v>3.2 days</v>
      </c>
      <c r="F32" t="str">
        <f>'5. KPI Baselines'!F17</f>
        <v>1.5 days</v>
      </c>
      <c r="G32" t="str">
        <f>'5. KPI Baselines'!G17</f>
        <v>1.8 days</v>
      </c>
      <c r="H32" t="str">
        <f>'5. KPI Baselines'!H17</f>
        <v>↓</v>
      </c>
      <c r="I32" t="str">
        <f>'5. KPI Baselines'!I17</f>
        <v>9 months</v>
      </c>
      <c r="J32" t="str">
        <f>'5. KPI Baselines'!J17</f>
        <v>Hours from escalation to resolution</v>
      </c>
      <c r="K32" s="15" t="str">
        <f t="shared" si="1"/>
        <v>3.2 days → 1.5 days</v>
      </c>
      <c r="L32" s="34" cm="1">
        <f t="array" ref="L32">IFERROR(_xlfn.LET(_xlpm.e,E32,_xlpm.f,F32,_xlpm.h,H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0.53123339895628263</v>
      </c>
      <c r="M32" s="15" cm="1">
        <f t="array" ref="M32">IFERROR(_xlfn.LET(_xlpm.e,E32,_xlpm.f,F32,_xlpm.h,H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1.8</v>
      </c>
      <c r="N32" s="15" cm="1">
        <f t="array" ref="N32">IFERROR(_xlfn.LET(_xlpm.e,E32,_xlpm.f,F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</v>
      </c>
      <c r="O32" s="15" t="str">
        <f t="shared" si="2"/>
        <v>1.8 days → 1.5 days</v>
      </c>
      <c r="P32" s="34" cm="1">
        <f t="array" ref="P32">IFERROR(_xlfn.LET(_xlpm.g,G32,_xlpm.f,F32,_xlpm.h,H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0.16665740792178216</v>
      </c>
      <c r="Q32" s="15" t="str" cm="1">
        <f t="array" ref="Q32">IFERROR(_xlfn.LET(_xlpm.e,E32,_xlpm.g,G32,_xlpm.h,H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" s="15" t="str">
        <f t="shared" si="3"/>
        <v>🔴 Lagging</v>
      </c>
      <c r="S32" s="35" cm="1">
        <f t="array" ref="S32">IFERROR(_xlfn.LET(_xlpm.e,E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32" s="36">
        <f t="shared" si="4"/>
        <v>53.123339895628263</v>
      </c>
      <c r="U32" s="15">
        <f t="shared" si="5"/>
        <v>203</v>
      </c>
      <c r="V32" s="16">
        <f t="shared" si="6"/>
        <v>237.33383331770881</v>
      </c>
      <c r="W32" s="16">
        <f t="shared" si="7"/>
        <v>590.21411591406229</v>
      </c>
      <c r="X32" s="37">
        <f t="shared" si="8"/>
        <v>358</v>
      </c>
      <c r="Y32" s="15" t="str">
        <f t="shared" si="9"/>
        <v>🔥 Critical</v>
      </c>
    </row>
    <row r="33" spans="1:25" x14ac:dyDescent="0.2">
      <c r="A33" t="str">
        <f>'5. KPI Baselines'!A18</f>
        <v>AS Software</v>
      </c>
      <c r="B33" t="str">
        <f>'5. KPI Baselines'!B18</f>
        <v>Sales</v>
      </c>
      <c r="C33" t="str">
        <f>'5. KPI Baselines'!C18</f>
        <v>Enterprise Sales</v>
      </c>
      <c r="D33" t="str">
        <f>'5. KPI Baselines'!D18</f>
        <v>Sales Cycle Length</v>
      </c>
      <c r="E33" t="str">
        <f>'5. KPI Baselines'!E18</f>
        <v>85 days</v>
      </c>
      <c r="F33" t="str">
        <f>'5. KPI Baselines'!F18</f>
        <v>60 days</v>
      </c>
      <c r="G33" t="str">
        <f>'5. KPI Baselines'!G18</f>
        <v>62 days</v>
      </c>
      <c r="H33" t="str">
        <f>'5. KPI Baselines'!H18</f>
        <v>↓</v>
      </c>
      <c r="I33" t="str">
        <f>'5. KPI Baselines'!I18</f>
        <v>12 months</v>
      </c>
      <c r="J33" t="str">
        <f>'5. KPI Baselines'!J18</f>
        <v>Days from initial contact to contract signature</v>
      </c>
      <c r="K33" s="15" t="str">
        <f t="shared" si="1"/>
        <v>85 days → 60 days</v>
      </c>
      <c r="L33" s="34" cm="1">
        <f t="array" ref="L33">IFERROR(_xlfn.LET(_xlpm.e,E33,_xlpm.f,F33,_xlpm.h,H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0.29411730103846934</v>
      </c>
      <c r="M33" s="15" cm="1">
        <f t="array" ref="M33">IFERROR(_xlfn.LET(_xlpm.e,E33,_xlpm.f,F33,_xlpm.h,H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63.8</v>
      </c>
      <c r="N33" s="15" cm="1">
        <f t="array" ref="N33">IFERROR(_xlfn.LET(_xlpm.e,E33,_xlpm.f,F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33" s="15" t="str">
        <f t="shared" si="2"/>
        <v>62 days → 60 days</v>
      </c>
      <c r="P33" s="34" cm="1">
        <f t="array" ref="P33">IFERROR(_xlfn.LET(_xlpm.g,G33,_xlpm.f,F33,_xlpm.h,H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3.2258012487076632E-2</v>
      </c>
      <c r="Q33" s="15" t="str" cm="1">
        <f t="array" ref="Q33">IFERROR(_xlfn.LET(_xlpm.e,E33,_xlpm.g,G33,_xlpm.h,H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" s="15" t="str">
        <f t="shared" si="3"/>
        <v>🔴 Lagging</v>
      </c>
      <c r="S33" s="35" cm="1">
        <f t="array" ref="S33">IFERROR(_xlfn.LET(_xlpm.e,E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85</v>
      </c>
      <c r="T33" s="36">
        <f t="shared" si="4"/>
        <v>29.411730103846935</v>
      </c>
      <c r="U33" s="15">
        <f t="shared" si="5"/>
        <v>395</v>
      </c>
      <c r="V33" s="16">
        <f t="shared" si="6"/>
        <v>3490.3083937548304</v>
      </c>
      <c r="W33" s="16">
        <f t="shared" si="7"/>
        <v>8679.8803781581501</v>
      </c>
      <c r="X33" s="37">
        <f t="shared" si="8"/>
        <v>25</v>
      </c>
      <c r="Y33" s="15" t="str">
        <f t="shared" si="9"/>
        <v>⚠️ High</v>
      </c>
    </row>
    <row r="34" spans="1:25" x14ac:dyDescent="0.2">
      <c r="A34" t="str">
        <f>'5. KPI Baselines'!A19</f>
        <v>AS Software</v>
      </c>
      <c r="B34" t="str">
        <f>'5. KPI Baselines'!B19</f>
        <v>Sales</v>
      </c>
      <c r="C34" t="str">
        <f>'5. KPI Baselines'!C19</f>
        <v>Outbound Prospecting</v>
      </c>
      <c r="D34" t="str">
        <f>'5. KPI Baselines'!D19</f>
        <v>Cold Outreach Response Rate</v>
      </c>
      <c r="E34" t="str">
        <f>'5. KPI Baselines'!E19</f>
        <v>2.1%</v>
      </c>
      <c r="F34" t="str">
        <f>'5. KPI Baselines'!F19</f>
        <v>4.5%</v>
      </c>
      <c r="G34" t="str">
        <f>'5. KPI Baselines'!G19</f>
        <v>4.5%</v>
      </c>
      <c r="H34" t="str">
        <f>'5. KPI Baselines'!H19</f>
        <v>↑</v>
      </c>
      <c r="I34" t="str">
        <f>'5. KPI Baselines'!I19</f>
        <v>6 months</v>
      </c>
      <c r="J34" t="str">
        <f>'5. KPI Baselines'!J19</f>
        <v>Positive responses per 100 initial contacts</v>
      </c>
      <c r="K34" s="15" t="str">
        <f t="shared" si="1"/>
        <v>4.5% - 2.1%</v>
      </c>
      <c r="L34" s="34" cm="1">
        <f t="array" ref="L34">IFERROR(_xlfn.LET(_xlpm.e,E34,_xlpm.f,F34,_xlpm.h,H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1.1428027236798246</v>
      </c>
      <c r="M34" s="15" cm="1">
        <f t="array" ref="M34">IFERROR(_xlfn.LET(_xlpm.e,E34,_xlpm.f,F34,_xlpm.h,H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4.0999999999999996</v>
      </c>
      <c r="N34" s="15" cm="1">
        <f t="array" ref="N34">IFERROR(_xlfn.LET(_xlpm.e,E34,_xlpm.f,F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1.84</v>
      </c>
      <c r="O34" s="15" t="str">
        <f t="shared" si="2"/>
        <v>4.5% - 4.5%</v>
      </c>
      <c r="P34" s="34" cm="1">
        <f t="array" ref="P34">IFERROR(_xlfn.LET(_xlpm.g,G34,_xlpm.f,F34,_xlpm.h,H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4" s="15" t="str" cm="1">
        <f t="array" ref="Q34">IFERROR(_xlfn.LET(_xlpm.e,E34,_xlpm.g,G34,_xlpm.h,H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" s="15" t="str">
        <f t="shared" si="3"/>
        <v>🔴 Lagging</v>
      </c>
      <c r="S34" s="35" cm="1">
        <f t="array" ref="S34">IFERROR(_xlfn.LET(_xlpm.e,E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2.1</v>
      </c>
      <c r="T34" s="36">
        <f t="shared" si="4"/>
        <v>114.28027236798246</v>
      </c>
      <c r="U34" s="15">
        <f t="shared" si="5"/>
        <v>8</v>
      </c>
      <c r="V34" s="16">
        <f t="shared" si="6"/>
        <v>335.05404504547397</v>
      </c>
      <c r="W34" s="16">
        <f t="shared" si="7"/>
        <v>833.229819008655</v>
      </c>
      <c r="X34" s="37">
        <f t="shared" si="8"/>
        <v>256</v>
      </c>
      <c r="Y34" s="15" t="str">
        <f t="shared" si="9"/>
        <v>🔥 Critical</v>
      </c>
    </row>
    <row r="35" spans="1:25" x14ac:dyDescent="0.2">
      <c r="A35" t="str">
        <f>'5. KPI Baselines'!A20</f>
        <v>AS Software</v>
      </c>
      <c r="B35" t="str">
        <f>'5. KPI Baselines'!B20</f>
        <v>Marketing</v>
      </c>
      <c r="C35" t="str">
        <f>'5. KPI Baselines'!C20</f>
        <v>Content Production</v>
      </c>
      <c r="D35" t="str">
        <f>'5. KPI Baselines'!D20</f>
        <v>Monthly Content Creation Hours</v>
      </c>
      <c r="E35" t="str">
        <f>'5. KPI Baselines'!E20</f>
        <v>850 hours</v>
      </c>
      <c r="F35" t="str">
        <f>'5. KPI Baselines'!F20</f>
        <v>400 hours</v>
      </c>
      <c r="G35" t="str">
        <f>'5. KPI Baselines'!G20</f>
        <v>450 hours</v>
      </c>
      <c r="H35" t="str">
        <f>'5. KPI Baselines'!H20</f>
        <v>↓</v>
      </c>
      <c r="I35" t="str">
        <f>'5. KPI Baselines'!I20</f>
        <v>9 months</v>
      </c>
      <c r="J35" t="str">
        <f>'5. KPI Baselines'!J20</f>
        <v>Tracked hours on case studies, documentation, and campaign materials</v>
      </c>
      <c r="K35" s="15" t="str">
        <f t="shared" si="1"/>
        <v>850 hours → 400 hours</v>
      </c>
      <c r="L35" s="34" cm="1">
        <f t="array" ref="L35">IFERROR(_xlfn.LET(_xlpm.e,E35,_xlpm.f,F35,_xlpm.h,H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0.52941170242215263</v>
      </c>
      <c r="M35" s="15" cm="1">
        <f t="array" ref="M35">IFERROR(_xlfn.LET(_xlpm.e,E35,_xlpm.f,F35,_xlpm.h,H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467.5</v>
      </c>
      <c r="N35" s="15" cm="1">
        <f t="array" ref="N35">IFERROR(_xlfn.LET(_xlpm.e,E35,_xlpm.f,F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344.25</v>
      </c>
      <c r="O35" s="15" t="str">
        <f t="shared" si="2"/>
        <v>450 hours → 400 hours</v>
      </c>
      <c r="P35" s="34" cm="1">
        <f t="array" ref="P35">IFERROR(_xlfn.LET(_xlpm.g,G35,_xlpm.f,F35,_xlpm.h,H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0.11111108641975857</v>
      </c>
      <c r="Q35" s="15" t="str" cm="1">
        <f t="array" ref="Q35">IFERROR(_xlfn.LET(_xlpm.e,E35,_xlpm.g,G35,_xlpm.h,H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" s="15" t="str">
        <f t="shared" si="3"/>
        <v>🔴 Lagging</v>
      </c>
      <c r="S35" s="35" cm="1">
        <f t="array" ref="S35">IFERROR(_xlfn.LET(_xlpm.e,E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850</v>
      </c>
      <c r="T35" s="36">
        <f t="shared" si="4"/>
        <v>52.941170242215264</v>
      </c>
      <c r="U35" s="15">
        <f t="shared" si="5"/>
        <v>205</v>
      </c>
      <c r="V35" s="16">
        <f t="shared" si="6"/>
        <v>62825.617608750865</v>
      </c>
      <c r="W35" s="16">
        <f t="shared" si="7"/>
        <v>156238.01223513563</v>
      </c>
      <c r="X35" s="37">
        <f t="shared" si="8"/>
        <v>1</v>
      </c>
      <c r="Y35" s="15" t="str">
        <f t="shared" si="9"/>
        <v>🔥 Critical</v>
      </c>
    </row>
    <row r="36" spans="1:25" x14ac:dyDescent="0.2">
      <c r="A36" t="str">
        <f>'5. KPI Baselines'!A21</f>
        <v>AS Software</v>
      </c>
      <c r="B36" t="str">
        <f>'5. KPI Baselines'!B21</f>
        <v>Product Management</v>
      </c>
      <c r="C36" t="str">
        <f>'5. KPI Baselines'!C21</f>
        <v>Documentation</v>
      </c>
      <c r="D36" t="str">
        <f>'5. KPI Baselines'!D21</f>
        <v>Support Tickets Due to Documentation Gaps</v>
      </c>
      <c r="E36" t="str">
        <f>'5. KPI Baselines'!E21</f>
        <v>23%</v>
      </c>
      <c r="F36" t="str">
        <f>'5. KPI Baselines'!F21</f>
        <v>12%</v>
      </c>
      <c r="G36" t="str">
        <f>'5. KPI Baselines'!G21</f>
        <v>12%</v>
      </c>
      <c r="H36" t="str">
        <f>'5. KPI Baselines'!H21</f>
        <v>↓</v>
      </c>
      <c r="I36" t="str">
        <f>'5. KPI Baselines'!I21</f>
        <v>12 months</v>
      </c>
      <c r="J36" t="str">
        <f>'5. KPI Baselines'!J21</f>
        <v>Percentage of tickets resolved by pointing to documentation</v>
      </c>
      <c r="K36" s="15" t="str">
        <f t="shared" si="1"/>
        <v>23% → 12%</v>
      </c>
      <c r="L36" s="34" cm="1">
        <f t="array" ref="L36">IFERROR(_xlfn.LET(_xlpm.e,E36,_xlpm.f,F36,_xlpm.h,H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0.47825879017917317</v>
      </c>
      <c r="M36" s="15" cm="1">
        <f t="array" ref="M36">IFERROR(_xlfn.LET(_xlpm.e,E36,_xlpm.f,F36,_xlpm.h,H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13.7</v>
      </c>
      <c r="N36" s="15" cm="1">
        <f t="array" ref="N36">IFERROR(_xlfn.LET(_xlpm.e,E36,_xlpm.f,F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6" s="15" t="str">
        <f t="shared" si="2"/>
        <v>12% → 12%</v>
      </c>
      <c r="P36" s="34" cm="1">
        <f t="array" ref="P36">IFERROR(_xlfn.LET(_xlpm.g,G36,_xlpm.f,F36,_xlpm.h,H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6" s="15" t="str" cm="1">
        <f t="array" ref="Q36">IFERROR(_xlfn.LET(_xlpm.e,E36,_xlpm.g,G36,_xlpm.h,H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" s="15" t="str">
        <f t="shared" si="3"/>
        <v>🔴 Lagging</v>
      </c>
      <c r="S36" s="35" cm="1">
        <f t="array" ref="S36">IFERROR(_xlfn.LET(_xlpm.e,E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36" s="36">
        <f t="shared" si="4"/>
        <v>47.825879017917316</v>
      </c>
      <c r="U36" s="15">
        <f t="shared" si="5"/>
        <v>251</v>
      </c>
      <c r="V36" s="16">
        <f t="shared" si="6"/>
        <v>1535.7308229094656</v>
      </c>
      <c r="W36" s="16">
        <f t="shared" si="7"/>
        <v>3819.1352545682462</v>
      </c>
      <c r="X36" s="37">
        <f t="shared" si="8"/>
        <v>57</v>
      </c>
      <c r="Y36" s="15" t="str">
        <f t="shared" si="9"/>
        <v>⚠️ High</v>
      </c>
    </row>
    <row r="37" spans="1:25" x14ac:dyDescent="0.2">
      <c r="A37" t="str">
        <f>'5. KPI Baselines'!A22</f>
        <v>AS Software</v>
      </c>
      <c r="B37" t="str">
        <f>'5. KPI Baselines'!B22</f>
        <v>Engineering</v>
      </c>
      <c r="C37" t="str">
        <f>'5. KPI Baselines'!C22</f>
        <v>Development</v>
      </c>
      <c r="D37" t="str">
        <f>'5. KPI Baselines'!D22</f>
        <v>Engineering Time on Maintenance</v>
      </c>
      <c r="E37" t="str">
        <f>'5. KPI Baselines'!E22</f>
        <v>35%</v>
      </c>
      <c r="F37" t="str">
        <f>'5. KPI Baselines'!F22</f>
        <v>20%</v>
      </c>
      <c r="G37" t="str">
        <f>'5. KPI Baselines'!G22</f>
        <v>22%</v>
      </c>
      <c r="H37" t="str">
        <f>'5. KPI Baselines'!H22</f>
        <v>↓</v>
      </c>
      <c r="I37" t="str">
        <f>'5. KPI Baselines'!I22</f>
        <v>18 months</v>
      </c>
      <c r="J37" t="str">
        <f>'5. KPI Baselines'!J22</f>
        <v>Sprint velocity allocated to bug fixes and technical debt</v>
      </c>
      <c r="K37" s="15" t="str">
        <f t="shared" si="1"/>
        <v>35% → 20%</v>
      </c>
      <c r="L37" s="34" cm="1">
        <f t="array" ref="L37">IFERROR(_xlfn.LET(_xlpm.e,E37,_xlpm.f,F37,_xlpm.h,H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0.42857020408513113</v>
      </c>
      <c r="M37" s="15" cm="1">
        <f t="array" ref="M37">IFERROR(_xlfn.LET(_xlpm.e,E37,_xlpm.f,F37,_xlpm.h,H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22.3</v>
      </c>
      <c r="N37" s="15" cm="1">
        <f t="array" ref="N37">IFERROR(_xlfn.LET(_xlpm.e,E37,_xlpm.f,F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37" s="15" t="str">
        <f t="shared" si="2"/>
        <v>22% → 20%</v>
      </c>
      <c r="P37" s="34" cm="1">
        <f t="array" ref="P37">IFERROR(_xlfn.LET(_xlpm.g,G37,_xlpm.f,F37,_xlpm.h,H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9.090867768782869E-2</v>
      </c>
      <c r="Q37" s="15" t="str" cm="1">
        <f t="array" ref="Q37">IFERROR(_xlfn.LET(_xlpm.e,E37,_xlpm.g,G37,_xlpm.h,H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" s="15" t="str">
        <f t="shared" si="3"/>
        <v>🔴 Lagging</v>
      </c>
      <c r="S37" s="35" cm="1">
        <f t="array" ref="S37">IFERROR(_xlfn.LET(_xlpm.e,E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35</v>
      </c>
      <c r="T37" s="36">
        <f t="shared" si="4"/>
        <v>42.857020408513115</v>
      </c>
      <c r="U37" s="15">
        <f t="shared" si="5"/>
        <v>282</v>
      </c>
      <c r="V37" s="16">
        <f t="shared" si="6"/>
        <v>2094.1815166242377</v>
      </c>
      <c r="W37" s="16">
        <f t="shared" si="7"/>
        <v>5207.9194740993489</v>
      </c>
      <c r="X37" s="37">
        <f t="shared" si="8"/>
        <v>42</v>
      </c>
      <c r="Y37" s="15" t="str">
        <f t="shared" si="9"/>
        <v>⚠️ High</v>
      </c>
    </row>
    <row r="38" spans="1:25" x14ac:dyDescent="0.2">
      <c r="A38" t="str">
        <f>'5. KPI Baselines'!A23</f>
        <v>AS Software</v>
      </c>
      <c r="B38" t="str">
        <f>'5. KPI Baselines'!B23</f>
        <v>Engineering</v>
      </c>
      <c r="C38" t="str">
        <f>'5. KPI Baselines'!C23</f>
        <v>Feature Delivery</v>
      </c>
      <c r="D38" t="str">
        <f>'5. KPI Baselines'!D23</f>
        <v>Average Feature Delivery Cycle</v>
      </c>
      <c r="E38" t="str">
        <f>'5. KPI Baselines'!E23</f>
        <v>6 weeks</v>
      </c>
      <c r="F38" t="str">
        <f>'5. KPI Baselines'!F23</f>
        <v>4 weeks</v>
      </c>
      <c r="G38" t="str">
        <f>'5. KPI Baselines'!G23</f>
        <v>4 weeks</v>
      </c>
      <c r="H38" t="str">
        <f>'5. KPI Baselines'!H23</f>
        <v>↓</v>
      </c>
      <c r="I38" t="str">
        <f>'5. KPI Baselines'!I23</f>
        <v>12 months</v>
      </c>
      <c r="J38" t="str">
        <f>'5. KPI Baselines'!J23</f>
        <v>Days from feature specification to production release</v>
      </c>
      <c r="K38" s="15" t="str">
        <f t="shared" si="1"/>
        <v>6 weeks → 4 weeks</v>
      </c>
      <c r="L38" s="34" cm="1">
        <f t="array" ref="L38">IFERROR(_xlfn.LET(_xlpm.e,E38,_xlpm.f,F38,_xlpm.h,H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0.33332777787036882</v>
      </c>
      <c r="M38" s="15" cm="1">
        <f t="array" ref="M38">IFERROR(_xlfn.LET(_xlpm.e,E38,_xlpm.f,F38,_xlpm.h,H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4.3</v>
      </c>
      <c r="N38" s="15" cm="1">
        <f t="array" ref="N38">IFERROR(_xlfn.LET(_xlpm.e,E38,_xlpm.f,F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1.53</v>
      </c>
      <c r="O38" s="15" t="str">
        <f t="shared" si="2"/>
        <v>4 weeks → 4 weeks</v>
      </c>
      <c r="P38" s="34" cm="1">
        <f t="array" ref="P38">IFERROR(_xlfn.LET(_xlpm.g,G38,_xlpm.f,F38,_xlpm.h,H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8" s="15" t="str" cm="1">
        <f t="array" ref="Q38">IFERROR(_xlfn.LET(_xlpm.e,E38,_xlpm.g,G38,_xlpm.h,H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" s="15" t="str">
        <f t="shared" si="3"/>
        <v>🔴 Lagging</v>
      </c>
      <c r="S38" s="35" cm="1">
        <f t="array" ref="S38">IFERROR(_xlfn.LET(_xlpm.e,E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38" s="36">
        <f t="shared" si="4"/>
        <v>33.332777787036882</v>
      </c>
      <c r="U38" s="15">
        <f t="shared" si="5"/>
        <v>372</v>
      </c>
      <c r="V38" s="16">
        <f t="shared" si="6"/>
        <v>279.22034632756117</v>
      </c>
      <c r="W38" s="16">
        <f t="shared" si="7"/>
        <v>694.37967418800019</v>
      </c>
      <c r="X38" s="37">
        <f t="shared" si="8"/>
        <v>306</v>
      </c>
      <c r="Y38" s="15" t="str">
        <f t="shared" si="9"/>
        <v>⚠️ High</v>
      </c>
    </row>
    <row r="39" spans="1:25" x14ac:dyDescent="0.2">
      <c r="A39" t="str">
        <f>'5. KPI Baselines'!A24</f>
        <v>AS Software</v>
      </c>
      <c r="B39" t="str">
        <f>'5. KPI Baselines'!B24</f>
        <v>Finance</v>
      </c>
      <c r="C39" t="str">
        <f>'5. KPI Baselines'!C24</f>
        <v>Revenue Operations</v>
      </c>
      <c r="D39" t="str">
        <f>'5. KPI Baselines'!D24</f>
        <v>Monthly Close Cycle Time</v>
      </c>
      <c r="E39" t="str">
        <f>'5. KPI Baselines'!E24</f>
        <v>8 days</v>
      </c>
      <c r="F39" t="str">
        <f>'5. KPI Baselines'!F24</f>
        <v>5 days</v>
      </c>
      <c r="G39" t="str">
        <f>'5. KPI Baselines'!G24</f>
        <v>5 days</v>
      </c>
      <c r="H39" t="str">
        <f>'5. KPI Baselines'!H24</f>
        <v>↓</v>
      </c>
      <c r="I39" t="str">
        <f>'5. KPI Baselines'!I24</f>
        <v>9 months</v>
      </c>
      <c r="J39" t="str">
        <f>'5. KPI Baselines'!J24</f>
        <v>Days from month-end to finalized financials</v>
      </c>
      <c r="K39" s="15" t="str">
        <f t="shared" si="1"/>
        <v>8 days → 5 days</v>
      </c>
      <c r="L39" s="34" cm="1">
        <f t="array" ref="L39">IFERROR(_xlfn.LET(_xlpm.e,E39,_xlpm.f,F39,_xlpm.h,H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0.37499531255859303</v>
      </c>
      <c r="M39" s="15" cm="1">
        <f t="array" ref="M39">IFERROR(_xlfn.LET(_xlpm.e,E39,_xlpm.f,F39,_xlpm.h,H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5.5</v>
      </c>
      <c r="N39" s="15" cm="1">
        <f t="array" ref="N39">IFERROR(_xlfn.LET(_xlpm.e,E39,_xlpm.f,F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39" s="15" t="str">
        <f t="shared" si="2"/>
        <v>5 days → 5 days</v>
      </c>
      <c r="P39" s="34" cm="1">
        <f t="array" ref="P39">IFERROR(_xlfn.LET(_xlpm.g,G39,_xlpm.f,F39,_xlpm.h,H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9" s="15" t="str" cm="1">
        <f t="array" ref="Q39">IFERROR(_xlfn.LET(_xlpm.e,E39,_xlpm.g,G39,_xlpm.h,H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" s="15" t="str">
        <f t="shared" si="3"/>
        <v>🔴 Lagging</v>
      </c>
      <c r="S39" s="35" cm="1">
        <f t="array" ref="S39">IFERROR(_xlfn.LET(_xlpm.e,E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39" s="36">
        <f t="shared" si="4"/>
        <v>37.499531255859303</v>
      </c>
      <c r="U39" s="15">
        <f t="shared" si="5"/>
        <v>332</v>
      </c>
      <c r="V39" s="16">
        <f t="shared" si="6"/>
        <v>418.83226459669248</v>
      </c>
      <c r="W39" s="16">
        <f t="shared" si="7"/>
        <v>1041.5738511007162</v>
      </c>
      <c r="X39" s="37">
        <f t="shared" si="8"/>
        <v>206</v>
      </c>
      <c r="Y39" s="15" t="str">
        <f t="shared" si="9"/>
        <v>⚠️ High</v>
      </c>
    </row>
    <row r="40" spans="1:25" x14ac:dyDescent="0.2">
      <c r="A40" t="str">
        <f>'5. KPI Baselines'!A25</f>
        <v>AS Software</v>
      </c>
      <c r="B40" t="str">
        <f>'5. KPI Baselines'!B25</f>
        <v>Human Resources</v>
      </c>
      <c r="C40" t="str">
        <f>'5. KPI Baselines'!C25</f>
        <v>Recruiting</v>
      </c>
      <c r="D40" t="str">
        <f>'5. KPI Baselines'!D25</f>
        <v>Time-to-Fill for Technical Roles</v>
      </c>
      <c r="E40" t="str">
        <f>'5. KPI Baselines'!E25</f>
        <v>67 days</v>
      </c>
      <c r="F40" t="str">
        <f>'5. KPI Baselines'!F25</f>
        <v>42 days</v>
      </c>
      <c r="G40" t="str">
        <f>'5. KPI Baselines'!G25</f>
        <v>42 days</v>
      </c>
      <c r="H40" t="str">
        <f>'5. KPI Baselines'!H25</f>
        <v>↓</v>
      </c>
      <c r="I40" t="str">
        <f>'5. KPI Baselines'!I25</f>
        <v>12 months</v>
      </c>
      <c r="J40" t="str">
        <f>'5. KPI Baselines'!J25</f>
        <v>Days from requisition approval to offer acceptance</v>
      </c>
      <c r="K40" s="15" t="str">
        <f t="shared" si="1"/>
        <v>67 days → 42 days</v>
      </c>
      <c r="L40" s="34" cm="1">
        <f t="array" ref="L40">IFERROR(_xlfn.LET(_xlpm.e,E40,_xlpm.f,F40,_xlpm.h,H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0.37313377144213217</v>
      </c>
      <c r="M40" s="15" cm="1">
        <f t="array" ref="M40">IFERROR(_xlfn.LET(_xlpm.e,E40,_xlpm.f,F40,_xlpm.h,H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45.8</v>
      </c>
      <c r="N40" s="15" cm="1">
        <f t="array" ref="N40">IFERROR(_xlfn.LET(_xlpm.e,E40,_xlpm.f,F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40" s="15" t="str">
        <f t="shared" si="2"/>
        <v>42 days → 42 days</v>
      </c>
      <c r="P40" s="34" cm="1">
        <f t="array" ref="P40">IFERROR(_xlfn.LET(_xlpm.g,G40,_xlpm.f,F40,_xlpm.h,H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40" s="15" t="str" cm="1">
        <f t="array" ref="Q40">IFERROR(_xlfn.LET(_xlpm.e,E40,_xlpm.g,G40,_xlpm.h,H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" s="15" t="str">
        <f t="shared" si="3"/>
        <v>🔴 Lagging</v>
      </c>
      <c r="S40" s="35" cm="1">
        <f t="array" ref="S40">IFERROR(_xlfn.LET(_xlpm.e,E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40" s="36">
        <f t="shared" si="4"/>
        <v>37.31337714421322</v>
      </c>
      <c r="U40" s="15">
        <f t="shared" si="5"/>
        <v>339</v>
      </c>
      <c r="V40" s="16">
        <f t="shared" si="6"/>
        <v>3490.3072905861331</v>
      </c>
      <c r="W40" s="16">
        <f t="shared" si="7"/>
        <v>8679.8776347408784</v>
      </c>
      <c r="X40" s="37">
        <f t="shared" si="8"/>
        <v>25</v>
      </c>
      <c r="Y40" s="15" t="str">
        <f t="shared" si="9"/>
        <v>⚠️ High</v>
      </c>
    </row>
    <row r="41" spans="1:25" x14ac:dyDescent="0.2">
      <c r="A41" t="str">
        <f>'5. KPI Baselines'!A26</f>
        <v>AmeriVet Partners</v>
      </c>
      <c r="B41" t="str">
        <f>'5. KPI Baselines'!B26</f>
        <v>Clinical Operations</v>
      </c>
      <c r="C41" t="str">
        <f>'5. KPI Baselines'!C26</f>
        <v>Medical Records</v>
      </c>
      <c r="D41" t="str">
        <f>'5. KPI Baselines'!D26</f>
        <v>Average Time to Retrieve Patient History</v>
      </c>
      <c r="E41" t="str">
        <f>'5. KPI Baselines'!E26</f>
        <v>8.5 minutes</v>
      </c>
      <c r="F41" t="str">
        <f>'5. KPI Baselines'!F26</f>
        <v>2.5 minutes</v>
      </c>
      <c r="G41" t="str">
        <f>'5. KPI Baselines'!G26</f>
        <v>3.2 minutes (integrated EMR)</v>
      </c>
      <c r="H41" t="str">
        <f>'5. KPI Baselines'!H26</f>
        <v>↓</v>
      </c>
      <c r="I41" t="str">
        <f>'5. KPI Baselines'!I26</f>
        <v>12 months</v>
      </c>
      <c r="J41" t="str">
        <f>'5. KPI Baselines'!J26</f>
        <v>Time-motion study across 25 sample clinics</v>
      </c>
      <c r="K41" s="15" t="str">
        <f t="shared" si="1"/>
        <v>8.5 minutes → 2.5 minutes</v>
      </c>
      <c r="L41" s="34" cm="1">
        <f t="array" ref="L41">IFERROR(_xlfn.LET(_xlpm.e,E41,_xlpm.f,F41,_xlpm.h,H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0.70587404854060543</v>
      </c>
      <c r="M41" s="15" cm="1">
        <f t="array" ref="M41">IFERROR(_xlfn.LET(_xlpm.e,E41,_xlpm.f,F41,_xlpm.h,H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3.4</v>
      </c>
      <c r="N41" s="15" cm="1">
        <f t="array" ref="N41">IFERROR(_xlfn.LET(_xlpm.e,E41,_xlpm.f,F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41" s="15" t="str">
        <f t="shared" si="2"/>
        <v>3.2 minutes (integrated EMR) → 2.5 minutes</v>
      </c>
      <c r="P41" s="34" cm="1">
        <f t="array" ref="P41">IFERROR(_xlfn.LET(_xlpm.g,G41,_xlpm.f,F41,_xlpm.h,H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0.2187431642761164</v>
      </c>
      <c r="Q41" s="15" t="str" cm="1">
        <f t="array" ref="Q41">IFERROR(_xlfn.LET(_xlpm.e,E41,_xlpm.g,G41,_xlpm.h,H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" s="15" t="str">
        <f t="shared" si="3"/>
        <v>🔴 Lagging</v>
      </c>
      <c r="S41" s="35" cm="1">
        <f t="array" ref="S41">IFERROR(_xlfn.LET(_xlpm.e,E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8.5</v>
      </c>
      <c r="T41" s="36">
        <f t="shared" si="4"/>
        <v>70.587404854060537</v>
      </c>
      <c r="U41" s="15">
        <f t="shared" si="5"/>
        <v>81</v>
      </c>
      <c r="V41" s="16">
        <f t="shared" si="6"/>
        <v>837.66514511593994</v>
      </c>
      <c r="W41" s="16">
        <f t="shared" si="7"/>
        <v>2083.1492339096644</v>
      </c>
      <c r="X41" s="37">
        <f t="shared" si="8"/>
        <v>104</v>
      </c>
      <c r="Y41" s="15" t="str">
        <f t="shared" si="9"/>
        <v>🔥 Critical</v>
      </c>
    </row>
    <row r="42" spans="1:25" x14ac:dyDescent="0.2">
      <c r="A42" t="str">
        <f>'5. KPI Baselines'!A27</f>
        <v>AmeriVet Partners</v>
      </c>
      <c r="B42" t="str">
        <f>'5. KPI Baselines'!B27</f>
        <v>Clinical Operations</v>
      </c>
      <c r="C42" t="str">
        <f>'5. KPI Baselines'!C27</f>
        <v>Diagnosis &amp; Treatment</v>
      </c>
      <c r="D42" t="str">
        <f>'5. KPI Baselines'!D27</f>
        <v>Diagnostic Accuracy Rate</v>
      </c>
      <c r="E42" t="str">
        <f>'5. KPI Baselines'!E27</f>
        <v>84%</v>
      </c>
      <c r="F42" t="str">
        <f>'5. KPI Baselines'!F27</f>
        <v>91%</v>
      </c>
      <c r="G42" t="str">
        <f>'5. KPI Baselines'!G27</f>
        <v>89% (specialty centers)</v>
      </c>
      <c r="H42" t="str">
        <f>'5. KPI Baselines'!H27</f>
        <v>↑</v>
      </c>
      <c r="I42" t="str">
        <f>'5. KPI Baselines'!I27</f>
        <v>18 months</v>
      </c>
      <c r="J42" t="str">
        <f>'5. KPI Baselines'!J27</f>
        <v>Second opinion case review and outcome tracking</v>
      </c>
      <c r="K42" s="15" t="str">
        <f t="shared" si="1"/>
        <v>91% - 84%</v>
      </c>
      <c r="L42" s="34" cm="1">
        <f t="array" ref="L42">IFERROR(_xlfn.LET(_xlpm.e,E42,_xlpm.f,F42,_xlpm.h,H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8.3333234127102224E-2</v>
      </c>
      <c r="M42" s="15" cm="1">
        <f t="array" ref="M42">IFERROR(_xlfn.LET(_xlpm.e,E42,_xlpm.f,F42,_xlpm.h,H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90</v>
      </c>
      <c r="N42" s="15" cm="1">
        <f t="array" ref="N42">IFERROR(_xlfn.LET(_xlpm.e,E42,_xlpm.f,F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2" s="15" t="str">
        <f t="shared" si="2"/>
        <v>91% - 89% (specialty centers)</v>
      </c>
      <c r="P42" s="34" cm="1">
        <f t="array" ref="P42">IFERROR(_xlfn.LET(_xlpm.g,G42,_xlpm.f,F42,_xlpm.h,H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2.2471884863050715E-2</v>
      </c>
      <c r="Q42" s="15" t="str" cm="1">
        <f t="array" ref="Q42">IFERROR(_xlfn.LET(_xlpm.e,E42,_xlpm.g,G42,_xlpm.h,H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" s="15" t="str">
        <f t="shared" si="3"/>
        <v>🔴 Lagging</v>
      </c>
      <c r="S42" s="35" cm="1">
        <f t="array" ref="S42">IFERROR(_xlfn.LET(_xlpm.e,E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84</v>
      </c>
      <c r="T42" s="36">
        <f t="shared" si="4"/>
        <v>8.3333234127102216</v>
      </c>
      <c r="U42" s="15">
        <f t="shared" si="5"/>
        <v>529</v>
      </c>
      <c r="V42" s="16">
        <f t="shared" si="6"/>
        <v>977.2863365638849</v>
      </c>
      <c r="W42" s="16">
        <f t="shared" si="7"/>
        <v>2430.3664718455761</v>
      </c>
      <c r="X42" s="37">
        <f t="shared" si="8"/>
        <v>89</v>
      </c>
      <c r="Y42" s="15" t="str">
        <f t="shared" si="9"/>
        <v>📉 Low</v>
      </c>
    </row>
    <row r="43" spans="1:25" x14ac:dyDescent="0.2">
      <c r="A43" t="str">
        <f>'5. KPI Baselines'!A28</f>
        <v>AmeriVet Partners</v>
      </c>
      <c r="B43" t="str">
        <f>'5. KPI Baselines'!B28</f>
        <v>Client Services</v>
      </c>
      <c r="C43" t="str">
        <f>'5. KPI Baselines'!C28</f>
        <v>Appointment Scheduling</v>
      </c>
      <c r="D43" t="str">
        <f>'5. KPI Baselines'!D28</f>
        <v>Call Abandonment Rate</v>
      </c>
      <c r="E43" t="str">
        <f>'5. KPI Baselines'!E28</f>
        <v>18%</v>
      </c>
      <c r="F43" t="str">
        <f>'5. KPI Baselines'!F28</f>
        <v>6%</v>
      </c>
      <c r="G43" t="str">
        <f>'5. KPI Baselines'!G28</f>
        <v>8% (multi-channel access)</v>
      </c>
      <c r="H43" t="str">
        <f>'5. KPI Baselines'!H28</f>
        <v>↓</v>
      </c>
      <c r="I43" t="str">
        <f>'5. KPI Baselines'!I28</f>
        <v>9 months</v>
      </c>
      <c r="J43" t="str">
        <f>'5. KPI Baselines'!J28</f>
        <v>Phone system analytics across all clinics</v>
      </c>
      <c r="K43" s="15" t="str">
        <f t="shared" si="1"/>
        <v>18% → 6%</v>
      </c>
      <c r="L43" s="34" cm="1">
        <f t="array" ref="L43">IFERROR(_xlfn.LET(_xlpm.e,E43,_xlpm.f,F43,_xlpm.h,H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0.666662962983539</v>
      </c>
      <c r="M43" s="15" cm="1">
        <f t="array" ref="M43">IFERROR(_xlfn.LET(_xlpm.e,E43,_xlpm.f,F43,_xlpm.h,H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43" s="15" cm="1">
        <f t="array" ref="N43">IFERROR(_xlfn.LET(_xlpm.e,E43,_xlpm.f,F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43" s="15" t="str">
        <f t="shared" si="2"/>
        <v>8% (multi-channel access) → 6%</v>
      </c>
      <c r="P43" s="34" cm="1">
        <f t="array" ref="P43">IFERROR(_xlfn.LET(_xlpm.g,G43,_xlpm.f,F43,_xlpm.h,H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0.24999687503906201</v>
      </c>
      <c r="Q43" s="15" t="str" cm="1">
        <f t="array" ref="Q43">IFERROR(_xlfn.LET(_xlpm.e,E43,_xlpm.g,G43,_xlpm.h,H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3" s="15" t="str">
        <f t="shared" si="3"/>
        <v>🔴 Lagging</v>
      </c>
      <c r="S43" s="35" cm="1">
        <f t="array" ref="S43">IFERROR(_xlfn.LET(_xlpm.e,E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43" s="36">
        <f t="shared" si="4"/>
        <v>66.666296298353899</v>
      </c>
      <c r="U43" s="15">
        <f t="shared" si="5"/>
        <v>93</v>
      </c>
      <c r="V43" s="16">
        <f t="shared" si="6"/>
        <v>1675.3406925517081</v>
      </c>
      <c r="W43" s="16">
        <f t="shared" si="7"/>
        <v>4166.3243368491048</v>
      </c>
      <c r="X43" s="37">
        <f t="shared" si="8"/>
        <v>52</v>
      </c>
      <c r="Y43" s="15" t="str">
        <f t="shared" si="9"/>
        <v>🔥 Critical</v>
      </c>
    </row>
    <row r="44" spans="1:25" x14ac:dyDescent="0.2">
      <c r="A44" t="str">
        <f>'5. KPI Baselines'!A29</f>
        <v>AmeriVet Partners</v>
      </c>
      <c r="B44" t="str">
        <f>'5. KPI Baselines'!B29</f>
        <v>Client Services</v>
      </c>
      <c r="C44" t="str">
        <f>'5. KPI Baselines'!C29</f>
        <v>Revenue Capture</v>
      </c>
      <c r="D44" t="str">
        <f>'5. KPI Baselines'!D29</f>
        <v>Appointment No-Show Rate</v>
      </c>
      <c r="E44" t="str">
        <f>'5. KPI Baselines'!E29</f>
        <v>12%</v>
      </c>
      <c r="F44" t="str">
        <f>'5. KPI Baselines'!F29</f>
        <v>4%</v>
      </c>
      <c r="G44" t="str">
        <f>'5. KPI Baselines'!G29</f>
        <v>5% (automated reminders)</v>
      </c>
      <c r="H44" t="str">
        <f>'5. KPI Baselines'!H29</f>
        <v>↓</v>
      </c>
      <c r="I44" t="str">
        <f>'5. KPI Baselines'!I29</f>
        <v>6 months</v>
      </c>
      <c r="J44" t="str">
        <f>'5. KPI Baselines'!J29</f>
        <v>Scheduled vs. completed appointment ratio</v>
      </c>
      <c r="K44" s="15" t="str">
        <f t="shared" si="1"/>
        <v>12% → 4%</v>
      </c>
      <c r="L44" s="34" cm="1">
        <f t="array" ref="L44">IFERROR(_xlfn.LET(_xlpm.e,E44,_xlpm.f,F44,_xlpm.h,H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0.666661111157407</v>
      </c>
      <c r="M44" s="15" cm="1">
        <f t="array" ref="M44">IFERROR(_xlfn.LET(_xlpm.e,E44,_xlpm.f,F44,_xlpm.h,H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5.2</v>
      </c>
      <c r="N44" s="15" cm="1">
        <f t="array" ref="N44">IFERROR(_xlfn.LET(_xlpm.e,E44,_xlpm.f,F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44" s="15" t="str">
        <f t="shared" si="2"/>
        <v>5% (automated reminders) → 4%</v>
      </c>
      <c r="P44" s="34" cm="1">
        <f t="array" ref="P44">IFERROR(_xlfn.LET(_xlpm.g,G44,_xlpm.f,F44,_xlpm.h,H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0.1999960000799984</v>
      </c>
      <c r="Q44" s="15" t="str" cm="1">
        <f t="array" ref="Q44">IFERROR(_xlfn.LET(_xlpm.e,E44,_xlpm.g,G44,_xlpm.h,H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4" s="15" t="str">
        <f t="shared" si="3"/>
        <v>🔴 Lagging</v>
      </c>
      <c r="S44" s="35" cm="1">
        <f t="array" ref="S44">IFERROR(_xlfn.LET(_xlpm.e,E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4" s="36">
        <f t="shared" si="4"/>
        <v>66.666111115740705</v>
      </c>
      <c r="U44" s="15">
        <f t="shared" si="5"/>
        <v>97</v>
      </c>
      <c r="V44" s="16">
        <f t="shared" si="6"/>
        <v>1116.8906925775618</v>
      </c>
      <c r="W44" s="16">
        <f t="shared" si="7"/>
        <v>2777.541842548259</v>
      </c>
      <c r="X44" s="37">
        <f t="shared" si="8"/>
        <v>78</v>
      </c>
      <c r="Y44" s="15" t="str">
        <f t="shared" si="9"/>
        <v>🔥 Critical</v>
      </c>
    </row>
    <row r="45" spans="1:25" x14ac:dyDescent="0.2">
      <c r="A45" t="str">
        <f>'5. KPI Baselines'!A30</f>
        <v>AmeriVet Partners</v>
      </c>
      <c r="B45" t="str">
        <f>'5. KPI Baselines'!B30</f>
        <v>Human Resources</v>
      </c>
      <c r="C45" t="str">
        <f>'5. KPI Baselines'!C30</f>
        <v>Veterinarian Retention</v>
      </c>
      <c r="D45" t="str">
        <f>'5. KPI Baselines'!D30</f>
        <v>Annual Veterinarian Turnover</v>
      </c>
      <c r="E45" t="str">
        <f>'5. KPI Baselines'!E30</f>
        <v>22%</v>
      </c>
      <c r="F45" t="str">
        <f>'5. KPI Baselines'!F30</f>
        <v>15%</v>
      </c>
      <c r="G45" t="str">
        <f>'5. KPI Baselines'!G30</f>
        <v>14% (corporate practices)</v>
      </c>
      <c r="H45" t="str">
        <f>'5. KPI Baselines'!H30</f>
        <v>↓</v>
      </c>
      <c r="I45" t="str">
        <f>'5. KPI Baselines'!I30</f>
        <v>24 months</v>
      </c>
      <c r="J45" t="str">
        <f>'5. KPI Baselines'!J30</f>
        <v>HR system departure tracking</v>
      </c>
      <c r="K45" s="15" t="str">
        <f t="shared" si="1"/>
        <v>22% → 15%</v>
      </c>
      <c r="L45" s="34" cm="1">
        <f t="array" ref="L45">IFERROR(_xlfn.LET(_xlpm.e,E45,_xlpm.f,F45,_xlpm.h,H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0.31818037190740045</v>
      </c>
      <c r="M45" s="15" cm="1">
        <f t="array" ref="M45">IFERROR(_xlfn.LET(_xlpm.e,E45,_xlpm.f,F45,_xlpm.h,H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16.100000000000001</v>
      </c>
      <c r="N45" s="15" cm="1">
        <f t="array" ref="N45">IFERROR(_xlfn.LET(_xlpm.e,E45,_xlpm.f,F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5" s="15" t="str">
        <f t="shared" si="2"/>
        <v>14% (corporate practices) → 15%</v>
      </c>
      <c r="P45" s="34" cm="1">
        <f t="array" ref="P45">IFERROR(_xlfn.LET(_xlpm.g,G45,_xlpm.f,F45,_xlpm.h,H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-7.1428061228134082E-2</v>
      </c>
      <c r="Q45" s="15" t="str" cm="1">
        <f t="array" ref="Q45">IFERROR(_xlfn.LET(_xlpm.e,E45,_xlpm.g,G45,_xlpm.h,H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" s="15" t="str">
        <f t="shared" si="3"/>
        <v>🔴 Lagging</v>
      </c>
      <c r="S45" s="35" cm="1">
        <f t="array" ref="S45">IFERROR(_xlfn.LET(_xlpm.e,E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22</v>
      </c>
      <c r="T45" s="36">
        <f t="shared" si="4"/>
        <v>31.818037190740046</v>
      </c>
      <c r="U45" s="15">
        <f t="shared" si="5"/>
        <v>384</v>
      </c>
      <c r="V45" s="16">
        <f t="shared" si="6"/>
        <v>977.28305780428286</v>
      </c>
      <c r="W45" s="16">
        <f t="shared" si="7"/>
        <v>2430.3583180557316</v>
      </c>
      <c r="X45" s="37">
        <f t="shared" si="8"/>
        <v>89</v>
      </c>
      <c r="Y45" s="15" t="str">
        <f t="shared" si="9"/>
        <v>⚠️ High</v>
      </c>
    </row>
    <row r="46" spans="1:25" x14ac:dyDescent="0.2">
      <c r="A46" t="str">
        <f>'5. KPI Baselines'!A31</f>
        <v>AmeriVet Partners</v>
      </c>
      <c r="B46" t="str">
        <f>'5. KPI Baselines'!B31</f>
        <v>Compliance &amp; Risk</v>
      </c>
      <c r="C46" t="str">
        <f>'5. KPI Baselines'!C31</f>
        <v>Regulatory Documentation</v>
      </c>
      <c r="D46" t="str">
        <f>'5. KPI Baselines'!D31</f>
        <v>Audit Findings per Clinic</v>
      </c>
      <c r="E46" t="str">
        <f>'5. KPI Baselines'!E31</f>
        <v>4.2 findings</v>
      </c>
      <c r="F46" t="str">
        <f>'5. KPI Baselines'!F31</f>
        <v>1.5 findings</v>
      </c>
      <c r="G46" t="str">
        <f>'5. KPI Baselines'!G31</f>
        <v>1.8 findings (best quartile)</v>
      </c>
      <c r="H46" t="str">
        <f>'5. KPI Baselines'!H31</f>
        <v>↓</v>
      </c>
      <c r="I46" t="str">
        <f>'5. KPI Baselines'!I31</f>
        <v>18 months</v>
      </c>
      <c r="J46" t="str">
        <f>'5. KPI Baselines'!J31</f>
        <v>State board audit results aggregation</v>
      </c>
      <c r="K46" s="15" t="str">
        <f t="shared" si="1"/>
        <v>4.2 findings → 1.5 findings</v>
      </c>
      <c r="L46" s="34" cm="1">
        <f t="array" ref="L46">IFERROR(_xlfn.LET(_xlpm.e,E46,_xlpm.f,F46,_xlpm.h,H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0.64284183709911669</v>
      </c>
      <c r="M46" s="15" cm="1">
        <f t="array" ref="M46">IFERROR(_xlfn.LET(_xlpm.e,E46,_xlpm.f,F46,_xlpm.h,H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46" s="15" cm="1">
        <f t="array" ref="N46">IFERROR(_xlfn.LET(_xlpm.e,E46,_xlpm.f,F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46" s="15" t="str">
        <f t="shared" si="2"/>
        <v>1.8 findings (best quartile) → 1.5 findings</v>
      </c>
      <c r="P46" s="34" cm="1">
        <f t="array" ref="P46">IFERROR(_xlfn.LET(_xlpm.g,G46,_xlpm.f,F46,_xlpm.h,H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0.16665740792178216</v>
      </c>
      <c r="Q46" s="15" t="str" cm="1">
        <f t="array" ref="Q46">IFERROR(_xlfn.LET(_xlpm.e,E46,_xlpm.g,G46,_xlpm.h,H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" s="15" t="str">
        <f t="shared" si="3"/>
        <v>🔴 Lagging</v>
      </c>
      <c r="S46" s="35" cm="1">
        <f t="array" ref="S46">IFERROR(_xlfn.LET(_xlpm.e,E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46" s="36">
        <f t="shared" si="4"/>
        <v>64.284183709911673</v>
      </c>
      <c r="U46" s="15">
        <f t="shared" si="5"/>
        <v>116</v>
      </c>
      <c r="V46" s="16">
        <f t="shared" si="6"/>
        <v>376.94477512440181</v>
      </c>
      <c r="W46" s="16">
        <f t="shared" si="7"/>
        <v>937.40586450921944</v>
      </c>
      <c r="X46" s="37">
        <f t="shared" si="8"/>
        <v>228</v>
      </c>
      <c r="Y46" s="15" t="str">
        <f t="shared" si="9"/>
        <v>🔥 Critical</v>
      </c>
    </row>
    <row r="47" spans="1:25" x14ac:dyDescent="0.2">
      <c r="A47" t="str">
        <f>'5. KPI Baselines'!A32</f>
        <v>AmeriVet Partners</v>
      </c>
      <c r="B47" t="str">
        <f>'5. KPI Baselines'!B32</f>
        <v>Finance</v>
      </c>
      <c r="C47" t="str">
        <f>'5. KPI Baselines'!C32</f>
        <v>Revenue Cycle</v>
      </c>
      <c r="D47" t="str">
        <f>'5. KPI Baselines'!D32</f>
        <v>Days in Accounts Receivable</v>
      </c>
      <c r="E47" t="str">
        <f>'5. KPI Baselines'!E32</f>
        <v>38 days</v>
      </c>
      <c r="F47" t="str">
        <f>'5. KPI Baselines'!F32</f>
        <v>22 days</v>
      </c>
      <c r="G47" t="str">
        <f>'5. KPI Baselines'!G32</f>
        <v>24 days (automated billing)</v>
      </c>
      <c r="H47" t="str">
        <f>'5. KPI Baselines'!H32</f>
        <v>↓</v>
      </c>
      <c r="I47" t="str">
        <f>'5. KPI Baselines'!I32</f>
        <v>12 months</v>
      </c>
      <c r="J47" t="str">
        <f>'5. KPI Baselines'!J32</f>
        <v>AR aging report analysis</v>
      </c>
      <c r="K47" s="15" t="str">
        <f t="shared" si="1"/>
        <v>38 days → 22 days</v>
      </c>
      <c r="L47" s="34" cm="1">
        <f t="array" ref="L47">IFERROR(_xlfn.LET(_xlpm.e,E47,_xlpm.f,F47,_xlpm.h,H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0.42105152354862219</v>
      </c>
      <c r="M47" s="15" cm="1">
        <f t="array" ref="M47">IFERROR(_xlfn.LET(_xlpm.e,E47,_xlpm.f,F47,_xlpm.h,H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24.4</v>
      </c>
      <c r="N47" s="15" cm="1">
        <f t="array" ref="N47">IFERROR(_xlfn.LET(_xlpm.e,E47,_xlpm.f,F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47" s="15" t="str">
        <f t="shared" si="2"/>
        <v>24 days (automated billing) → 22 days</v>
      </c>
      <c r="P47" s="34" cm="1">
        <f t="array" ref="P47">IFERROR(_xlfn.LET(_xlpm.g,G47,_xlpm.f,F47,_xlpm.h,H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8.3332986112557864E-2</v>
      </c>
      <c r="Q47" s="15" t="str" cm="1">
        <f t="array" ref="Q47">IFERROR(_xlfn.LET(_xlpm.e,E47,_xlpm.g,G47,_xlpm.h,H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" s="15" t="str">
        <f t="shared" si="3"/>
        <v>🔴 Lagging</v>
      </c>
      <c r="S47" s="35" cm="1">
        <f t="array" ref="S47">IFERROR(_xlfn.LET(_xlpm.e,E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47" s="36">
        <f t="shared" si="4"/>
        <v>42.10515235486222</v>
      </c>
      <c r="U47" s="15">
        <f t="shared" si="5"/>
        <v>285</v>
      </c>
      <c r="V47" s="16">
        <f t="shared" si="6"/>
        <v>2233.7941215944165</v>
      </c>
      <c r="W47" s="16">
        <f t="shared" si="7"/>
        <v>5555.1153587359313</v>
      </c>
      <c r="X47" s="37">
        <f t="shared" si="8"/>
        <v>39</v>
      </c>
      <c r="Y47" s="15" t="str">
        <f t="shared" si="9"/>
        <v>⚠️ High</v>
      </c>
    </row>
    <row r="48" spans="1:25" x14ac:dyDescent="0.2">
      <c r="A48" t="str">
        <f>'5. KPI Baselines'!A33</f>
        <v>AmeriVet Partners</v>
      </c>
      <c r="B48" t="str">
        <f>'5. KPI Baselines'!B33</f>
        <v>Clinical Operations</v>
      </c>
      <c r="C48" t="str">
        <f>'5. KPI Baselines'!C33</f>
        <v>Client Education</v>
      </c>
      <c r="D48" t="str">
        <f>'5. KPI Baselines'!D33</f>
        <v>Post-Visit Instruction Compliance</v>
      </c>
      <c r="E48" t="str">
        <f>'5. KPI Baselines'!E33</f>
        <v>58%</v>
      </c>
      <c r="F48" t="str">
        <f>'5. KPI Baselines'!F33</f>
        <v>82%</v>
      </c>
      <c r="G48" t="str">
        <f>'5. KPI Baselines'!G33</f>
        <v>78% (written + verbal)</v>
      </c>
      <c r="H48" t="str">
        <f>'5. KPI Baselines'!H33</f>
        <v>↑</v>
      </c>
      <c r="I48" t="str">
        <f>'5. KPI Baselines'!I33</f>
        <v>12 months</v>
      </c>
      <c r="J48" t="str">
        <f>'5. KPI Baselines'!J33</f>
        <v>Follow-up survey and medication adherence tracking</v>
      </c>
      <c r="K48" s="15" t="str">
        <f t="shared" si="1"/>
        <v>82% - 58%</v>
      </c>
      <c r="L48" s="34" cm="1">
        <f t="array" ref="L48">IFERROR(_xlfn.LET(_xlpm.e,E48,_xlpm.f,F48,_xlpm.h,H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0.41379239001312063</v>
      </c>
      <c r="M48" s="15" cm="1">
        <f t="array" ref="M48">IFERROR(_xlfn.LET(_xlpm.e,E48,_xlpm.f,F48,_xlpm.h,H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78.400000000000006</v>
      </c>
      <c r="N48" s="15" cm="1">
        <f t="array" ref="N48">IFERROR(_xlfn.LET(_xlpm.e,E48,_xlpm.f,F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18.36</v>
      </c>
      <c r="O48" s="15" t="str">
        <f t="shared" si="2"/>
        <v>82% - 78% (written + verbal)</v>
      </c>
      <c r="P48" s="34" cm="1">
        <f t="array" ref="P48">IFERROR(_xlfn.LET(_xlpm.g,G48,_xlpm.f,F48,_xlpm.h,H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5.128198553591598E-2</v>
      </c>
      <c r="Q48" s="15" t="str" cm="1">
        <f t="array" ref="Q48">IFERROR(_xlfn.LET(_xlpm.e,E48,_xlpm.g,G48,_xlpm.h,H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" s="15" t="str">
        <f t="shared" si="3"/>
        <v>🔴 Lagging</v>
      </c>
      <c r="S48" s="35" cm="1">
        <f t="array" ref="S48">IFERROR(_xlfn.LET(_xlpm.e,E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48" s="36">
        <f t="shared" si="4"/>
        <v>41.379239001312065</v>
      </c>
      <c r="U48" s="15">
        <f t="shared" si="5"/>
        <v>300</v>
      </c>
      <c r="V48" s="16">
        <f t="shared" si="6"/>
        <v>3350.6942229409947</v>
      </c>
      <c r="W48" s="16">
        <f t="shared" si="7"/>
        <v>8332.6805995001505</v>
      </c>
      <c r="X48" s="37">
        <f t="shared" si="8"/>
        <v>26</v>
      </c>
      <c r="Y48" s="15" t="str">
        <f t="shared" si="9"/>
        <v>⚠️ High</v>
      </c>
    </row>
    <row r="49" spans="1:25" x14ac:dyDescent="0.2">
      <c r="A49" t="str">
        <f>'5. KPI Baselines'!A34</f>
        <v>AmeriVet Partners</v>
      </c>
      <c r="B49" t="str">
        <f>'5. KPI Baselines'!B34</f>
        <v>Operations</v>
      </c>
      <c r="C49" t="str">
        <f>'5. KPI Baselines'!C34</f>
        <v>Inventory Management</v>
      </c>
      <c r="D49" t="str">
        <f>'5. KPI Baselines'!D34</f>
        <v>Pharmaceutical Stockout Rate</v>
      </c>
      <c r="E49" t="str">
        <f>'5. KPI Baselines'!E34</f>
        <v>7.5%</v>
      </c>
      <c r="F49" t="str">
        <f>'5. KPI Baselines'!F34</f>
        <v>1.8%</v>
      </c>
      <c r="G49" t="str">
        <f>'5. KPI Baselines'!G34</f>
        <v>2.1% (predictive ordering)</v>
      </c>
      <c r="H49" t="str">
        <f>'5. KPI Baselines'!H34</f>
        <v>↓</v>
      </c>
      <c r="I49" t="str">
        <f>'5. KPI Baselines'!I34</f>
        <v>9 months</v>
      </c>
      <c r="J49" t="str">
        <f>'5. KPI Baselines'!J34</f>
        <v>Prescription fulfillment tracking</v>
      </c>
      <c r="K49" s="15" t="str">
        <f t="shared" si="1"/>
        <v>7.5% → 1.8%</v>
      </c>
      <c r="L49" s="34" cm="1">
        <f t="array" ref="L49">IFERROR(_xlfn.LET(_xlpm.e,E49,_xlpm.f,F49,_xlpm.h,H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0.75998986680177605</v>
      </c>
      <c r="M49" s="15" cm="1">
        <f t="array" ref="M49">IFERROR(_xlfn.LET(_xlpm.e,E49,_xlpm.f,F49,_xlpm.h,H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2.7</v>
      </c>
      <c r="N49" s="15" cm="1">
        <f t="array" ref="N49">IFERROR(_xlfn.LET(_xlpm.e,E49,_xlpm.f,F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4.3600000000000003</v>
      </c>
      <c r="O49" s="15" t="str">
        <f t="shared" si="2"/>
        <v>2.1% (predictive ordering) → 1.8%</v>
      </c>
      <c r="P49" s="34" cm="1">
        <f t="array" ref="P49">IFERROR(_xlfn.LET(_xlpm.g,G49,_xlpm.f,F49,_xlpm.h,H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0.1428503404599781</v>
      </c>
      <c r="Q49" s="15" t="str" cm="1">
        <f t="array" ref="Q49">IFERROR(_xlfn.LET(_xlpm.e,E49,_xlpm.g,G49,_xlpm.h,H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" s="15" t="str">
        <f t="shared" si="3"/>
        <v>🔴 Lagging</v>
      </c>
      <c r="S49" s="35" cm="1">
        <f t="array" ref="S49">IFERROR(_xlfn.LET(_xlpm.e,E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7.5</v>
      </c>
      <c r="T49" s="36">
        <f t="shared" si="4"/>
        <v>75.998986680177609</v>
      </c>
      <c r="U49" s="15">
        <f t="shared" si="5"/>
        <v>50</v>
      </c>
      <c r="V49" s="16">
        <f t="shared" si="6"/>
        <v>795.78063959147221</v>
      </c>
      <c r="W49" s="16">
        <f t="shared" si="7"/>
        <v>1978.9886679547524</v>
      </c>
      <c r="X49" s="37">
        <f t="shared" si="8"/>
        <v>109</v>
      </c>
      <c r="Y49" s="15" t="str">
        <f t="shared" si="9"/>
        <v>🔥 Critical</v>
      </c>
    </row>
    <row r="50" spans="1:25" x14ac:dyDescent="0.2">
      <c r="A50" t="str">
        <f>'5. KPI Baselines'!A35</f>
        <v>AmeriVet Partners</v>
      </c>
      <c r="B50" t="str">
        <f>'5. KPI Baselines'!B35</f>
        <v>Business Development</v>
      </c>
      <c r="C50" t="str">
        <f>'5. KPI Baselines'!C35</f>
        <v>Client Acquisition</v>
      </c>
      <c r="D50" t="str">
        <f>'5. KPI Baselines'!D35</f>
        <v>New Client Conversion Rate</v>
      </c>
      <c r="E50" t="str">
        <f>'5. KPI Baselines'!E35</f>
        <v>42%</v>
      </c>
      <c r="F50" t="str">
        <f>'5. KPI Baselines'!F35</f>
        <v>65%</v>
      </c>
      <c r="G50" t="str">
        <f>'5. KPI Baselines'!G35</f>
        <v>61% (online scheduling)</v>
      </c>
      <c r="H50" t="str">
        <f>'5. KPI Baselines'!H35</f>
        <v>↑</v>
      </c>
      <c r="I50" t="str">
        <f>'5. KPI Baselines'!I35</f>
        <v>12 months</v>
      </c>
      <c r="J50" t="str">
        <f>'5. KPI Baselines'!J35</f>
        <v>Inquiry to first appointment ratio</v>
      </c>
      <c r="K50" s="15" t="str">
        <f t="shared" si="1"/>
        <v>65% - 42%</v>
      </c>
      <c r="L50" s="34" cm="1">
        <f t="array" ref="L50">IFERROR(_xlfn.LET(_xlpm.e,E50,_xlpm.f,F50,_xlpm.h,H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0.54761774376727668</v>
      </c>
      <c r="M50" s="15" cm="1">
        <f t="array" ref="M50">IFERROR(_xlfn.LET(_xlpm.e,E50,_xlpm.f,F50,_xlpm.h,H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61.6</v>
      </c>
      <c r="N50" s="15" cm="1">
        <f t="array" ref="N50">IFERROR(_xlfn.LET(_xlpm.e,E50,_xlpm.f,F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17.600000000000001</v>
      </c>
      <c r="O50" s="15" t="str">
        <f t="shared" si="2"/>
        <v>65% - 61% (online scheduling)</v>
      </c>
      <c r="P50" s="34" cm="1">
        <f t="array" ref="P50">IFERROR(_xlfn.LET(_xlpm.g,G50,_xlpm.f,F50,_xlpm.h,H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6.5573662993995085E-2</v>
      </c>
      <c r="Q50" s="15" t="str" cm="1">
        <f t="array" ref="Q50">IFERROR(_xlfn.LET(_xlpm.e,E50,_xlpm.g,G50,_xlpm.h,H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" s="15" t="str">
        <f t="shared" si="3"/>
        <v>🔴 Lagging</v>
      </c>
      <c r="S50" s="35" cm="1">
        <f t="array" ref="S50">IFERROR(_xlfn.LET(_xlpm.e,E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50" s="36">
        <f t="shared" si="4"/>
        <v>54.761774376727665</v>
      </c>
      <c r="U50" s="15">
        <f t="shared" si="5"/>
        <v>197</v>
      </c>
      <c r="V50" s="16">
        <f t="shared" si="6"/>
        <v>3211.0798545717744</v>
      </c>
      <c r="W50" s="16">
        <f t="shared" si="7"/>
        <v>7985.480329551151</v>
      </c>
      <c r="X50" s="37">
        <f t="shared" si="8"/>
        <v>27</v>
      </c>
      <c r="Y50" s="15" t="str">
        <f t="shared" si="9"/>
        <v>🔥 Critical</v>
      </c>
    </row>
    <row r="51" spans="1:25" x14ac:dyDescent="0.2">
      <c r="A51" t="str">
        <f>'5. KPI Baselines'!A36</f>
        <v>AmeriVet Partners</v>
      </c>
      <c r="B51" t="str">
        <f>'5. KPI Baselines'!B36</f>
        <v>Clinical Operations</v>
      </c>
      <c r="C51" t="str">
        <f>'5. KPI Baselines'!C36</f>
        <v>Emergency Triage</v>
      </c>
      <c r="D51" t="str">
        <f>'5. KPI Baselines'!D36</f>
        <v>Average Triage Response Time</v>
      </c>
      <c r="E51" t="str">
        <f>'5. KPI Baselines'!E36</f>
        <v>14 minutes</v>
      </c>
      <c r="F51" t="str">
        <f>'5. KPI Baselines'!F36</f>
        <v>5 minutes</v>
      </c>
      <c r="G51" t="str">
        <f>'5. KPI Baselines'!G36</f>
        <v>6 minutes (digital triage)</v>
      </c>
      <c r="H51" t="str">
        <f>'5. KPI Baselines'!H36</f>
        <v>↓</v>
      </c>
      <c r="I51" t="str">
        <f>'5. KPI Baselines'!I36</f>
        <v>9 months</v>
      </c>
      <c r="J51" t="str">
        <f>'5. KPI Baselines'!J36</f>
        <v>Call timestamp to triage completion</v>
      </c>
      <c r="K51" s="15" t="str">
        <f t="shared" si="1"/>
        <v>14 minutes → 5 minutes</v>
      </c>
      <c r="L51" s="34" cm="1">
        <f t="array" ref="L51">IFERROR(_xlfn.LET(_xlpm.e,E51,_xlpm.f,F51,_xlpm.h,H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0.64285255105320682</v>
      </c>
      <c r="M51" s="15" cm="1">
        <f t="array" ref="M51">IFERROR(_xlfn.LET(_xlpm.e,E51,_xlpm.f,F51,_xlpm.h,H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6.4</v>
      </c>
      <c r="N51" s="15" cm="1">
        <f t="array" ref="N51">IFERROR(_xlfn.LET(_xlpm.e,E51,_xlpm.f,F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51" s="15" t="str">
        <f t="shared" si="2"/>
        <v>6 minutes (digital triage) → 5 minutes</v>
      </c>
      <c r="P51" s="34" cm="1">
        <f t="array" ref="P51">IFERROR(_xlfn.LET(_xlpm.g,G51,_xlpm.f,F51,_xlpm.h,H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0.16666388893518441</v>
      </c>
      <c r="Q51" s="15" t="str" cm="1">
        <f t="array" ref="Q51">IFERROR(_xlfn.LET(_xlpm.e,E51,_xlpm.g,G51,_xlpm.h,H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" s="15" t="str">
        <f t="shared" si="3"/>
        <v>🔴 Lagging</v>
      </c>
      <c r="S51" s="35" cm="1">
        <f t="array" ref="S51">IFERROR(_xlfn.LET(_xlpm.e,E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51" s="36">
        <f t="shared" si="4"/>
        <v>64.285255105320687</v>
      </c>
      <c r="U51" s="15">
        <f t="shared" si="5"/>
        <v>115</v>
      </c>
      <c r="V51" s="16">
        <f t="shared" si="6"/>
        <v>1256.5035249748216</v>
      </c>
      <c r="W51" s="16">
        <f t="shared" si="7"/>
        <v>3124.7382927623316</v>
      </c>
      <c r="X51" s="37">
        <f t="shared" si="8"/>
        <v>69</v>
      </c>
      <c r="Y51" s="15" t="str">
        <f t="shared" si="9"/>
        <v>🔥 Critical</v>
      </c>
    </row>
    <row r="52" spans="1:25" x14ac:dyDescent="0.2">
      <c r="A52" t="str">
        <f>'5. KPI Baselines'!A37</f>
        <v>AmeriVet Partners</v>
      </c>
      <c r="B52" t="str">
        <f>'5. KPI Baselines'!B37</f>
        <v>Marketing</v>
      </c>
      <c r="C52" t="str">
        <f>'5. KPI Baselines'!C37</f>
        <v>Client Communications</v>
      </c>
      <c r="D52" t="str">
        <f>'5. KPI Baselines'!D37</f>
        <v>Marketing Email Open Rate</v>
      </c>
      <c r="E52" t="str">
        <f>'5. KPI Baselines'!E37</f>
        <v>19%</v>
      </c>
      <c r="F52" t="str">
        <f>'5. KPI Baselines'!F37</f>
        <v>38%</v>
      </c>
      <c r="G52" t="str">
        <f>'5. KPI Baselines'!G37</f>
        <v>32% (personalized content)</v>
      </c>
      <c r="H52" t="str">
        <f>'5. KPI Baselines'!H37</f>
        <v>↑</v>
      </c>
      <c r="I52" t="str">
        <f>'5. KPI Baselines'!I37</f>
        <v>6 months</v>
      </c>
      <c r="J52" t="str">
        <f>'5. KPI Baselines'!J37</f>
        <v>Email platform analytics</v>
      </c>
      <c r="K52" s="15" t="str">
        <f t="shared" si="1"/>
        <v>38% - 19%</v>
      </c>
      <c r="L52" s="34" cm="1">
        <f t="array" ref="L52">IFERROR(_xlfn.LET(_xlpm.e,E52,_xlpm.f,F52,_xlpm.h,H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0.999994736869806</v>
      </c>
      <c r="M52" s="15" cm="1">
        <f t="array" ref="M52">IFERROR(_xlfn.LET(_xlpm.e,E52,_xlpm.f,F52,_xlpm.h,H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35.200000000000003</v>
      </c>
      <c r="N52" s="15" cm="1">
        <f t="array" ref="N52">IFERROR(_xlfn.LET(_xlpm.e,E52,_xlpm.f,F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52" s="15" t="str">
        <f t="shared" si="2"/>
        <v>38% - 32% (personalized content)</v>
      </c>
      <c r="P52" s="34" cm="1">
        <f t="array" ref="P52">IFERROR(_xlfn.LET(_xlpm.g,G52,_xlpm.f,F52,_xlpm.h,H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0.18749941406433102</v>
      </c>
      <c r="Q52" s="15" t="str" cm="1">
        <f t="array" ref="Q52">IFERROR(_xlfn.LET(_xlpm.e,E52,_xlpm.g,G52,_xlpm.h,H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" s="15" t="str">
        <f t="shared" si="3"/>
        <v>🔴 Lagging</v>
      </c>
      <c r="S52" s="35" cm="1">
        <f t="array" ref="S52">IFERROR(_xlfn.LET(_xlpm.e,E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52" s="36">
        <f t="shared" si="4"/>
        <v>99.999473686980593</v>
      </c>
      <c r="U52" s="15">
        <f t="shared" si="5"/>
        <v>11</v>
      </c>
      <c r="V52" s="16">
        <f t="shared" si="6"/>
        <v>2652.62353882348</v>
      </c>
      <c r="W52" s="16">
        <f t="shared" si="7"/>
        <v>6596.6821288547908</v>
      </c>
      <c r="X52" s="37">
        <f t="shared" si="8"/>
        <v>33</v>
      </c>
      <c r="Y52" s="15" t="str">
        <f t="shared" si="9"/>
        <v>🔥 Critical</v>
      </c>
    </row>
    <row r="53" spans="1:25" x14ac:dyDescent="0.2">
      <c r="A53" t="str">
        <f>'5. KPI Baselines'!A38</f>
        <v>American Dental</v>
      </c>
      <c r="B53" t="str">
        <f>'5. KPI Baselines'!B38</f>
        <v>Patient Services</v>
      </c>
      <c r="C53" t="str">
        <f>'5. KPI Baselines'!C38</f>
        <v>Appointment Scheduling</v>
      </c>
      <c r="D53" t="str">
        <f>'5. KPI Baselines'!D38</f>
        <v>No-Show Rate</v>
      </c>
      <c r="E53" t="str">
        <f>'5. KPI Baselines'!E38</f>
        <v>23%</v>
      </c>
      <c r="F53" t="str">
        <f>'5. KPI Baselines'!F38</f>
        <v>12%</v>
      </c>
      <c r="G53" t="str">
        <f>'5. KPI Baselines'!G38</f>
        <v>12-15%</v>
      </c>
      <c r="H53" t="str">
        <f>'5. KPI Baselines'!H38</f>
        <v>↓</v>
      </c>
      <c r="I53" t="str">
        <f>'5. KPI Baselines'!I38</f>
        <v>12 months</v>
      </c>
      <c r="J53" t="str">
        <f>'5. KPI Baselines'!J38</f>
        <v>Scheduled appointments vs completed visits</v>
      </c>
      <c r="K53" s="15" t="str">
        <f t="shared" si="1"/>
        <v>23% → 12%</v>
      </c>
      <c r="L53" s="34" cm="1">
        <f t="array" ref="L53">IFERROR(_xlfn.LET(_xlpm.e,E53,_xlpm.f,F53,_xlpm.h,H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0.47825879017917317</v>
      </c>
      <c r="M53" s="15" cm="1">
        <f t="array" ref="M53">IFERROR(_xlfn.LET(_xlpm.e,E53,_xlpm.f,F53,_xlpm.h,H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13.7</v>
      </c>
      <c r="N53" s="15" cm="1">
        <f t="array" ref="N53">IFERROR(_xlfn.LET(_xlpm.e,E53,_xlpm.f,F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53" s="15" t="str">
        <f t="shared" si="2"/>
        <v>12-15% → 12%</v>
      </c>
      <c r="P53" s="34" cm="1">
        <f t="array" ref="P53">IFERROR(_xlfn.LET(_xlpm.g,G53,_xlpm.f,F53,_xlpm.h,H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0.99974121541536476</v>
      </c>
      <c r="Q53" s="15" t="str" cm="1">
        <f t="array" ref="Q53">IFERROR(_xlfn.LET(_xlpm.e,E53,_xlpm.g,G53,_xlpm.h,H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53" s="15" t="str">
        <f t="shared" si="3"/>
        <v>🟢 Leading</v>
      </c>
      <c r="S53" s="35" cm="1">
        <f t="array" ref="S53">IFERROR(_xlfn.LET(_xlpm.e,E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53" s="36">
        <f t="shared" si="4"/>
        <v>47.825879017917316</v>
      </c>
      <c r="U53" s="15">
        <f t="shared" si="5"/>
        <v>251</v>
      </c>
      <c r="V53" s="16">
        <f t="shared" si="6"/>
        <v>1535.7308229094656</v>
      </c>
      <c r="W53" s="16">
        <f t="shared" si="7"/>
        <v>3819.1352545682462</v>
      </c>
      <c r="X53" s="37">
        <f t="shared" si="8"/>
        <v>57</v>
      </c>
      <c r="Y53" s="15" t="str">
        <f t="shared" si="9"/>
        <v>⚠️ High</v>
      </c>
    </row>
    <row r="54" spans="1:25" x14ac:dyDescent="0.2">
      <c r="A54" t="str">
        <f>'5. KPI Baselines'!A39</f>
        <v>American Dental</v>
      </c>
      <c r="B54" t="str">
        <f>'5. KPI Baselines'!B39</f>
        <v>Patient Services</v>
      </c>
      <c r="C54" t="str">
        <f>'5. KPI Baselines'!C39</f>
        <v>Patient Communication</v>
      </c>
      <c r="D54" t="str">
        <f>'5. KPI Baselines'!D39</f>
        <v>Response Time to Inquiries</v>
      </c>
      <c r="E54" t="str">
        <f>'5. KPI Baselines'!E39</f>
        <v>18 hours</v>
      </c>
      <c r="F54" t="str">
        <f>'5. KPI Baselines'!F39</f>
        <v>2 hours</v>
      </c>
      <c r="G54" t="str">
        <f>'5. KPI Baselines'!G39</f>
        <v>2-4 hours</v>
      </c>
      <c r="H54" t="str">
        <f>'5. KPI Baselines'!H39</f>
        <v>↓</v>
      </c>
      <c r="I54" t="str">
        <f>'5. KPI Baselines'!I39</f>
        <v>6 months</v>
      </c>
      <c r="J54" t="str">
        <f>'5. KPI Baselines'!J39</f>
        <v>Median time from inquiry to first response</v>
      </c>
      <c r="K54" s="15" t="str">
        <f t="shared" si="1"/>
        <v>18 hours → 2 hours</v>
      </c>
      <c r="L54" s="34" cm="1">
        <f t="array" ref="L54">IFERROR(_xlfn.LET(_xlpm.e,E54,_xlpm.f,F54,_xlpm.h,H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0.8888839506447187</v>
      </c>
      <c r="M54" s="15" cm="1">
        <f t="array" ref="M54">IFERROR(_xlfn.LET(_xlpm.e,E54,_xlpm.f,F54,_xlpm.h,H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54" s="15" cm="1">
        <f t="array" ref="N54">IFERROR(_xlfn.LET(_xlpm.e,E54,_xlpm.f,F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54" s="15" t="str">
        <f t="shared" si="2"/>
        <v>2-4 hours → 2 hours</v>
      </c>
      <c r="P54" s="34" cm="1">
        <f t="array" ref="P54">IFERROR(_xlfn.LET(_xlpm.g,G54,_xlpm.f,F54,_xlpm.h,H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0.99995657337656263</v>
      </c>
      <c r="Q54" s="15" t="str" cm="1">
        <f t="array" ref="Q54">IFERROR(_xlfn.LET(_xlpm.e,E54,_xlpm.g,G54,_xlpm.h,H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54" s="15" t="str">
        <f t="shared" si="3"/>
        <v>🟢 Leading</v>
      </c>
      <c r="S54" s="35" cm="1">
        <f t="array" ref="S54">IFERROR(_xlfn.LET(_xlpm.e,E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4" s="36">
        <f t="shared" si="4"/>
        <v>88.888395064471865</v>
      </c>
      <c r="U54" s="15">
        <f t="shared" si="5"/>
        <v>17</v>
      </c>
      <c r="V54" s="16">
        <f t="shared" si="6"/>
        <v>2233.7875900689442</v>
      </c>
      <c r="W54" s="16">
        <f t="shared" si="7"/>
        <v>5555.0991157988055</v>
      </c>
      <c r="X54" s="37">
        <f t="shared" si="8"/>
        <v>39</v>
      </c>
      <c r="Y54" s="15" t="str">
        <f t="shared" si="9"/>
        <v>🔥 Critical</v>
      </c>
    </row>
    <row r="55" spans="1:25" x14ac:dyDescent="0.2">
      <c r="A55" t="str">
        <f>'5. KPI Baselines'!A40</f>
        <v>American Dental</v>
      </c>
      <c r="B55" t="str">
        <f>'5. KPI Baselines'!B40</f>
        <v>Revenue Cycle</v>
      </c>
      <c r="C55" t="str">
        <f>'5. KPI Baselines'!C40</f>
        <v>Insurance Verification</v>
      </c>
      <c r="D55" t="str">
        <f>'5. KPI Baselines'!D40</f>
        <v>Verification Cycle Time</v>
      </c>
      <c r="E55" t="str">
        <f>'5. KPI Baselines'!E40</f>
        <v>3.2 days</v>
      </c>
      <c r="F55" t="str">
        <f>'5. KPI Baselines'!F40</f>
        <v>0.5 days</v>
      </c>
      <c r="G55" t="str">
        <f>'5. KPI Baselines'!G40</f>
        <v>0.5-1.0 days</v>
      </c>
      <c r="H55" t="str">
        <f>'5. KPI Baselines'!H40</f>
        <v>↓</v>
      </c>
      <c r="I55" t="str">
        <f>'5. KPI Baselines'!I40</f>
        <v>9 months</v>
      </c>
      <c r="J55" t="str">
        <f>'5. KPI Baselines'!J40</f>
        <v>Request submission to verification completion</v>
      </c>
      <c r="K55" s="15" t="str">
        <f t="shared" si="1"/>
        <v>3.2 days → 0.5 days</v>
      </c>
      <c r="L55" s="34" cm="1">
        <f t="array" ref="L55">IFERROR(_xlfn.LET(_xlpm.e,E55,_xlpm.f,F55,_xlpm.h,H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0.84372363363644887</v>
      </c>
      <c r="M55" s="15" cm="1">
        <f t="array" ref="M55">IFERROR(_xlfn.LET(_xlpm.e,E55,_xlpm.f,F55,_xlpm.h,H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0.9</v>
      </c>
      <c r="N55" s="15" cm="1">
        <f t="array" ref="N55">IFERROR(_xlfn.LET(_xlpm.e,E55,_xlpm.f,F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55" s="15" t="str">
        <f t="shared" si="2"/>
        <v>0.5-1.0 days → 0.5 days</v>
      </c>
      <c r="P55" s="34" t="str" cm="1">
        <f t="array" ref="P55">IFERROR(_xlfn.LET(_xlpm.g,G55,_xlpm.f,F55,_xlpm.h,H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" s="15" t="str" cm="1">
        <f t="array" ref="Q55">IFERROR(_xlfn.LET(_xlpm.e,E55,_xlpm.g,G55,_xlpm.h,H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" s="15" t="str">
        <f t="shared" si="3"/>
        <v>⚪ N/A</v>
      </c>
      <c r="S55" s="35" cm="1">
        <f t="array" ref="S55">IFERROR(_xlfn.LET(_xlpm.e,E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55" s="36">
        <f t="shared" si="4"/>
        <v>84.372363363644894</v>
      </c>
      <c r="U55" s="15">
        <f t="shared" si="5"/>
        <v>27</v>
      </c>
      <c r="V55" s="16">
        <f t="shared" si="6"/>
        <v>376.94197056341994</v>
      </c>
      <c r="W55" s="16">
        <f t="shared" si="7"/>
        <v>937.39888998115782</v>
      </c>
      <c r="X55" s="37">
        <f t="shared" si="8"/>
        <v>228</v>
      </c>
      <c r="Y55" s="15" t="str">
        <f t="shared" si="9"/>
        <v>🔥 Critical</v>
      </c>
    </row>
    <row r="56" spans="1:25" x14ac:dyDescent="0.2">
      <c r="A56" t="str">
        <f>'5. KPI Baselines'!A41</f>
        <v>American Dental</v>
      </c>
      <c r="B56" t="str">
        <f>'5. KPI Baselines'!B41</f>
        <v>Revenue Cycle</v>
      </c>
      <c r="C56" t="str">
        <f>'5. KPI Baselines'!C41</f>
        <v>Treatment Acceptance</v>
      </c>
      <c r="D56" t="str">
        <f>'5. KPI Baselines'!D41</f>
        <v>Same-Day Treatment Acceptance Rate</v>
      </c>
      <c r="E56" t="str">
        <f>'5. KPI Baselines'!E41</f>
        <v>67%</v>
      </c>
      <c r="F56" t="str">
        <f>'5. KPI Baselines'!F41</f>
        <v>82%</v>
      </c>
      <c r="G56" t="str">
        <f>'5. KPI Baselines'!G41</f>
        <v>78-85%</v>
      </c>
      <c r="H56" t="str">
        <f>'5. KPI Baselines'!H41</f>
        <v>↑</v>
      </c>
      <c r="I56" t="str">
        <f>'5. KPI Baselines'!I41</f>
        <v>12 months</v>
      </c>
      <c r="J56" t="str">
        <f>'5. KPI Baselines'!J41</f>
        <v>Treatment plans presented vs accepted same visit</v>
      </c>
      <c r="K56" s="15" t="str">
        <f t="shared" si="1"/>
        <v>82% - 67%</v>
      </c>
      <c r="L56" s="34" cm="1">
        <f t="array" ref="L56">IFERROR(_xlfn.LET(_xlpm.e,E56,_xlpm.f,F56,_xlpm.h,H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0.22388026286527929</v>
      </c>
      <c r="M56" s="15" cm="1">
        <f t="array" ref="M56">IFERROR(_xlfn.LET(_xlpm.e,E56,_xlpm.f,F56,_xlpm.h,H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79.8</v>
      </c>
      <c r="N56" s="15" cm="1">
        <f t="array" ref="N56">IFERROR(_xlfn.LET(_xlpm.e,E56,_xlpm.f,F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56" s="15" t="str">
        <f t="shared" si="2"/>
        <v>82% - 78-85%</v>
      </c>
      <c r="P56" s="34" t="str" cm="1">
        <f t="array" ref="P56">IFERROR(_xlfn.LET(_xlpm.g,G56,_xlpm.f,F56,_xlpm.h,H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6" s="15" t="str" cm="1">
        <f t="array" ref="Q56">IFERROR(_xlfn.LET(_xlpm.e,E56,_xlpm.g,G56,_xlpm.h,H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6" s="15" t="str">
        <f t="shared" si="3"/>
        <v>⚪ N/A</v>
      </c>
      <c r="S56" s="35" cm="1">
        <f t="array" ref="S56">IFERROR(_xlfn.LET(_xlpm.e,E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56" s="36">
        <f t="shared" si="4"/>
        <v>22.388026286527928</v>
      </c>
      <c r="U56" s="15">
        <f t="shared" si="5"/>
        <v>443</v>
      </c>
      <c r="V56" s="16">
        <f t="shared" si="6"/>
        <v>2094.1843743516802</v>
      </c>
      <c r="W56" s="16">
        <f t="shared" si="7"/>
        <v>5207.9265808445289</v>
      </c>
      <c r="X56" s="37">
        <f t="shared" si="8"/>
        <v>42</v>
      </c>
      <c r="Y56" s="15" t="str">
        <f t="shared" si="9"/>
        <v>📊 Medium</v>
      </c>
    </row>
    <row r="57" spans="1:25" x14ac:dyDescent="0.2">
      <c r="A57" t="str">
        <f>'5. KPI Baselines'!A42</f>
        <v>American Dental</v>
      </c>
      <c r="B57" t="str">
        <f>'5. KPI Baselines'!B42</f>
        <v>Clinical Operations</v>
      </c>
      <c r="C57" t="str">
        <f>'5. KPI Baselines'!C42</f>
        <v>Documentation</v>
      </c>
      <c r="D57" t="str">
        <f>'5. KPI Baselines'!D42</f>
        <v>Documentation Time per Visit</v>
      </c>
      <c r="E57" t="str">
        <f>'5. KPI Baselines'!E42</f>
        <v>12 minutes</v>
      </c>
      <c r="F57" t="str">
        <f>'5. KPI Baselines'!F42</f>
        <v>6 minutes</v>
      </c>
      <c r="G57" t="str">
        <f>'5. KPI Baselines'!G42</f>
        <v>6-8 minutes</v>
      </c>
      <c r="H57" t="str">
        <f>'5. KPI Baselines'!H42</f>
        <v>↓</v>
      </c>
      <c r="I57" t="str">
        <f>'5. KPI Baselines'!I42</f>
        <v>9 months</v>
      </c>
      <c r="J57" t="str">
        <f>'5. KPI Baselines'!J42</f>
        <v>Average time spent on chart notes and treatment plans</v>
      </c>
      <c r="K57" s="15" t="str">
        <f t="shared" si="1"/>
        <v>12 minutes → 6 minutes</v>
      </c>
      <c r="L57" s="34" cm="1">
        <f t="array" ref="L57">IFERROR(_xlfn.LET(_xlpm.e,E57,_xlpm.f,F57,_xlpm.h,H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57" s="15" cm="1">
        <f t="array" ref="M57">IFERROR(_xlfn.LET(_xlpm.e,E57,_xlpm.f,F57,_xlpm.h,H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57" s="15" cm="1">
        <f t="array" ref="N57">IFERROR(_xlfn.LET(_xlpm.e,E57,_xlpm.f,F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57" s="15" t="str">
        <f t="shared" si="2"/>
        <v>6-8 minutes → 6 minutes</v>
      </c>
      <c r="P57" s="34" cm="1">
        <f t="array" ref="P57">IFERROR(_xlfn.LET(_xlpm.g,G57,_xlpm.f,F57,_xlpm.h,H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0.99987007427325081</v>
      </c>
      <c r="Q57" s="15" t="str" cm="1">
        <f t="array" ref="Q57">IFERROR(_xlfn.LET(_xlpm.e,E57,_xlpm.g,G57,_xlpm.h,H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57" s="15" t="str">
        <f t="shared" si="3"/>
        <v>🟢 Leading</v>
      </c>
      <c r="S57" s="35" cm="1">
        <f t="array" ref="S57">IFERROR(_xlfn.LET(_xlpm.e,E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7" s="36">
        <f t="shared" si="4"/>
        <v>49.999583336805529</v>
      </c>
      <c r="U57" s="15">
        <f t="shared" si="5"/>
        <v>231</v>
      </c>
      <c r="V57" s="16">
        <f t="shared" si="6"/>
        <v>837.66801943317137</v>
      </c>
      <c r="W57" s="16">
        <f t="shared" si="7"/>
        <v>2083.1563819111943</v>
      </c>
      <c r="X57" s="37">
        <f t="shared" si="8"/>
        <v>104</v>
      </c>
      <c r="Y57" s="15" t="str">
        <f t="shared" si="9"/>
        <v>⚠️ High</v>
      </c>
    </row>
    <row r="58" spans="1:25" x14ac:dyDescent="0.2">
      <c r="A58" t="str">
        <f>'5. KPI Baselines'!A43</f>
        <v>American Dental</v>
      </c>
      <c r="B58" t="str">
        <f>'5. KPI Baselines'!B43</f>
        <v>Clinical Operations</v>
      </c>
      <c r="C58" t="str">
        <f>'5. KPI Baselines'!C43</f>
        <v>Provider Productivity</v>
      </c>
      <c r="D58" t="str">
        <f>'5. KPI Baselines'!D43</f>
        <v>Patients per Dentist per Day</v>
      </c>
      <c r="E58" t="str">
        <f>'5. KPI Baselines'!E43</f>
        <v>11.2</v>
      </c>
      <c r="F58" t="str">
        <f>'5. KPI Baselines'!F43</f>
        <v>14</v>
      </c>
      <c r="G58" t="str">
        <f>'5. KPI Baselines'!G43</f>
        <v>13-15</v>
      </c>
      <c r="H58" t="str">
        <f>'5. KPI Baselines'!H43</f>
        <v>↑</v>
      </c>
      <c r="I58" t="str">
        <f>'5. KPI Baselines'!I43</f>
        <v>12 months</v>
      </c>
      <c r="J58" t="str">
        <f>'5. KPI Baselines'!J43</f>
        <v>Total completed visits divided by dentist chair days</v>
      </c>
      <c r="K58" s="15" t="str">
        <f t="shared" si="1"/>
        <v>14 - 11.2</v>
      </c>
      <c r="L58" s="34" cm="1">
        <f t="array" ref="L58">IFERROR(_xlfn.LET(_xlpm.e,E58,_xlpm.f,F58,_xlpm.h,H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0.24999776787707262</v>
      </c>
      <c r="M58" s="15" cm="1">
        <f t="array" ref="M58">IFERROR(_xlfn.LET(_xlpm.e,E58,_xlpm.f,F58,_xlpm.h,H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13.6</v>
      </c>
      <c r="N58" s="15" cm="1">
        <f t="array" ref="N58">IFERROR(_xlfn.LET(_xlpm.e,E58,_xlpm.f,F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2.14</v>
      </c>
      <c r="O58" s="15" t="str">
        <f t="shared" si="2"/>
        <v>14 - 13-15</v>
      </c>
      <c r="P58" s="34" t="str" cm="1">
        <f t="array" ref="P58">IFERROR(_xlfn.LET(_xlpm.g,G58,_xlpm.f,F58,_xlpm.h,H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8" s="15" t="str" cm="1">
        <f t="array" ref="Q58">IFERROR(_xlfn.LET(_xlpm.e,E58,_xlpm.g,G58,_xlpm.h,H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8" s="15" t="str">
        <f t="shared" si="3"/>
        <v>⚪ N/A</v>
      </c>
      <c r="S58" s="35" cm="1">
        <f t="array" ref="S58">IFERROR(_xlfn.LET(_xlpm.e,E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11.2</v>
      </c>
      <c r="T58" s="36">
        <f t="shared" si="4"/>
        <v>24.999776787707262</v>
      </c>
      <c r="U58" s="15">
        <f t="shared" si="5"/>
        <v>425</v>
      </c>
      <c r="V58" s="16">
        <f t="shared" si="6"/>
        <v>390.91150971866335</v>
      </c>
      <c r="W58" s="16">
        <f t="shared" si="7"/>
        <v>972.13906624250694</v>
      </c>
      <c r="X58" s="37">
        <f t="shared" si="8"/>
        <v>220</v>
      </c>
      <c r="Y58" s="15" t="str">
        <f t="shared" si="9"/>
        <v>📊 Medium</v>
      </c>
    </row>
    <row r="59" spans="1:25" x14ac:dyDescent="0.2">
      <c r="A59" t="str">
        <f>'5. KPI Baselines'!A44</f>
        <v>American Dental</v>
      </c>
      <c r="B59" t="str">
        <f>'5. KPI Baselines'!B44</f>
        <v>Marketing</v>
      </c>
      <c r="C59" t="str">
        <f>'5. KPI Baselines'!C44</f>
        <v>Patient Acquisition</v>
      </c>
      <c r="D59" t="str">
        <f>'5. KPI Baselines'!D44</f>
        <v>New Patient Conversion Rate</v>
      </c>
      <c r="E59" t="str">
        <f>'5. KPI Baselines'!E44</f>
        <v>34%</v>
      </c>
      <c r="F59" t="str">
        <f>'5. KPI Baselines'!F44</f>
        <v>48%</v>
      </c>
      <c r="G59" t="str">
        <f>'5. KPI Baselines'!G44</f>
        <v>45-55%</v>
      </c>
      <c r="H59" t="str">
        <f>'5. KPI Baselines'!H44</f>
        <v>↑</v>
      </c>
      <c r="I59" t="str">
        <f>'5. KPI Baselines'!I44</f>
        <v>12 months</v>
      </c>
      <c r="J59" t="str">
        <f>'5. KPI Baselines'!J44</f>
        <v>Inquiries to scheduled first appointments</v>
      </c>
      <c r="K59" s="15" t="str">
        <f t="shared" si="1"/>
        <v>48% - 34%</v>
      </c>
      <c r="L59" s="34" cm="1">
        <f t="array" ref="L59">IFERROR(_xlfn.LET(_xlpm.e,E59,_xlpm.f,F59,_xlpm.h,H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0.41176349481325053</v>
      </c>
      <c r="M59" s="15" cm="1">
        <f t="array" ref="M59">IFERROR(_xlfn.LET(_xlpm.e,E59,_xlpm.f,F59,_xlpm.h,H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45.9</v>
      </c>
      <c r="N59" s="15" cm="1">
        <f t="array" ref="N59">IFERROR(_xlfn.LET(_xlpm.e,E59,_xlpm.f,F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59" s="15" t="str">
        <f t="shared" si="2"/>
        <v>48% - 45-55%</v>
      </c>
      <c r="P59" s="34" t="str" cm="1">
        <f t="array" ref="P59">IFERROR(_xlfn.LET(_xlpm.g,G59,_xlpm.f,F59,_xlpm.h,H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9" s="15" t="str" cm="1">
        <f t="array" ref="Q59">IFERROR(_xlfn.LET(_xlpm.e,E59,_xlpm.g,G59,_xlpm.h,H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9" s="15" t="str">
        <f t="shared" si="3"/>
        <v>⚪ N/A</v>
      </c>
      <c r="S59" s="35" cm="1">
        <f t="array" ref="S59">IFERROR(_xlfn.LET(_xlpm.e,E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59" s="36">
        <f t="shared" si="4"/>
        <v>41.176349481325055</v>
      </c>
      <c r="U59" s="15">
        <f t="shared" si="5"/>
        <v>303</v>
      </c>
      <c r="V59" s="16">
        <f t="shared" si="6"/>
        <v>1954.5692512669082</v>
      </c>
      <c r="W59" s="16">
        <f t="shared" si="7"/>
        <v>4860.7244340296556</v>
      </c>
      <c r="X59" s="37">
        <f t="shared" si="8"/>
        <v>45</v>
      </c>
      <c r="Y59" s="15" t="str">
        <f t="shared" si="9"/>
        <v>⚠️ High</v>
      </c>
    </row>
    <row r="60" spans="1:25" x14ac:dyDescent="0.2">
      <c r="A60" t="str">
        <f>'5. KPI Baselines'!A45</f>
        <v>American Dental</v>
      </c>
      <c r="B60" t="str">
        <f>'5. KPI Baselines'!B45</f>
        <v>Marketing</v>
      </c>
      <c r="C60" t="str">
        <f>'5. KPI Baselines'!C45</f>
        <v>Patient Retention</v>
      </c>
      <c r="D60" t="str">
        <f>'5. KPI Baselines'!D45</f>
        <v>Annual Patient Retention Rate</v>
      </c>
      <c r="E60" t="str">
        <f>'5. KPI Baselines'!E45</f>
        <v>73%</v>
      </c>
      <c r="F60" t="str">
        <f>'5. KPI Baselines'!F45</f>
        <v>82%</v>
      </c>
      <c r="G60" t="str">
        <f>'5. KPI Baselines'!G45</f>
        <v>80-85%</v>
      </c>
      <c r="H60" t="str">
        <f>'5. KPI Baselines'!H45</f>
        <v>↑</v>
      </c>
      <c r="I60" t="str">
        <f>'5. KPI Baselines'!I45</f>
        <v>18 months</v>
      </c>
      <c r="J60" t="str">
        <f>'5. KPI Baselines'!J45</f>
        <v>Patients with visit in current year who had visit in prior year</v>
      </c>
      <c r="K60" s="15" t="str">
        <f t="shared" si="1"/>
        <v>82% - 73%</v>
      </c>
      <c r="L60" s="34" cm="1">
        <f t="array" ref="L60">IFERROR(_xlfn.LET(_xlpm.e,E60,_xlpm.f,F60,_xlpm.h,H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0.12328750234588719</v>
      </c>
      <c r="M60" s="15" cm="1">
        <f t="array" ref="M60">IFERROR(_xlfn.LET(_xlpm.e,E60,_xlpm.f,F60,_xlpm.h,H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80.7</v>
      </c>
      <c r="N60" s="15" cm="1">
        <f t="array" ref="N60">IFERROR(_xlfn.LET(_xlpm.e,E60,_xlpm.f,F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60" s="15" t="str">
        <f t="shared" si="2"/>
        <v>82% - 80-85%</v>
      </c>
      <c r="P60" s="34" t="str" cm="1">
        <f t="array" ref="P60">IFERROR(_xlfn.LET(_xlpm.g,G60,_xlpm.f,F60,_xlpm.h,H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0" s="15" t="str" cm="1">
        <f t="array" ref="Q60">IFERROR(_xlfn.LET(_xlpm.e,E60,_xlpm.g,G60,_xlpm.h,H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" s="15" t="str">
        <f t="shared" si="3"/>
        <v>⚪ N/A</v>
      </c>
      <c r="S60" s="35" cm="1">
        <f t="array" ref="S60">IFERROR(_xlfn.LET(_xlpm.e,E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60" s="36">
        <f t="shared" si="4"/>
        <v>12.328750234588719</v>
      </c>
      <c r="U60" s="15">
        <f t="shared" si="5"/>
        <v>508</v>
      </c>
      <c r="V60" s="16">
        <f t="shared" si="6"/>
        <v>1256.5107787523577</v>
      </c>
      <c r="W60" s="16">
        <f t="shared" si="7"/>
        <v>3124.7563318334392</v>
      </c>
      <c r="X60" s="37">
        <f t="shared" si="8"/>
        <v>69</v>
      </c>
      <c r="Y60" s="15" t="str">
        <f t="shared" si="9"/>
        <v>📊 Medium</v>
      </c>
    </row>
    <row r="61" spans="1:25" x14ac:dyDescent="0.2">
      <c r="A61" t="str">
        <f>'5. KPI Baselines'!A46</f>
        <v>American Dental</v>
      </c>
      <c r="B61" t="str">
        <f>'5. KPI Baselines'!B46</f>
        <v>Quality &amp; Compliance</v>
      </c>
      <c r="C61" t="str">
        <f>'5. KPI Baselines'!C46</f>
        <v>Clinical Documentation</v>
      </c>
      <c r="D61" t="str">
        <f>'5. KPI Baselines'!D46</f>
        <v>Chart Audit Deficiency Rate</v>
      </c>
      <c r="E61" t="str">
        <f>'5. KPI Baselines'!E46</f>
        <v>18%</v>
      </c>
      <c r="F61" t="str">
        <f>'5. KPI Baselines'!F46</f>
        <v>9%</v>
      </c>
      <c r="G61" t="str">
        <f>'5. KPI Baselines'!G46</f>
        <v>8-12%</v>
      </c>
      <c r="H61" t="str">
        <f>'5. KPI Baselines'!H46</f>
        <v>↓</v>
      </c>
      <c r="I61" t="str">
        <f>'5. KPI Baselines'!I46</f>
        <v>12 months</v>
      </c>
      <c r="J61" t="str">
        <f>'5. KPI Baselines'!J46</f>
        <v>Charts with compliance or quality issues per total audited</v>
      </c>
      <c r="K61" s="15" t="str">
        <f t="shared" si="1"/>
        <v>18% → 9%</v>
      </c>
      <c r="L61" s="34" cm="1">
        <f t="array" ref="L61">IFERROR(_xlfn.LET(_xlpm.e,E61,_xlpm.f,F61,_xlpm.h,H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0.49999722223765425</v>
      </c>
      <c r="M61" s="15" cm="1">
        <f t="array" ref="M61">IFERROR(_xlfn.LET(_xlpm.e,E61,_xlpm.f,F61,_xlpm.h,H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10.4</v>
      </c>
      <c r="N61" s="15" cm="1">
        <f t="array" ref="N61">IFERROR(_xlfn.LET(_xlpm.e,E61,_xlpm.f,F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61" s="15" t="str">
        <f t="shared" si="2"/>
        <v>8-12% → 9%</v>
      </c>
      <c r="P61" s="34" cm="1">
        <f t="array" ref="P61">IFERROR(_xlfn.LET(_xlpm.g,G61,_xlpm.f,F61,_xlpm.h,H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0.99980538641221861</v>
      </c>
      <c r="Q61" s="15" t="str" cm="1">
        <f t="array" ref="Q61">IFERROR(_xlfn.LET(_xlpm.e,E61,_xlpm.g,G61,_xlpm.h,H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61" s="15" t="str">
        <f t="shared" si="3"/>
        <v>🟢 Leading</v>
      </c>
      <c r="S61" s="35" cm="1">
        <f t="array" ref="S61">IFERROR(_xlfn.LET(_xlpm.e,E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1" s="36">
        <f t="shared" si="4"/>
        <v>49.999722223765424</v>
      </c>
      <c r="U61" s="15">
        <f t="shared" si="5"/>
        <v>226</v>
      </c>
      <c r="V61" s="16">
        <f t="shared" si="6"/>
        <v>1256.505519413781</v>
      </c>
      <c r="W61" s="16">
        <f t="shared" si="7"/>
        <v>3124.7432526368289</v>
      </c>
      <c r="X61" s="37">
        <f t="shared" si="8"/>
        <v>69</v>
      </c>
      <c r="Y61" s="15" t="str">
        <f t="shared" si="9"/>
        <v>⚠️ High</v>
      </c>
    </row>
    <row r="62" spans="1:25" x14ac:dyDescent="0.2">
      <c r="A62" t="str">
        <f>'5. KPI Baselines'!A47</f>
        <v>American Dental</v>
      </c>
      <c r="B62" t="str">
        <f>'5. KPI Baselines'!B47</f>
        <v>Quality &amp; Compliance</v>
      </c>
      <c r="C62" t="str">
        <f>'5. KPI Baselines'!C47</f>
        <v>Risk Management</v>
      </c>
      <c r="D62" t="str">
        <f>'5. KPI Baselines'!D47</f>
        <v>Compliance Review Cycle Time</v>
      </c>
      <c r="E62" t="str">
        <f>'5. KPI Baselines'!E47</f>
        <v>45 days</v>
      </c>
      <c r="F62" t="str">
        <f>'5. KPI Baselines'!F47</f>
        <v>7 days</v>
      </c>
      <c r="G62" t="str">
        <f>'5. KPI Baselines'!G47</f>
        <v>7-14 days</v>
      </c>
      <c r="H62" t="str">
        <f>'5. KPI Baselines'!H47</f>
        <v>↓</v>
      </c>
      <c r="I62" t="str">
        <f>'5. KPI Baselines'!I47</f>
        <v>9 months</v>
      </c>
      <c r="J62" t="str">
        <f>'5. KPI Baselines'!J47</f>
        <v>Sample selection to completed audit report</v>
      </c>
      <c r="K62" s="15" t="str">
        <f t="shared" si="1"/>
        <v>45 days → 7 days</v>
      </c>
      <c r="L62" s="34" cm="1">
        <f t="array" ref="L62">IFERROR(_xlfn.LET(_xlpm.e,E62,_xlpm.f,F62,_xlpm.h,H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0.84444256790540462</v>
      </c>
      <c r="M62" s="15" cm="1">
        <f t="array" ref="M62">IFERROR(_xlfn.LET(_xlpm.e,E62,_xlpm.f,F62,_xlpm.h,H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12.7</v>
      </c>
      <c r="N62" s="15" cm="1">
        <f t="array" ref="N62">IFERROR(_xlfn.LET(_xlpm.e,E62,_xlpm.f,F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29.07</v>
      </c>
      <c r="O62" s="15" t="str">
        <f t="shared" si="2"/>
        <v>7-14 days → 7 days</v>
      </c>
      <c r="P62" s="34" cm="1">
        <f t="array" ref="P62">IFERROR(_xlfn.LET(_xlpm.g,G62,_xlpm.f,F62,_xlpm.h,H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0.99984853841692778</v>
      </c>
      <c r="Q62" s="15" t="str" cm="1">
        <f t="array" ref="Q62">IFERROR(_xlfn.LET(_xlpm.e,E62,_xlpm.g,G62,_xlpm.h,H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62" s="15" t="str">
        <f t="shared" si="3"/>
        <v>🟢 Leading</v>
      </c>
      <c r="S62" s="35" cm="1">
        <f t="array" ref="S62">IFERROR(_xlfn.LET(_xlpm.e,E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62" s="36">
        <f t="shared" si="4"/>
        <v>84.444256790540464</v>
      </c>
      <c r="U62" s="15">
        <f t="shared" si="5"/>
        <v>24</v>
      </c>
      <c r="V62" s="16">
        <f t="shared" si="6"/>
        <v>5305.2632105261982</v>
      </c>
      <c r="W62" s="16">
        <f t="shared" si="7"/>
        <v>13193.404377792434</v>
      </c>
      <c r="X62" s="37">
        <f t="shared" si="8"/>
        <v>16</v>
      </c>
      <c r="Y62" s="15" t="str">
        <f t="shared" si="9"/>
        <v>🔥 Critical</v>
      </c>
    </row>
    <row r="63" spans="1:25" x14ac:dyDescent="0.2">
      <c r="A63" t="str">
        <f>'5. KPI Baselines'!A48</f>
        <v>American Dental</v>
      </c>
      <c r="B63" t="str">
        <f>'5. KPI Baselines'!B48</f>
        <v>Practice Analytics</v>
      </c>
      <c r="C63" t="str">
        <f>'5. KPI Baselines'!C48</f>
        <v>Performance Reporting</v>
      </c>
      <c r="D63" t="str">
        <f>'5. KPI Baselines'!D48</f>
        <v>Time to Monthly Practice Reports</v>
      </c>
      <c r="E63" t="str">
        <f>'5. KPI Baselines'!E48</f>
        <v>7 days</v>
      </c>
      <c r="F63" t="str">
        <f>'5. KPI Baselines'!F48</f>
        <v>1 day</v>
      </c>
      <c r="G63" t="str">
        <f>'5. KPI Baselines'!G48</f>
        <v>1-2 days</v>
      </c>
      <c r="H63" t="str">
        <f>'5. KPI Baselines'!H48</f>
        <v>↓</v>
      </c>
      <c r="I63" t="str">
        <f>'5. KPI Baselines'!I48</f>
        <v>6 months</v>
      </c>
      <c r="J63" t="str">
        <f>'5. KPI Baselines'!J48</f>
        <v>Month close to report distribution</v>
      </c>
      <c r="K63" s="15" t="str">
        <f t="shared" si="1"/>
        <v>7 days → 1 day</v>
      </c>
      <c r="L63" s="34" cm="1">
        <f t="array" ref="L63">IFERROR(_xlfn.LET(_xlpm.e,E63,_xlpm.f,F63,_xlpm.h,H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0.85713061241982258</v>
      </c>
      <c r="M63" s="15" cm="1">
        <f t="array" ref="M63">IFERROR(_xlfn.LET(_xlpm.e,E63,_xlpm.f,F63,_xlpm.h,H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63" s="15" cm="1">
        <f t="array" ref="N63">IFERROR(_xlfn.LET(_xlpm.e,E63,_xlpm.f,F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63" s="15" t="str">
        <f t="shared" si="2"/>
        <v>1-2 days → 1 day</v>
      </c>
      <c r="P63" s="34" cm="1">
        <f t="array" ref="P63">IFERROR(_xlfn.LET(_xlpm.g,G63,_xlpm.f,F63,_xlpm.h,H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0.99997827003307349</v>
      </c>
      <c r="Q63" s="15" t="str" cm="1">
        <f t="array" ref="Q63">IFERROR(_xlfn.LET(_xlpm.e,E63,_xlpm.g,G63,_xlpm.h,H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63" s="15" t="str">
        <f t="shared" si="3"/>
        <v>🟢 Leading</v>
      </c>
      <c r="S63" s="35" cm="1">
        <f t="array" ref="S63">IFERROR(_xlfn.LET(_xlpm.e,E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</v>
      </c>
      <c r="T63" s="36">
        <f t="shared" si="4"/>
        <v>85.71306124198226</v>
      </c>
      <c r="U63" s="15">
        <f t="shared" si="5"/>
        <v>23</v>
      </c>
      <c r="V63" s="16">
        <f t="shared" si="6"/>
        <v>837.66303338523744</v>
      </c>
      <c r="W63" s="16">
        <f t="shared" si="7"/>
        <v>2083.1439823479627</v>
      </c>
      <c r="X63" s="37">
        <f t="shared" si="8"/>
        <v>104</v>
      </c>
      <c r="Y63" s="15" t="str">
        <f t="shared" si="9"/>
        <v>🔥 Critical</v>
      </c>
    </row>
    <row r="64" spans="1:25" x14ac:dyDescent="0.2">
      <c r="A64" t="str">
        <f>'5. KPI Baselines'!A49</f>
        <v>American Dental</v>
      </c>
      <c r="B64" t="str">
        <f>'5. KPI Baselines'!B49</f>
        <v>Human Resources</v>
      </c>
      <c r="C64" t="str">
        <f>'5. KPI Baselines'!C49</f>
        <v>Provider Credentialing</v>
      </c>
      <c r="D64" t="str">
        <f>'5. KPI Baselines'!D49</f>
        <v>Credentialing Cycle Time</v>
      </c>
      <c r="E64" t="str">
        <f>'5. KPI Baselines'!E49</f>
        <v>67 days</v>
      </c>
      <c r="F64" t="str">
        <f>'5. KPI Baselines'!F49</f>
        <v>35 days</v>
      </c>
      <c r="G64" t="str">
        <f>'5. KPI Baselines'!G49</f>
        <v>30-45 days</v>
      </c>
      <c r="H64" t="str">
        <f>'5. KPI Baselines'!H49</f>
        <v>↓</v>
      </c>
      <c r="I64" t="str">
        <f>'5. KPI Baselines'!I49</f>
        <v>9 months</v>
      </c>
      <c r="J64" t="str">
        <f>'5. KPI Baselines'!J49</f>
        <v>Application submission to payer enrollment completion</v>
      </c>
      <c r="K64" s="15" t="str">
        <f t="shared" si="1"/>
        <v>67 days → 35 days</v>
      </c>
      <c r="L64" s="34" cm="1">
        <f t="array" ref="L64">IFERROR(_xlfn.LET(_xlpm.e,E64,_xlpm.f,F64,_xlpm.h,H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0.47761122744592915</v>
      </c>
      <c r="M64" s="15" cm="1">
        <f t="array" ref="M64">IFERROR(_xlfn.LET(_xlpm.e,E64,_xlpm.f,F64,_xlpm.h,H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39.799999999999997</v>
      </c>
      <c r="N64" s="15" cm="1">
        <f t="array" ref="N64">IFERROR(_xlfn.LET(_xlpm.e,E64,_xlpm.f,F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24.48</v>
      </c>
      <c r="O64" s="15" t="str">
        <f t="shared" si="2"/>
        <v>30-45 days → 35 days</v>
      </c>
      <c r="P64" s="34" t="str" cm="1">
        <f t="array" ref="P64">IFERROR(_xlfn.LET(_xlpm.g,G64,_xlpm.f,F64,_xlpm.h,H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4" s="15" t="str" cm="1">
        <f t="array" ref="Q64">IFERROR(_xlfn.LET(_xlpm.e,E64,_xlpm.g,G64,_xlpm.h,H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4" s="15" t="str">
        <f t="shared" si="3"/>
        <v>⚪ N/A</v>
      </c>
      <c r="S64" s="35" cm="1">
        <f t="array" ref="S64">IFERROR(_xlfn.LET(_xlpm.e,E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64" s="36">
        <f t="shared" si="4"/>
        <v>47.761122744592917</v>
      </c>
      <c r="U64" s="15">
        <f t="shared" si="5"/>
        <v>255</v>
      </c>
      <c r="V64" s="16">
        <f t="shared" si="6"/>
        <v>4467.593331950251</v>
      </c>
      <c r="W64" s="16">
        <f t="shared" si="7"/>
        <v>11110.243372468327</v>
      </c>
      <c r="X64" s="37">
        <f t="shared" si="8"/>
        <v>20</v>
      </c>
      <c r="Y64" s="15" t="str">
        <f t="shared" si="9"/>
        <v>⚠️ High</v>
      </c>
    </row>
    <row r="65" spans="1:25" x14ac:dyDescent="0.2">
      <c r="A65" t="str">
        <f>'5. KPI Baselines'!A50</f>
        <v>American Expediting</v>
      </c>
      <c r="B65" t="str">
        <f>'5. KPI Baselines'!B50</f>
        <v>Dispatch Operations</v>
      </c>
      <c r="C65" t="str">
        <f>'5. KPI Baselines'!C50</f>
        <v>Quote Generation</v>
      </c>
      <c r="D65" t="str">
        <f>'5. KPI Baselines'!D50</f>
        <v>Average Quote Response Time</v>
      </c>
      <c r="E65" t="str">
        <f>'5. KPI Baselines'!E50</f>
        <v>18 minutes (normal); 45 minutes (peak)</v>
      </c>
      <c r="F65" t="str">
        <f>'5. KPI Baselines'!F50</f>
        <v>5 minutes</v>
      </c>
      <c r="G65" t="str">
        <f>'5. KPI Baselines'!G50</f>
        <v>8 minutes</v>
      </c>
      <c r="H65" t="str">
        <f>'5. KPI Baselines'!H50</f>
        <v>↓</v>
      </c>
      <c r="I65" t="str">
        <f>'5. KPI Baselines'!I50</f>
        <v>12 months</v>
      </c>
      <c r="J65" t="str">
        <f>'5. KPI Baselines'!J50</f>
        <v>Timestamp delta between quote request and delivery</v>
      </c>
      <c r="K65" s="15" t="str">
        <f t="shared" si="1"/>
        <v>18 minutes (normal); 45 minutes (peak) → 5 minutes</v>
      </c>
      <c r="L65" s="34" cm="1">
        <f t="array" ref="L65">IFERROR(_xlfn.LET(_xlpm.e,E65,_xlpm.f,F65,_xlpm.h,H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0.7222182098988339</v>
      </c>
      <c r="M65" s="15" cm="1">
        <f t="array" ref="M65">IFERROR(_xlfn.LET(_xlpm.e,E65,_xlpm.f,F65,_xlpm.h,H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</v>
      </c>
      <c r="N65" s="15" cm="1">
        <f t="array" ref="N65">IFERROR(_xlfn.LET(_xlpm.e,E65,_xlpm.f,F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65" s="15" t="str">
        <f t="shared" si="2"/>
        <v>8 minutes → 5 minutes</v>
      </c>
      <c r="P65" s="34" cm="1">
        <f t="array" ref="P65">IFERROR(_xlfn.LET(_xlpm.g,G65,_xlpm.f,F65,_xlpm.h,H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0.37499531255859303</v>
      </c>
      <c r="Q65" s="15" t="str" cm="1">
        <f t="array" ref="Q65">IFERROR(_xlfn.LET(_xlpm.e,E65,_xlpm.g,G65,_xlpm.h,H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" s="15" t="str">
        <f t="shared" si="3"/>
        <v>🔴 Lagging</v>
      </c>
      <c r="S65" s="35" cm="1">
        <f t="array" ref="S65">IFERROR(_xlfn.LET(_xlpm.e,E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5" s="36">
        <f t="shared" si="4"/>
        <v>72.221820989883383</v>
      </c>
      <c r="U65" s="15">
        <f t="shared" si="5"/>
        <v>72</v>
      </c>
      <c r="V65" s="16">
        <f t="shared" si="6"/>
        <v>1814.9524169310173</v>
      </c>
      <c r="W65" s="16">
        <f t="shared" si="7"/>
        <v>4513.51803158653</v>
      </c>
      <c r="X65" s="37">
        <f t="shared" si="8"/>
        <v>48</v>
      </c>
      <c r="Y65" s="15" t="str">
        <f t="shared" si="9"/>
        <v>🔥 Critical</v>
      </c>
    </row>
    <row r="66" spans="1:25" x14ac:dyDescent="0.2">
      <c r="A66" t="str">
        <f>'5. KPI Baselines'!A51</f>
        <v>American Expediting</v>
      </c>
      <c r="B66" t="str">
        <f>'5. KPI Baselines'!B51</f>
        <v>Dispatch Operations</v>
      </c>
      <c r="C66" t="str">
        <f>'5. KPI Baselines'!C51</f>
        <v>Route Optimization</v>
      </c>
      <c r="D66" t="str">
        <f>'5. KPI Baselines'!D51</f>
        <v>Manual Dispatch Hours per Shipment</v>
      </c>
      <c r="E66" t="str">
        <f>'5. KPI Baselines'!E51</f>
        <v>0.26 hours (48,000 hrs ÷ 185,000 shipments)</v>
      </c>
      <c r="F66" t="str">
        <f>'5. KPI Baselines'!F51</f>
        <v>0.18 hours</v>
      </c>
      <c r="G66" t="str">
        <f>'5. KPI Baselines'!G51</f>
        <v>0.18 hours</v>
      </c>
      <c r="H66" t="str">
        <f>'5. KPI Baselines'!H51</f>
        <v>↓</v>
      </c>
      <c r="I66" t="str">
        <f>'5. KPI Baselines'!I51</f>
        <v>18 months</v>
      </c>
      <c r="J66" t="str">
        <f>'5. KPI Baselines'!J51</f>
        <v>Total dispatch labor hours divided by shipment volume</v>
      </c>
      <c r="K66" s="15" t="str">
        <f t="shared" si="1"/>
        <v>0.26 hours (48,000 hrs ÷ 185,000 shipments) → 0.18 hours</v>
      </c>
      <c r="L66" s="34" cm="1">
        <f t="array" ref="L66">IFERROR(_xlfn.LET(_xlpm.e,E66,_xlpm.f,F66,_xlpm.h,H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0.30757400999615536</v>
      </c>
      <c r="M66" s="15" cm="1">
        <f t="array" ref="M66">IFERROR(_xlfn.LET(_xlpm.e,E66,_xlpm.f,F66,_xlpm.h,H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0.2</v>
      </c>
      <c r="N66" s="15" cm="1">
        <f t="array" ref="N66">IFERROR(_xlfn.LET(_xlpm.e,E66,_xlpm.f,F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0.06</v>
      </c>
      <c r="O66" s="15" t="str">
        <f t="shared" si="2"/>
        <v>0.18 hours → 0.18 hours</v>
      </c>
      <c r="P66" s="34" cm="1">
        <f t="array" ref="P66">IFERROR(_xlfn.LET(_xlpm.g,G66,_xlpm.f,F66,_xlpm.h,H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6" s="15" t="str" cm="1">
        <f t="array" ref="Q66">IFERROR(_xlfn.LET(_xlpm.e,E66,_xlpm.g,G66,_xlpm.h,H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6" s="15" t="str">
        <f t="shared" si="3"/>
        <v>🔴 Lagging</v>
      </c>
      <c r="S66" s="35" cm="1">
        <f t="array" ref="S66">IFERROR(_xlfn.LET(_xlpm.e,E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0.26</v>
      </c>
      <c r="T66" s="36">
        <f t="shared" si="4"/>
        <v>30.757400999615538</v>
      </c>
      <c r="U66" s="15">
        <f t="shared" si="5"/>
        <v>390</v>
      </c>
      <c r="V66" s="16">
        <f t="shared" si="6"/>
        <v>11.164705882352944</v>
      </c>
      <c r="W66" s="16">
        <f t="shared" si="7"/>
        <v>27.764971052282704</v>
      </c>
      <c r="X66" s="37">
        <f t="shared" si="8"/>
        <v>4744</v>
      </c>
      <c r="Y66" s="15" t="str">
        <f t="shared" si="9"/>
        <v>⚠️ High</v>
      </c>
    </row>
    <row r="67" spans="1:25" x14ac:dyDescent="0.2">
      <c r="A67" t="str">
        <f>'5. KPI Baselines'!A52</f>
        <v>American Expediting</v>
      </c>
      <c r="B67" t="str">
        <f>'5. KPI Baselines'!B52</f>
        <v>Customer Service</v>
      </c>
      <c r="C67" t="str">
        <f>'5. KPI Baselines'!C52</f>
        <v>Inquiry Management</v>
      </c>
      <c r="D67" t="str">
        <f>'5. KPI Baselines'!D52</f>
        <v>Status Inquiry Call Volume</v>
      </c>
      <c r="E67" t="str">
        <f>'5. KPI Baselines'!E52</f>
        <v>23,400 calls/year (127 calls/day)</v>
      </c>
      <c r="F67" t="str">
        <f>'5. KPI Baselines'!F52</f>
        <v>85 calls/day</v>
      </c>
      <c r="G67" t="str">
        <f>'5. KPI Baselines'!G52</f>
        <v>85 calls/day (for comparable volume)</v>
      </c>
      <c r="H67" t="str">
        <f>'5. KPI Baselines'!H52</f>
        <v>↓</v>
      </c>
      <c r="I67" t="str">
        <f>'5. KPI Baselines'!I52</f>
        <v>12 months</v>
      </c>
      <c r="J67" t="str">
        <f>'5. KPI Baselines'!J52</f>
        <v>Inbound call volume tagged as status inquiries</v>
      </c>
      <c r="K67" s="15" t="str">
        <f t="shared" si="1"/>
        <v>23,400 calls/year (127 calls/day) → 85 calls/day</v>
      </c>
      <c r="L67" s="34" t="str" cm="1">
        <f t="array" ref="L67">IFERROR(_xlfn.LET(_xlpm.e,E67,_xlpm.f,F67,_xlpm.h,H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7" s="15" t="str" cm="1">
        <f t="array" ref="M67">IFERROR(_xlfn.LET(_xlpm.e,E67,_xlpm.f,F67,_xlpm.h,H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7" s="15" t="str" cm="1">
        <f t="array" ref="N67">IFERROR(_xlfn.LET(_xlpm.e,E67,_xlpm.f,F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7" s="15" t="str">
        <f t="shared" si="2"/>
        <v>85 calls/day (for comparable volume) → 85 calls/day</v>
      </c>
      <c r="P67" s="34" t="str" cm="1">
        <f t="array" ref="P67">IFERROR(_xlfn.LET(_xlpm.g,G67,_xlpm.f,F67,_xlpm.h,H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7" s="15" t="str" cm="1">
        <f t="array" ref="Q67">IFERROR(_xlfn.LET(_xlpm.e,E67,_xlpm.g,G67,_xlpm.h,H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7" s="15" t="str">
        <f t="shared" si="3"/>
        <v>⚪ N/A</v>
      </c>
      <c r="S67" s="35" cm="1">
        <f t="array" ref="S67">IFERROR(_xlfn.LET(_xlpm.e,E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7" s="36">
        <f t="shared" si="4"/>
        <v>0</v>
      </c>
      <c r="U67" s="15">
        <f t="shared" si="5"/>
        <v>554</v>
      </c>
      <c r="V67" s="16">
        <f t="shared" si="6"/>
        <v>0</v>
      </c>
      <c r="W67" s="16">
        <f t="shared" si="7"/>
        <v>0</v>
      </c>
      <c r="X67" s="37" t="str">
        <f t="shared" si="8"/>
        <v>-</v>
      </c>
      <c r="Y67" s="15" t="str">
        <f t="shared" si="9"/>
        <v>📉 Low</v>
      </c>
    </row>
    <row r="68" spans="1:25" x14ac:dyDescent="0.2">
      <c r="A68" t="str">
        <f>'5. KPI Baselines'!A53</f>
        <v>American Expediting</v>
      </c>
      <c r="B68" t="str">
        <f>'5. KPI Baselines'!B53</f>
        <v>Customer Service</v>
      </c>
      <c r="C68" t="str">
        <f>'5. KPI Baselines'!C53</f>
        <v>Customer Retention</v>
      </c>
      <c r="D68" t="str">
        <f>'5. KPI Baselines'!D53</f>
        <v>Annual Customer Retention Rate</v>
      </c>
      <c r="E68" t="str">
        <f>'5. KPI Baselines'!E53</f>
        <v>78%</v>
      </c>
      <c r="F68" t="str">
        <f>'5. KPI Baselines'!F53</f>
        <v>85%</v>
      </c>
      <c r="G68" t="str">
        <f>'5. KPI Baselines'!G53</f>
        <v>85%</v>
      </c>
      <c r="H68" t="str">
        <f>'5. KPI Baselines'!H53</f>
        <v>↑</v>
      </c>
      <c r="I68" t="str">
        <f>'5. KPI Baselines'!I53</f>
        <v>24 months</v>
      </c>
      <c r="J68" t="str">
        <f>'5. KPI Baselines'!J53</f>
        <v>Customers active in Year N who remain active in Year N+1</v>
      </c>
      <c r="K68" s="15" t="str">
        <f t="shared" si="1"/>
        <v>85% - 78%</v>
      </c>
      <c r="L68" s="34" cm="1">
        <f t="array" ref="L68">IFERROR(_xlfn.LET(_xlpm.e,E68,_xlpm.f,F68,_xlpm.h,H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8.9743474687852959E-2</v>
      </c>
      <c r="M68" s="15" cm="1">
        <f t="array" ref="M68">IFERROR(_xlfn.LET(_xlpm.e,E68,_xlpm.f,F68,_xlpm.h,H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84</v>
      </c>
      <c r="N68" s="15" cm="1">
        <f t="array" ref="N68">IFERROR(_xlfn.LET(_xlpm.e,E68,_xlpm.f,F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68" s="15" t="str">
        <f t="shared" si="2"/>
        <v>85% - 85%</v>
      </c>
      <c r="P68" s="34" cm="1">
        <f t="array" ref="P68">IFERROR(_xlfn.LET(_xlpm.g,G68,_xlpm.f,F68,_xlpm.h,H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8" s="15" t="str" cm="1">
        <f t="array" ref="Q68">IFERROR(_xlfn.LET(_xlpm.e,E68,_xlpm.g,G68,_xlpm.h,H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8" s="15" t="str">
        <f t="shared" si="3"/>
        <v>🔴 Lagging</v>
      </c>
      <c r="S68" s="35" cm="1">
        <f t="array" ref="S68">IFERROR(_xlfn.LET(_xlpm.e,E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68" s="36">
        <f t="shared" si="4"/>
        <v>8.9743474687852967</v>
      </c>
      <c r="U68" s="15">
        <f t="shared" si="5"/>
        <v>525</v>
      </c>
      <c r="V68" s="16">
        <f t="shared" si="6"/>
        <v>977.28624706891401</v>
      </c>
      <c r="W68" s="16">
        <f t="shared" si="7"/>
        <v>2430.3662492848293</v>
      </c>
      <c r="X68" s="37">
        <f t="shared" si="8"/>
        <v>89</v>
      </c>
      <c r="Y68" s="15" t="str">
        <f t="shared" si="9"/>
        <v>📉 Low</v>
      </c>
    </row>
    <row r="69" spans="1:25" x14ac:dyDescent="0.2">
      <c r="A69" t="str">
        <f>'5. KPI Baselines'!A54</f>
        <v>American Expediting</v>
      </c>
      <c r="B69" t="str">
        <f>'5. KPI Baselines'!B54</f>
        <v>Finance</v>
      </c>
      <c r="C69" t="str">
        <f>'5. KPI Baselines'!C54</f>
        <v>Billing &amp; Collections</v>
      </c>
      <c r="D69" t="str">
        <f>'5. KPI Baselines'!D54</f>
        <v>Billing Error Rate</v>
      </c>
      <c r="E69" t="str">
        <f>'5. KPI Baselines'!E54</f>
        <v>4.8% (8,880 errors/year)</v>
      </c>
      <c r="F69" t="str">
        <f>'5. KPI Baselines'!F54</f>
        <v>1.8%</v>
      </c>
      <c r="G69" t="str">
        <f>'5. KPI Baselines'!G54</f>
        <v>1.8%</v>
      </c>
      <c r="H69" t="str">
        <f>'5. KPI Baselines'!H54</f>
        <v>↓</v>
      </c>
      <c r="I69" t="str">
        <f>'5. KPI Baselines'!I54</f>
        <v>12 months</v>
      </c>
      <c r="J69" t="str">
        <f>'5. KPI Baselines'!J54</f>
        <v>Invoices requiring manual correction divided by total invoices</v>
      </c>
      <c r="K69" s="15" t="str">
        <f t="shared" si="1"/>
        <v>4.8% (8,880 errors/year) → 1.8%</v>
      </c>
      <c r="L69" s="34" cm="1">
        <f t="array" ref="L69">IFERROR(_xlfn.LET(_xlpm.e,E69,_xlpm.f,F69,_xlpm.h,H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0.62498697943792847</v>
      </c>
      <c r="M69" s="15" cm="1">
        <f t="array" ref="M69">IFERROR(_xlfn.LET(_xlpm.e,E69,_xlpm.f,F69,_xlpm.h,H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2.2999999999999998</v>
      </c>
      <c r="N69" s="15" cm="1">
        <f t="array" ref="N69">IFERROR(_xlfn.LET(_xlpm.e,E69,_xlpm.f,F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69" s="15" t="str">
        <f t="shared" si="2"/>
        <v>1.8% → 1.8%</v>
      </c>
      <c r="P69" s="34" cm="1">
        <f t="array" ref="P69">IFERROR(_xlfn.LET(_xlpm.g,G69,_xlpm.f,F69,_xlpm.h,H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9" s="15" t="str" cm="1">
        <f t="array" ref="Q69">IFERROR(_xlfn.LET(_xlpm.e,E69,_xlpm.g,G69,_xlpm.h,H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9" s="15" t="str">
        <f t="shared" si="3"/>
        <v>🔴 Lagging</v>
      </c>
      <c r="S69" s="35" cm="1">
        <f t="array" ref="S69">IFERROR(_xlfn.LET(_xlpm.e,E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4.8</v>
      </c>
      <c r="T69" s="36">
        <f t="shared" si="4"/>
        <v>62.498697943792848</v>
      </c>
      <c r="U69" s="15">
        <f t="shared" si="5"/>
        <v>138</v>
      </c>
      <c r="V69" s="16">
        <f t="shared" si="6"/>
        <v>418.8287744005334</v>
      </c>
      <c r="W69" s="16">
        <f t="shared" si="7"/>
        <v>1041.5651714994492</v>
      </c>
      <c r="X69" s="37">
        <f t="shared" si="8"/>
        <v>206</v>
      </c>
      <c r="Y69" s="15" t="str">
        <f t="shared" si="9"/>
        <v>🔥 Critical</v>
      </c>
    </row>
    <row r="70" spans="1:25" x14ac:dyDescent="0.2">
      <c r="A70" t="str">
        <f>'5. KPI Baselines'!A55</f>
        <v>American Expediting</v>
      </c>
      <c r="B70" t="str">
        <f>'5. KPI Baselines'!B55</f>
        <v>Finance</v>
      </c>
      <c r="C70" t="str">
        <f>'5. KPI Baselines'!C55</f>
        <v>Billing &amp; Collections</v>
      </c>
      <c r="D70" t="str">
        <f>'5. KPI Baselines'!D55</f>
        <v>Days to Resolve Billing Errors</v>
      </c>
      <c r="E70" t="str">
        <f>'5. KPI Baselines'!E55</f>
        <v>11 days</v>
      </c>
      <c r="F70" t="str">
        <f>'5. KPI Baselines'!F55</f>
        <v>5 days</v>
      </c>
      <c r="G70" t="str">
        <f>'5. KPI Baselines'!G55</f>
        <v>5 days</v>
      </c>
      <c r="H70" t="str">
        <f>'5. KPI Baselines'!H55</f>
        <v>↓</v>
      </c>
      <c r="I70" t="str">
        <f>'5. KPI Baselines'!I55</f>
        <v>12 months</v>
      </c>
      <c r="J70" t="str">
        <f>'5. KPI Baselines'!J55</f>
        <v>Average days from error identification to corrected payment receipt</v>
      </c>
      <c r="K70" s="15" t="str">
        <f t="shared" si="1"/>
        <v>11 days → 5 days</v>
      </c>
      <c r="L70" s="34" cm="1">
        <f t="array" ref="L70">IFERROR(_xlfn.LET(_xlpm.e,E70,_xlpm.f,F70,_xlpm.h,H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0.545449586821938</v>
      </c>
      <c r="M70" s="15" cm="1">
        <f t="array" ref="M70">IFERROR(_xlfn.LET(_xlpm.e,E70,_xlpm.f,F70,_xlpm.h,H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5.9</v>
      </c>
      <c r="N70" s="15" cm="1">
        <f t="array" ref="N70">IFERROR(_xlfn.LET(_xlpm.e,E70,_xlpm.f,F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70" s="15" t="str">
        <f t="shared" si="2"/>
        <v>5 days → 5 days</v>
      </c>
      <c r="P70" s="34" cm="1">
        <f t="array" ref="P70">IFERROR(_xlfn.LET(_xlpm.g,G70,_xlpm.f,F70,_xlpm.h,H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70" s="15" t="str" cm="1">
        <f t="array" ref="Q70">IFERROR(_xlfn.LET(_xlpm.e,E70,_xlpm.g,G70,_xlpm.h,H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0" s="15" t="str">
        <f t="shared" si="3"/>
        <v>🔴 Lagging</v>
      </c>
      <c r="S70" s="35" cm="1">
        <f t="array" ref="S70">IFERROR(_xlfn.LET(_xlpm.e,E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</v>
      </c>
      <c r="T70" s="36">
        <f t="shared" si="4"/>
        <v>54.544958682193801</v>
      </c>
      <c r="U70" s="15">
        <f t="shared" si="5"/>
        <v>200</v>
      </c>
      <c r="V70" s="16">
        <f t="shared" si="6"/>
        <v>837.66738484195582</v>
      </c>
      <c r="W70" s="16">
        <f t="shared" si="7"/>
        <v>2083.1548037767666</v>
      </c>
      <c r="X70" s="37">
        <f t="shared" si="8"/>
        <v>104</v>
      </c>
      <c r="Y70" s="15" t="str">
        <f t="shared" si="9"/>
        <v>🔥 Critical</v>
      </c>
    </row>
    <row r="71" spans="1:25" x14ac:dyDescent="0.2">
      <c r="A71" t="str">
        <f>'5. KPI Baselines'!A56</f>
        <v>American Expediting</v>
      </c>
      <c r="B71" t="str">
        <f>'5. KPI Baselines'!B56</f>
        <v>Human Resources</v>
      </c>
      <c r="C71" t="str">
        <f>'5. KPI Baselines'!C56</f>
        <v>Driver Onboarding</v>
      </c>
      <c r="D71" t="str">
        <f>'5. KPI Baselines'!D56</f>
        <v>Hours per Driver Onboarded</v>
      </c>
      <c r="E71" t="str">
        <f>'5. KPI Baselines'!E56</f>
        <v>8.8 hours (280 hrs ÷ 32 new drivers/year)</v>
      </c>
      <c r="F71" t="str">
        <f>'5. KPI Baselines'!F56</f>
        <v>4.5 hours</v>
      </c>
      <c r="G71" t="str">
        <f>'5. KPI Baselines'!G56</f>
        <v>4.5 hours</v>
      </c>
      <c r="H71" t="str">
        <f>'5. KPI Baselines'!H56</f>
        <v>↓</v>
      </c>
      <c r="I71" t="str">
        <f>'5. KPI Baselines'!I56</f>
        <v>12 months</v>
      </c>
      <c r="J71" t="str">
        <f>'5. KPI Baselines'!J56</f>
        <v>Total onboarding labor hours divided by new drivers processed</v>
      </c>
      <c r="K71" s="15" t="str">
        <f t="shared" si="1"/>
        <v>8.8 hours (280 hrs ÷ 32 new drivers/year) → 4.5 hours</v>
      </c>
      <c r="L71" s="34" cm="1">
        <f t="array" ref="L71">IFERROR(_xlfn.LET(_xlpm.e,E71,_xlpm.f,F71,_xlpm.h,H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0.48863081101351125</v>
      </c>
      <c r="M71" s="15" cm="1">
        <f t="array" ref="M71">IFERROR(_xlfn.LET(_xlpm.e,E71,_xlpm.f,F71,_xlpm.h,H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71" s="15" cm="1">
        <f t="array" ref="N71">IFERROR(_xlfn.LET(_xlpm.e,E71,_xlpm.f,F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3.29</v>
      </c>
      <c r="O71" s="15" t="str">
        <f t="shared" si="2"/>
        <v>4.5 hours → 4.5 hours</v>
      </c>
      <c r="P71" s="34" cm="1">
        <f t="array" ref="P71">IFERROR(_xlfn.LET(_xlpm.g,G71,_xlpm.f,F71,_xlpm.h,H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71" s="15" t="str" cm="1">
        <f t="array" ref="Q71">IFERROR(_xlfn.LET(_xlpm.e,E71,_xlpm.g,G71,_xlpm.h,H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1" s="15" t="str">
        <f t="shared" si="3"/>
        <v>🔴 Lagging</v>
      </c>
      <c r="S71" s="35" cm="1">
        <f t="array" ref="S71">IFERROR(_xlfn.LET(_xlpm.e,E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8.8000000000000007</v>
      </c>
      <c r="T71" s="36">
        <f t="shared" si="4"/>
        <v>48.863081101351128</v>
      </c>
      <c r="U71" s="15">
        <f t="shared" si="5"/>
        <v>248</v>
      </c>
      <c r="V71" s="16">
        <f t="shared" si="6"/>
        <v>600.32692810308981</v>
      </c>
      <c r="W71" s="16">
        <f t="shared" si="7"/>
        <v>1492.9242163946121</v>
      </c>
      <c r="X71" s="37">
        <f t="shared" si="8"/>
        <v>144</v>
      </c>
      <c r="Y71" s="15" t="str">
        <f t="shared" si="9"/>
        <v>⚠️ High</v>
      </c>
    </row>
    <row r="72" spans="1:25" x14ac:dyDescent="0.2">
      <c r="A72" t="str">
        <f>'5. KPI Baselines'!A57</f>
        <v>American Expediting</v>
      </c>
      <c r="B72" t="str">
        <f>'5. KPI Baselines'!B57</f>
        <v>Operations</v>
      </c>
      <c r="C72" t="str">
        <f>'5. KPI Baselines'!C57</f>
        <v>Driver Network Management</v>
      </c>
      <c r="D72" t="str">
        <f>'5. KPI Baselines'!D57</f>
        <v>Driver Availability Prediction Accuracy</v>
      </c>
      <c r="E72" t="str">
        <f>'5. KPI Baselines'!E57</f>
        <v>Not measured (manual assignment)</v>
      </c>
      <c r="F72" t="str">
        <f>'5. KPI Baselines'!F57</f>
        <v>75% accuracy</v>
      </c>
      <c r="G72" t="str">
        <f>'5. KPI Baselines'!G57</f>
        <v>82% accuracy</v>
      </c>
      <c r="H72" t="str">
        <f>'5. KPI Baselines'!H57</f>
        <v>↑</v>
      </c>
      <c r="I72" t="str">
        <f>'5. KPI Baselines'!I57</f>
        <v>18 months</v>
      </c>
      <c r="J72" t="str">
        <f>'5. KPI Baselines'!J57</f>
        <v>Predicted available drivers matching actual acceptance rate</v>
      </c>
      <c r="K72" s="15" t="str">
        <f t="shared" si="1"/>
        <v>75% accuracy - Not measured (manual assignment)</v>
      </c>
      <c r="L72" s="34" t="str" cm="1">
        <f t="array" ref="L72">IFERROR(_xlfn.LET(_xlpm.e,E72,_xlpm.f,F72,_xlpm.h,H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72" s="15" t="str" cm="1">
        <f t="array" ref="M72">IFERROR(_xlfn.LET(_xlpm.e,E72,_xlpm.f,F72,_xlpm.h,H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72" s="15" t="str" cm="1">
        <f t="array" ref="N72">IFERROR(_xlfn.LET(_xlpm.e,E72,_xlpm.f,F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72" s="15" t="str">
        <f t="shared" si="2"/>
        <v>75% accuracy - 82% accuracy</v>
      </c>
      <c r="P72" s="34" t="str" cm="1">
        <f t="array" ref="P72">IFERROR(_xlfn.LET(_xlpm.g,G72,_xlpm.f,F72,_xlpm.h,H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72" s="15" t="str" cm="1">
        <f t="array" ref="Q72">IFERROR(_xlfn.LET(_xlpm.e,E72,_xlpm.g,G72,_xlpm.h,H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72" s="15" t="str">
        <f t="shared" si="3"/>
        <v>⚪ N/A</v>
      </c>
      <c r="S72" s="35" cm="1">
        <f t="array" ref="S72">IFERROR(_xlfn.LET(_xlpm.e,E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72" s="36">
        <f t="shared" si="4"/>
        <v>0</v>
      </c>
      <c r="U72" s="15">
        <f t="shared" si="5"/>
        <v>554</v>
      </c>
      <c r="V72" s="16">
        <f t="shared" si="6"/>
        <v>0</v>
      </c>
      <c r="W72" s="16">
        <f t="shared" si="7"/>
        <v>0</v>
      </c>
      <c r="X72" s="37" t="str">
        <f t="shared" si="8"/>
        <v>-</v>
      </c>
      <c r="Y72" s="15" t="str">
        <f t="shared" si="9"/>
        <v>📉 Low</v>
      </c>
    </row>
    <row r="73" spans="1:25" x14ac:dyDescent="0.2">
      <c r="A73" t="str">
        <f>'5. KPI Baselines'!A58</f>
        <v>American Expediting</v>
      </c>
      <c r="B73" t="str">
        <f>'5. KPI Baselines'!B58</f>
        <v>Operations</v>
      </c>
      <c r="C73" t="str">
        <f>'5. KPI Baselines'!C58</f>
        <v>Service Delivery</v>
      </c>
      <c r="D73" t="str">
        <f>'5. KPI Baselines'!D58</f>
        <v>On-Time Delivery Rate</v>
      </c>
      <c r="E73" t="str">
        <f>'5. KPI Baselines'!E58</f>
        <v>91.2%</v>
      </c>
      <c r="F73" t="str">
        <f>'5. KPI Baselines'!F58</f>
        <v>94.5%</v>
      </c>
      <c r="G73" t="str">
        <f>'5. KPI Baselines'!G58</f>
        <v>94.5%</v>
      </c>
      <c r="H73" t="str">
        <f>'5. KPI Baselines'!H58</f>
        <v>↑</v>
      </c>
      <c r="I73" t="str">
        <f>'5. KPI Baselines'!I58</f>
        <v>18 months</v>
      </c>
      <c r="J73" t="str">
        <f>'5. KPI Baselines'!J58</f>
        <v>Deliveries within committed window divided by total deliveries</v>
      </c>
      <c r="K73" s="15" t="str">
        <f t="shared" si="1"/>
        <v>94.5% - 91.2%</v>
      </c>
      <c r="L73" s="34" cm="1">
        <f t="array" ref="L73">IFERROR(_xlfn.LET(_xlpm.e,E73,_xlpm.f,F73,_xlpm.h,H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3.6184170850689826E-2</v>
      </c>
      <c r="M73" s="15" cm="1">
        <f t="array" ref="M73">IFERROR(_xlfn.LET(_xlpm.e,E73,_xlpm.f,F73,_xlpm.h,H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94</v>
      </c>
      <c r="N73" s="15" cm="1">
        <f t="array" ref="N73">IFERROR(_xlfn.LET(_xlpm.e,E73,_xlpm.f,F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2.52</v>
      </c>
      <c r="O73" s="15" t="str">
        <f t="shared" si="2"/>
        <v>94.5% - 94.5%</v>
      </c>
      <c r="P73" s="34" cm="1">
        <f t="array" ref="P73">IFERROR(_xlfn.LET(_xlpm.g,G73,_xlpm.f,F73,_xlpm.h,H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73" s="15" t="str" cm="1">
        <f t="array" ref="Q73">IFERROR(_xlfn.LET(_xlpm.e,E73,_xlpm.g,G73,_xlpm.h,H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3" s="15" t="str">
        <f t="shared" si="3"/>
        <v>🔴 Lagging</v>
      </c>
      <c r="S73" s="35" cm="1">
        <f t="array" ref="S73">IFERROR(_xlfn.LET(_xlpm.e,E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91.2</v>
      </c>
      <c r="T73" s="36">
        <f t="shared" si="4"/>
        <v>3.6184170850689825</v>
      </c>
      <c r="U73" s="15">
        <f t="shared" si="5"/>
        <v>549</v>
      </c>
      <c r="V73" s="16">
        <f t="shared" si="6"/>
        <v>460.72074482374427</v>
      </c>
      <c r="W73" s="16">
        <f t="shared" si="7"/>
        <v>1145.7443015526633</v>
      </c>
      <c r="X73" s="37">
        <f t="shared" si="8"/>
        <v>187</v>
      </c>
      <c r="Y73" s="15" t="str">
        <f t="shared" si="9"/>
        <v>📉 Low</v>
      </c>
    </row>
    <row r="74" spans="1:25" x14ac:dyDescent="0.2">
      <c r="A74" t="str">
        <f>'5. KPI Baselines'!A59</f>
        <v>American Expediting</v>
      </c>
      <c r="B74" t="str">
        <f>'5. KPI Baselines'!B59</f>
        <v>Sales</v>
      </c>
      <c r="C74" t="str">
        <f>'5. KPI Baselines'!C59</f>
        <v>Lead Conversion</v>
      </c>
      <c r="D74" t="str">
        <f>'5. KPI Baselines'!D59</f>
        <v>Quote-to-Order Conversion Rate</v>
      </c>
      <c r="E74" t="str">
        <f>'5. KPI Baselines'!E59</f>
        <v>38% (estimated from lost quote data)</v>
      </c>
      <c r="F74" t="str">
        <f>'5. KPI Baselines'!F59</f>
        <v>45%</v>
      </c>
      <c r="G74" t="str">
        <f>'5. KPI Baselines'!G59</f>
        <v>47%</v>
      </c>
      <c r="H74" t="str">
        <f>'5. KPI Baselines'!H59</f>
        <v>↑</v>
      </c>
      <c r="I74" t="str">
        <f>'5. KPI Baselines'!I59</f>
        <v>18 months</v>
      </c>
      <c r="J74" t="str">
        <f>'5. KPI Baselines'!J59</f>
        <v>Accepted quotes divided by total quotes delivered</v>
      </c>
      <c r="K74" s="15" t="str">
        <f t="shared" si="1"/>
        <v>45% - 38% (estimated from lost quote data)</v>
      </c>
      <c r="L74" s="34" cm="1">
        <f t="array" ref="L74">IFERROR(_xlfn.LET(_xlpm.e,E74,_xlpm.f,F74,_xlpm.h,H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0.18421004155252221</v>
      </c>
      <c r="M74" s="15" cm="1">
        <f t="array" ref="M74">IFERROR(_xlfn.LET(_xlpm.e,E74,_xlpm.f,F74,_xlpm.h,H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44</v>
      </c>
      <c r="N74" s="15" cm="1">
        <f t="array" ref="N74">IFERROR(_xlfn.LET(_xlpm.e,E74,_xlpm.f,F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74" s="15" t="str">
        <f t="shared" si="2"/>
        <v>45% - 47%</v>
      </c>
      <c r="P74" s="34" cm="1">
        <f t="array" ref="P74">IFERROR(_xlfn.LET(_xlpm.g,G74,_xlpm.f,F74,_xlpm.h,H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-4.2553100950849035E-2</v>
      </c>
      <c r="Q74" s="15" t="str" cm="1">
        <f t="array" ref="Q74">IFERROR(_xlfn.LET(_xlpm.e,E74,_xlpm.g,G74,_xlpm.h,H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4" s="15" t="str">
        <f t="shared" si="3"/>
        <v>🔴 Lagging</v>
      </c>
      <c r="S74" s="35" cm="1">
        <f t="array" ref="S74">IFERROR(_xlfn.LET(_xlpm.e,E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74" s="36">
        <f t="shared" si="4"/>
        <v>18.42100415525222</v>
      </c>
      <c r="U74" s="15">
        <f t="shared" si="5"/>
        <v>480</v>
      </c>
      <c r="V74" s="16">
        <f t="shared" si="6"/>
        <v>977.28492819755741</v>
      </c>
      <c r="W74" s="16">
        <f t="shared" si="7"/>
        <v>2430.3629694469705</v>
      </c>
      <c r="X74" s="37">
        <f t="shared" si="8"/>
        <v>89</v>
      </c>
      <c r="Y74" s="15" t="str">
        <f t="shared" si="9"/>
        <v>📊 Medium</v>
      </c>
    </row>
    <row r="75" spans="1:25" x14ac:dyDescent="0.2">
      <c r="A75" t="str">
        <f>'5. KPI Baselines'!A60</f>
        <v>American Oncology Network</v>
      </c>
      <c r="B75" t="str">
        <f>'5. KPI Baselines'!B60</f>
        <v>Clinical Operations</v>
      </c>
      <c r="C75" t="str">
        <f>'5. KPI Baselines'!C60</f>
        <v>Treatment Planning</v>
      </c>
      <c r="D75" t="str">
        <f>'5. KPI Baselines'!D60</f>
        <v>Prior Authorization Approval Time</v>
      </c>
      <c r="E75" t="str">
        <f>'5. KPI Baselines'!E60</f>
        <v>8 days</v>
      </c>
      <c r="F75" t="str">
        <f>'5. KPI Baselines'!F60</f>
        <v>3 days</v>
      </c>
      <c r="G75" t="str">
        <f>'5. KPI Baselines'!G60</f>
        <v>5 days</v>
      </c>
      <c r="H75" t="str">
        <f>'5. KPI Baselines'!H60</f>
        <v>↓</v>
      </c>
      <c r="I75" t="str">
        <f>'5. KPI Baselines'!I60</f>
        <v>12 months</v>
      </c>
      <c r="J75" t="str">
        <f>'5. KPI Baselines'!J60</f>
        <v>EHR timestamp analysis</v>
      </c>
      <c r="K75" s="15" t="str">
        <f t="shared" si="1"/>
        <v>8 days → 3 days</v>
      </c>
      <c r="L75" s="34" cm="1">
        <f t="array" ref="L75">IFERROR(_xlfn.LET(_xlpm.e,E75,_xlpm.f,F75,_xlpm.h,H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75" s="15" cm="1">
        <f t="array" ref="M75">IFERROR(_xlfn.LET(_xlpm.e,E75,_xlpm.f,F75,_xlpm.h,H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75" s="15" cm="1">
        <f t="array" ref="N75">IFERROR(_xlfn.LET(_xlpm.e,E75,_xlpm.f,F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75" s="15" t="str">
        <f t="shared" si="2"/>
        <v>5 days → 3 days</v>
      </c>
      <c r="P75" s="34" cm="1">
        <f t="array" ref="P75">IFERROR(_xlfn.LET(_xlpm.g,G75,_xlpm.f,F75,_xlpm.h,H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75" s="15" t="str" cm="1">
        <f t="array" ref="Q75">IFERROR(_xlfn.LET(_xlpm.e,E75,_xlpm.g,G75,_xlpm.h,H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5" s="15" t="str">
        <f t="shared" si="3"/>
        <v>🔴 Lagging</v>
      </c>
      <c r="S75" s="35" cm="1">
        <f t="array" ref="S75">IFERROR(_xlfn.LET(_xlpm.e,E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75" s="36">
        <f t="shared" si="4"/>
        <v>62.499218759765505</v>
      </c>
      <c r="U75" s="15">
        <f t="shared" si="5"/>
        <v>130</v>
      </c>
      <c r="V75" s="16">
        <f t="shared" si="6"/>
        <v>698.05377432782097</v>
      </c>
      <c r="W75" s="16">
        <f t="shared" si="7"/>
        <v>1735.9564185011941</v>
      </c>
      <c r="X75" s="37">
        <f t="shared" si="8"/>
        <v>124</v>
      </c>
      <c r="Y75" s="15" t="str">
        <f t="shared" si="9"/>
        <v>🔥 Critical</v>
      </c>
    </row>
    <row r="76" spans="1:25" x14ac:dyDescent="0.2">
      <c r="A76" t="str">
        <f>'5. KPI Baselines'!A61</f>
        <v>American Oncology Network</v>
      </c>
      <c r="B76" t="str">
        <f>'5. KPI Baselines'!B61</f>
        <v>Clinical Operations</v>
      </c>
      <c r="C76" t="str">
        <f>'5. KPI Baselines'!C61</f>
        <v>Documentation</v>
      </c>
      <c r="D76" t="str">
        <f>'5. KPI Baselines'!D61</f>
        <v>Physician Documentation Hours per Week</v>
      </c>
      <c r="E76" t="str">
        <f>'5. KPI Baselines'!E61</f>
        <v>12 hours</v>
      </c>
      <c r="F76" t="str">
        <f>'5. KPI Baselines'!F61</f>
        <v>6 hours</v>
      </c>
      <c r="G76" t="str">
        <f>'5. KPI Baselines'!G61</f>
        <v>8 hours</v>
      </c>
      <c r="H76" t="str">
        <f>'5. KPI Baselines'!H61</f>
        <v>↓</v>
      </c>
      <c r="I76" t="str">
        <f>'5. KPI Baselines'!I61</f>
        <v>18 months</v>
      </c>
      <c r="J76" t="str">
        <f>'5. KPI Baselines'!J61</f>
        <v>EHR usage logs</v>
      </c>
      <c r="K76" s="15" t="str">
        <f t="shared" si="1"/>
        <v>12 hours → 6 hours</v>
      </c>
      <c r="L76" s="34" cm="1">
        <f t="array" ref="L76">IFERROR(_xlfn.LET(_xlpm.e,E76,_xlpm.f,F76,_xlpm.h,H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76" s="15" cm="1">
        <f t="array" ref="M76">IFERROR(_xlfn.LET(_xlpm.e,E76,_xlpm.f,F76,_xlpm.h,H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76" s="15" cm="1">
        <f t="array" ref="N76">IFERROR(_xlfn.LET(_xlpm.e,E76,_xlpm.f,F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76" s="15" t="str">
        <f t="shared" si="2"/>
        <v>8 hours → 6 hours</v>
      </c>
      <c r="P76" s="34" cm="1">
        <f t="array" ref="P76">IFERROR(_xlfn.LET(_xlpm.g,G76,_xlpm.f,F76,_xlpm.h,H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0.24999687503906201</v>
      </c>
      <c r="Q76" s="15" t="str" cm="1">
        <f t="array" ref="Q76">IFERROR(_xlfn.LET(_xlpm.e,E76,_xlpm.g,G76,_xlpm.h,H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6" s="15" t="str">
        <f t="shared" si="3"/>
        <v>🔴 Lagging</v>
      </c>
      <c r="S76" s="35" cm="1">
        <f t="array" ref="S76">IFERROR(_xlfn.LET(_xlpm.e,E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76" s="36">
        <f t="shared" si="4"/>
        <v>49.999583336805529</v>
      </c>
      <c r="U76" s="15">
        <f t="shared" si="5"/>
        <v>231</v>
      </c>
      <c r="V76" s="16">
        <f t="shared" si="6"/>
        <v>837.66801943317137</v>
      </c>
      <c r="W76" s="16">
        <f t="shared" si="7"/>
        <v>2083.1563819111943</v>
      </c>
      <c r="X76" s="37">
        <f t="shared" si="8"/>
        <v>104</v>
      </c>
      <c r="Y76" s="15" t="str">
        <f t="shared" si="9"/>
        <v>⚠️ High</v>
      </c>
    </row>
    <row r="77" spans="1:25" x14ac:dyDescent="0.2">
      <c r="A77" t="str">
        <f>'5. KPI Baselines'!A62</f>
        <v>American Oncology Network</v>
      </c>
      <c r="B77" t="str">
        <f>'5. KPI Baselines'!B62</f>
        <v>Clinical Operations</v>
      </c>
      <c r="C77" t="str">
        <f>'5. KPI Baselines'!C62</f>
        <v>Care Coordination</v>
      </c>
      <c r="D77" t="str">
        <f>'5. KPI Baselines'!D62</f>
        <v>Treatment Adherence Rate</v>
      </c>
      <c r="E77" t="str">
        <f>'5. KPI Baselines'!E62</f>
        <v>84%</v>
      </c>
      <c r="F77" t="str">
        <f>'5. KPI Baselines'!F62</f>
        <v>93%</v>
      </c>
      <c r="G77" t="str">
        <f>'5. KPI Baselines'!G62</f>
        <v>91%</v>
      </c>
      <c r="H77" t="str">
        <f>'5. KPI Baselines'!H62</f>
        <v>↑</v>
      </c>
      <c r="I77" t="str">
        <f>'5. KPI Baselines'!I62</f>
        <v>24 months</v>
      </c>
      <c r="J77" t="str">
        <f>'5. KPI Baselines'!J62</f>
        <v>Pharmacy claims and infusion records</v>
      </c>
      <c r="K77" s="15" t="str">
        <f t="shared" si="1"/>
        <v>93% - 84%</v>
      </c>
      <c r="L77" s="34" cm="1">
        <f t="array" ref="L77">IFERROR(_xlfn.LET(_xlpm.e,E77,_xlpm.f,F77,_xlpm.h,H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0.10714272959198858</v>
      </c>
      <c r="M77" s="15" cm="1">
        <f t="array" ref="M77">IFERROR(_xlfn.LET(_xlpm.e,E77,_xlpm.f,F77,_xlpm.h,H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91.7</v>
      </c>
      <c r="N77" s="15" cm="1">
        <f t="array" ref="N77">IFERROR(_xlfn.LET(_xlpm.e,E77,_xlpm.f,F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77" s="15" t="str">
        <f t="shared" si="2"/>
        <v>93% - 91%</v>
      </c>
      <c r="P77" s="34" cm="1">
        <f t="array" ref="P77">IFERROR(_xlfn.LET(_xlpm.g,G77,_xlpm.f,F77,_xlpm.h,H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2.1977997826376015E-2</v>
      </c>
      <c r="Q77" s="15" t="str" cm="1">
        <f t="array" ref="Q77">IFERROR(_xlfn.LET(_xlpm.e,E77,_xlpm.g,G77,_xlpm.h,H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7" s="15" t="str">
        <f t="shared" si="3"/>
        <v>🔴 Lagging</v>
      </c>
      <c r="S77" s="35" cm="1">
        <f t="array" ref="S77">IFERROR(_xlfn.LET(_xlpm.e,E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84</v>
      </c>
      <c r="T77" s="36">
        <f t="shared" si="4"/>
        <v>10.714272959198858</v>
      </c>
      <c r="U77" s="15">
        <f t="shared" si="5"/>
        <v>516</v>
      </c>
      <c r="V77" s="16">
        <f t="shared" si="6"/>
        <v>1256.5110041535663</v>
      </c>
      <c r="W77" s="16">
        <f t="shared" si="7"/>
        <v>3124.7568923728832</v>
      </c>
      <c r="X77" s="37">
        <f t="shared" si="8"/>
        <v>69</v>
      </c>
      <c r="Y77" s="15" t="str">
        <f t="shared" si="9"/>
        <v>📊 Medium</v>
      </c>
    </row>
    <row r="78" spans="1:25" x14ac:dyDescent="0.2">
      <c r="A78" t="str">
        <f>'5. KPI Baselines'!A63</f>
        <v>American Oncology Network</v>
      </c>
      <c r="B78" t="str">
        <f>'5. KPI Baselines'!B63</f>
        <v>Revenue Cycle</v>
      </c>
      <c r="C78" t="str">
        <f>'5. KPI Baselines'!C63</f>
        <v>Claims Processing</v>
      </c>
      <c r="D78" t="str">
        <f>'5. KPI Baselines'!D63</f>
        <v>Clean Claim Rate</v>
      </c>
      <c r="E78" t="str">
        <f>'5. KPI Baselines'!E63</f>
        <v>87%</v>
      </c>
      <c r="F78" t="str">
        <f>'5. KPI Baselines'!F63</f>
        <v>95%</v>
      </c>
      <c r="G78" t="str">
        <f>'5. KPI Baselines'!G63</f>
        <v>94%</v>
      </c>
      <c r="H78" t="str">
        <f>'5. KPI Baselines'!H63</f>
        <v>↑</v>
      </c>
      <c r="I78" t="str">
        <f>'5. KPI Baselines'!I63</f>
        <v>12 months</v>
      </c>
      <c r="J78" t="str">
        <f>'5. KPI Baselines'!J63</f>
        <v>Payer remittance analysis</v>
      </c>
      <c r="K78" s="15" t="str">
        <f t="shared" si="1"/>
        <v>95% - 87%</v>
      </c>
      <c r="L78" s="34" cm="1">
        <f t="array" ref="L78">IFERROR(_xlfn.LET(_xlpm.e,E78,_xlpm.f,F78,_xlpm.h,H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9.1953917294347931E-2</v>
      </c>
      <c r="M78" s="15" cm="1">
        <f t="array" ref="M78">IFERROR(_xlfn.LET(_xlpm.e,E78,_xlpm.f,F78,_xlpm.h,H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93.8</v>
      </c>
      <c r="N78" s="15" cm="1">
        <f t="array" ref="N78">IFERROR(_xlfn.LET(_xlpm.e,E78,_xlpm.f,F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78" s="15" t="str">
        <f t="shared" si="2"/>
        <v>95% - 94%</v>
      </c>
      <c r="P78" s="34" cm="1">
        <f t="array" ref="P78">IFERROR(_xlfn.LET(_xlpm.g,G78,_xlpm.f,F78,_xlpm.h,H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1.0638286555014302E-2</v>
      </c>
      <c r="Q78" s="15" t="str" cm="1">
        <f t="array" ref="Q78">IFERROR(_xlfn.LET(_xlpm.e,E78,_xlpm.g,G78,_xlpm.h,H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8" s="15" t="str">
        <f t="shared" si="3"/>
        <v>🔴 Lagging</v>
      </c>
      <c r="S78" s="35" cm="1">
        <f t="array" ref="S78">IFERROR(_xlfn.LET(_xlpm.e,E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78" s="36">
        <f t="shared" si="4"/>
        <v>9.1953917294347924</v>
      </c>
      <c r="U78" s="15">
        <f t="shared" si="5"/>
        <v>524</v>
      </c>
      <c r="V78" s="16">
        <f t="shared" si="6"/>
        <v>1116.8987162083722</v>
      </c>
      <c r="W78" s="16">
        <f t="shared" si="7"/>
        <v>2777.5617961305147</v>
      </c>
      <c r="X78" s="37">
        <f t="shared" si="8"/>
        <v>78</v>
      </c>
      <c r="Y78" s="15" t="str">
        <f t="shared" si="9"/>
        <v>📉 Low</v>
      </c>
    </row>
    <row r="79" spans="1:25" x14ac:dyDescent="0.2">
      <c r="A79" t="str">
        <f>'5. KPI Baselines'!A64</f>
        <v>American Oncology Network</v>
      </c>
      <c r="B79" t="str">
        <f>'5. KPI Baselines'!B64</f>
        <v>Revenue Cycle</v>
      </c>
      <c r="C79" t="str">
        <f>'5. KPI Baselines'!C64</f>
        <v>Prior Authorization</v>
      </c>
      <c r="D79" t="str">
        <f>'5. KPI Baselines'!D64</f>
        <v>First-Pass Approval Rate</v>
      </c>
      <c r="E79" t="str">
        <f>'5. KPI Baselines'!E64</f>
        <v>77%</v>
      </c>
      <c r="F79" t="str">
        <f>'5. KPI Baselines'!F64</f>
        <v>92%</v>
      </c>
      <c r="G79" t="str">
        <f>'5. KPI Baselines'!G64</f>
        <v>88%</v>
      </c>
      <c r="H79" t="str">
        <f>'5. KPI Baselines'!H64</f>
        <v>↑</v>
      </c>
      <c r="I79" t="str">
        <f>'5. KPI Baselines'!I64</f>
        <v>12 months</v>
      </c>
      <c r="J79" t="str">
        <f>'5. KPI Baselines'!J64</f>
        <v>Authorization tracking system</v>
      </c>
      <c r="K79" s="15" t="str">
        <f t="shared" si="1"/>
        <v>92% - 77%</v>
      </c>
      <c r="L79" s="34" cm="1">
        <f t="array" ref="L79">IFERROR(_xlfn.LET(_xlpm.e,E79,_xlpm.f,F79,_xlpm.h,H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0.19480494181176386</v>
      </c>
      <c r="M79" s="15" cm="1">
        <f t="array" ref="M79">IFERROR(_xlfn.LET(_xlpm.e,E79,_xlpm.f,F79,_xlpm.h,H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89.8</v>
      </c>
      <c r="N79" s="15" cm="1">
        <f t="array" ref="N79">IFERROR(_xlfn.LET(_xlpm.e,E79,_xlpm.f,F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79" s="15" t="str">
        <f t="shared" si="2"/>
        <v>92% - 88%</v>
      </c>
      <c r="P79" s="34" cm="1">
        <f t="array" ref="P79">IFERROR(_xlfn.LET(_xlpm.g,G79,_xlpm.f,F79,_xlpm.h,H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4.5454493801711585E-2</v>
      </c>
      <c r="Q79" s="15" t="str" cm="1">
        <f t="array" ref="Q79">IFERROR(_xlfn.LET(_xlpm.e,E79,_xlpm.g,G79,_xlpm.h,H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79" s="15" t="str">
        <f t="shared" si="3"/>
        <v>🔴 Lagging</v>
      </c>
      <c r="S79" s="35" cm="1">
        <f t="array" ref="S79">IFERROR(_xlfn.LET(_xlpm.e,E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77</v>
      </c>
      <c r="T79" s="36">
        <f t="shared" si="4"/>
        <v>19.480494181176386</v>
      </c>
      <c r="U79" s="15">
        <f t="shared" si="5"/>
        <v>471</v>
      </c>
      <c r="V79" s="16">
        <f t="shared" si="6"/>
        <v>2094.184780279506</v>
      </c>
      <c r="W79" s="16">
        <f t="shared" si="7"/>
        <v>5207.9275903269499</v>
      </c>
      <c r="X79" s="37">
        <f t="shared" si="8"/>
        <v>42</v>
      </c>
      <c r="Y79" s="15" t="str">
        <f t="shared" si="9"/>
        <v>📊 Medium</v>
      </c>
    </row>
    <row r="80" spans="1:25" x14ac:dyDescent="0.2">
      <c r="A80" t="str">
        <f>'5. KPI Baselines'!A65</f>
        <v>American Oncology Network</v>
      </c>
      <c r="B80" t="str">
        <f>'5. KPI Baselines'!B65</f>
        <v>Revenue Cycle</v>
      </c>
      <c r="C80" t="str">
        <f>'5. KPI Baselines'!C65</f>
        <v>Contract Management</v>
      </c>
      <c r="D80" t="str">
        <f>'5. KPI Baselines'!D65</f>
        <v>Rate Reconciliation Accuracy</v>
      </c>
      <c r="E80" t="str">
        <f>'5. KPI Baselines'!E65</f>
        <v>91%</v>
      </c>
      <c r="F80" t="str">
        <f>'5. KPI Baselines'!F65</f>
        <v>98%</v>
      </c>
      <c r="G80" t="str">
        <f>'5. KPI Baselines'!G65</f>
        <v>97%</v>
      </c>
      <c r="H80" t="str">
        <f>'5. KPI Baselines'!H65</f>
        <v>↑</v>
      </c>
      <c r="I80" t="str">
        <f>'5. KPI Baselines'!I65</f>
        <v>18 months</v>
      </c>
      <c r="J80" t="str">
        <f>'5. KPI Baselines'!J65</f>
        <v>Contract vs remittance comparison</v>
      </c>
      <c r="K80" s="15" t="str">
        <f t="shared" si="1"/>
        <v>98% - 91%</v>
      </c>
      <c r="L80" s="34" cm="1">
        <f t="array" ref="L80">IFERROR(_xlfn.LET(_xlpm.e,E80,_xlpm.f,F80,_xlpm.h,H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7.692299239231605E-2</v>
      </c>
      <c r="M80" s="15" cm="1">
        <f t="array" ref="M80">IFERROR(_xlfn.LET(_xlpm.e,E80,_xlpm.f,F80,_xlpm.h,H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97</v>
      </c>
      <c r="N80" s="15" cm="1">
        <f t="array" ref="N80">IFERROR(_xlfn.LET(_xlpm.e,E80,_xlpm.f,F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80" s="15" t="str">
        <f t="shared" si="2"/>
        <v>98% - 97%</v>
      </c>
      <c r="P80" s="34" cm="1">
        <f t="array" ref="P80">IFERROR(_xlfn.LET(_xlpm.g,G80,_xlpm.f,F80,_xlpm.h,H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1.0309267722404409E-2</v>
      </c>
      <c r="Q80" s="15" t="str" cm="1">
        <f t="array" ref="Q80">IFERROR(_xlfn.LET(_xlpm.e,E80,_xlpm.g,G80,_xlpm.h,H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0" s="15" t="str">
        <f t="shared" si="3"/>
        <v>🔴 Lagging</v>
      </c>
      <c r="S80" s="35" cm="1">
        <f t="array" ref="S80">IFERROR(_xlfn.LET(_xlpm.e,E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</v>
      </c>
      <c r="T80" s="36">
        <f t="shared" si="4"/>
        <v>7.6922992392316054</v>
      </c>
      <c r="U80" s="15">
        <f t="shared" si="5"/>
        <v>534</v>
      </c>
      <c r="V80" s="16">
        <f t="shared" si="6"/>
        <v>977.28642605887251</v>
      </c>
      <c r="W80" s="16">
        <f t="shared" si="7"/>
        <v>2430.3666944063639</v>
      </c>
      <c r="X80" s="37">
        <f t="shared" si="8"/>
        <v>89</v>
      </c>
      <c r="Y80" s="15" t="str">
        <f t="shared" si="9"/>
        <v>📉 Low</v>
      </c>
    </row>
    <row r="81" spans="1:25" x14ac:dyDescent="0.2">
      <c r="A81" t="str">
        <f>'5. KPI Baselines'!A66</f>
        <v>American Oncology Network</v>
      </c>
      <c r="B81" t="str">
        <f>'5. KPI Baselines'!B66</f>
        <v>Patient Engagement</v>
      </c>
      <c r="C81" t="str">
        <f>'5. KPI Baselines'!C66</f>
        <v>Appointment Management</v>
      </c>
      <c r="D81" t="str">
        <f>'5. KPI Baselines'!D66</f>
        <v>No-Show Rate</v>
      </c>
      <c r="E81" t="str">
        <f>'5. KPI Baselines'!E66</f>
        <v>12%</v>
      </c>
      <c r="F81" t="str">
        <f>'5. KPI Baselines'!F66</f>
        <v>5%</v>
      </c>
      <c r="G81" t="str">
        <f>'5. KPI Baselines'!G66</f>
        <v>6%</v>
      </c>
      <c r="H81" t="str">
        <f>'5. KPI Baselines'!H66</f>
        <v>↓</v>
      </c>
      <c r="I81" t="str">
        <f>'5. KPI Baselines'!I66</f>
        <v>12 months</v>
      </c>
      <c r="J81" t="str">
        <f>'5. KPI Baselines'!J66</f>
        <v>Scheduling system reports</v>
      </c>
      <c r="K81" s="15" t="str">
        <f t="shared" si="1"/>
        <v>12% → 5%</v>
      </c>
      <c r="L81" s="34" cm="1">
        <f t="array" ref="L81">IFERROR(_xlfn.LET(_xlpm.e,E81,_xlpm.f,F81,_xlpm.h,H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81" s="15" cm="1">
        <f t="array" ref="M81">IFERROR(_xlfn.LET(_xlpm.e,E81,_xlpm.f,F81,_xlpm.h,H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81" s="15" cm="1">
        <f t="array" ref="N81">IFERROR(_xlfn.LET(_xlpm.e,E81,_xlpm.f,F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81" s="15" t="str">
        <f t="shared" si="2"/>
        <v>6% → 5%</v>
      </c>
      <c r="P81" s="34" cm="1">
        <f t="array" ref="P81">IFERROR(_xlfn.LET(_xlpm.g,G81,_xlpm.f,F81,_xlpm.h,H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0.16666388893518441</v>
      </c>
      <c r="Q81" s="15" t="str" cm="1">
        <f t="array" ref="Q81">IFERROR(_xlfn.LET(_xlpm.e,E81,_xlpm.g,G81,_xlpm.h,H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1" s="15" t="str">
        <f t="shared" si="3"/>
        <v>🔴 Lagging</v>
      </c>
      <c r="S81" s="35" cm="1">
        <f t="array" ref="S81">IFERROR(_xlfn.LET(_xlpm.e,E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81" s="36">
        <f t="shared" si="4"/>
        <v>58.33284722627311</v>
      </c>
      <c r="U81" s="15">
        <f t="shared" si="5"/>
        <v>160</v>
      </c>
      <c r="V81" s="16">
        <f t="shared" si="6"/>
        <v>977.27935600536659</v>
      </c>
      <c r="W81" s="16">
        <f t="shared" si="7"/>
        <v>2430.3491122297269</v>
      </c>
      <c r="X81" s="37">
        <f t="shared" si="8"/>
        <v>89</v>
      </c>
      <c r="Y81" s="15" t="str">
        <f t="shared" si="9"/>
        <v>🔥 Critical</v>
      </c>
    </row>
    <row r="82" spans="1:25" x14ac:dyDescent="0.2">
      <c r="A82" t="str">
        <f>'5. KPI Baselines'!A67</f>
        <v>American Oncology Network</v>
      </c>
      <c r="B82" t="str">
        <f>'5. KPI Baselines'!B67</f>
        <v>Patient Engagement</v>
      </c>
      <c r="C82" t="str">
        <f>'5. KPI Baselines'!C67</f>
        <v>Financial Counseling</v>
      </c>
      <c r="D82" t="str">
        <f>'5. KPI Baselines'!D67</f>
        <v>Patient Payment Collection Rate</v>
      </c>
      <c r="E82" t="str">
        <f>'5. KPI Baselines'!E67</f>
        <v>68%</v>
      </c>
      <c r="F82" t="str">
        <f>'5. KPI Baselines'!F67</f>
        <v>82%</v>
      </c>
      <c r="G82" t="str">
        <f>'5. KPI Baselines'!G67</f>
        <v>78%</v>
      </c>
      <c r="H82" t="str">
        <f>'5. KPI Baselines'!H67</f>
        <v>↑</v>
      </c>
      <c r="I82" t="str">
        <f>'5. KPI Baselines'!I67</f>
        <v>18 months</v>
      </c>
      <c r="J82" t="str">
        <f>'5. KPI Baselines'!J67</f>
        <v>Billing system analytics</v>
      </c>
      <c r="K82" s="15" t="str">
        <f t="shared" ref="K82:K145" si="10">IFERROR(IF(OR(E82="",F82=""),"-",IF(H82="↓",E82&amp;" → "&amp;F82,F82&amp;" - "&amp;E82)),"-")</f>
        <v>82% - 68%</v>
      </c>
      <c r="L82" s="34" cm="1">
        <f t="array" ref="L82">IFERROR(_xlfn.LET(_xlpm.e,E82,_xlpm.f,F82,_xlpm.h,H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0.20588205017345562</v>
      </c>
      <c r="M82" s="15" cm="1">
        <f t="array" ref="M82">IFERROR(_xlfn.LET(_xlpm.e,E82,_xlpm.f,F82,_xlpm.h,H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79.900000000000006</v>
      </c>
      <c r="N82" s="15" cm="1">
        <f t="array" ref="N82">IFERROR(_xlfn.LET(_xlpm.e,E82,_xlpm.f,F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82" s="15" t="str">
        <f t="shared" ref="O82:O145" si="11">IFERROR(IF(OR(G82="",G82="Not Available",F82=""),"-",IF(H82="↓",G82&amp;" → "&amp;F82,F82&amp;" - "&amp;G82)),"-")</f>
        <v>82% - 78%</v>
      </c>
      <c r="P82" s="34" cm="1">
        <f t="array" ref="P82">IFERROR(_xlfn.LET(_xlpm.g,G82,_xlpm.f,F82,_xlpm.h,H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5.128198553591598E-2</v>
      </c>
      <c r="Q82" s="15" t="str" cm="1">
        <f t="array" ref="Q82">IFERROR(_xlfn.LET(_xlpm.e,E82,_xlpm.g,G82,_xlpm.h,H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2" s="15" t="str">
        <f t="shared" ref="R82:R145" si="12">IFERROR(IF(Q82="Below Industry","🔴 Lagging",IF(Q82="Above Industry","🟢 Leading","⚪ N/A")),"⚪ N/A")</f>
        <v>🔴 Lagging</v>
      </c>
      <c r="S82" s="35" cm="1">
        <f t="array" ref="S82">IFERROR(_xlfn.LET(_xlpm.e,E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82" s="36">
        <f t="shared" ref="T82:T145" si="13">IFERROR(IF(L82="-",0,ABS(L82)*100),0)</f>
        <v>20.588205017345562</v>
      </c>
      <c r="U82" s="15">
        <f t="shared" ref="U82:U145" si="14">IFERROR(RANK(T82,$T$17:$T$662,0),"-")</f>
        <v>462</v>
      </c>
      <c r="V82" s="16">
        <f t="shared" ref="V82:V145" si="15">IFERROR(IF(OR(L82="-",S82=0),0,S82*ABS(L82)*$F$9*$B$5*$B$7),0)</f>
        <v>1954.5721256292268</v>
      </c>
      <c r="W82" s="16">
        <f t="shared" ref="W82:W145" si="16">IFERROR(IF(V82=0,0,V82*(1-(1/(1+$B$11)^$B$10))/$B$11),0)</f>
        <v>4860.7315821433103</v>
      </c>
      <c r="X82" s="37">
        <f t="shared" ref="X82:X145" si="17">IFERROR(IF(V82=0,"-",ROUND(12/(V82/($F$9*40)+0.001),0)),"-")</f>
        <v>45</v>
      </c>
      <c r="Y82" s="15" t="str">
        <f t="shared" ref="Y82:Y145" si="18">IF(T82&gt;=50,"🔥 Critical",IF(T82&gt;=25,"⚠️ High",IF(T82&gt;=10,"📊 Medium","📉 Low")))</f>
        <v>📊 Medium</v>
      </c>
    </row>
    <row r="83" spans="1:25" x14ac:dyDescent="0.2">
      <c r="A83" t="str">
        <f>'5. KPI Baselines'!A68</f>
        <v>American Oncology Network</v>
      </c>
      <c r="B83" t="str">
        <f>'5. KPI Baselines'!B68</f>
        <v>Clinical Research</v>
      </c>
      <c r="C83" t="str">
        <f>'5. KPI Baselines'!C68</f>
        <v>Trial Matching</v>
      </c>
      <c r="D83" t="str">
        <f>'5. KPI Baselines'!D68</f>
        <v>Trial Enrollment Rate</v>
      </c>
      <c r="E83" t="str">
        <f>'5. KPI Baselines'!E68</f>
        <v>3.2%</v>
      </c>
      <c r="F83" t="str">
        <f>'5. KPI Baselines'!F68</f>
        <v>6.5%</v>
      </c>
      <c r="G83" t="str">
        <f>'5. KPI Baselines'!G68</f>
        <v>5.8%</v>
      </c>
      <c r="H83" t="str">
        <f>'5. KPI Baselines'!H68</f>
        <v>↑</v>
      </c>
      <c r="I83" t="str">
        <f>'5. KPI Baselines'!I68</f>
        <v>24 months</v>
      </c>
      <c r="J83" t="str">
        <f>'5. KPI Baselines'!J68</f>
        <v>Trial database vs patient volume</v>
      </c>
      <c r="K83" s="15" t="str">
        <f t="shared" si="10"/>
        <v>6.5% - 3.2%</v>
      </c>
      <c r="L83" s="34" cm="1">
        <f t="array" ref="L83">IFERROR(_xlfn.LET(_xlpm.e,E83,_xlpm.f,F83,_xlpm.h,H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1.0312177744445483</v>
      </c>
      <c r="M83" s="15" cm="1">
        <f t="array" ref="M83">IFERROR(_xlfn.LET(_xlpm.e,E83,_xlpm.f,F83,_xlpm.h,H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</v>
      </c>
      <c r="N83" s="15" cm="1">
        <f t="array" ref="N83">IFERROR(_xlfn.LET(_xlpm.e,E83,_xlpm.f,F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2.52</v>
      </c>
      <c r="O83" s="15" t="str">
        <f t="shared" si="11"/>
        <v>6.5% - 5.8%</v>
      </c>
      <c r="P83" s="34" cm="1">
        <f t="array" ref="P83">IFERROR(_xlfn.LET(_xlpm.g,G83,_xlpm.f,F83,_xlpm.h,H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0.12068757435216639</v>
      </c>
      <c r="Q83" s="15" t="str" cm="1">
        <f t="array" ref="Q83">IFERROR(_xlfn.LET(_xlpm.e,E83,_xlpm.g,G83,_xlpm.h,H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3" s="15" t="str">
        <f t="shared" si="12"/>
        <v>🔴 Lagging</v>
      </c>
      <c r="S83" s="35" cm="1">
        <f t="array" ref="S83">IFERROR(_xlfn.LET(_xlpm.e,E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83" s="36">
        <f t="shared" si="13"/>
        <v>103.12177744445484</v>
      </c>
      <c r="U83" s="15">
        <f t="shared" si="14"/>
        <v>9</v>
      </c>
      <c r="V83" s="16">
        <f t="shared" si="15"/>
        <v>460.70685291084641</v>
      </c>
      <c r="W83" s="16">
        <f t="shared" si="16"/>
        <v>1145.7097544214146</v>
      </c>
      <c r="X83" s="37">
        <f t="shared" si="17"/>
        <v>187</v>
      </c>
      <c r="Y83" s="15" t="str">
        <f t="shared" si="18"/>
        <v>🔥 Critical</v>
      </c>
    </row>
    <row r="84" spans="1:25" x14ac:dyDescent="0.2">
      <c r="A84" t="str">
        <f>'5. KPI Baselines'!A69</f>
        <v>American Oncology Network</v>
      </c>
      <c r="B84" t="str">
        <f>'5. KPI Baselines'!B69</f>
        <v>Quality &amp; Compliance</v>
      </c>
      <c r="C84" t="str">
        <f>'5. KPI Baselines'!C69</f>
        <v>Regulatory Reporting</v>
      </c>
      <c r="D84" t="str">
        <f>'5. KPI Baselines'!D69</f>
        <v>Quality Measure Documentation Time</v>
      </c>
      <c r="E84" t="str">
        <f>'5. KPI Baselines'!E69</f>
        <v>45 hours per month</v>
      </c>
      <c r="F84" t="str">
        <f>'5. KPI Baselines'!F69</f>
        <v>20 hours per month</v>
      </c>
      <c r="G84" t="str">
        <f>'5. KPI Baselines'!G69</f>
        <v>28 hours per month</v>
      </c>
      <c r="H84" t="str">
        <f>'5. KPI Baselines'!H69</f>
        <v>↓</v>
      </c>
      <c r="I84" t="str">
        <f>'5. KPI Baselines'!I69</f>
        <v>12 months</v>
      </c>
      <c r="J84" t="str">
        <f>'5. KPI Baselines'!J69</f>
        <v>Staff time tracking</v>
      </c>
      <c r="K84" s="15" t="str">
        <f t="shared" si="10"/>
        <v>45 hours per month → 20 hours per month</v>
      </c>
      <c r="L84" s="34" t="str" cm="1">
        <f t="array" ref="L84">IFERROR(_xlfn.LET(_xlpm.e,E84,_xlpm.f,F84,_xlpm.h,H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84" s="15" t="str" cm="1">
        <f t="array" ref="M84">IFERROR(_xlfn.LET(_xlpm.e,E84,_xlpm.f,F84,_xlpm.h,H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84" s="15" t="str" cm="1">
        <f t="array" ref="N84">IFERROR(_xlfn.LET(_xlpm.e,E84,_xlpm.f,F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84" s="15" t="str">
        <f t="shared" si="11"/>
        <v>28 hours per month → 20 hours per month</v>
      </c>
      <c r="P84" s="34" t="str" cm="1">
        <f t="array" ref="P84">IFERROR(_xlfn.LET(_xlpm.g,G84,_xlpm.f,F84,_xlpm.h,H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84" s="15" t="str" cm="1">
        <f t="array" ref="Q84">IFERROR(_xlfn.LET(_xlpm.e,E84,_xlpm.g,G84,_xlpm.h,H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84" s="15" t="str">
        <f t="shared" si="12"/>
        <v>⚪ N/A</v>
      </c>
      <c r="S84" s="35" cm="1">
        <f t="array" ref="S84">IFERROR(_xlfn.LET(_xlpm.e,E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84" s="36">
        <f t="shared" si="13"/>
        <v>0</v>
      </c>
      <c r="U84" s="15">
        <f t="shared" si="14"/>
        <v>554</v>
      </c>
      <c r="V84" s="16">
        <f t="shared" si="15"/>
        <v>0</v>
      </c>
      <c r="W84" s="16">
        <f t="shared" si="16"/>
        <v>0</v>
      </c>
      <c r="X84" s="37" t="str">
        <f t="shared" si="17"/>
        <v>-</v>
      </c>
      <c r="Y84" s="15" t="str">
        <f t="shared" si="18"/>
        <v>📉 Low</v>
      </c>
    </row>
    <row r="85" spans="1:25" x14ac:dyDescent="0.2">
      <c r="A85" t="str">
        <f>'5. KPI Baselines'!A70</f>
        <v>American Oncology Network</v>
      </c>
      <c r="B85" t="str">
        <f>'5. KPI Baselines'!B70</f>
        <v>Network Development</v>
      </c>
      <c r="C85" t="str">
        <f>'5. KPI Baselines'!C70</f>
        <v>Physician Recruitment</v>
      </c>
      <c r="D85" t="str">
        <f>'5. KPI Baselines'!D70</f>
        <v>Time to Credential New Providers</v>
      </c>
      <c r="E85" t="str">
        <f>'5. KPI Baselines'!E70</f>
        <v>90 days</v>
      </c>
      <c r="F85" t="str">
        <f>'5. KPI Baselines'!F70</f>
        <v>45 days</v>
      </c>
      <c r="G85" t="str">
        <f>'5. KPI Baselines'!G70</f>
        <v>60 days</v>
      </c>
      <c r="H85" t="str">
        <f>'5. KPI Baselines'!H70</f>
        <v>↓</v>
      </c>
      <c r="I85" t="str">
        <f>'5. KPI Baselines'!I70</f>
        <v>18 months</v>
      </c>
      <c r="J85" t="str">
        <f>'5. KPI Baselines'!J70</f>
        <v>Credentialing workflow timestamps</v>
      </c>
      <c r="K85" s="15" t="str">
        <f t="shared" si="10"/>
        <v>90 days → 45 days</v>
      </c>
      <c r="L85" s="34" cm="1">
        <f t="array" ref="L85">IFERROR(_xlfn.LET(_xlpm.e,E85,_xlpm.f,F85,_xlpm.h,H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0.49999944444506172</v>
      </c>
      <c r="M85" s="15" cm="1">
        <f t="array" ref="M85">IFERROR(_xlfn.LET(_xlpm.e,E85,_xlpm.f,F85,_xlpm.h,H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51.8</v>
      </c>
      <c r="N85" s="15" cm="1">
        <f t="array" ref="N85">IFERROR(_xlfn.LET(_xlpm.e,E85,_xlpm.f,F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34.43</v>
      </c>
      <c r="O85" s="15" t="str">
        <f t="shared" si="11"/>
        <v>60 days → 45 days</v>
      </c>
      <c r="P85" s="34" cm="1">
        <f t="array" ref="P85">IFERROR(_xlfn.LET(_xlpm.g,G85,_xlpm.f,F85,_xlpm.h,H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0.24999958333402778</v>
      </c>
      <c r="Q85" s="15" t="str" cm="1">
        <f t="array" ref="Q85">IFERROR(_xlfn.LET(_xlpm.e,E85,_xlpm.g,G85,_xlpm.h,H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5" s="15" t="str">
        <f t="shared" si="12"/>
        <v>🔴 Lagging</v>
      </c>
      <c r="S85" s="35" cm="1">
        <f t="array" ref="S85">IFERROR(_xlfn.LET(_xlpm.e,E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90</v>
      </c>
      <c r="T85" s="36">
        <f t="shared" si="13"/>
        <v>49.99994444450617</v>
      </c>
      <c r="U85" s="15">
        <f t="shared" si="14"/>
        <v>220</v>
      </c>
      <c r="V85" s="16">
        <f t="shared" si="15"/>
        <v>6282.5555193827558</v>
      </c>
      <c r="W85" s="16">
        <f t="shared" si="16"/>
        <v>15623.785701845936</v>
      </c>
      <c r="X85" s="37">
        <f t="shared" si="17"/>
        <v>14</v>
      </c>
      <c r="Y85" s="15" t="str">
        <f t="shared" si="18"/>
        <v>⚠️ High</v>
      </c>
    </row>
    <row r="86" spans="1:25" x14ac:dyDescent="0.2">
      <c r="A86" t="str">
        <f>'5. KPI Baselines'!A71</f>
        <v>American Oncology Network</v>
      </c>
      <c r="B86" t="str">
        <f>'5. KPI Baselines'!B71</f>
        <v>Pharmacy Services</v>
      </c>
      <c r="C86" t="str">
        <f>'5. KPI Baselines'!C71</f>
        <v>Medication Management</v>
      </c>
      <c r="D86" t="str">
        <f>'5. KPI Baselines'!D71</f>
        <v>Specialty Pharmacy Fill Rate</v>
      </c>
      <c r="E86" t="str">
        <f>'5. KPI Baselines'!E71</f>
        <v>76%</v>
      </c>
      <c r="F86" t="str">
        <f>'5. KPI Baselines'!F71</f>
        <v>88%</v>
      </c>
      <c r="G86" t="str">
        <f>'5. KPI Baselines'!G71</f>
        <v>85%</v>
      </c>
      <c r="H86" t="str">
        <f>'5. KPI Baselines'!H71</f>
        <v>↑</v>
      </c>
      <c r="I86" t="str">
        <f>'5. KPI Baselines'!I71</f>
        <v>12 months</v>
      </c>
      <c r="J86" t="str">
        <f>'5. KPI Baselines'!J71</f>
        <v>Prescription transfer rate</v>
      </c>
      <c r="K86" s="15" t="str">
        <f t="shared" si="10"/>
        <v>88% - 76%</v>
      </c>
      <c r="L86" s="34" cm="1">
        <f t="array" ref="L86">IFERROR(_xlfn.LET(_xlpm.e,E86,_xlpm.f,F86,_xlpm.h,H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0.15789452908614593</v>
      </c>
      <c r="M86" s="15" cm="1">
        <f t="array" ref="M86">IFERROR(_xlfn.LET(_xlpm.e,E86,_xlpm.f,F86,_xlpm.h,H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86.2</v>
      </c>
      <c r="N86" s="15" cm="1">
        <f t="array" ref="N86">IFERROR(_xlfn.LET(_xlpm.e,E86,_xlpm.f,F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86" s="15" t="str">
        <f t="shared" si="11"/>
        <v>88% - 85%</v>
      </c>
      <c r="P86" s="34" cm="1">
        <f t="array" ref="P86">IFERROR(_xlfn.LET(_xlpm.g,G86,_xlpm.f,F86,_xlpm.h,H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3.5294076124616325E-2</v>
      </c>
      <c r="Q86" s="15" t="str" cm="1">
        <f t="array" ref="Q86">IFERROR(_xlfn.LET(_xlpm.e,E86,_xlpm.g,G86,_xlpm.h,H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6" s="15" t="str">
        <f t="shared" si="12"/>
        <v>🔴 Lagging</v>
      </c>
      <c r="S86" s="35" cm="1">
        <f t="array" ref="S86">IFERROR(_xlfn.LET(_xlpm.e,E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76</v>
      </c>
      <c r="T86" s="36">
        <f t="shared" si="13"/>
        <v>15.789452908614592</v>
      </c>
      <c r="U86" s="15">
        <f t="shared" si="14"/>
        <v>495</v>
      </c>
      <c r="V86" s="16">
        <f t="shared" si="15"/>
        <v>1675.3477955950054</v>
      </c>
      <c r="W86" s="16">
        <f t="shared" si="16"/>
        <v>4166.3420010664704</v>
      </c>
      <c r="X86" s="37">
        <f t="shared" si="17"/>
        <v>52</v>
      </c>
      <c r="Y86" s="15" t="str">
        <f t="shared" si="18"/>
        <v>📊 Medium</v>
      </c>
    </row>
    <row r="87" spans="1:25" x14ac:dyDescent="0.2">
      <c r="A87" t="str">
        <f>'5. KPI Baselines'!A72</f>
        <v>Ascential Technologies</v>
      </c>
      <c r="B87" t="str">
        <f>'5. KPI Baselines'!B72</f>
        <v>Data Operations</v>
      </c>
      <c r="C87" t="str">
        <f>'5. KPI Baselines'!C72</f>
        <v>Data Quality</v>
      </c>
      <c r="D87" t="str">
        <f>'5. KPI Baselines'!D72</f>
        <v>Data Validation Error Rate</v>
      </c>
      <c r="E87" t="str">
        <f>'5. KPI Baselines'!E72</f>
        <v>8.2%</v>
      </c>
      <c r="F87" t="str">
        <f>'5. KPI Baselines'!F72</f>
        <v>3.0%</v>
      </c>
      <c r="G87" t="str">
        <f>'5. KPI Baselines'!G72</f>
        <v>2.5%</v>
      </c>
      <c r="H87" t="str">
        <f>'5. KPI Baselines'!H72</f>
        <v>↓</v>
      </c>
      <c r="I87" t="str">
        <f>'5. KPI Baselines'!I72</f>
        <v>12 months</v>
      </c>
      <c r="J87" t="str">
        <f>'5. KPI Baselines'!J72</f>
        <v>Automated validation checks per ingestion batch</v>
      </c>
      <c r="K87" s="15" t="str">
        <f t="shared" si="10"/>
        <v>8.2% → 3.0%</v>
      </c>
      <c r="L87" s="34" cm="1">
        <f t="array" ref="L87">IFERROR(_xlfn.LET(_xlpm.e,E87,_xlpm.f,F87,_xlpm.h,H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0.63413860806575528</v>
      </c>
      <c r="M87" s="15" cm="1">
        <f t="array" ref="M87">IFERROR(_xlfn.LET(_xlpm.e,E87,_xlpm.f,F87,_xlpm.h,H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87" s="15" cm="1">
        <f t="array" ref="N87">IFERROR(_xlfn.LET(_xlpm.e,E87,_xlpm.f,F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3.98</v>
      </c>
      <c r="O87" s="15" t="str">
        <f t="shared" si="11"/>
        <v>2.5% → 3.0%</v>
      </c>
      <c r="P87" s="34" cm="1">
        <f t="array" ref="P87">IFERROR(_xlfn.LET(_xlpm.g,G87,_xlpm.f,F87,_xlpm.h,H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-0.19999200031998718</v>
      </c>
      <c r="Q87" s="15" t="str" cm="1">
        <f t="array" ref="Q87">IFERROR(_xlfn.LET(_xlpm.e,E87,_xlpm.g,G87,_xlpm.h,H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7" s="15" t="str">
        <f t="shared" si="12"/>
        <v>🔴 Lagging</v>
      </c>
      <c r="S87" s="35" cm="1">
        <f t="array" ref="S87">IFERROR(_xlfn.LET(_xlpm.e,E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8.1999999999999993</v>
      </c>
      <c r="T87" s="36">
        <f t="shared" si="13"/>
        <v>63.413860806575528</v>
      </c>
      <c r="U87" s="15">
        <f t="shared" si="14"/>
        <v>124</v>
      </c>
      <c r="V87" s="16">
        <f t="shared" si="15"/>
        <v>725.97614663235811</v>
      </c>
      <c r="W87" s="16">
        <f t="shared" si="16"/>
        <v>1805.3952256597352</v>
      </c>
      <c r="X87" s="37">
        <f t="shared" si="17"/>
        <v>119</v>
      </c>
      <c r="Y87" s="15" t="str">
        <f t="shared" si="18"/>
        <v>🔥 Critical</v>
      </c>
    </row>
    <row r="88" spans="1:25" x14ac:dyDescent="0.2">
      <c r="A88" t="str">
        <f>'5. KPI Baselines'!A73</f>
        <v>Ascential Technologies</v>
      </c>
      <c r="B88" t="str">
        <f>'5. KPI Baselines'!B73</f>
        <v>Data Operations</v>
      </c>
      <c r="C88" t="str">
        <f>'5. KPI Baselines'!C73</f>
        <v>Data Ingestion</v>
      </c>
      <c r="D88" t="str">
        <f>'5. KPI Baselines'!D73</f>
        <v>Time to Client-Ready Insights</v>
      </c>
      <c r="E88" t="str">
        <f>'5. KPI Baselines'!E73</f>
        <v>19 days</v>
      </c>
      <c r="F88" t="str">
        <f>'5. KPI Baselines'!F73</f>
        <v>7 days</v>
      </c>
      <c r="G88" t="str">
        <f>'5. KPI Baselines'!G73</f>
        <v>5 days</v>
      </c>
      <c r="H88" t="str">
        <f>'5. KPI Baselines'!H73</f>
        <v>↓</v>
      </c>
      <c r="I88" t="str">
        <f>'5. KPI Baselines'!I73</f>
        <v>18 months</v>
      </c>
      <c r="J88" t="str">
        <f>'5. KPI Baselines'!J73</f>
        <v>Timestamp from source ingestion to dashboard publication</v>
      </c>
      <c r="K88" s="15" t="str">
        <f t="shared" si="10"/>
        <v>19 days → 7 days</v>
      </c>
      <c r="L88" s="34" cm="1">
        <f t="array" ref="L88">IFERROR(_xlfn.LET(_xlpm.e,E88,_xlpm.f,F88,_xlpm.h,H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0.63157562328619321</v>
      </c>
      <c r="M88" s="15" cm="1">
        <f t="array" ref="M88">IFERROR(_xlfn.LET(_xlpm.e,E88,_xlpm.f,F88,_xlpm.h,H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8.8000000000000007</v>
      </c>
      <c r="N88" s="15" cm="1">
        <f t="array" ref="N88">IFERROR(_xlfn.LET(_xlpm.e,E88,_xlpm.f,F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88" s="15" t="str">
        <f t="shared" si="11"/>
        <v>5 days → 7 days</v>
      </c>
      <c r="P88" s="34" cm="1">
        <f t="array" ref="P88">IFERROR(_xlfn.LET(_xlpm.g,G88,_xlpm.f,F88,_xlpm.h,H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-0.39999200015999681</v>
      </c>
      <c r="Q88" s="15" t="str" cm="1">
        <f t="array" ref="Q88">IFERROR(_xlfn.LET(_xlpm.e,E88,_xlpm.g,G88,_xlpm.h,H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8" s="15" t="str">
        <f t="shared" si="12"/>
        <v>🔴 Lagging</v>
      </c>
      <c r="S88" s="35" cm="1">
        <f t="array" ref="S88">IFERROR(_xlfn.LET(_xlpm.e,E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88" s="36">
        <f t="shared" si="13"/>
        <v>63.157562328619321</v>
      </c>
      <c r="U88" s="15">
        <f t="shared" si="14"/>
        <v>127</v>
      </c>
      <c r="V88" s="16">
        <f t="shared" si="15"/>
        <v>1675.3411824148293</v>
      </c>
      <c r="W88" s="16">
        <f t="shared" si="16"/>
        <v>4166.3255550661825</v>
      </c>
      <c r="X88" s="37">
        <f t="shared" si="17"/>
        <v>52</v>
      </c>
      <c r="Y88" s="15" t="str">
        <f t="shared" si="18"/>
        <v>🔥 Critical</v>
      </c>
    </row>
    <row r="89" spans="1:25" x14ac:dyDescent="0.2">
      <c r="A89" t="str">
        <f>'5. KPI Baselines'!A74</f>
        <v>Ascential Technologies</v>
      </c>
      <c r="B89" t="str">
        <f>'5. KPI Baselines'!B74</f>
        <v>Research &amp; Analysis</v>
      </c>
      <c r="C89" t="str">
        <f>'5. KPI Baselines'!C74</f>
        <v>Knowledge Management</v>
      </c>
      <c r="D89" t="str">
        <f>'5. KPI Baselines'!D74</f>
        <v>Research Asset Utilization Rate</v>
      </c>
      <c r="E89" t="str">
        <f>'5. KPI Baselines'!E74</f>
        <v>31%</v>
      </c>
      <c r="F89" t="str">
        <f>'5. KPI Baselines'!F74</f>
        <v>60%</v>
      </c>
      <c r="G89" t="str">
        <f>'5. KPI Baselines'!G74</f>
        <v>68%</v>
      </c>
      <c r="H89" t="str">
        <f>'5. KPI Baselines'!H74</f>
        <v>↑</v>
      </c>
      <c r="I89" t="str">
        <f>'5. KPI Baselines'!I74</f>
        <v>12 months</v>
      </c>
      <c r="J89" t="str">
        <f>'5. KPI Baselines'!J74</f>
        <v>Citations in client deliverables divided by total archived reports</v>
      </c>
      <c r="K89" s="15" t="str">
        <f t="shared" si="10"/>
        <v>60% - 31%</v>
      </c>
      <c r="L89" s="34" cm="1">
        <f t="array" ref="L89">IFERROR(_xlfn.LET(_xlpm.e,E89,_xlpm.f,F89,_xlpm.h,H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0.93548085328757002</v>
      </c>
      <c r="M89" s="15" cm="1">
        <f t="array" ref="M89">IFERROR(_xlfn.LET(_xlpm.e,E89,_xlpm.f,F89,_xlpm.h,H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55.7</v>
      </c>
      <c r="N89" s="15" cm="1">
        <f t="array" ref="N89">IFERROR(_xlfn.LET(_xlpm.e,E89,_xlpm.f,F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22.19</v>
      </c>
      <c r="O89" s="15" t="str">
        <f t="shared" si="11"/>
        <v>60% - 68%</v>
      </c>
      <c r="P89" s="34" cm="1">
        <f t="array" ref="P89">IFERROR(_xlfn.LET(_xlpm.g,G89,_xlpm.f,F89,_xlpm.h,H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-0.11764688581340321</v>
      </c>
      <c r="Q89" s="15" t="str" cm="1">
        <f t="array" ref="Q89">IFERROR(_xlfn.LET(_xlpm.e,E89,_xlpm.g,G89,_xlpm.h,H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89" s="15" t="str">
        <f t="shared" si="12"/>
        <v>🔴 Lagging</v>
      </c>
      <c r="S89" s="35" cm="1">
        <f t="array" ref="S89">IFERROR(_xlfn.LET(_xlpm.e,E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31</v>
      </c>
      <c r="T89" s="36">
        <f t="shared" si="13"/>
        <v>93.548085328756997</v>
      </c>
      <c r="U89" s="15">
        <f t="shared" si="14"/>
        <v>14</v>
      </c>
      <c r="V89" s="16">
        <f t="shared" si="15"/>
        <v>4048.7494395179374</v>
      </c>
      <c r="W89" s="16">
        <f t="shared" si="16"/>
        <v>10068.640604661445</v>
      </c>
      <c r="X89" s="37">
        <f t="shared" si="17"/>
        <v>22</v>
      </c>
      <c r="Y89" s="15" t="str">
        <f t="shared" si="18"/>
        <v>🔥 Critical</v>
      </c>
    </row>
    <row r="90" spans="1:25" x14ac:dyDescent="0.2">
      <c r="A90" t="str">
        <f>'5. KPI Baselines'!A75</f>
        <v>Ascential Technologies</v>
      </c>
      <c r="B90" t="str">
        <f>'5. KPI Baselines'!B75</f>
        <v>Research &amp; Analysis</v>
      </c>
      <c r="C90" t="str">
        <f>'5. KPI Baselines'!C75</f>
        <v>Content Production</v>
      </c>
      <c r="D90" t="str">
        <f>'5. KPI Baselines'!D75</f>
        <v>Research Duplication Hours</v>
      </c>
      <c r="E90" t="str">
        <f>'5. KPI Baselines'!E75</f>
        <v>12,500 hours/year</v>
      </c>
      <c r="F90" t="str">
        <f>'5. KPI Baselines'!F75</f>
        <v>4,800 hours/year</v>
      </c>
      <c r="G90" t="str">
        <f>'5. KPI Baselines'!G75</f>
        <v>3,200 hours/year</v>
      </c>
      <c r="H90" t="str">
        <f>'5. KPI Baselines'!H75</f>
        <v>↓</v>
      </c>
      <c r="I90" t="str">
        <f>'5. KPI Baselines'!I75</f>
        <v>12 months</v>
      </c>
      <c r="J90" t="str">
        <f>'5. KPI Baselines'!J75</f>
        <v>Time tracking analysis of recreated versus original research</v>
      </c>
      <c r="K90" s="15" t="str">
        <f t="shared" si="10"/>
        <v>12,500 hours/year → 4,800 hours/year</v>
      </c>
      <c r="L90" s="34" t="str" cm="1">
        <f t="array" ref="L90">IFERROR(_xlfn.LET(_xlpm.e,E90,_xlpm.f,F90,_xlpm.h,H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90" s="15" t="str" cm="1">
        <f t="array" ref="M90">IFERROR(_xlfn.LET(_xlpm.e,E90,_xlpm.f,F90,_xlpm.h,H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90" s="15" t="str" cm="1">
        <f t="array" ref="N90">IFERROR(_xlfn.LET(_xlpm.e,E90,_xlpm.f,F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90" s="15" t="str">
        <f t="shared" si="11"/>
        <v>3,200 hours/year → 4,800 hours/year</v>
      </c>
      <c r="P90" s="34" t="str" cm="1">
        <f t="array" ref="P90">IFERROR(_xlfn.LET(_xlpm.g,G90,_xlpm.f,F90,_xlpm.h,H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90" s="15" t="str" cm="1">
        <f t="array" ref="Q90">IFERROR(_xlfn.LET(_xlpm.e,E90,_xlpm.g,G90,_xlpm.h,H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90" s="15" t="str">
        <f t="shared" si="12"/>
        <v>⚪ N/A</v>
      </c>
      <c r="S90" s="35" cm="1">
        <f t="array" ref="S90">IFERROR(_xlfn.LET(_xlpm.e,E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90" s="36">
        <f t="shared" si="13"/>
        <v>0</v>
      </c>
      <c r="U90" s="15">
        <f t="shared" si="14"/>
        <v>554</v>
      </c>
      <c r="V90" s="16">
        <f t="shared" si="15"/>
        <v>0</v>
      </c>
      <c r="W90" s="16">
        <f t="shared" si="16"/>
        <v>0</v>
      </c>
      <c r="X90" s="37" t="str">
        <f t="shared" si="17"/>
        <v>-</v>
      </c>
      <c r="Y90" s="15" t="str">
        <f t="shared" si="18"/>
        <v>📉 Low</v>
      </c>
    </row>
    <row r="91" spans="1:25" x14ac:dyDescent="0.2">
      <c r="A91" t="str">
        <f>'5. KPI Baselines'!A76</f>
        <v>Ascential Technologies</v>
      </c>
      <c r="B91" t="str">
        <f>'5. KPI Baselines'!B76</f>
        <v>Marketing</v>
      </c>
      <c r="C91" t="str">
        <f>'5. KPI Baselines'!C76</f>
        <v>Event Operations</v>
      </c>
      <c r="D91" t="str">
        <f>'5. KPI Baselines'!D76</f>
        <v>Event Administrative Burden</v>
      </c>
      <c r="E91" t="str">
        <f>'5. KPI Baselines'!E76</f>
        <v>9,200 hours/year</v>
      </c>
      <c r="F91" t="str">
        <f>'5. KPI Baselines'!F76</f>
        <v>4,600 hours/year</v>
      </c>
      <c r="G91" t="str">
        <f>'5. KPI Baselines'!G76</f>
        <v>4,100 hours/year</v>
      </c>
      <c r="H91" t="str">
        <f>'5. KPI Baselines'!H76</f>
        <v>↓</v>
      </c>
      <c r="I91" t="str">
        <f>'5. KPI Baselines'!I76</f>
        <v>9 months</v>
      </c>
      <c r="J91" t="str">
        <f>'5. KPI Baselines'!J76</f>
        <v>Total logged hours for event coordination and logistics</v>
      </c>
      <c r="K91" s="15" t="str">
        <f t="shared" si="10"/>
        <v>9,200 hours/year → 4,600 hours/year</v>
      </c>
      <c r="L91" s="34" t="str" cm="1">
        <f t="array" ref="L91">IFERROR(_xlfn.LET(_xlpm.e,E91,_xlpm.f,F91,_xlpm.h,H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91" s="15" t="str" cm="1">
        <f t="array" ref="M91">IFERROR(_xlfn.LET(_xlpm.e,E91,_xlpm.f,F91,_xlpm.h,H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91" s="15" t="str" cm="1">
        <f t="array" ref="N91">IFERROR(_xlfn.LET(_xlpm.e,E91,_xlpm.f,F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91" s="15" t="str">
        <f t="shared" si="11"/>
        <v>4,100 hours/year → 4,600 hours/year</v>
      </c>
      <c r="P91" s="34" t="str" cm="1">
        <f t="array" ref="P91">IFERROR(_xlfn.LET(_xlpm.g,G91,_xlpm.f,F91,_xlpm.h,H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91" s="15" t="str" cm="1">
        <f t="array" ref="Q91">IFERROR(_xlfn.LET(_xlpm.e,E91,_xlpm.g,G91,_xlpm.h,H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91" s="15" t="str">
        <f t="shared" si="12"/>
        <v>⚪ N/A</v>
      </c>
      <c r="S91" s="35" cm="1">
        <f t="array" ref="S91">IFERROR(_xlfn.LET(_xlpm.e,E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91" s="36">
        <f t="shared" si="13"/>
        <v>0</v>
      </c>
      <c r="U91" s="15">
        <f t="shared" si="14"/>
        <v>554</v>
      </c>
      <c r="V91" s="16">
        <f t="shared" si="15"/>
        <v>0</v>
      </c>
      <c r="W91" s="16">
        <f t="shared" si="16"/>
        <v>0</v>
      </c>
      <c r="X91" s="37" t="str">
        <f t="shared" si="17"/>
        <v>-</v>
      </c>
      <c r="Y91" s="15" t="str">
        <f t="shared" si="18"/>
        <v>📉 Low</v>
      </c>
    </row>
    <row r="92" spans="1:25" x14ac:dyDescent="0.2">
      <c r="A92" t="str">
        <f>'5. KPI Baselines'!A77</f>
        <v>Ascential Technologies</v>
      </c>
      <c r="B92" t="str">
        <f>'5. KPI Baselines'!B77</f>
        <v>Marketing</v>
      </c>
      <c r="C92" t="str">
        <f>'5. KPI Baselines'!C77</f>
        <v>Lead Management</v>
      </c>
      <c r="D92" t="str">
        <f>'5. KPI Baselines'!D77</f>
        <v>Event Lead Follow-Up Time</v>
      </c>
      <c r="E92" t="str">
        <f>'5. KPI Baselines'!E77</f>
        <v>23 days</v>
      </c>
      <c r="F92" t="str">
        <f>'5. KPI Baselines'!F77</f>
        <v>5 days</v>
      </c>
      <c r="G92" t="str">
        <f>'5. KPI Baselines'!G77</f>
        <v>3 days</v>
      </c>
      <c r="H92" t="str">
        <f>'5. KPI Baselines'!H77</f>
        <v>↓</v>
      </c>
      <c r="I92" t="str">
        <f>'5. KPI Baselines'!I77</f>
        <v>6 months</v>
      </c>
      <c r="J92" t="str">
        <f>'5. KPI Baselines'!J77</f>
        <v>Average days from event close to first qualified outreach</v>
      </c>
      <c r="K92" s="15" t="str">
        <f t="shared" si="10"/>
        <v>23 days → 5 days</v>
      </c>
      <c r="L92" s="34" cm="1">
        <f t="array" ref="L92">IFERROR(_xlfn.LET(_xlpm.e,E92,_xlpm.f,F92,_xlpm.h,H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0.78260529302046511</v>
      </c>
      <c r="M92" s="15" cm="1">
        <f t="array" ref="M92">IFERROR(_xlfn.LET(_xlpm.e,E92,_xlpm.f,F92,_xlpm.h,H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7.7</v>
      </c>
      <c r="N92" s="15" cm="1">
        <f t="array" ref="N92">IFERROR(_xlfn.LET(_xlpm.e,E92,_xlpm.f,F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92" s="15" t="str">
        <f t="shared" si="11"/>
        <v>3 days → 5 days</v>
      </c>
      <c r="P92" s="34" cm="1">
        <f t="array" ref="P92">IFERROR(_xlfn.LET(_xlpm.g,G92,_xlpm.f,F92,_xlpm.h,H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-0.66664444518516042</v>
      </c>
      <c r="Q92" s="15" t="str" cm="1">
        <f t="array" ref="Q92">IFERROR(_xlfn.LET(_xlpm.e,E92,_xlpm.g,G92,_xlpm.h,H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2" s="15" t="str">
        <f t="shared" si="12"/>
        <v>🔴 Lagging</v>
      </c>
      <c r="S92" s="35" cm="1">
        <f t="array" ref="S92">IFERROR(_xlfn.LET(_xlpm.e,E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92" s="36">
        <f t="shared" si="13"/>
        <v>78.260529302046507</v>
      </c>
      <c r="U92" s="15">
        <f t="shared" si="14"/>
        <v>41</v>
      </c>
      <c r="V92" s="16">
        <f t="shared" si="15"/>
        <v>2513.0140738518526</v>
      </c>
      <c r="W92" s="16">
        <f t="shared" si="16"/>
        <v>6249.4940529298565</v>
      </c>
      <c r="X92" s="37">
        <f t="shared" si="17"/>
        <v>35</v>
      </c>
      <c r="Y92" s="15" t="str">
        <f t="shared" si="18"/>
        <v>🔥 Critical</v>
      </c>
    </row>
    <row r="93" spans="1:25" x14ac:dyDescent="0.2">
      <c r="A93" t="str">
        <f>'5. KPI Baselines'!A78</f>
        <v>Ascential Technologies</v>
      </c>
      <c r="B93" t="str">
        <f>'5. KPI Baselines'!B78</f>
        <v>Client Success</v>
      </c>
      <c r="C93" t="str">
        <f>'5. KPI Baselines'!C78</f>
        <v>Retention Management</v>
      </c>
      <c r="D93" t="str">
        <f>'5. KPI Baselines'!D78</f>
        <v>Churn Prediction Lead Time</v>
      </c>
      <c r="E93" t="str">
        <f>'5. KPI Baselines'!E78</f>
        <v>8 days</v>
      </c>
      <c r="F93" t="str">
        <f>'5. KPI Baselines'!F78</f>
        <v>35 days</v>
      </c>
      <c r="G93" t="str">
        <f>'5. KPI Baselines'!G78</f>
        <v>45 days</v>
      </c>
      <c r="H93" t="str">
        <f>'5. KPI Baselines'!H78</f>
        <v>↑</v>
      </c>
      <c r="I93" t="str">
        <f>'5. KPI Baselines'!I78</f>
        <v>15 months</v>
      </c>
      <c r="J93" t="str">
        <f>'5. KPI Baselines'!J78</f>
        <v>Days between risk signal and contract expiration</v>
      </c>
      <c r="K93" s="15" t="str">
        <f t="shared" si="10"/>
        <v>35 days - 8 days</v>
      </c>
      <c r="L93" s="34" cm="1">
        <f t="array" ref="L93">IFERROR(_xlfn.LET(_xlpm.e,E93,_xlpm.f,F93,_xlpm.h,H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3.3749578130273372</v>
      </c>
      <c r="M93" s="15" cm="1">
        <f t="array" ref="M93">IFERROR(_xlfn.LET(_xlpm.e,E93,_xlpm.f,F93,_xlpm.h,H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31</v>
      </c>
      <c r="N93" s="15" cm="1">
        <f t="array" ref="N93">IFERROR(_xlfn.LET(_xlpm.e,E93,_xlpm.f,F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20.66</v>
      </c>
      <c r="O93" s="15" t="str">
        <f t="shared" si="11"/>
        <v>35 days - 45 days</v>
      </c>
      <c r="P93" s="34" cm="1">
        <f t="array" ref="P93">IFERROR(_xlfn.LET(_xlpm.g,G93,_xlpm.f,F93,_xlpm.h,H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-0.22222172839615911</v>
      </c>
      <c r="Q93" s="15" t="str" cm="1">
        <f t="array" ref="Q93">IFERROR(_xlfn.LET(_xlpm.e,E93,_xlpm.g,G93,_xlpm.h,H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3" s="15" t="str">
        <f t="shared" si="12"/>
        <v>🔴 Lagging</v>
      </c>
      <c r="S93" s="35" cm="1">
        <f t="array" ref="S93">IFERROR(_xlfn.LET(_xlpm.e,E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93" s="36">
        <f t="shared" si="13"/>
        <v>337.49578130273375</v>
      </c>
      <c r="U93" s="15">
        <f t="shared" si="14"/>
        <v>2</v>
      </c>
      <c r="V93" s="16">
        <f t="shared" si="15"/>
        <v>3769.4903813702326</v>
      </c>
      <c r="W93" s="16">
        <f t="shared" si="16"/>
        <v>9374.1646599064461</v>
      </c>
      <c r="X93" s="37">
        <f t="shared" si="17"/>
        <v>23</v>
      </c>
      <c r="Y93" s="15" t="str">
        <f t="shared" si="18"/>
        <v>🔥 Critical</v>
      </c>
    </row>
    <row r="94" spans="1:25" x14ac:dyDescent="0.2">
      <c r="A94" t="str">
        <f>'5. KPI Baselines'!A79</f>
        <v>Ascential Technologies</v>
      </c>
      <c r="B94" t="str">
        <f>'5. KPI Baselines'!B79</f>
        <v>Client Success</v>
      </c>
      <c r="C94" t="str">
        <f>'5. KPI Baselines'!C79</f>
        <v>Account Health</v>
      </c>
      <c r="D94" t="str">
        <f>'5. KPI Baselines'!D79</f>
        <v>Client Retention Rate</v>
      </c>
      <c r="E94" t="str">
        <f>'5. KPI Baselines'!E79</f>
        <v>89%</v>
      </c>
      <c r="F94" t="str">
        <f>'5. KPI Baselines'!F79</f>
        <v>92%</v>
      </c>
      <c r="G94" t="str">
        <f>'5. KPI Baselines'!G79</f>
        <v>93%</v>
      </c>
      <c r="H94" t="str">
        <f>'5. KPI Baselines'!H79</f>
        <v>↑</v>
      </c>
      <c r="I94" t="str">
        <f>'5. KPI Baselines'!I79</f>
        <v>24 months</v>
      </c>
      <c r="J94" t="str">
        <f>'5. KPI Baselines'!J79</f>
        <v>Annual contract renewal rate by revenue</v>
      </c>
      <c r="K94" s="15" t="str">
        <f t="shared" si="10"/>
        <v>92% - 89%</v>
      </c>
      <c r="L94" s="34" cm="1">
        <f t="array" ref="L94">IFERROR(_xlfn.LET(_xlpm.e,E94,_xlpm.f,F94,_xlpm.h,H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3.3707827294576075E-2</v>
      </c>
      <c r="M94" s="15" cm="1">
        <f t="array" ref="M94">IFERROR(_xlfn.LET(_xlpm.e,E94,_xlpm.f,F94,_xlpm.h,H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91.6</v>
      </c>
      <c r="N94" s="15" cm="1">
        <f t="array" ref="N94">IFERROR(_xlfn.LET(_xlpm.e,E94,_xlpm.f,F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94" s="15" t="str">
        <f t="shared" si="11"/>
        <v>92% - 93%</v>
      </c>
      <c r="P94" s="34" cm="1">
        <f t="array" ref="P94">IFERROR(_xlfn.LET(_xlpm.g,G94,_xlpm.f,F94,_xlpm.h,H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-1.0752676610025149E-2</v>
      </c>
      <c r="Q94" s="15" t="str" cm="1">
        <f t="array" ref="Q94">IFERROR(_xlfn.LET(_xlpm.e,E94,_xlpm.g,G94,_xlpm.h,H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4" s="15" t="str">
        <f t="shared" si="12"/>
        <v>🔴 Lagging</v>
      </c>
      <c r="S94" s="35" cm="1">
        <f t="array" ref="S94">IFERROR(_xlfn.LET(_xlpm.e,E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89</v>
      </c>
      <c r="T94" s="36">
        <f t="shared" si="13"/>
        <v>3.3707827294576074</v>
      </c>
      <c r="U94" s="15">
        <f t="shared" si="14"/>
        <v>550</v>
      </c>
      <c r="V94" s="16">
        <f t="shared" si="15"/>
        <v>418.83702939659622</v>
      </c>
      <c r="W94" s="16">
        <f t="shared" si="16"/>
        <v>1041.5857004528434</v>
      </c>
      <c r="X94" s="37">
        <f t="shared" si="17"/>
        <v>206</v>
      </c>
      <c r="Y94" s="15" t="str">
        <f t="shared" si="18"/>
        <v>📉 Low</v>
      </c>
    </row>
    <row r="95" spans="1:25" x14ac:dyDescent="0.2">
      <c r="A95" t="str">
        <f>'5. KPI Baselines'!A80</f>
        <v>Ascential Technologies</v>
      </c>
      <c r="B95" t="str">
        <f>'5. KPI Baselines'!B80</f>
        <v>Sales</v>
      </c>
      <c r="C95" t="str">
        <f>'5. KPI Baselines'!C80</f>
        <v>Proposal Development</v>
      </c>
      <c r="D95" t="str">
        <f>'5. KPI Baselines'!D80</f>
        <v>RFP Response Time</v>
      </c>
      <c r="E95" t="str">
        <f>'5. KPI Baselines'!E80</f>
        <v>12 days</v>
      </c>
      <c r="F95" t="str">
        <f>'5. KPI Baselines'!F80</f>
        <v>6 days</v>
      </c>
      <c r="G95" t="str">
        <f>'5. KPI Baselines'!G80</f>
        <v>5 days</v>
      </c>
      <c r="H95" t="str">
        <f>'5. KPI Baselines'!H80</f>
        <v>↓</v>
      </c>
      <c r="I95" t="str">
        <f>'5. KPI Baselines'!I80</f>
        <v>9 months</v>
      </c>
      <c r="J95" t="str">
        <f>'5. KPI Baselines'!J80</f>
        <v>Average days from RFP receipt to submission</v>
      </c>
      <c r="K95" s="15" t="str">
        <f t="shared" si="10"/>
        <v>12 days → 6 days</v>
      </c>
      <c r="L95" s="34" cm="1">
        <f t="array" ref="L95">IFERROR(_xlfn.LET(_xlpm.e,E95,_xlpm.f,F95,_xlpm.h,H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95" s="15" cm="1">
        <f t="array" ref="M95">IFERROR(_xlfn.LET(_xlpm.e,E95,_xlpm.f,F95,_xlpm.h,H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95" s="15" cm="1">
        <f t="array" ref="N95">IFERROR(_xlfn.LET(_xlpm.e,E95,_xlpm.f,F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95" s="15" t="str">
        <f t="shared" si="11"/>
        <v>5 days → 6 days</v>
      </c>
      <c r="P95" s="34" cm="1">
        <f t="array" ref="P95">IFERROR(_xlfn.LET(_xlpm.g,G95,_xlpm.f,F95,_xlpm.h,H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-0.1999960000799984</v>
      </c>
      <c r="Q95" s="15" t="str" cm="1">
        <f t="array" ref="Q95">IFERROR(_xlfn.LET(_xlpm.e,E95,_xlpm.g,G95,_xlpm.h,H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5" s="15" t="str">
        <f t="shared" si="12"/>
        <v>🔴 Lagging</v>
      </c>
      <c r="S95" s="35" cm="1">
        <f t="array" ref="S95">IFERROR(_xlfn.LET(_xlpm.e,E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95" s="36">
        <f t="shared" si="13"/>
        <v>49.999583336805529</v>
      </c>
      <c r="U95" s="15">
        <f t="shared" si="14"/>
        <v>231</v>
      </c>
      <c r="V95" s="16">
        <f t="shared" si="15"/>
        <v>837.66801943317137</v>
      </c>
      <c r="W95" s="16">
        <f t="shared" si="16"/>
        <v>2083.1563819111943</v>
      </c>
      <c r="X95" s="37">
        <f t="shared" si="17"/>
        <v>104</v>
      </c>
      <c r="Y95" s="15" t="str">
        <f t="shared" si="18"/>
        <v>⚠️ High</v>
      </c>
    </row>
    <row r="96" spans="1:25" x14ac:dyDescent="0.2">
      <c r="A96" t="str">
        <f>'5. KPI Baselines'!A81</f>
        <v>Ascential Technologies</v>
      </c>
      <c r="B96" t="str">
        <f>'5. KPI Baselines'!B81</f>
        <v>Finance</v>
      </c>
      <c r="C96" t="str">
        <f>'5. KPI Baselines'!C81</f>
        <v>Revenue Recognition</v>
      </c>
      <c r="D96" t="str">
        <f>'5. KPI Baselines'!D81</f>
        <v>Billing Cycle Time</v>
      </c>
      <c r="E96" t="str">
        <f>'5. KPI Baselines'!E81</f>
        <v>18 days</v>
      </c>
      <c r="F96" t="str">
        <f>'5. KPI Baselines'!F81</f>
        <v>10 days</v>
      </c>
      <c r="G96" t="str">
        <f>'5. KPI Baselines'!G81</f>
        <v>8 days</v>
      </c>
      <c r="H96" t="str">
        <f>'5. KPI Baselines'!H81</f>
        <v>↓</v>
      </c>
      <c r="I96" t="str">
        <f>'5. KPI Baselines'!I81</f>
        <v>12 months</v>
      </c>
      <c r="J96" t="str">
        <f>'5. KPI Baselines'!J81</f>
        <v>Days from service delivery to invoice generation</v>
      </c>
      <c r="K96" s="15" t="str">
        <f t="shared" si="10"/>
        <v>18 days → 10 days</v>
      </c>
      <c r="L96" s="34" cm="1">
        <f t="array" ref="L96">IFERROR(_xlfn.LET(_xlpm.e,E96,_xlpm.f,F96,_xlpm.h,H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0.44444197532235935</v>
      </c>
      <c r="M96" s="15" cm="1">
        <f t="array" ref="M96">IFERROR(_xlfn.LET(_xlpm.e,E96,_xlpm.f,F96,_xlpm.h,H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11.2</v>
      </c>
      <c r="N96" s="15" cm="1">
        <f t="array" ref="N96">IFERROR(_xlfn.LET(_xlpm.e,E96,_xlpm.f,F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96" s="15" t="str">
        <f t="shared" si="11"/>
        <v>8 days → 10 days</v>
      </c>
      <c r="P96" s="34" cm="1">
        <f t="array" ref="P96">IFERROR(_xlfn.LET(_xlpm.g,G96,_xlpm.f,F96,_xlpm.h,H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-0.24999687503906201</v>
      </c>
      <c r="Q96" s="15" t="str" cm="1">
        <f t="array" ref="Q96">IFERROR(_xlfn.LET(_xlpm.e,E96,_xlpm.g,G96,_xlpm.h,H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6" s="15" t="str">
        <f t="shared" si="12"/>
        <v>🔴 Lagging</v>
      </c>
      <c r="S96" s="35" cm="1">
        <f t="array" ref="S96">IFERROR(_xlfn.LET(_xlpm.e,E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96" s="36">
        <f t="shared" si="13"/>
        <v>44.444197532235933</v>
      </c>
      <c r="U96" s="15">
        <f t="shared" si="14"/>
        <v>268</v>
      </c>
      <c r="V96" s="16">
        <f t="shared" si="15"/>
        <v>1116.8937950344721</v>
      </c>
      <c r="W96" s="16">
        <f t="shared" si="16"/>
        <v>2777.5495578994028</v>
      </c>
      <c r="X96" s="37">
        <f t="shared" si="17"/>
        <v>78</v>
      </c>
      <c r="Y96" s="15" t="str">
        <f t="shared" si="18"/>
        <v>⚠️ High</v>
      </c>
    </row>
    <row r="97" spans="1:25" x14ac:dyDescent="0.2">
      <c r="A97" t="str">
        <f>'5. KPI Baselines'!A82</f>
        <v>Ascential Technologies</v>
      </c>
      <c r="B97" t="str">
        <f>'5. KPI Baselines'!B82</f>
        <v>Legal &amp; Compliance</v>
      </c>
      <c r="C97" t="str">
        <f>'5. KPI Baselines'!C82</f>
        <v>Contract Management</v>
      </c>
      <c r="D97" t="str">
        <f>'5. KPI Baselines'!D82</f>
        <v>Contract Review Turnaround</v>
      </c>
      <c r="E97" t="str">
        <f>'5. KPI Baselines'!E82</f>
        <v>9 days</v>
      </c>
      <c r="F97" t="str">
        <f>'5. KPI Baselines'!F82</f>
        <v>4 days</v>
      </c>
      <c r="G97" t="str">
        <f>'5. KPI Baselines'!G82</f>
        <v>3 days</v>
      </c>
      <c r="H97" t="str">
        <f>'5. KPI Baselines'!H82</f>
        <v>↓</v>
      </c>
      <c r="I97" t="str">
        <f>'5. KPI Baselines'!I82</f>
        <v>9 months</v>
      </c>
      <c r="J97" t="str">
        <f>'5. KPI Baselines'!J82</f>
        <v>Average days from contract submission to legal approval</v>
      </c>
      <c r="K97" s="15" t="str">
        <f t="shared" si="10"/>
        <v>9 days → 4 days</v>
      </c>
      <c r="L97" s="34" cm="1">
        <f t="array" ref="L97">IFERROR(_xlfn.LET(_xlpm.e,E97,_xlpm.f,F97,_xlpm.h,H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0.55554938278463573</v>
      </c>
      <c r="M97" s="15" cm="1">
        <f t="array" ref="M97">IFERROR(_xlfn.LET(_xlpm.e,E97,_xlpm.f,F97,_xlpm.h,H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4.8</v>
      </c>
      <c r="N97" s="15" cm="1">
        <f t="array" ref="N97">IFERROR(_xlfn.LET(_xlpm.e,E97,_xlpm.f,F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97" s="15" t="str">
        <f t="shared" si="11"/>
        <v>3 days → 4 days</v>
      </c>
      <c r="P97" s="34" cm="1">
        <f t="array" ref="P97">IFERROR(_xlfn.LET(_xlpm.g,G97,_xlpm.f,F97,_xlpm.h,H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-0.33332222259258021</v>
      </c>
      <c r="Q97" s="15" t="str" cm="1">
        <f t="array" ref="Q97">IFERROR(_xlfn.LET(_xlpm.e,E97,_xlpm.g,G97,_xlpm.h,H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7" s="15" t="str">
        <f t="shared" si="12"/>
        <v>🔴 Lagging</v>
      </c>
      <c r="S97" s="35" cm="1">
        <f t="array" ref="S97">IFERROR(_xlfn.LET(_xlpm.e,E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97" s="36">
        <f t="shared" si="13"/>
        <v>55.554938278463574</v>
      </c>
      <c r="U97" s="15">
        <f t="shared" si="14"/>
        <v>194</v>
      </c>
      <c r="V97" s="16">
        <f t="shared" si="15"/>
        <v>698.05474383617968</v>
      </c>
      <c r="W97" s="16">
        <f t="shared" si="16"/>
        <v>1735.9588295249864</v>
      </c>
      <c r="X97" s="37">
        <f t="shared" si="17"/>
        <v>124</v>
      </c>
      <c r="Y97" s="15" t="str">
        <f t="shared" si="18"/>
        <v>🔥 Critical</v>
      </c>
    </row>
    <row r="98" spans="1:25" x14ac:dyDescent="0.2">
      <c r="A98" t="str">
        <f>'5. KPI Baselines'!A83</f>
        <v>Ascential Technologies</v>
      </c>
      <c r="B98" t="str">
        <f>'5. KPI Baselines'!B83</f>
        <v>Product Development</v>
      </c>
      <c r="C98" t="str">
        <f>'5. KPI Baselines'!C83</f>
        <v>Feature Documentation</v>
      </c>
      <c r="D98" t="str">
        <f>'5. KPI Baselines'!D83</f>
        <v>Documentation Lag</v>
      </c>
      <c r="E98" t="str">
        <f>'5. KPI Baselines'!E83</f>
        <v>21 days</v>
      </c>
      <c r="F98" t="str">
        <f>'5. KPI Baselines'!F83</f>
        <v>7 days</v>
      </c>
      <c r="G98" t="str">
        <f>'5. KPI Baselines'!G83</f>
        <v>5 days</v>
      </c>
      <c r="H98" t="str">
        <f>'5. KPI Baselines'!H83</f>
        <v>↓</v>
      </c>
      <c r="I98" t="str">
        <f>'5. KPI Baselines'!I83</f>
        <v>12 months</v>
      </c>
      <c r="J98" t="str">
        <f>'5. KPI Baselines'!J83</f>
        <v>Days between feature release and complete documentation</v>
      </c>
      <c r="K98" s="15" t="str">
        <f t="shared" si="10"/>
        <v>21 days → 7 days</v>
      </c>
      <c r="L98" s="34" cm="1">
        <f t="array" ref="L98">IFERROR(_xlfn.LET(_xlpm.e,E98,_xlpm.f,F98,_xlpm.h,H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0.6666634920786092</v>
      </c>
      <c r="M98" s="15" cm="1">
        <f t="array" ref="M98">IFERROR(_xlfn.LET(_xlpm.e,E98,_xlpm.f,F98,_xlpm.h,H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9.1</v>
      </c>
      <c r="N98" s="15" cm="1">
        <f t="array" ref="N98">IFERROR(_xlfn.LET(_xlpm.e,E98,_xlpm.f,F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98" s="15" t="str">
        <f t="shared" si="11"/>
        <v>5 days → 7 days</v>
      </c>
      <c r="P98" s="34" cm="1">
        <f t="array" ref="P98">IFERROR(_xlfn.LET(_xlpm.g,G98,_xlpm.f,F98,_xlpm.h,H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-0.39999200015999681</v>
      </c>
      <c r="Q98" s="15" t="str" cm="1">
        <f t="array" ref="Q98">IFERROR(_xlfn.LET(_xlpm.e,E98,_xlpm.g,G98,_xlpm.h,H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8" s="15" t="str">
        <f t="shared" si="12"/>
        <v>🔴 Lagging</v>
      </c>
      <c r="S98" s="35" cm="1">
        <f t="array" ref="S98">IFERROR(_xlfn.LET(_xlpm.e,E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21</v>
      </c>
      <c r="T98" s="36">
        <f t="shared" si="13"/>
        <v>66.666349207860918</v>
      </c>
      <c r="U98" s="15">
        <f t="shared" si="14"/>
        <v>92</v>
      </c>
      <c r="V98" s="16">
        <f t="shared" si="15"/>
        <v>1954.5656925443216</v>
      </c>
      <c r="W98" s="16">
        <f t="shared" si="16"/>
        <v>4860.7155840133055</v>
      </c>
      <c r="X98" s="37">
        <f t="shared" si="17"/>
        <v>45</v>
      </c>
      <c r="Y98" s="15" t="str">
        <f t="shared" si="18"/>
        <v>🔥 Critical</v>
      </c>
    </row>
    <row r="99" spans="1:25" x14ac:dyDescent="0.2">
      <c r="A99" t="str">
        <f>'5. KPI Baselines'!A84</f>
        <v>BMS Enterprises</v>
      </c>
      <c r="B99" t="str">
        <f>'5. KPI Baselines'!B84</f>
        <v>Supply Chain</v>
      </c>
      <c r="C99" t="str">
        <f>'5. KPI Baselines'!C84</f>
        <v>Demand Planning</v>
      </c>
      <c r="D99" t="str">
        <f>'5. KPI Baselines'!D84</f>
        <v>Forecast Accuracy Rate</v>
      </c>
      <c r="E99" t="str">
        <f>'5. KPI Baselines'!E84</f>
        <v>73%</v>
      </c>
      <c r="F99" t="str">
        <f>'5. KPI Baselines'!F84</f>
        <v>82%</v>
      </c>
      <c r="G99" t="str">
        <f>'5. KPI Baselines'!G84</f>
        <v>84%</v>
      </c>
      <c r="H99" t="str">
        <f>'5. KPI Baselines'!H84</f>
        <v>↑</v>
      </c>
      <c r="I99" t="str">
        <f>'5. KPI Baselines'!I84</f>
        <v>12 months</v>
      </c>
      <c r="J99" t="str">
        <f>'5. KPI Baselines'!J84</f>
        <v>Monthly SKU-level MAPE across top 500 products</v>
      </c>
      <c r="K99" s="15" t="str">
        <f t="shared" si="10"/>
        <v>82% - 73%</v>
      </c>
      <c r="L99" s="34" cm="1">
        <f t="array" ref="L99">IFERROR(_xlfn.LET(_xlpm.e,E99,_xlpm.f,F99,_xlpm.h,H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0.12328750234588719</v>
      </c>
      <c r="M99" s="15" cm="1">
        <f t="array" ref="M99">IFERROR(_xlfn.LET(_xlpm.e,E99,_xlpm.f,F99,_xlpm.h,H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80.7</v>
      </c>
      <c r="N99" s="15" cm="1">
        <f t="array" ref="N99">IFERROR(_xlfn.LET(_xlpm.e,E99,_xlpm.f,F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99" s="15" t="str">
        <f t="shared" si="11"/>
        <v>82% - 84%</v>
      </c>
      <c r="P99" s="34" cm="1">
        <f t="array" ref="P99">IFERROR(_xlfn.LET(_xlpm.g,G99,_xlpm.f,F99,_xlpm.h,H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-2.3809495464886352E-2</v>
      </c>
      <c r="Q99" s="15" t="str" cm="1">
        <f t="array" ref="Q99">IFERROR(_xlfn.LET(_xlpm.e,E99,_xlpm.g,G99,_xlpm.h,H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99" s="15" t="str">
        <f t="shared" si="12"/>
        <v>🔴 Lagging</v>
      </c>
      <c r="S99" s="35" cm="1">
        <f t="array" ref="S99">IFERROR(_xlfn.LET(_xlpm.e,E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99" s="36">
        <f t="shared" si="13"/>
        <v>12.328750234588719</v>
      </c>
      <c r="U99" s="15">
        <f t="shared" si="14"/>
        <v>508</v>
      </c>
      <c r="V99" s="16">
        <f t="shared" si="15"/>
        <v>1256.5107787523577</v>
      </c>
      <c r="W99" s="16">
        <f t="shared" si="16"/>
        <v>3124.7563318334392</v>
      </c>
      <c r="X99" s="37">
        <f t="shared" si="17"/>
        <v>69</v>
      </c>
      <c r="Y99" s="15" t="str">
        <f t="shared" si="18"/>
        <v>📊 Medium</v>
      </c>
    </row>
    <row r="100" spans="1:25" x14ac:dyDescent="0.2">
      <c r="A100" t="str">
        <f>'5. KPI Baselines'!A85</f>
        <v>BMS Enterprises</v>
      </c>
      <c r="B100" t="str">
        <f>'5. KPI Baselines'!B85</f>
        <v>Supply Chain</v>
      </c>
      <c r="C100" t="str">
        <f>'5. KPI Baselines'!C85</f>
        <v>Inventory Management</v>
      </c>
      <c r="D100" t="str">
        <f>'5. KPI Baselines'!D85</f>
        <v>Inventory Turns</v>
      </c>
      <c r="E100" t="str">
        <f>'5. KPI Baselines'!E85</f>
        <v>4.2x</v>
      </c>
      <c r="F100" t="str">
        <f>'5. KPI Baselines'!F85</f>
        <v>5.1x</v>
      </c>
      <c r="G100" t="str">
        <f>'5. KPI Baselines'!G85</f>
        <v>5.8x</v>
      </c>
      <c r="H100" t="str">
        <f>'5. KPI Baselines'!H85</f>
        <v>↑</v>
      </c>
      <c r="I100" t="str">
        <f>'5. KPI Baselines'!I85</f>
        <v>18 months</v>
      </c>
      <c r="J100" t="str">
        <f>'5. KPI Baselines'!J85</f>
        <v>Annual COGS divided by average inventory value</v>
      </c>
      <c r="K100" s="15" t="str">
        <f t="shared" si="10"/>
        <v>5.1x - 4.2x</v>
      </c>
      <c r="L100" s="34" cm="1">
        <f t="array" ref="L100">IFERROR(_xlfn.LET(_xlpm.e,E100,_xlpm.f,F100,_xlpm.h,H100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0.21428061236637211</v>
      </c>
      <c r="M100" s="15" cm="1">
        <f t="array" ref="M100">IFERROR(_xlfn.LET(_xlpm.e,E100,_xlpm.f,F100,_xlpm.h,H100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</v>
      </c>
      <c r="N100" s="15" cm="1">
        <f t="array" ref="N100">IFERROR(_xlfn.LET(_xlpm.e,E100,_xlpm.f,F100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0.69</v>
      </c>
      <c r="O100" s="15" t="str">
        <f t="shared" si="11"/>
        <v>5.1x - 5.8x</v>
      </c>
      <c r="P100" s="34" cm="1">
        <f t="array" ref="P100">IFERROR(_xlfn.LET(_xlpm.g,G100,_xlpm.f,F100,_xlpm.h,H100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-0.12068757435216639</v>
      </c>
      <c r="Q100" s="15" t="str" cm="1">
        <f t="array" ref="Q100">IFERROR(_xlfn.LET(_xlpm.e,E100,_xlpm.g,G100,_xlpm.h,H100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0" s="15" t="str">
        <f t="shared" si="12"/>
        <v>🔴 Lagging</v>
      </c>
      <c r="S100" s="35" cm="1">
        <f t="array" ref="S100">IFERROR(_xlfn.LET(_xlpm.e,E100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100" s="36">
        <f t="shared" si="13"/>
        <v>21.428061236637213</v>
      </c>
      <c r="U100" s="15">
        <f t="shared" si="14"/>
        <v>457</v>
      </c>
      <c r="V100" s="16">
        <f t="shared" si="15"/>
        <v>125.64825837480055</v>
      </c>
      <c r="W100" s="16">
        <f t="shared" si="16"/>
        <v>312.468621503073</v>
      </c>
      <c r="X100" s="37">
        <f t="shared" si="17"/>
        <v>659</v>
      </c>
      <c r="Y100" s="15" t="str">
        <f t="shared" si="18"/>
        <v>📊 Medium</v>
      </c>
    </row>
    <row r="101" spans="1:25" x14ac:dyDescent="0.2">
      <c r="A101" t="str">
        <f>'5. KPI Baselines'!A86</f>
        <v>BMS Enterprises</v>
      </c>
      <c r="B101" t="str">
        <f>'5. KPI Baselines'!B86</f>
        <v>Supply Chain</v>
      </c>
      <c r="C101" t="str">
        <f>'5. KPI Baselines'!C86</f>
        <v>Logistics</v>
      </c>
      <c r="D101" t="str">
        <f>'5. KPI Baselines'!D86</f>
        <v>Emergency Freight as % of Total</v>
      </c>
      <c r="E101" t="str">
        <f>'5. KPI Baselines'!E86</f>
        <v>14%</v>
      </c>
      <c r="F101" t="str">
        <f>'5. KPI Baselines'!F86</f>
        <v>9%</v>
      </c>
      <c r="G101" t="str">
        <f>'5. KPI Baselines'!G86</f>
        <v>7%</v>
      </c>
      <c r="H101" t="str">
        <f>'5. KPI Baselines'!H86</f>
        <v>↓</v>
      </c>
      <c r="I101" t="str">
        <f>'5. KPI Baselines'!I86</f>
        <v>12 months</v>
      </c>
      <c r="J101" t="str">
        <f>'5. KPI Baselines'!J86</f>
        <v>Monthly expedited shipping costs vs total freight spend</v>
      </c>
      <c r="K101" s="15" t="str">
        <f t="shared" si="10"/>
        <v>14% → 9%</v>
      </c>
      <c r="L101" s="34" cm="1">
        <f t="array" ref="L101">IFERROR(_xlfn.LET(_xlpm.e,E101,_xlpm.f,F101,_xlpm.h,H101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0.35714030614067044</v>
      </c>
      <c r="M101" s="15" cm="1">
        <f t="array" ref="M101">IFERROR(_xlfn.LET(_xlpm.e,E101,_xlpm.f,F101,_xlpm.h,H101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9.8000000000000007</v>
      </c>
      <c r="N101" s="15" cm="1">
        <f t="array" ref="N101">IFERROR(_xlfn.LET(_xlpm.e,E101,_xlpm.f,F101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101" s="15" t="str">
        <f t="shared" si="11"/>
        <v>7% → 9%</v>
      </c>
      <c r="P101" s="34" cm="1">
        <f t="array" ref="P101">IFERROR(_xlfn.LET(_xlpm.g,G101,_xlpm.f,F101,_xlpm.h,H101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-0.28571020413994086</v>
      </c>
      <c r="Q101" s="15" t="str" cm="1">
        <f t="array" ref="Q101">IFERROR(_xlfn.LET(_xlpm.e,E101,_xlpm.g,G101,_xlpm.h,H101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1" s="15" t="str">
        <f t="shared" si="12"/>
        <v>🔴 Lagging</v>
      </c>
      <c r="S101" s="35" cm="1">
        <f t="array" ref="S101">IFERROR(_xlfn.LET(_xlpm.e,E101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101" s="36">
        <f t="shared" si="13"/>
        <v>35.714030614067042</v>
      </c>
      <c r="U101" s="15">
        <f t="shared" si="14"/>
        <v>351</v>
      </c>
      <c r="V101" s="16">
        <f t="shared" si="15"/>
        <v>698.05751387490091</v>
      </c>
      <c r="W101" s="16">
        <f t="shared" si="16"/>
        <v>1735.9657182012952</v>
      </c>
      <c r="X101" s="37">
        <f t="shared" si="17"/>
        <v>124</v>
      </c>
      <c r="Y101" s="15" t="str">
        <f t="shared" si="18"/>
        <v>⚠️ High</v>
      </c>
    </row>
    <row r="102" spans="1:25" x14ac:dyDescent="0.2">
      <c r="A102" t="str">
        <f>'5. KPI Baselines'!A87</f>
        <v>BMS Enterprises</v>
      </c>
      <c r="B102" t="str">
        <f>'5. KPI Baselines'!B87</f>
        <v>Sales</v>
      </c>
      <c r="C102" t="str">
        <f>'5. KPI Baselines'!C87</f>
        <v>Quoting &amp; Estimation</v>
      </c>
      <c r="D102" t="str">
        <f>'5. KPI Baselines'!D87</f>
        <v>Quote Turnaround Time</v>
      </c>
      <c r="E102" t="str">
        <f>'5. KPI Baselines'!E87</f>
        <v>4.2 days</v>
      </c>
      <c r="F102" t="str">
        <f>'5. KPI Baselines'!F87</f>
        <v>2.5 days</v>
      </c>
      <c r="G102" t="str">
        <f>'5. KPI Baselines'!G87</f>
        <v>2.1 days</v>
      </c>
      <c r="H102" t="str">
        <f>'5. KPI Baselines'!H87</f>
        <v>↓</v>
      </c>
      <c r="I102" t="str">
        <f>'5. KPI Baselines'!I87</f>
        <v>9 months</v>
      </c>
      <c r="J102" t="str">
        <f>'5. KPI Baselines'!J87</f>
        <v>Median time from RFQ receipt to quote delivery</v>
      </c>
      <c r="K102" s="15" t="str">
        <f t="shared" si="10"/>
        <v>4.2 days → 2.5 days</v>
      </c>
      <c r="L102" s="34" cm="1">
        <f t="array" ref="L102">IFERROR(_xlfn.LET(_xlpm.e,E102,_xlpm.f,F102,_xlpm.h,H102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0.4047522678031476</v>
      </c>
      <c r="M102" s="15" cm="1">
        <f t="array" ref="M102">IFERROR(_xlfn.LET(_xlpm.e,E102,_xlpm.f,F102,_xlpm.h,H102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2.8</v>
      </c>
      <c r="N102" s="15" cm="1">
        <f t="array" ref="N102">IFERROR(_xlfn.LET(_xlpm.e,E102,_xlpm.f,F102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</v>
      </c>
      <c r="O102" s="15" t="str">
        <f t="shared" si="11"/>
        <v>2.1 days → 2.5 days</v>
      </c>
      <c r="P102" s="34" cm="1">
        <f t="array" ref="P102">IFERROR(_xlfn.LET(_xlpm.g,G102,_xlpm.f,F102,_xlpm.h,H102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-0.19046712061330406</v>
      </c>
      <c r="Q102" s="15" t="str" cm="1">
        <f t="array" ref="Q102">IFERROR(_xlfn.LET(_xlpm.e,E102,_xlpm.g,G102,_xlpm.h,H102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2" s="15" t="str">
        <f t="shared" si="12"/>
        <v>🔴 Lagging</v>
      </c>
      <c r="S102" s="35" cm="1">
        <f t="array" ref="S102">IFERROR(_xlfn.LET(_xlpm.e,E102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102" s="36">
        <f t="shared" si="13"/>
        <v>40.475226780314763</v>
      </c>
      <c r="U102" s="15">
        <f t="shared" si="14"/>
        <v>309</v>
      </c>
      <c r="V102" s="16">
        <f t="shared" si="15"/>
        <v>237.33559915240116</v>
      </c>
      <c r="W102" s="16">
        <f t="shared" si="16"/>
        <v>590.21850728358265</v>
      </c>
      <c r="X102" s="37">
        <f t="shared" si="17"/>
        <v>358</v>
      </c>
      <c r="Y102" s="15" t="str">
        <f t="shared" si="18"/>
        <v>⚠️ High</v>
      </c>
    </row>
    <row r="103" spans="1:25" x14ac:dyDescent="0.2">
      <c r="A103" t="str">
        <f>'5. KPI Baselines'!A88</f>
        <v>BMS Enterprises</v>
      </c>
      <c r="B103" t="str">
        <f>'5. KPI Baselines'!B88</f>
        <v>Sales</v>
      </c>
      <c r="C103" t="str">
        <f>'5. KPI Baselines'!C88</f>
        <v>Account Management</v>
      </c>
      <c r="D103" t="str">
        <f>'5. KPI Baselines'!D88</f>
        <v>Revenue per Account Manager</v>
      </c>
      <c r="E103" t="str">
        <f>'5. KPI Baselines'!E88</f>
        <v>$4.1M</v>
      </c>
      <c r="F103" t="str">
        <f>'5. KPI Baselines'!F88</f>
        <v>$5.2M</v>
      </c>
      <c r="G103" t="str">
        <f>'5. KPI Baselines'!G88</f>
        <v>$5.7M</v>
      </c>
      <c r="H103" t="str">
        <f>'5. KPI Baselines'!H88</f>
        <v>↑</v>
      </c>
      <c r="I103" t="str">
        <f>'5. KPI Baselines'!I88</f>
        <v>18 months</v>
      </c>
      <c r="J103" t="str">
        <f>'5. KPI Baselines'!J88</f>
        <v>Annual sales divided by account management FTE count</v>
      </c>
      <c r="K103" s="15" t="str">
        <f t="shared" si="10"/>
        <v>$5.2M - $4.1M</v>
      </c>
      <c r="L103" s="34" cm="1">
        <f t="array" ref="L103">IFERROR(_xlfn.LET(_xlpm.e,E103,_xlpm.f,F103,_xlpm.h,H103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0.26828613936245477</v>
      </c>
      <c r="M103" s="15" cm="1">
        <f t="array" ref="M103">IFERROR(_xlfn.LET(_xlpm.e,E103,_xlpm.f,F103,_xlpm.h,H103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</v>
      </c>
      <c r="N103" s="15" cm="1">
        <f t="array" ref="N103">IFERROR(_xlfn.LET(_xlpm.e,E103,_xlpm.f,F103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0.84</v>
      </c>
      <c r="O103" s="15" t="str">
        <f t="shared" si="11"/>
        <v>$5.2M - $5.7M</v>
      </c>
      <c r="P103" s="34" cm="1">
        <f t="array" ref="P103">IFERROR(_xlfn.LET(_xlpm.g,G103,_xlpm.f,F103,_xlpm.h,H103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-8.7717759337555476E-2</v>
      </c>
      <c r="Q103" s="15" t="str" cm="1">
        <f t="array" ref="Q103">IFERROR(_xlfn.LET(_xlpm.e,E103,_xlpm.g,G103,_xlpm.h,H103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3" s="15" t="str">
        <f t="shared" si="12"/>
        <v>🔴 Lagging</v>
      </c>
      <c r="S103" s="35" cm="1">
        <f t="array" ref="S103">IFERROR(_xlfn.LET(_xlpm.e,E103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4.0999999999999996</v>
      </c>
      <c r="T103" s="36">
        <f t="shared" si="13"/>
        <v>26.828613936245478</v>
      </c>
      <c r="U103" s="15">
        <f t="shared" si="14"/>
        <v>412</v>
      </c>
      <c r="V103" s="16">
        <f t="shared" si="15"/>
        <v>153.57000439013694</v>
      </c>
      <c r="W103" s="16">
        <f t="shared" si="16"/>
        <v>381.90587117306819</v>
      </c>
      <c r="X103" s="37">
        <f t="shared" si="17"/>
        <v>545</v>
      </c>
      <c r="Y103" s="15" t="str">
        <f t="shared" si="18"/>
        <v>⚠️ High</v>
      </c>
    </row>
    <row r="104" spans="1:25" x14ac:dyDescent="0.2">
      <c r="A104" t="str">
        <f>'5. KPI Baselines'!A89</f>
        <v>BMS Enterprises</v>
      </c>
      <c r="B104" t="str">
        <f>'5. KPI Baselines'!B89</f>
        <v>Customer Service</v>
      </c>
      <c r="C104" t="str">
        <f>'5. KPI Baselines'!C89</f>
        <v>Technical Support</v>
      </c>
      <c r="D104" t="str">
        <f>'5. KPI Baselines'!D89</f>
        <v>First Contact Resolution Rate</v>
      </c>
      <c r="E104" t="str">
        <f>'5. KPI Baselines'!E89</f>
        <v>58%</v>
      </c>
      <c r="F104" t="str">
        <f>'5. KPI Baselines'!F89</f>
        <v>69%</v>
      </c>
      <c r="G104" t="str">
        <f>'5. KPI Baselines'!G89</f>
        <v>74%</v>
      </c>
      <c r="H104" t="str">
        <f>'5. KPI Baselines'!H89</f>
        <v>↑</v>
      </c>
      <c r="I104" t="str">
        <f>'5. KPI Baselines'!I89</f>
        <v>12 months</v>
      </c>
      <c r="J104" t="str">
        <f>'5. KPI Baselines'!J89</f>
        <v>Issues resolved without escalation or callback</v>
      </c>
      <c r="K104" s="15" t="str">
        <f t="shared" si="10"/>
        <v>69% - 58%</v>
      </c>
      <c r="L104" s="34" cm="1">
        <f t="array" ref="L104">IFERROR(_xlfn.LET(_xlpm.e,E104,_xlpm.f,F104,_xlpm.h,H104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0.1896548454226803</v>
      </c>
      <c r="M104" s="15" cm="1">
        <f t="array" ref="M104">IFERROR(_xlfn.LET(_xlpm.e,E104,_xlpm.f,F104,_xlpm.h,H104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67.400000000000006</v>
      </c>
      <c r="N104" s="15" cm="1">
        <f t="array" ref="N104">IFERROR(_xlfn.LET(_xlpm.e,E104,_xlpm.f,F104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104" s="15" t="str">
        <f t="shared" si="11"/>
        <v>69% - 74%</v>
      </c>
      <c r="P104" s="34" cm="1">
        <f t="array" ref="P104">IFERROR(_xlfn.LET(_xlpm.g,G104,_xlpm.f,F104,_xlpm.h,H104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-6.7567476260167209E-2</v>
      </c>
      <c r="Q104" s="15" t="str" cm="1">
        <f t="array" ref="Q104">IFERROR(_xlfn.LET(_xlpm.e,E104,_xlpm.g,G104,_xlpm.h,H104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4" s="15" t="str">
        <f t="shared" si="12"/>
        <v>🔴 Lagging</v>
      </c>
      <c r="S104" s="35" cm="1">
        <f t="array" ref="S104">IFERROR(_xlfn.LET(_xlpm.e,E104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104" s="36">
        <f t="shared" si="13"/>
        <v>18.96548454226803</v>
      </c>
      <c r="U104" s="15">
        <f t="shared" si="14"/>
        <v>477</v>
      </c>
      <c r="V104" s="16">
        <f t="shared" si="15"/>
        <v>1535.7348521812892</v>
      </c>
      <c r="W104" s="16">
        <f t="shared" si="16"/>
        <v>3819.1452747709027</v>
      </c>
      <c r="X104" s="37">
        <f t="shared" si="17"/>
        <v>57</v>
      </c>
      <c r="Y104" s="15" t="str">
        <f t="shared" si="18"/>
        <v>📊 Medium</v>
      </c>
    </row>
    <row r="105" spans="1:25" x14ac:dyDescent="0.2">
      <c r="A105" t="str">
        <f>'5. KPI Baselines'!A90</f>
        <v>BMS Enterprises</v>
      </c>
      <c r="B105" t="str">
        <f>'5. KPI Baselines'!B90</f>
        <v>Environmental Health &amp; Safety</v>
      </c>
      <c r="C105" t="str">
        <f>'5. KPI Baselines'!C90</f>
        <v>Incident Management</v>
      </c>
      <c r="D105" t="str">
        <f>'5. KPI Baselines'!D90</f>
        <v>Recordable Incident Rate</v>
      </c>
      <c r="E105" t="str">
        <f>'5. KPI Baselines'!E90</f>
        <v>2.24 per 100 FTE</v>
      </c>
      <c r="F105" t="str">
        <f>'5. KPI Baselines'!F90</f>
        <v>1.85 per 100 FTE</v>
      </c>
      <c r="G105" t="str">
        <f>'5. KPI Baselines'!G90</f>
        <v>1.60 per 100 FTE</v>
      </c>
      <c r="H105" t="str">
        <f>'5. KPI Baselines'!H90</f>
        <v>↓</v>
      </c>
      <c r="I105" t="str">
        <f>'5. KPI Baselines'!I90</f>
        <v>24 months</v>
      </c>
      <c r="J105" t="str">
        <f>'5. KPI Baselines'!J90</f>
        <v>OSHA-recordable incidents per 100 full-time employees</v>
      </c>
      <c r="K105" s="15" t="str">
        <f t="shared" si="10"/>
        <v>2.24 per 100 FTE → 1.85 per 100 FTE</v>
      </c>
      <c r="L105" s="34" cm="1">
        <f t="array" ref="L105">IFERROR(_xlfn.LET(_xlpm.e,E105,_xlpm.f,F105,_xlpm.h,H105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0.17409937056381414</v>
      </c>
      <c r="M105" s="15" cm="1">
        <f t="array" ref="M105">IFERROR(_xlfn.LET(_xlpm.e,E105,_xlpm.f,F105,_xlpm.h,H105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105" s="15" cm="1">
        <f t="array" ref="N105">IFERROR(_xlfn.LET(_xlpm.e,E105,_xlpm.f,F105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0.3</v>
      </c>
      <c r="O105" s="15" t="str">
        <f t="shared" si="11"/>
        <v>1.60 per 100 FTE → 1.85 per 100 FTE</v>
      </c>
      <c r="P105" s="34" cm="1">
        <f t="array" ref="P105">IFERROR(_xlfn.LET(_xlpm.g,G105,_xlpm.f,F105,_xlpm.h,H105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-0.15624023498531342</v>
      </c>
      <c r="Q105" s="15" t="str" cm="1">
        <f t="array" ref="Q105">IFERROR(_xlfn.LET(_xlpm.e,E105,_xlpm.g,G105,_xlpm.h,H105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5" s="15" t="str">
        <f t="shared" si="12"/>
        <v>🔴 Lagging</v>
      </c>
      <c r="S105" s="35" cm="1">
        <f t="array" ref="S105">IFERROR(_xlfn.LET(_xlpm.e,E105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2.2400000000000002</v>
      </c>
      <c r="T105" s="36">
        <f t="shared" si="13"/>
        <v>17.409937056381413</v>
      </c>
      <c r="U105" s="15">
        <f t="shared" si="14"/>
        <v>488</v>
      </c>
      <c r="V105" s="16">
        <f t="shared" si="15"/>
        <v>54.446444355162733</v>
      </c>
      <c r="W105" s="16">
        <f t="shared" si="16"/>
        <v>135.40024854664821</v>
      </c>
      <c r="X105" s="37">
        <f t="shared" si="17"/>
        <v>1419</v>
      </c>
      <c r="Y105" s="15" t="str">
        <f t="shared" si="18"/>
        <v>📊 Medium</v>
      </c>
    </row>
    <row r="106" spans="1:25" x14ac:dyDescent="0.2">
      <c r="A106" t="str">
        <f>'5. KPI Baselines'!A91</f>
        <v>BMS Enterprises</v>
      </c>
      <c r="B106" t="str">
        <f>'5. KPI Baselines'!B91</f>
        <v>Environmental Health &amp; Safety</v>
      </c>
      <c r="C106" t="str">
        <f>'5. KPI Baselines'!C91</f>
        <v>Compliance Documentation</v>
      </c>
      <c r="D106" t="str">
        <f>'5. KPI Baselines'!D91</f>
        <v>SDS Update Cycle Time</v>
      </c>
      <c r="E106" t="str">
        <f>'5. KPI Baselines'!E91</f>
        <v>23 days</v>
      </c>
      <c r="F106" t="str">
        <f>'5. KPI Baselines'!F91</f>
        <v>15 days</v>
      </c>
      <c r="G106" t="str">
        <f>'5. KPI Baselines'!G91</f>
        <v>12 days</v>
      </c>
      <c r="H106" t="str">
        <f>'5. KPI Baselines'!H91</f>
        <v>↓</v>
      </c>
      <c r="I106" t="str">
        <f>'5. KPI Baselines'!I91</f>
        <v>9 months</v>
      </c>
      <c r="J106" t="str">
        <f>'5. KPI Baselines'!J91</f>
        <v>Average days from supplier update to system publication</v>
      </c>
      <c r="K106" s="15" t="str">
        <f t="shared" si="10"/>
        <v>23 days → 15 days</v>
      </c>
      <c r="L106" s="34" cm="1">
        <f t="array" ref="L106">IFERROR(_xlfn.LET(_xlpm.e,E106,_xlpm.f,F106,_xlpm.h,H106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0.34782457467576228</v>
      </c>
      <c r="M106" s="15" cm="1">
        <f t="array" ref="M106">IFERROR(_xlfn.LET(_xlpm.e,E106,_xlpm.f,F106,_xlpm.h,H106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16.2</v>
      </c>
      <c r="N106" s="15" cm="1">
        <f t="array" ref="N106">IFERROR(_xlfn.LET(_xlpm.e,E106,_xlpm.f,F106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06" s="15" t="str">
        <f t="shared" si="11"/>
        <v>12 days → 15 days</v>
      </c>
      <c r="P106" s="34" cm="1">
        <f t="array" ref="P106">IFERROR(_xlfn.LET(_xlpm.g,G106,_xlpm.f,F106,_xlpm.h,H106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-0.24999791668402763</v>
      </c>
      <c r="Q106" s="15" t="str" cm="1">
        <f t="array" ref="Q106">IFERROR(_xlfn.LET(_xlpm.e,E106,_xlpm.g,G106,_xlpm.h,H106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6" s="15" t="str">
        <f t="shared" si="12"/>
        <v>🔴 Lagging</v>
      </c>
      <c r="S106" s="35" cm="1">
        <f t="array" ref="S106">IFERROR(_xlfn.LET(_xlpm.e,E106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106" s="36">
        <f t="shared" si="13"/>
        <v>34.782457467576229</v>
      </c>
      <c r="U106" s="15">
        <f t="shared" si="14"/>
        <v>356</v>
      </c>
      <c r="V106" s="16">
        <f t="shared" si="15"/>
        <v>1116.8951439341567</v>
      </c>
      <c r="W106" s="16">
        <f t="shared" si="16"/>
        <v>2777.5529124132695</v>
      </c>
      <c r="X106" s="37">
        <f t="shared" si="17"/>
        <v>78</v>
      </c>
      <c r="Y106" s="15" t="str">
        <f t="shared" si="18"/>
        <v>⚠️ High</v>
      </c>
    </row>
    <row r="107" spans="1:25" x14ac:dyDescent="0.2">
      <c r="A107" t="str">
        <f>'5. KPI Baselines'!A92</f>
        <v>BMS Enterprises</v>
      </c>
      <c r="B107" t="str">
        <f>'5. KPI Baselines'!B92</f>
        <v>Procurement</v>
      </c>
      <c r="C107" t="str">
        <f>'5. KPI Baselines'!C92</f>
        <v>Vendor Management</v>
      </c>
      <c r="D107" t="str">
        <f>'5. KPI Baselines'!D92</f>
        <v>Supplier On-Time Delivery Rate</v>
      </c>
      <c r="E107" t="str">
        <f>'5. KPI Baselines'!E92</f>
        <v>81%</v>
      </c>
      <c r="F107" t="str">
        <f>'5. KPI Baselines'!F92</f>
        <v>87%</v>
      </c>
      <c r="G107" t="str">
        <f>'5. KPI Baselines'!G92</f>
        <v>91%</v>
      </c>
      <c r="H107" t="str">
        <f>'5. KPI Baselines'!H92</f>
        <v>↑</v>
      </c>
      <c r="I107" t="str">
        <f>'5. KPI Baselines'!I92</f>
        <v>15 months</v>
      </c>
      <c r="J107" t="str">
        <f>'5. KPI Baselines'!J92</f>
        <v>Orders delivered within promised window</v>
      </c>
      <c r="K107" s="15" t="str">
        <f t="shared" si="10"/>
        <v>87% - 81%</v>
      </c>
      <c r="L107" s="34" cm="1">
        <f t="array" ref="L107">IFERROR(_xlfn.LET(_xlpm.e,E107,_xlpm.f,F107,_xlpm.h,H107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7.4073982624712806E-2</v>
      </c>
      <c r="M107" s="15" cm="1">
        <f t="array" ref="M107">IFERROR(_xlfn.LET(_xlpm.e,E107,_xlpm.f,F107,_xlpm.h,H107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86.1</v>
      </c>
      <c r="N107" s="15" cm="1">
        <f t="array" ref="N107">IFERROR(_xlfn.LET(_xlpm.e,E107,_xlpm.f,F107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07" s="15" t="str">
        <f t="shared" si="11"/>
        <v>87% - 91%</v>
      </c>
      <c r="P107" s="34" cm="1">
        <f t="array" ref="P107">IFERROR(_xlfn.LET(_xlpm.g,G107,_xlpm.f,F107,_xlpm.h,H107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-4.3955995652752031E-2</v>
      </c>
      <c r="Q107" s="15" t="str" cm="1">
        <f t="array" ref="Q107">IFERROR(_xlfn.LET(_xlpm.e,E107,_xlpm.g,G107,_xlpm.h,H107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7" s="15" t="str">
        <f t="shared" si="12"/>
        <v>🔴 Lagging</v>
      </c>
      <c r="S107" s="35" cm="1">
        <f t="array" ref="S107">IFERROR(_xlfn.LET(_xlpm.e,E107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81</v>
      </c>
      <c r="T107" s="36">
        <f t="shared" si="13"/>
        <v>7.4073982624712809</v>
      </c>
      <c r="U107" s="15">
        <f t="shared" si="14"/>
        <v>535</v>
      </c>
      <c r="V107" s="16">
        <f t="shared" si="15"/>
        <v>837.67396583460993</v>
      </c>
      <c r="W107" s="16">
        <f t="shared" si="16"/>
        <v>2083.1711697314508</v>
      </c>
      <c r="X107" s="37">
        <f t="shared" si="17"/>
        <v>104</v>
      </c>
      <c r="Y107" s="15" t="str">
        <f t="shared" si="18"/>
        <v>📉 Low</v>
      </c>
    </row>
    <row r="108" spans="1:25" x14ac:dyDescent="0.2">
      <c r="A108" t="str">
        <f>'5. KPI Baselines'!A93</f>
        <v>BMS Enterprises</v>
      </c>
      <c r="B108" t="str">
        <f>'5. KPI Baselines'!B93</f>
        <v>Finance</v>
      </c>
      <c r="C108" t="str">
        <f>'5. KPI Baselines'!C93</f>
        <v>Accounts Payable</v>
      </c>
      <c r="D108" t="str">
        <f>'5. KPI Baselines'!D93</f>
        <v>Days Payable Outstanding</v>
      </c>
      <c r="E108" t="str">
        <f>'5. KPI Baselines'!E93</f>
        <v>89 days</v>
      </c>
      <c r="F108" t="str">
        <f>'5. KPI Baselines'!F93</f>
        <v>75 days</v>
      </c>
      <c r="G108" t="str">
        <f>'5. KPI Baselines'!G93</f>
        <v>67 days</v>
      </c>
      <c r="H108" t="str">
        <f>'5. KPI Baselines'!H93</f>
        <v>↓</v>
      </c>
      <c r="I108" t="str">
        <f>'5. KPI Baselines'!I93</f>
        <v>12 months</v>
      </c>
      <c r="J108" t="str">
        <f>'5. KPI Baselines'!J93</f>
        <v>Average payment cycle from invoice receipt to payment</v>
      </c>
      <c r="K108" s="15" t="str">
        <f t="shared" si="10"/>
        <v>89 days → 75 days</v>
      </c>
      <c r="L108" s="34" cm="1">
        <f t="array" ref="L108">IFERROR(_xlfn.LET(_xlpm.e,E108,_xlpm.f,F108,_xlpm.h,H108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0.15730319404135501</v>
      </c>
      <c r="M108" s="15" cm="1">
        <f t="array" ref="M108">IFERROR(_xlfn.LET(_xlpm.e,E108,_xlpm.f,F108,_xlpm.h,H108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77.099999999999994</v>
      </c>
      <c r="N108" s="15" cm="1">
        <f t="array" ref="N108">IFERROR(_xlfn.LET(_xlpm.e,E108,_xlpm.f,F108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108" s="15" t="str">
        <f t="shared" si="11"/>
        <v>67 days → 75 days</v>
      </c>
      <c r="P108" s="34" cm="1">
        <f t="array" ref="P108">IFERROR(_xlfn.LET(_xlpm.g,G108,_xlpm.f,F108,_xlpm.h,H108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-0.11940280686148229</v>
      </c>
      <c r="Q108" s="15" t="str" cm="1">
        <f t="array" ref="Q108">IFERROR(_xlfn.LET(_xlpm.e,E108,_xlpm.g,G108,_xlpm.h,H108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8" s="15" t="str">
        <f t="shared" si="12"/>
        <v>🔴 Lagging</v>
      </c>
      <c r="S108" s="35" cm="1">
        <f t="array" ref="S108">IFERROR(_xlfn.LET(_xlpm.e,E108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89</v>
      </c>
      <c r="T108" s="36">
        <f t="shared" si="13"/>
        <v>15.730319404135502</v>
      </c>
      <c r="U108" s="15">
        <f t="shared" si="14"/>
        <v>496</v>
      </c>
      <c r="V108" s="16">
        <f t="shared" si="15"/>
        <v>1954.5728038507823</v>
      </c>
      <c r="W108" s="16">
        <f t="shared" si="16"/>
        <v>4860.7332687799362</v>
      </c>
      <c r="X108" s="37">
        <f t="shared" si="17"/>
        <v>45</v>
      </c>
      <c r="Y108" s="15" t="str">
        <f t="shared" si="18"/>
        <v>📊 Medium</v>
      </c>
    </row>
    <row r="109" spans="1:25" x14ac:dyDescent="0.2">
      <c r="A109" t="str">
        <f>'5. KPI Baselines'!A94</f>
        <v>BMS Enterprises</v>
      </c>
      <c r="B109" t="str">
        <f>'5. KPI Baselines'!B94</f>
        <v>Product Management</v>
      </c>
      <c r="C109" t="str">
        <f>'5. KPI Baselines'!C94</f>
        <v>New Product Introduction</v>
      </c>
      <c r="D109" t="str">
        <f>'5. KPI Baselines'!D94</f>
        <v>Time to Market</v>
      </c>
      <c r="E109" t="str">
        <f>'5. KPI Baselines'!E94</f>
        <v>67 days</v>
      </c>
      <c r="F109" t="str">
        <f>'5. KPI Baselines'!F94</f>
        <v>52 days</v>
      </c>
      <c r="G109" t="str">
        <f>'5. KPI Baselines'!G94</f>
        <v>45 days</v>
      </c>
      <c r="H109" t="str">
        <f>'5. KPI Baselines'!H94</f>
        <v>↓</v>
      </c>
      <c r="I109" t="str">
        <f>'5. KPI Baselines'!I94</f>
        <v>12 months</v>
      </c>
      <c r="J109" t="str">
        <f>'5. KPI Baselines'!J94</f>
        <v>Days from supplier agreement to first customer shipment</v>
      </c>
      <c r="K109" s="15" t="str">
        <f t="shared" si="10"/>
        <v>67 days → 52 days</v>
      </c>
      <c r="L109" s="34" cm="1">
        <f t="array" ref="L109">IFERROR(_xlfn.LET(_xlpm.e,E109,_xlpm.f,F109,_xlpm.h,H109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0.22388026286527929</v>
      </c>
      <c r="M109" s="15" cm="1">
        <f t="array" ref="M109">IFERROR(_xlfn.LET(_xlpm.e,E109,_xlpm.f,F109,_xlpm.h,H109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54.3</v>
      </c>
      <c r="N109" s="15" cm="1">
        <f t="array" ref="N109">IFERROR(_xlfn.LET(_xlpm.e,E109,_xlpm.f,F109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109" s="15" t="str">
        <f t="shared" si="11"/>
        <v>45 days → 52 days</v>
      </c>
      <c r="P109" s="34" cm="1">
        <f t="array" ref="P109">IFERROR(_xlfn.LET(_xlpm.g,G109,_xlpm.f,F109,_xlpm.h,H109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-0.15555520987731136</v>
      </c>
      <c r="Q109" s="15" t="str" cm="1">
        <f t="array" ref="Q109">IFERROR(_xlfn.LET(_xlpm.e,E109,_xlpm.g,G109,_xlpm.h,H109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09" s="15" t="str">
        <f t="shared" si="12"/>
        <v>🔴 Lagging</v>
      </c>
      <c r="S109" s="35" cm="1">
        <f t="array" ref="S109">IFERROR(_xlfn.LET(_xlpm.e,E109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109" s="36">
        <f t="shared" si="13"/>
        <v>22.388026286527928</v>
      </c>
      <c r="U109" s="15">
        <f t="shared" si="14"/>
        <v>443</v>
      </c>
      <c r="V109" s="16">
        <f t="shared" si="15"/>
        <v>2094.1843743516802</v>
      </c>
      <c r="W109" s="16">
        <f t="shared" si="16"/>
        <v>5207.9265808445289</v>
      </c>
      <c r="X109" s="37">
        <f t="shared" si="17"/>
        <v>42</v>
      </c>
      <c r="Y109" s="15" t="str">
        <f t="shared" si="18"/>
        <v>📊 Medium</v>
      </c>
    </row>
    <row r="110" spans="1:25" x14ac:dyDescent="0.2">
      <c r="A110" t="str">
        <f>'5. KPI Baselines'!A95</f>
        <v>BMS Enterprises</v>
      </c>
      <c r="B110" t="str">
        <f>'5. KPI Baselines'!B95</f>
        <v>Business Intelligence</v>
      </c>
      <c r="C110" t="str">
        <f>'5. KPI Baselines'!C95</f>
        <v>Reporting &amp; Analytics</v>
      </c>
      <c r="D110" t="str">
        <f>'5. KPI Baselines'!D95</f>
        <v>Report Generation Cycle Time</v>
      </c>
      <c r="E110" t="str">
        <f>'5. KPI Baselines'!E95</f>
        <v>8.3 days</v>
      </c>
      <c r="F110" t="str">
        <f>'5. KPI Baselines'!F95</f>
        <v>4.5 days</v>
      </c>
      <c r="G110" t="str">
        <f>'5. KPI Baselines'!G95</f>
        <v>3.2 days</v>
      </c>
      <c r="H110" t="str">
        <f>'5. KPI Baselines'!H95</f>
        <v>↓</v>
      </c>
      <c r="I110" t="str">
        <f>'5. KPI Baselines'!I95</f>
        <v>9 months</v>
      </c>
      <c r="J110" t="str">
        <f>'5. KPI Baselines'!J95</f>
        <v>Average time from request to executive report delivery</v>
      </c>
      <c r="K110" s="15" t="str">
        <f t="shared" si="10"/>
        <v>8.3 days → 4.5 days</v>
      </c>
      <c r="L110" s="34" cm="1">
        <f t="array" ref="L110">IFERROR(_xlfn.LET(_xlpm.e,E110,_xlpm.f,F110,_xlpm.h,H110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0.45782580932759853</v>
      </c>
      <c r="M110" s="15" cm="1">
        <f t="array" ref="M110">IFERROR(_xlfn.LET(_xlpm.e,E110,_xlpm.f,F110,_xlpm.h,H110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110" s="15" cm="1">
        <f t="array" ref="N110">IFERROR(_xlfn.LET(_xlpm.e,E110,_xlpm.f,F110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2.91</v>
      </c>
      <c r="O110" s="15" t="str">
        <f t="shared" si="11"/>
        <v>3.2 days → 4.5 days</v>
      </c>
      <c r="P110" s="34" cm="1">
        <f t="array" ref="P110">IFERROR(_xlfn.LET(_xlpm.g,G110,_xlpm.f,F110,_xlpm.h,H110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-0.40623730508421602</v>
      </c>
      <c r="Q110" s="15" t="str" cm="1">
        <f t="array" ref="Q110">IFERROR(_xlfn.LET(_xlpm.e,E110,_xlpm.g,G110,_xlpm.h,H110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10" s="15" t="str">
        <f t="shared" si="12"/>
        <v>🔴 Lagging</v>
      </c>
      <c r="S110" s="35" cm="1">
        <f t="array" ref="S110">IFERROR(_xlfn.LET(_xlpm.e,E110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8.3000000000000007</v>
      </c>
      <c r="T110" s="36">
        <f t="shared" si="13"/>
        <v>45.782580932759856</v>
      </c>
      <c r="U110" s="15">
        <f t="shared" si="14"/>
        <v>262</v>
      </c>
      <c r="V110" s="16">
        <f t="shared" si="15"/>
        <v>530.52110817941968</v>
      </c>
      <c r="W110" s="16">
        <f t="shared" si="16"/>
        <v>1319.327474135147</v>
      </c>
      <c r="X110" s="37">
        <f t="shared" si="17"/>
        <v>163</v>
      </c>
      <c r="Y110" s="15" t="str">
        <f t="shared" si="18"/>
        <v>⚠️ High</v>
      </c>
    </row>
    <row r="111" spans="1:25" x14ac:dyDescent="0.2">
      <c r="A111" t="str">
        <f>'5. KPI Baselines'!A96</f>
        <v>Barnet Products</v>
      </c>
      <c r="B111" t="str">
        <f>'5. KPI Baselines'!B96</f>
        <v>Quality Management</v>
      </c>
      <c r="C111" t="str">
        <f>'5. KPI Baselines'!C96</f>
        <v>Inspection &amp; Documentation</v>
      </c>
      <c r="D111" t="str">
        <f>'5. KPI Baselines'!D96</f>
        <v>Quality Documentation Hours</v>
      </c>
      <c r="E111" t="str">
        <f>'5. KPI Baselines'!E96</f>
        <v>42,000 hours/year</v>
      </c>
      <c r="F111" t="str">
        <f>'5. KPI Baselines'!F96</f>
        <v>10,500 hours/year</v>
      </c>
      <c r="G111" t="str">
        <f>'5. KPI Baselines'!G96</f>
        <v>35,000 hours/year for comparable scale</v>
      </c>
      <c r="H111" t="str">
        <f>'5. KPI Baselines'!H96</f>
        <v>↓</v>
      </c>
      <c r="I111" t="str">
        <f>'5. KPI Baselines'!I96</f>
        <v>18 months</v>
      </c>
      <c r="J111" t="str">
        <f>'5. KPI Baselines'!J96</f>
        <v>Time tracking system aggregation</v>
      </c>
      <c r="K111" s="15" t="str">
        <f t="shared" si="10"/>
        <v>42,000 hours/year → 10,500 hours/year</v>
      </c>
      <c r="L111" s="34" t="str" cm="1">
        <f t="array" ref="L111">IFERROR(_xlfn.LET(_xlpm.e,E111,_xlpm.f,F111,_xlpm.h,H111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11" s="15" t="str" cm="1">
        <f t="array" ref="M111">IFERROR(_xlfn.LET(_xlpm.e,E111,_xlpm.f,F111,_xlpm.h,H111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11" s="15" t="str" cm="1">
        <f t="array" ref="N111">IFERROR(_xlfn.LET(_xlpm.e,E111,_xlpm.f,F111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11" s="15" t="str">
        <f t="shared" si="11"/>
        <v>35,000 hours/year for comparable scale → 10,500 hours/year</v>
      </c>
      <c r="P111" s="34" t="str" cm="1">
        <f t="array" ref="P111">IFERROR(_xlfn.LET(_xlpm.g,G111,_xlpm.f,F111,_xlpm.h,H111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1" s="15" t="str" cm="1">
        <f t="array" ref="Q111">IFERROR(_xlfn.LET(_xlpm.e,E111,_xlpm.g,G111,_xlpm.h,H111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1" s="15" t="str">
        <f t="shared" si="12"/>
        <v>⚪ N/A</v>
      </c>
      <c r="S111" s="35" cm="1">
        <f t="array" ref="S111">IFERROR(_xlfn.LET(_xlpm.e,E111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11" s="36">
        <f t="shared" si="13"/>
        <v>0</v>
      </c>
      <c r="U111" s="15">
        <f t="shared" si="14"/>
        <v>554</v>
      </c>
      <c r="V111" s="16">
        <f t="shared" si="15"/>
        <v>0</v>
      </c>
      <c r="W111" s="16">
        <f t="shared" si="16"/>
        <v>0</v>
      </c>
      <c r="X111" s="37" t="str">
        <f t="shared" si="17"/>
        <v>-</v>
      </c>
      <c r="Y111" s="15" t="str">
        <f t="shared" si="18"/>
        <v>📉 Low</v>
      </c>
    </row>
    <row r="112" spans="1:25" x14ac:dyDescent="0.2">
      <c r="A112" t="str">
        <f>'5. KPI Baselines'!A97</f>
        <v>Barnet Products</v>
      </c>
      <c r="B112" t="str">
        <f>'5. KPI Baselines'!B97</f>
        <v>Quality Management</v>
      </c>
      <c r="C112" t="str">
        <f>'5. KPI Baselines'!C97</f>
        <v>Customer Response</v>
      </c>
      <c r="D112" t="str">
        <f>'5. KPI Baselines'!D97</f>
        <v>Quality Inquiry Closure Time</v>
      </c>
      <c r="E112" t="str">
        <f>'5. KPI Baselines'!E97</f>
        <v>19 days average</v>
      </c>
      <c r="F112" t="str">
        <f>'5. KPI Baselines'!F97</f>
        <v>3 days average</v>
      </c>
      <c r="G112" t="str">
        <f>'5. KPI Baselines'!G97</f>
        <v>12 days average</v>
      </c>
      <c r="H112" t="str">
        <f>'5. KPI Baselines'!H97</f>
        <v>↓</v>
      </c>
      <c r="I112" t="str">
        <f>'5. KPI Baselines'!I97</f>
        <v>12 months</v>
      </c>
      <c r="J112" t="str">
        <f>'5. KPI Baselines'!J97</f>
        <v>CRM system workflow tracking</v>
      </c>
      <c r="K112" s="15" t="str">
        <f t="shared" si="10"/>
        <v>19 days average → 3 days average</v>
      </c>
      <c r="L112" s="34" cm="1">
        <f t="array" ref="L112">IFERROR(_xlfn.LET(_xlpm.e,E112,_xlpm.f,F112,_xlpm.h,H112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0.84210083104825761</v>
      </c>
      <c r="M112" s="15" cm="1">
        <f t="array" ref="M112">IFERROR(_xlfn.LET(_xlpm.e,E112,_xlpm.f,F112,_xlpm.h,H112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5.4</v>
      </c>
      <c r="N112" s="15" cm="1">
        <f t="array" ref="N112">IFERROR(_xlfn.LET(_xlpm.e,E112,_xlpm.f,F112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112" s="15" t="str">
        <f t="shared" si="11"/>
        <v>12 days average → 3 days average</v>
      </c>
      <c r="P112" s="34" cm="1">
        <f t="array" ref="P112">IFERROR(_xlfn.LET(_xlpm.g,G112,_xlpm.f,F112,_xlpm.h,H112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0.74999375005208291</v>
      </c>
      <c r="Q112" s="15" t="str" cm="1">
        <f t="array" ref="Q112">IFERROR(_xlfn.LET(_xlpm.e,E112,_xlpm.g,G112,_xlpm.h,H112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12" s="15" t="str">
        <f t="shared" si="12"/>
        <v>🔴 Lagging</v>
      </c>
      <c r="S112" s="35" cm="1">
        <f t="array" ref="S112">IFERROR(_xlfn.LET(_xlpm.e,E112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112" s="36">
        <f t="shared" si="13"/>
        <v>84.210083104825756</v>
      </c>
      <c r="U112" s="15">
        <f t="shared" si="14"/>
        <v>28</v>
      </c>
      <c r="V112" s="16">
        <f t="shared" si="15"/>
        <v>2233.7882432197725</v>
      </c>
      <c r="W112" s="16">
        <f t="shared" si="16"/>
        <v>5555.1007400882445</v>
      </c>
      <c r="X112" s="37">
        <f t="shared" si="17"/>
        <v>39</v>
      </c>
      <c r="Y112" s="15" t="str">
        <f t="shared" si="18"/>
        <v>🔥 Critical</v>
      </c>
    </row>
    <row r="113" spans="1:25" x14ac:dyDescent="0.2">
      <c r="A113" t="str">
        <f>'5. KPI Baselines'!A98</f>
        <v>Barnet Products</v>
      </c>
      <c r="B113" t="str">
        <f>'5. KPI Baselines'!B98</f>
        <v>Manufacturing Operations</v>
      </c>
      <c r="C113" t="str">
        <f>'5. KPI Baselines'!C98</f>
        <v>Maintenance</v>
      </c>
      <c r="D113" t="str">
        <f>'5. KPI Baselines'!D98</f>
        <v>Unplanned Downtime Rate</v>
      </c>
      <c r="E113" t="str">
        <f>'5. KPI Baselines'!E98</f>
        <v>18% of available time</v>
      </c>
      <c r="F113" t="str">
        <f>'5. KPI Baselines'!F98</f>
        <v>10% of available time</v>
      </c>
      <c r="G113" t="str">
        <f>'5. KPI Baselines'!G98</f>
        <v>12% for discrete manufacturing</v>
      </c>
      <c r="H113" t="str">
        <f>'5. KPI Baselines'!H98</f>
        <v>↓</v>
      </c>
      <c r="I113" t="str">
        <f>'5. KPI Baselines'!I98</f>
        <v>24 months</v>
      </c>
      <c r="J113" t="str">
        <f>'5. KPI Baselines'!J98</f>
        <v>MES downtime event logging</v>
      </c>
      <c r="K113" s="15" t="str">
        <f t="shared" si="10"/>
        <v>18% of available time → 10% of available time</v>
      </c>
      <c r="L113" s="34" cm="1">
        <f t="array" ref="L113">IFERROR(_xlfn.LET(_xlpm.e,E113,_xlpm.f,F113,_xlpm.h,H113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0.44444197532235935</v>
      </c>
      <c r="M113" s="15" cm="1">
        <f t="array" ref="M113">IFERROR(_xlfn.LET(_xlpm.e,E113,_xlpm.f,F113,_xlpm.h,H113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11.2</v>
      </c>
      <c r="N113" s="15" cm="1">
        <f t="array" ref="N113">IFERROR(_xlfn.LET(_xlpm.e,E113,_xlpm.f,F113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13" s="15" t="str">
        <f t="shared" si="11"/>
        <v>12% for discrete manufacturing → 10% of available time</v>
      </c>
      <c r="P113" s="34" t="str" cm="1">
        <f t="array" ref="P113">IFERROR(_xlfn.LET(_xlpm.g,G113,_xlpm.f,F113,_xlpm.h,H113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3" s="15" t="str" cm="1">
        <f t="array" ref="Q113">IFERROR(_xlfn.LET(_xlpm.e,E113,_xlpm.g,G113,_xlpm.h,H113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3" s="15" t="str">
        <f t="shared" si="12"/>
        <v>⚪ N/A</v>
      </c>
      <c r="S113" s="35" cm="1">
        <f t="array" ref="S113">IFERROR(_xlfn.LET(_xlpm.e,E113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113" s="36">
        <f t="shared" si="13"/>
        <v>44.444197532235933</v>
      </c>
      <c r="U113" s="15">
        <f t="shared" si="14"/>
        <v>268</v>
      </c>
      <c r="V113" s="16">
        <f t="shared" si="15"/>
        <v>1116.8937950344721</v>
      </c>
      <c r="W113" s="16">
        <f t="shared" si="16"/>
        <v>2777.5495578994028</v>
      </c>
      <c r="X113" s="37">
        <f t="shared" si="17"/>
        <v>78</v>
      </c>
      <c r="Y113" s="15" t="str">
        <f t="shared" si="18"/>
        <v>⚠️ High</v>
      </c>
    </row>
    <row r="114" spans="1:25" x14ac:dyDescent="0.2">
      <c r="A114" t="str">
        <f>'5. KPI Baselines'!A99</f>
        <v>Barnet Products</v>
      </c>
      <c r="B114" t="str">
        <f>'5. KPI Baselines'!B99</f>
        <v>Manufacturing Operations</v>
      </c>
      <c r="C114" t="str">
        <f>'5. KPI Baselines'!C99</f>
        <v>Production Planning</v>
      </c>
      <c r="D114" t="str">
        <f>'5. KPI Baselines'!D99</f>
        <v>Schedule Adherence</v>
      </c>
      <c r="E114" t="str">
        <f>'5. KPI Baselines'!E99</f>
        <v>14% on-time completion</v>
      </c>
      <c r="F114" t="str">
        <f>'5. KPI Baselines'!F99</f>
        <v>85% on-time completion</v>
      </c>
      <c r="G114" t="str">
        <f>'5. KPI Baselines'!G99</f>
        <v>78% for make-to-order</v>
      </c>
      <c r="H114" t="str">
        <f>'5. KPI Baselines'!H99</f>
        <v>↑</v>
      </c>
      <c r="I114" t="str">
        <f>'5. KPI Baselines'!I99</f>
        <v>18 months</v>
      </c>
      <c r="J114" t="str">
        <f>'5. KPI Baselines'!J99</f>
        <v>ERP planned vs actual comparison</v>
      </c>
      <c r="K114" s="15" t="str">
        <f t="shared" si="10"/>
        <v>85% on-time completion - 14% on-time completion</v>
      </c>
      <c r="L114" s="34" t="str" cm="1">
        <f t="array" ref="L114">IFERROR(_xlfn.LET(_xlpm.e,E114,_xlpm.f,F114,_xlpm.h,H114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14" s="15" t="str" cm="1">
        <f t="array" ref="M114">IFERROR(_xlfn.LET(_xlpm.e,E114,_xlpm.f,F114,_xlpm.h,H114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14" s="15" t="str" cm="1">
        <f t="array" ref="N114">IFERROR(_xlfn.LET(_xlpm.e,E114,_xlpm.f,F114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14" s="15" t="str">
        <f t="shared" si="11"/>
        <v>85% on-time completion - 78% for make-to-order</v>
      </c>
      <c r="P114" s="34" t="str" cm="1">
        <f t="array" ref="P114">IFERROR(_xlfn.LET(_xlpm.g,G114,_xlpm.f,F114,_xlpm.h,H114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4" s="15" t="str" cm="1">
        <f t="array" ref="Q114">IFERROR(_xlfn.LET(_xlpm.e,E114,_xlpm.g,G114,_xlpm.h,H114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4" s="15" t="str">
        <f t="shared" si="12"/>
        <v>⚪ N/A</v>
      </c>
      <c r="S114" s="35" cm="1">
        <f t="array" ref="S114">IFERROR(_xlfn.LET(_xlpm.e,E114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14" s="36">
        <f t="shared" si="13"/>
        <v>0</v>
      </c>
      <c r="U114" s="15">
        <f t="shared" si="14"/>
        <v>554</v>
      </c>
      <c r="V114" s="16">
        <f t="shared" si="15"/>
        <v>0</v>
      </c>
      <c r="W114" s="16">
        <f t="shared" si="16"/>
        <v>0</v>
      </c>
      <c r="X114" s="37" t="str">
        <f t="shared" si="17"/>
        <v>-</v>
      </c>
      <c r="Y114" s="15" t="str">
        <f t="shared" si="18"/>
        <v>📉 Low</v>
      </c>
    </row>
    <row r="115" spans="1:25" x14ac:dyDescent="0.2">
      <c r="A115" t="str">
        <f>'5. KPI Baselines'!A100</f>
        <v>Barnet Products</v>
      </c>
      <c r="B115" t="str">
        <f>'5. KPI Baselines'!B100</f>
        <v>Manufacturing Operations</v>
      </c>
      <c r="C115" t="str">
        <f>'5. KPI Baselines'!C100</f>
        <v>Production Planning</v>
      </c>
      <c r="D115" t="str">
        <f>'5. KPI Baselines'!D100</f>
        <v>Schedule Replan Cycle Time</v>
      </c>
      <c r="E115" t="str">
        <f>'5. KPI Baselines'!E100</f>
        <v>6 hours average</v>
      </c>
      <c r="F115" t="str">
        <f>'5. KPI Baselines'!F100</f>
        <v>1 hour average</v>
      </c>
      <c r="G115" t="str">
        <f>'5. KPI Baselines'!G100</f>
        <v>2 hours average</v>
      </c>
      <c r="H115" t="str">
        <f>'5. KPI Baselines'!H100</f>
        <v>↓</v>
      </c>
      <c r="I115" t="str">
        <f>'5. KPI Baselines'!I100</f>
        <v>12 months</v>
      </c>
      <c r="J115" t="str">
        <f>'5. KPI Baselines'!J100</f>
        <v>Planner activity logging</v>
      </c>
      <c r="K115" s="15" t="str">
        <f t="shared" si="10"/>
        <v>6 hours average → 1 hour average</v>
      </c>
      <c r="L115" s="34" cm="1">
        <f t="array" ref="L115">IFERROR(_xlfn.LET(_xlpm.e,E115,_xlpm.f,F115,_xlpm.h,H115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0.83331944467592212</v>
      </c>
      <c r="M115" s="15" cm="1">
        <f t="array" ref="M115">IFERROR(_xlfn.LET(_xlpm.e,E115,_xlpm.f,F115,_xlpm.h,H115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1.8</v>
      </c>
      <c r="N115" s="15" cm="1">
        <f t="array" ref="N115">IFERROR(_xlfn.LET(_xlpm.e,E115,_xlpm.f,F115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115" s="15" t="str">
        <f t="shared" si="11"/>
        <v>2 hours average → 1 hour average</v>
      </c>
      <c r="P115" s="34" cm="1">
        <f t="array" ref="P115">IFERROR(_xlfn.LET(_xlpm.g,G115,_xlpm.f,F115,_xlpm.h,H115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115" s="15" t="str" cm="1">
        <f t="array" ref="Q115">IFERROR(_xlfn.LET(_xlpm.e,E115,_xlpm.g,G115,_xlpm.h,H115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15" s="15" t="str">
        <f t="shared" si="12"/>
        <v>🔴 Lagging</v>
      </c>
      <c r="S115" s="35" cm="1">
        <f t="array" ref="S115">IFERROR(_xlfn.LET(_xlpm.e,E115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115" s="36">
        <f t="shared" si="13"/>
        <v>83.331944467592209</v>
      </c>
      <c r="U115" s="15">
        <f t="shared" si="14"/>
        <v>32</v>
      </c>
      <c r="V115" s="16">
        <f t="shared" si="15"/>
        <v>698.05086581890305</v>
      </c>
      <c r="W115" s="16">
        <f t="shared" si="16"/>
        <v>1735.9491854700007</v>
      </c>
      <c r="X115" s="37">
        <f t="shared" si="17"/>
        <v>124</v>
      </c>
      <c r="Y115" s="15" t="str">
        <f t="shared" si="18"/>
        <v>🔥 Critical</v>
      </c>
    </row>
    <row r="116" spans="1:25" x14ac:dyDescent="0.2">
      <c r="A116" t="str">
        <f>'5. KPI Baselines'!A101</f>
        <v>Barnet Products</v>
      </c>
      <c r="B116" t="str">
        <f>'5. KPI Baselines'!B101</f>
        <v>Supply Chain</v>
      </c>
      <c r="C116" t="str">
        <f>'5. KPI Baselines'!C101</f>
        <v>Inventory Management</v>
      </c>
      <c r="D116" t="str">
        <f>'5. KPI Baselines'!D101</f>
        <v>Days Inventory Outstanding</v>
      </c>
      <c r="E116" t="str">
        <f>'5. KPI Baselines'!E101</f>
        <v>73 days</v>
      </c>
      <c r="F116" t="str">
        <f>'5. KPI Baselines'!F101</f>
        <v>58 days</v>
      </c>
      <c r="G116" t="str">
        <f>'5. KPI Baselines'!G101</f>
        <v>52 days for contract manufacturers</v>
      </c>
      <c r="H116" t="str">
        <f>'5. KPI Baselines'!H101</f>
        <v>↓</v>
      </c>
      <c r="I116" t="str">
        <f>'5. KPI Baselines'!I101</f>
        <v>18 months</v>
      </c>
      <c r="J116" t="str">
        <f>'5. KPI Baselines'!J101</f>
        <v>Financial system inventory turnover calculation</v>
      </c>
      <c r="K116" s="15" t="str">
        <f t="shared" si="10"/>
        <v>73 days → 58 days</v>
      </c>
      <c r="L116" s="34" cm="1">
        <f t="array" ref="L116">IFERROR(_xlfn.LET(_xlpm.e,E116,_xlpm.f,F116,_xlpm.h,H116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0.20547917057647866</v>
      </c>
      <c r="M116" s="15" cm="1">
        <f t="array" ref="M116">IFERROR(_xlfn.LET(_xlpm.e,E116,_xlpm.f,F116,_xlpm.h,H116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60.3</v>
      </c>
      <c r="N116" s="15" cm="1">
        <f t="array" ref="N116">IFERROR(_xlfn.LET(_xlpm.e,E116,_xlpm.f,F116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116" s="15" t="str">
        <f t="shared" si="11"/>
        <v>52 days for contract manufacturers → 58 days</v>
      </c>
      <c r="P116" s="34" t="str" cm="1">
        <f t="array" ref="P116">IFERROR(_xlfn.LET(_xlpm.g,G116,_xlpm.f,F116,_xlpm.h,H116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6" s="15" t="str" cm="1">
        <f t="array" ref="Q116">IFERROR(_xlfn.LET(_xlpm.e,E116,_xlpm.g,G116,_xlpm.h,H116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6" s="15" t="str">
        <f t="shared" si="12"/>
        <v>⚪ N/A</v>
      </c>
      <c r="S116" s="35" cm="1">
        <f t="array" ref="S116">IFERROR(_xlfn.LET(_xlpm.e,E116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116" s="36">
        <f t="shared" si="13"/>
        <v>20.547917057647865</v>
      </c>
      <c r="U116" s="15">
        <f t="shared" si="14"/>
        <v>467</v>
      </c>
      <c r="V116" s="16">
        <f t="shared" si="15"/>
        <v>2094.1846312539301</v>
      </c>
      <c r="W116" s="16">
        <f t="shared" si="16"/>
        <v>5207.9272197223991</v>
      </c>
      <c r="X116" s="37">
        <f t="shared" si="17"/>
        <v>42</v>
      </c>
      <c r="Y116" s="15" t="str">
        <f t="shared" si="18"/>
        <v>📊 Medium</v>
      </c>
    </row>
    <row r="117" spans="1:25" x14ac:dyDescent="0.2">
      <c r="A117" t="str">
        <f>'5. KPI Baselines'!A102</f>
        <v>Barnet Products</v>
      </c>
      <c r="B117" t="str">
        <f>'5. KPI Baselines'!B102</f>
        <v>Supply Chain</v>
      </c>
      <c r="C117" t="str">
        <f>'5. KPI Baselines'!C102</f>
        <v>Procurement</v>
      </c>
      <c r="D117" t="str">
        <f>'5. KPI Baselines'!D102</f>
        <v>Procurement Administration Hours</v>
      </c>
      <c r="E117" t="str">
        <f>'5. KPI Baselines'!E102</f>
        <v>28,000 hours/year</v>
      </c>
      <c r="F117" t="str">
        <f>'5. KPI Baselines'!F102</f>
        <v>11,200 hours/year</v>
      </c>
      <c r="G117" t="str">
        <f>'5. KPI Baselines'!G102</f>
        <v>18,000 hours/year for 340 suppliers</v>
      </c>
      <c r="H117" t="str">
        <f>'5. KPI Baselines'!H102</f>
        <v>↓</v>
      </c>
      <c r="I117" t="str">
        <f>'5. KPI Baselines'!I102</f>
        <v>12 months</v>
      </c>
      <c r="J117" t="str">
        <f>'5. KPI Baselines'!J102</f>
        <v>Time allocation survey and system data</v>
      </c>
      <c r="K117" s="15" t="str">
        <f t="shared" si="10"/>
        <v>28,000 hours/year → 11,200 hours/year</v>
      </c>
      <c r="L117" s="34" t="str" cm="1">
        <f t="array" ref="L117">IFERROR(_xlfn.LET(_xlpm.e,E117,_xlpm.f,F117,_xlpm.h,H117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17" s="15" t="str" cm="1">
        <f t="array" ref="M117">IFERROR(_xlfn.LET(_xlpm.e,E117,_xlpm.f,F117,_xlpm.h,H117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17" s="15" t="str" cm="1">
        <f t="array" ref="N117">IFERROR(_xlfn.LET(_xlpm.e,E117,_xlpm.f,F117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17" s="15" t="str">
        <f t="shared" si="11"/>
        <v>18,000 hours/year for 340 suppliers → 11,200 hours/year</v>
      </c>
      <c r="P117" s="34" t="str" cm="1">
        <f t="array" ref="P117">IFERROR(_xlfn.LET(_xlpm.g,G117,_xlpm.f,F117,_xlpm.h,H117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7" s="15" t="str" cm="1">
        <f t="array" ref="Q117">IFERROR(_xlfn.LET(_xlpm.e,E117,_xlpm.g,G117,_xlpm.h,H117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7" s="15" t="str">
        <f t="shared" si="12"/>
        <v>⚪ N/A</v>
      </c>
      <c r="S117" s="35" cm="1">
        <f t="array" ref="S117">IFERROR(_xlfn.LET(_xlpm.e,E117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17" s="36">
        <f t="shared" si="13"/>
        <v>0</v>
      </c>
      <c r="U117" s="15">
        <f t="shared" si="14"/>
        <v>554</v>
      </c>
      <c r="V117" s="16">
        <f t="shared" si="15"/>
        <v>0</v>
      </c>
      <c r="W117" s="16">
        <f t="shared" si="16"/>
        <v>0</v>
      </c>
      <c r="X117" s="37" t="str">
        <f t="shared" si="17"/>
        <v>-</v>
      </c>
      <c r="Y117" s="15" t="str">
        <f t="shared" si="18"/>
        <v>📉 Low</v>
      </c>
    </row>
    <row r="118" spans="1:25" x14ac:dyDescent="0.2">
      <c r="A118" t="str">
        <f>'5. KPI Baselines'!A103</f>
        <v>Barnet Products</v>
      </c>
      <c r="B118" t="str">
        <f>'5. KPI Baselines'!B103</f>
        <v>Supply Chain</v>
      </c>
      <c r="C118" t="str">
        <f>'5. KPI Baselines'!C103</f>
        <v>Logistics</v>
      </c>
      <c r="D118" t="str">
        <f>'5. KPI Baselines'!D103</f>
        <v>Expedite Freight Costs</v>
      </c>
      <c r="E118" t="str">
        <f>'5. KPI Baselines'!E103</f>
        <v>$12M annually</v>
      </c>
      <c r="F118" t="str">
        <f>'5. KPI Baselines'!F103</f>
        <v>$4M annually</v>
      </c>
      <c r="G118" t="str">
        <f>'5. KPI Baselines'!G103</f>
        <v>$7M for comparable revenue scale</v>
      </c>
      <c r="H118" t="str">
        <f>'5. KPI Baselines'!H103</f>
        <v>↓</v>
      </c>
      <c r="I118" t="str">
        <f>'5. KPI Baselines'!I103</f>
        <v>18 months</v>
      </c>
      <c r="J118" t="str">
        <f>'5. KPI Baselines'!J103</f>
        <v>Freight invoice categorization</v>
      </c>
      <c r="K118" s="15" t="str">
        <f t="shared" si="10"/>
        <v>$12M annually → $4M annually</v>
      </c>
      <c r="L118" s="34" cm="1">
        <f t="array" ref="L118">IFERROR(_xlfn.LET(_xlpm.e,E118,_xlpm.f,F118,_xlpm.h,H118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0.666661111157407</v>
      </c>
      <c r="M118" s="15" cm="1">
        <f t="array" ref="M118">IFERROR(_xlfn.LET(_xlpm.e,E118,_xlpm.f,F118,_xlpm.h,H118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5.2</v>
      </c>
      <c r="N118" s="15" cm="1">
        <f t="array" ref="N118">IFERROR(_xlfn.LET(_xlpm.e,E118,_xlpm.f,F118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18" s="15" t="str">
        <f t="shared" si="11"/>
        <v>$7M for comparable revenue scale → $4M annually</v>
      </c>
      <c r="P118" s="34" t="str" cm="1">
        <f t="array" ref="P118">IFERROR(_xlfn.LET(_xlpm.g,G118,_xlpm.f,F118,_xlpm.h,H118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8" s="15" t="str" cm="1">
        <f t="array" ref="Q118">IFERROR(_xlfn.LET(_xlpm.e,E118,_xlpm.g,G118,_xlpm.h,H118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8" s="15" t="str">
        <f t="shared" si="12"/>
        <v>⚪ N/A</v>
      </c>
      <c r="S118" s="35" cm="1">
        <f t="array" ref="S118">IFERROR(_xlfn.LET(_xlpm.e,E118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18" s="36">
        <f t="shared" si="13"/>
        <v>66.666111115740705</v>
      </c>
      <c r="U118" s="15">
        <f t="shared" si="14"/>
        <v>97</v>
      </c>
      <c r="V118" s="16">
        <f t="shared" si="15"/>
        <v>1116.8906925775618</v>
      </c>
      <c r="W118" s="16">
        <f t="shared" si="16"/>
        <v>2777.541842548259</v>
      </c>
      <c r="X118" s="37">
        <f t="shared" si="17"/>
        <v>78</v>
      </c>
      <c r="Y118" s="15" t="str">
        <f t="shared" si="18"/>
        <v>🔥 Critical</v>
      </c>
    </row>
    <row r="119" spans="1:25" x14ac:dyDescent="0.2">
      <c r="A119" t="str">
        <f>'5. KPI Baselines'!A104</f>
        <v>Barnet Products</v>
      </c>
      <c r="B119" t="str">
        <f>'5. KPI Baselines'!B104</f>
        <v>Engineering</v>
      </c>
      <c r="C119" t="str">
        <f>'5. KPI Baselines'!C104</f>
        <v>Product Development</v>
      </c>
      <c r="D119" t="str">
        <f>'5. KPI Baselines'!D104</f>
        <v>New Product Quote Cycle Time</v>
      </c>
      <c r="E119" t="str">
        <f>'5. KPI Baselines'!E104</f>
        <v>12 weeks average</v>
      </c>
      <c r="F119" t="str">
        <f>'5. KPI Baselines'!F104</f>
        <v>6 weeks average</v>
      </c>
      <c r="G119" t="str">
        <f>'5. KPI Baselines'!G104</f>
        <v>8 weeks for automotive fasteners</v>
      </c>
      <c r="H119" t="str">
        <f>'5. KPI Baselines'!H104</f>
        <v>↓</v>
      </c>
      <c r="I119" t="str">
        <f>'5. KPI Baselines'!I104</f>
        <v>12 months</v>
      </c>
      <c r="J119" t="str">
        <f>'5. KPI Baselines'!J104</f>
        <v>CRM opportunity stage duration</v>
      </c>
      <c r="K119" s="15" t="str">
        <f t="shared" si="10"/>
        <v>12 weeks average → 6 weeks average</v>
      </c>
      <c r="L119" s="34" cm="1">
        <f t="array" ref="L119">IFERROR(_xlfn.LET(_xlpm.e,E119,_xlpm.f,F119,_xlpm.h,H119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119" s="15" cm="1">
        <f t="array" ref="M119">IFERROR(_xlfn.LET(_xlpm.e,E119,_xlpm.f,F119,_xlpm.h,H119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119" s="15" cm="1">
        <f t="array" ref="N119">IFERROR(_xlfn.LET(_xlpm.e,E119,_xlpm.f,F119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19" s="15" t="str">
        <f t="shared" si="11"/>
        <v>8 weeks for automotive fasteners → 6 weeks average</v>
      </c>
      <c r="P119" s="34" t="str" cm="1">
        <f t="array" ref="P119">IFERROR(_xlfn.LET(_xlpm.g,G119,_xlpm.f,F119,_xlpm.h,H119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19" s="15" t="str" cm="1">
        <f t="array" ref="Q119">IFERROR(_xlfn.LET(_xlpm.e,E119,_xlpm.g,G119,_xlpm.h,H119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19" s="15" t="str">
        <f t="shared" si="12"/>
        <v>⚪ N/A</v>
      </c>
      <c r="S119" s="35" cm="1">
        <f t="array" ref="S119">IFERROR(_xlfn.LET(_xlpm.e,E119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19" s="36">
        <f t="shared" si="13"/>
        <v>49.999583336805529</v>
      </c>
      <c r="U119" s="15">
        <f t="shared" si="14"/>
        <v>231</v>
      </c>
      <c r="V119" s="16">
        <f t="shared" si="15"/>
        <v>837.66801943317137</v>
      </c>
      <c r="W119" s="16">
        <f t="shared" si="16"/>
        <v>2083.1563819111943</v>
      </c>
      <c r="X119" s="37">
        <f t="shared" si="17"/>
        <v>104</v>
      </c>
      <c r="Y119" s="15" t="str">
        <f t="shared" si="18"/>
        <v>⚠️ High</v>
      </c>
    </row>
    <row r="120" spans="1:25" x14ac:dyDescent="0.2">
      <c r="A120" t="str">
        <f>'5. KPI Baselines'!A105</f>
        <v>Barnet Products</v>
      </c>
      <c r="B120" t="str">
        <f>'5. KPI Baselines'!B105</f>
        <v>Engineering</v>
      </c>
      <c r="C120" t="str">
        <f>'5. KPI Baselines'!C105</f>
        <v>Design Standards</v>
      </c>
      <c r="D120" t="str">
        <f>'5. KPI Baselines'!D105</f>
        <v>Design Reuse Rate</v>
      </c>
      <c r="E120" t="str">
        <f>'5. KPI Baselines'!E105</f>
        <v>34% of new designs leverage existing components</v>
      </c>
      <c r="F120" t="str">
        <f>'5. KPI Baselines'!F105</f>
        <v>58% design reuse</v>
      </c>
      <c r="G120" t="str">
        <f>'5. KPI Baselines'!G105</f>
        <v>52% for mature product lines</v>
      </c>
      <c r="H120" t="str">
        <f>'5. KPI Baselines'!H105</f>
        <v>↑</v>
      </c>
      <c r="I120" t="str">
        <f>'5. KPI Baselines'!I105</f>
        <v>24 months</v>
      </c>
      <c r="J120" t="str">
        <f>'5. KPI Baselines'!J105</f>
        <v>PLM system component genealogy analysis</v>
      </c>
      <c r="K120" s="15" t="str">
        <f t="shared" si="10"/>
        <v>58% design reuse - 34% of new designs leverage existing components</v>
      </c>
      <c r="L120" s="34" t="str" cm="1">
        <f t="array" ref="L120">IFERROR(_xlfn.LET(_xlpm.e,E120,_xlpm.f,F120,_xlpm.h,H120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20" s="15" t="str" cm="1">
        <f t="array" ref="M120">IFERROR(_xlfn.LET(_xlpm.e,E120,_xlpm.f,F120,_xlpm.h,H120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20" s="15" t="str" cm="1">
        <f t="array" ref="N120">IFERROR(_xlfn.LET(_xlpm.e,E120,_xlpm.f,F120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20" s="15" t="str">
        <f t="shared" si="11"/>
        <v>58% design reuse - 52% for mature product lines</v>
      </c>
      <c r="P120" s="34" t="str" cm="1">
        <f t="array" ref="P120">IFERROR(_xlfn.LET(_xlpm.g,G120,_xlpm.f,F120,_xlpm.h,H120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20" s="15" t="str" cm="1">
        <f t="array" ref="Q120">IFERROR(_xlfn.LET(_xlpm.e,E120,_xlpm.g,G120,_xlpm.h,H120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20" s="15" t="str">
        <f t="shared" si="12"/>
        <v>⚪ N/A</v>
      </c>
      <c r="S120" s="35" cm="1">
        <f t="array" ref="S120">IFERROR(_xlfn.LET(_xlpm.e,E120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20" s="36">
        <f t="shared" si="13"/>
        <v>0</v>
      </c>
      <c r="U120" s="15">
        <f t="shared" si="14"/>
        <v>554</v>
      </c>
      <c r="V120" s="16">
        <f t="shared" si="15"/>
        <v>0</v>
      </c>
      <c r="W120" s="16">
        <f t="shared" si="16"/>
        <v>0</v>
      </c>
      <c r="X120" s="37" t="str">
        <f t="shared" si="17"/>
        <v>-</v>
      </c>
      <c r="Y120" s="15" t="str">
        <f t="shared" si="18"/>
        <v>📉 Low</v>
      </c>
    </row>
    <row r="121" spans="1:25" x14ac:dyDescent="0.2">
      <c r="A121" t="str">
        <f>'5. KPI Baselines'!A106</f>
        <v>Barnet Products</v>
      </c>
      <c r="B121" t="str">
        <f>'5. KPI Baselines'!B106</f>
        <v>Sales Operations</v>
      </c>
      <c r="C121" t="str">
        <f>'5. KPI Baselines'!C106</f>
        <v>Contract Management</v>
      </c>
      <c r="D121" t="str">
        <f>'5. KPI Baselines'!D106</f>
        <v>Price Adjustment Clause Capture Rate</v>
      </c>
      <c r="E121" t="str">
        <f>'5. KPI Baselines'!E106</f>
        <v>67% of eligible adjustments invoiced</v>
      </c>
      <c r="F121" t="str">
        <f>'5. KPI Baselines'!F106</f>
        <v>95% capture rate</v>
      </c>
      <c r="G121" t="str">
        <f>'5. KPI Baselines'!G106</f>
        <v>92% for contract manufacturers</v>
      </c>
      <c r="H121" t="str">
        <f>'5. KPI Baselines'!H106</f>
        <v>↑</v>
      </c>
      <c r="I121" t="str">
        <f>'5. KPI Baselines'!I106</f>
        <v>12 months</v>
      </c>
      <c r="J121" t="str">
        <f>'5. KPI Baselines'!J106</f>
        <v>Contract vs invoice reconciliation</v>
      </c>
      <c r="K121" s="15" t="str">
        <f t="shared" si="10"/>
        <v>95% capture rate - 67% of eligible adjustments invoiced</v>
      </c>
      <c r="L121" s="34" t="str" cm="1">
        <f t="array" ref="L121">IFERROR(_xlfn.LET(_xlpm.e,E121,_xlpm.f,F121,_xlpm.h,H121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21" s="15" t="str" cm="1">
        <f t="array" ref="M121">IFERROR(_xlfn.LET(_xlpm.e,E121,_xlpm.f,F121,_xlpm.h,H121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21" s="15" t="str" cm="1">
        <f t="array" ref="N121">IFERROR(_xlfn.LET(_xlpm.e,E121,_xlpm.f,F121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21" s="15" t="str">
        <f t="shared" si="11"/>
        <v>95% capture rate - 92% for contract manufacturers</v>
      </c>
      <c r="P121" s="34" t="str" cm="1">
        <f t="array" ref="P121">IFERROR(_xlfn.LET(_xlpm.g,G121,_xlpm.f,F121,_xlpm.h,H121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21" s="15" t="str" cm="1">
        <f t="array" ref="Q121">IFERROR(_xlfn.LET(_xlpm.e,E121,_xlpm.g,G121,_xlpm.h,H121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21" s="15" t="str">
        <f t="shared" si="12"/>
        <v>⚪ N/A</v>
      </c>
      <c r="S121" s="35" cm="1">
        <f t="array" ref="S121">IFERROR(_xlfn.LET(_xlpm.e,E121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21" s="36">
        <f t="shared" si="13"/>
        <v>0</v>
      </c>
      <c r="U121" s="15">
        <f t="shared" si="14"/>
        <v>554</v>
      </c>
      <c r="V121" s="16">
        <f t="shared" si="15"/>
        <v>0</v>
      </c>
      <c r="W121" s="16">
        <f t="shared" si="16"/>
        <v>0</v>
      </c>
      <c r="X121" s="37" t="str">
        <f t="shared" si="17"/>
        <v>-</v>
      </c>
      <c r="Y121" s="15" t="str">
        <f t="shared" si="18"/>
        <v>📉 Low</v>
      </c>
    </row>
    <row r="122" spans="1:25" x14ac:dyDescent="0.2">
      <c r="A122" t="str">
        <f>'5. KPI Baselines'!A107</f>
        <v>Barnet Products</v>
      </c>
      <c r="B122" t="str">
        <f>'5. KPI Baselines'!B107</f>
        <v>Finance</v>
      </c>
      <c r="C122" t="str">
        <f>'5. KPI Baselines'!C107</f>
        <v>Financial Planning</v>
      </c>
      <c r="D122" t="str">
        <f>'5. KPI Baselines'!D107</f>
        <v>Forecast Accuracy (Revenue)</v>
      </c>
      <c r="E122" t="str">
        <f>'5. KPI Baselines'!E107</f>
        <v>78% within 5% of actual</v>
      </c>
      <c r="F122" t="str">
        <f>'5. KPI Baselines'!F107</f>
        <v>88% within 5% of actual</v>
      </c>
      <c r="G122" t="str">
        <f>'5. KPI Baselines'!G107</f>
        <v>85% for industrial manufacturers</v>
      </c>
      <c r="H122" t="str">
        <f>'5. KPI Baselines'!H107</f>
        <v>↑</v>
      </c>
      <c r="I122" t="str">
        <f>'5. KPI Baselines'!I107</f>
        <v>18 months</v>
      </c>
      <c r="J122" t="str">
        <f>'5. KPI Baselines'!J107</f>
        <v>Monthly variance analysis</v>
      </c>
      <c r="K122" s="15" t="str">
        <f t="shared" si="10"/>
        <v>88% within 5% of actual - 78% within 5% of actual</v>
      </c>
      <c r="L122" s="34" t="str" cm="1">
        <f t="array" ref="L122">IFERROR(_xlfn.LET(_xlpm.e,E122,_xlpm.f,F122,_xlpm.h,H122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22" s="15" t="str" cm="1">
        <f t="array" ref="M122">IFERROR(_xlfn.LET(_xlpm.e,E122,_xlpm.f,F122,_xlpm.h,H122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22" s="15" t="str" cm="1">
        <f t="array" ref="N122">IFERROR(_xlfn.LET(_xlpm.e,E122,_xlpm.f,F122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22" s="15" t="str">
        <f t="shared" si="11"/>
        <v>88% within 5% of actual - 85% for industrial manufacturers</v>
      </c>
      <c r="P122" s="34" t="str" cm="1">
        <f t="array" ref="P122">IFERROR(_xlfn.LET(_xlpm.g,G122,_xlpm.f,F122,_xlpm.h,H122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22" s="15" t="str" cm="1">
        <f t="array" ref="Q122">IFERROR(_xlfn.LET(_xlpm.e,E122,_xlpm.g,G122,_xlpm.h,H122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22" s="15" t="str">
        <f t="shared" si="12"/>
        <v>⚪ N/A</v>
      </c>
      <c r="S122" s="35" cm="1">
        <f t="array" ref="S122">IFERROR(_xlfn.LET(_xlpm.e,E122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22" s="36">
        <f t="shared" si="13"/>
        <v>0</v>
      </c>
      <c r="U122" s="15">
        <f t="shared" si="14"/>
        <v>554</v>
      </c>
      <c r="V122" s="16">
        <f t="shared" si="15"/>
        <v>0</v>
      </c>
      <c r="W122" s="16">
        <f t="shared" si="16"/>
        <v>0</v>
      </c>
      <c r="X122" s="37" t="str">
        <f t="shared" si="17"/>
        <v>-</v>
      </c>
      <c r="Y122" s="15" t="str">
        <f t="shared" si="18"/>
        <v>📉 Low</v>
      </c>
    </row>
    <row r="123" spans="1:25" x14ac:dyDescent="0.2">
      <c r="A123" t="str">
        <f>'5. KPI Baselines'!A108</f>
        <v>Bespoke Partners</v>
      </c>
      <c r="B123" t="str">
        <f>'5. KPI Baselines'!B108</f>
        <v>Business Development</v>
      </c>
      <c r="C123" t="str">
        <f>'5. KPI Baselines'!C108</f>
        <v>Pitch Creation</v>
      </c>
      <c r="D123" t="str">
        <f>'5. KPI Baselines'!D108</f>
        <v>Pitch Book Turnaround Time</v>
      </c>
      <c r="E123" t="str">
        <f>'5. KPI Baselines'!E108</f>
        <v>12 days</v>
      </c>
      <c r="F123" t="str">
        <f>'5. KPI Baselines'!F108</f>
        <v>3 days</v>
      </c>
      <c r="G123" t="str">
        <f>'5. KPI Baselines'!G108</f>
        <v>8 days</v>
      </c>
      <c r="H123" t="str">
        <f>'5. KPI Baselines'!H108</f>
        <v>↓</v>
      </c>
      <c r="I123" t="str">
        <f>'5. KPI Baselines'!I108</f>
        <v>12 months</v>
      </c>
      <c r="J123" t="str">
        <f>'5. KPI Baselines'!J108</f>
        <v>Mandate request to delivery timestamp</v>
      </c>
      <c r="K123" s="15" t="str">
        <f t="shared" si="10"/>
        <v>12 days → 3 days</v>
      </c>
      <c r="L123" s="34" cm="1">
        <f t="array" ref="L123">IFERROR(_xlfn.LET(_xlpm.e,E123,_xlpm.f,F123,_xlpm.h,H123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123" s="15" cm="1">
        <f t="array" ref="M123">IFERROR(_xlfn.LET(_xlpm.e,E123,_xlpm.f,F123,_xlpm.h,H123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123" s="15" cm="1">
        <f t="array" ref="N123">IFERROR(_xlfn.LET(_xlpm.e,E123,_xlpm.f,F123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123" s="15" t="str">
        <f t="shared" si="11"/>
        <v>8 days → 3 days</v>
      </c>
      <c r="P123" s="34" cm="1">
        <f t="array" ref="P123">IFERROR(_xlfn.LET(_xlpm.g,G123,_xlpm.f,F123,_xlpm.h,H123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0.62499218759765507</v>
      </c>
      <c r="Q123" s="15" t="str" cm="1">
        <f t="array" ref="Q123">IFERROR(_xlfn.LET(_xlpm.e,E123,_xlpm.g,G123,_xlpm.h,H123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3" s="15" t="str">
        <f t="shared" si="12"/>
        <v>🔴 Lagging</v>
      </c>
      <c r="S123" s="35" cm="1">
        <f t="array" ref="S123">IFERROR(_xlfn.LET(_xlpm.e,E123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23" s="36">
        <f t="shared" si="13"/>
        <v>74.999375005208293</v>
      </c>
      <c r="U123" s="15">
        <f t="shared" si="14"/>
        <v>53</v>
      </c>
      <c r="V123" s="16">
        <f t="shared" si="15"/>
        <v>1256.5020291497572</v>
      </c>
      <c r="W123" s="16">
        <f t="shared" si="16"/>
        <v>3124.734572866792</v>
      </c>
      <c r="X123" s="37">
        <f t="shared" si="17"/>
        <v>69</v>
      </c>
      <c r="Y123" s="15" t="str">
        <f t="shared" si="18"/>
        <v>🔥 Critical</v>
      </c>
    </row>
    <row r="124" spans="1:25" x14ac:dyDescent="0.2">
      <c r="A124" t="str">
        <f>'5. KPI Baselines'!A109</f>
        <v>Bespoke Partners</v>
      </c>
      <c r="B124" t="str">
        <f>'5. KPI Baselines'!B109</f>
        <v>Business Development</v>
      </c>
      <c r="C124" t="str">
        <f>'5. KPI Baselines'!C109</f>
        <v>Win Rate</v>
      </c>
      <c r="D124" t="str">
        <f>'5. KPI Baselines'!D109</f>
        <v>Pitch-to-Close Conversion</v>
      </c>
      <c r="E124" t="str">
        <f>'5. KPI Baselines'!E109</f>
        <v>28%</v>
      </c>
      <c r="F124" t="str">
        <f>'5. KPI Baselines'!F109</f>
        <v>35%</v>
      </c>
      <c r="G124" t="str">
        <f>'5. KPI Baselines'!G109</f>
        <v>32%</v>
      </c>
      <c r="H124" t="str">
        <f>'5. KPI Baselines'!H109</f>
        <v>↑</v>
      </c>
      <c r="I124" t="str">
        <f>'5. KPI Baselines'!I109</f>
        <v>18 months</v>
      </c>
      <c r="J124" t="str">
        <f>'5. KPI Baselines'!J109</f>
        <v>Closed deals divided by pitches delivered</v>
      </c>
      <c r="K124" s="15" t="str">
        <f t="shared" si="10"/>
        <v>35% - 28%</v>
      </c>
      <c r="L124" s="34" cm="1">
        <f t="array" ref="L124">IFERROR(_xlfn.LET(_xlpm.e,E124,_xlpm.f,F124,_xlpm.h,H124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0.2499991071460459</v>
      </c>
      <c r="M124" s="15" cm="1">
        <f t="array" ref="M124">IFERROR(_xlfn.LET(_xlpm.e,E124,_xlpm.f,F124,_xlpm.h,H124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</v>
      </c>
      <c r="N124" s="15" cm="1">
        <f t="array" ref="N124">IFERROR(_xlfn.LET(_xlpm.e,E124,_xlpm.f,F124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124" s="15" t="str">
        <f t="shared" si="11"/>
        <v>35% - 32%</v>
      </c>
      <c r="P124" s="34" cm="1">
        <f t="array" ref="P124">IFERROR(_xlfn.LET(_xlpm.g,G124,_xlpm.f,F124,_xlpm.h,H124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9.3749707032165508E-2</v>
      </c>
      <c r="Q124" s="15" t="str" cm="1">
        <f t="array" ref="Q124">IFERROR(_xlfn.LET(_xlpm.e,E124,_xlpm.g,G124,_xlpm.h,H124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4" s="15" t="str">
        <f t="shared" si="12"/>
        <v>🔴 Lagging</v>
      </c>
      <c r="S124" s="35" cm="1">
        <f t="array" ref="S124">IFERROR(_xlfn.LET(_xlpm.e,E124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124" s="36">
        <f t="shared" si="13"/>
        <v>24.999910714604589</v>
      </c>
      <c r="U124" s="15">
        <f t="shared" si="14"/>
        <v>421</v>
      </c>
      <c r="V124" s="16">
        <f t="shared" si="15"/>
        <v>977.28400969996517</v>
      </c>
      <c r="W124" s="16">
        <f t="shared" si="16"/>
        <v>2430.3606852794046</v>
      </c>
      <c r="X124" s="37">
        <f t="shared" si="17"/>
        <v>89</v>
      </c>
      <c r="Y124" s="15" t="str">
        <f t="shared" si="18"/>
        <v>📊 Medium</v>
      </c>
    </row>
    <row r="125" spans="1:25" x14ac:dyDescent="0.2">
      <c r="A125" t="str">
        <f>'5. KPI Baselines'!A110</f>
        <v>Bespoke Partners</v>
      </c>
      <c r="B125" t="str">
        <f>'5. KPI Baselines'!B110</f>
        <v>Transaction Execution</v>
      </c>
      <c r="C125" t="str">
        <f>'5. KPI Baselines'!C110</f>
        <v>Due Diligence</v>
      </c>
      <c r="D125" t="str">
        <f>'5. KPI Baselines'!D110</f>
        <v>Document Review Hours per Deal</v>
      </c>
      <c r="E125" t="str">
        <f>'5. KPI Baselines'!E110</f>
        <v>520 hours</v>
      </c>
      <c r="F125" t="str">
        <f>'5. KPI Baselines'!F110</f>
        <v>280 hours</v>
      </c>
      <c r="G125" t="str">
        <f>'5. KPI Baselines'!G110</f>
        <v>410 hours</v>
      </c>
      <c r="H125" t="str">
        <f>'5. KPI Baselines'!H110</f>
        <v>↓</v>
      </c>
      <c r="I125" t="str">
        <f>'5. KPI Baselines'!I110</f>
        <v>12 months</v>
      </c>
      <c r="J125" t="str">
        <f>'5. KPI Baselines'!J110</f>
        <v>Time tracking from kickoff to diligence report</v>
      </c>
      <c r="K125" s="15" t="str">
        <f t="shared" si="10"/>
        <v>520 hours → 280 hours</v>
      </c>
      <c r="L125" s="34" cm="1">
        <f t="array" ref="L125">IFERROR(_xlfn.LET(_xlpm.e,E125,_xlpm.f,F125,_xlpm.h,H125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0.46153837278108217</v>
      </c>
      <c r="M125" s="15" cm="1">
        <f t="array" ref="M125">IFERROR(_xlfn.LET(_xlpm.e,E125,_xlpm.f,F125,_xlpm.h,H125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316</v>
      </c>
      <c r="N125" s="15" cm="1">
        <f t="array" ref="N125">IFERROR(_xlfn.LET(_xlpm.e,E125,_xlpm.f,F125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183.6</v>
      </c>
      <c r="O125" s="15" t="str">
        <f t="shared" si="11"/>
        <v>410 hours → 280 hours</v>
      </c>
      <c r="P125" s="34" cm="1">
        <f t="array" ref="P125">IFERROR(_xlfn.LET(_xlpm.g,G125,_xlpm.f,F125,_xlpm.h,H125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0.3170730933968065</v>
      </c>
      <c r="Q125" s="15" t="str" cm="1">
        <f t="array" ref="Q125">IFERROR(_xlfn.LET(_xlpm.e,E125,_xlpm.g,G125,_xlpm.h,H125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5" s="15" t="str">
        <f t="shared" si="12"/>
        <v>🔴 Lagging</v>
      </c>
      <c r="S125" s="35" cm="1">
        <f t="array" ref="S125">IFERROR(_xlfn.LET(_xlpm.e,E125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520</v>
      </c>
      <c r="T125" s="36">
        <f t="shared" si="13"/>
        <v>46.15383727810822</v>
      </c>
      <c r="U125" s="15">
        <f t="shared" si="14"/>
        <v>261</v>
      </c>
      <c r="V125" s="16">
        <f t="shared" si="15"/>
        <v>33506.993556347392</v>
      </c>
      <c r="W125" s="16">
        <f t="shared" si="16"/>
        <v>83326.933637498092</v>
      </c>
      <c r="X125" s="37">
        <f t="shared" si="17"/>
        <v>3</v>
      </c>
      <c r="Y125" s="15" t="str">
        <f t="shared" si="18"/>
        <v>⚠️ High</v>
      </c>
    </row>
    <row r="126" spans="1:25" x14ac:dyDescent="0.2">
      <c r="A126" t="str">
        <f>'5. KPI Baselines'!A111</f>
        <v>Bespoke Partners</v>
      </c>
      <c r="B126" t="str">
        <f>'5. KPI Baselines'!B111</f>
        <v>Transaction Execution</v>
      </c>
      <c r="C126" t="str">
        <f>'5. KPI Baselines'!C111</f>
        <v>Deal Cycle</v>
      </c>
      <c r="D126" t="str">
        <f>'5. KPI Baselines'!D111</f>
        <v>Average Days to Close</v>
      </c>
      <c r="E126" t="str">
        <f>'5. KPI Baselines'!E111</f>
        <v>252 days</v>
      </c>
      <c r="F126" t="str">
        <f>'5. KPI Baselines'!F111</f>
        <v>234 days</v>
      </c>
      <c r="G126" t="str">
        <f>'5. KPI Baselines'!G111</f>
        <v>235 days</v>
      </c>
      <c r="H126" t="str">
        <f>'5. KPI Baselines'!H111</f>
        <v>↓</v>
      </c>
      <c r="I126" t="str">
        <f>'5. KPI Baselines'!I111</f>
        <v>18 months</v>
      </c>
      <c r="J126" t="str">
        <f>'5. KPI Baselines'!J111</f>
        <v>Mandate signing to transaction close</v>
      </c>
      <c r="K126" s="15" t="str">
        <f t="shared" si="10"/>
        <v>252 days → 234 days</v>
      </c>
      <c r="L126" s="34" cm="1">
        <f t="array" ref="L126">IFERROR(_xlfn.LET(_xlpm.e,E126,_xlpm.f,F126,_xlpm.h,H126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7.1428543083911472E-2</v>
      </c>
      <c r="M126" s="15" cm="1">
        <f t="array" ref="M126">IFERROR(_xlfn.LET(_xlpm.e,E126,_xlpm.f,F126,_xlpm.h,H126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236.7</v>
      </c>
      <c r="N126" s="15" cm="1">
        <f t="array" ref="N126">IFERROR(_xlfn.LET(_xlpm.e,E126,_xlpm.f,F126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126" s="15" t="str">
        <f t="shared" si="11"/>
        <v>235 days → 234 days</v>
      </c>
      <c r="P126" s="34" cm="1">
        <f t="array" ref="P126">IFERROR(_xlfn.LET(_xlpm.g,G126,_xlpm.f,F126,_xlpm.h,H126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4.2553173381628352E-3</v>
      </c>
      <c r="Q126" s="15" t="str" cm="1">
        <f t="array" ref="Q126">IFERROR(_xlfn.LET(_xlpm.e,E126,_xlpm.g,G126,_xlpm.h,H126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6" s="15" t="str">
        <f t="shared" si="12"/>
        <v>🔴 Lagging</v>
      </c>
      <c r="S126" s="35" cm="1">
        <f t="array" ref="S126">IFERROR(_xlfn.LET(_xlpm.e,E126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252</v>
      </c>
      <c r="T126" s="36">
        <f t="shared" si="13"/>
        <v>7.1428543083911471</v>
      </c>
      <c r="U126" s="15">
        <f t="shared" si="14"/>
        <v>536</v>
      </c>
      <c r="V126" s="16">
        <f t="shared" si="15"/>
        <v>2513.024002768253</v>
      </c>
      <c r="W126" s="16">
        <f t="shared" si="16"/>
        <v>6249.5187446753753</v>
      </c>
      <c r="X126" s="37">
        <f t="shared" si="17"/>
        <v>35</v>
      </c>
      <c r="Y126" s="15" t="str">
        <f t="shared" si="18"/>
        <v>📉 Low</v>
      </c>
    </row>
    <row r="127" spans="1:25" x14ac:dyDescent="0.2">
      <c r="A127" t="str">
        <f>'5. KPI Baselines'!A112</f>
        <v>Bespoke Partners</v>
      </c>
      <c r="B127" t="str">
        <f>'5. KPI Baselines'!B112</f>
        <v>Client Relationship Management</v>
      </c>
      <c r="C127" t="str">
        <f>'5. KPI Baselines'!C112</f>
        <v>Cross-Sell</v>
      </c>
      <c r="D127" t="str">
        <f>'5. KPI Baselines'!D112</f>
        <v>Repeat Engagement Rate</v>
      </c>
      <c r="E127" t="str">
        <f>'5. KPI Baselines'!E112</f>
        <v>68%</v>
      </c>
      <c r="F127" t="str">
        <f>'5. KPI Baselines'!F112</f>
        <v>78%</v>
      </c>
      <c r="G127" t="str">
        <f>'5. KPI Baselines'!G112</f>
        <v>74%</v>
      </c>
      <c r="H127" t="str">
        <f>'5. KPI Baselines'!H112</f>
        <v>↑</v>
      </c>
      <c r="I127" t="str">
        <f>'5. KPI Baselines'!I112</f>
        <v>24 months</v>
      </c>
      <c r="J127" t="str">
        <f>'5. KPI Baselines'!J112</f>
        <v>Clients with multiple mandates over 36 months</v>
      </c>
      <c r="K127" s="15" t="str">
        <f t="shared" si="10"/>
        <v>78% - 68%</v>
      </c>
      <c r="L127" s="34" cm="1">
        <f t="array" ref="L127">IFERROR(_xlfn.LET(_xlpm.e,E127,_xlpm.f,F127,_xlpm.h,H127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0.14705860726675402</v>
      </c>
      <c r="M127" s="15" cm="1">
        <f t="array" ref="M127">IFERROR(_xlfn.LET(_xlpm.e,E127,_xlpm.f,F127,_xlpm.h,H127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76.5</v>
      </c>
      <c r="N127" s="15" cm="1">
        <f t="array" ref="N127">IFERROR(_xlfn.LET(_xlpm.e,E127,_xlpm.f,F127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127" s="15" t="str">
        <f t="shared" si="11"/>
        <v>78% - 74%</v>
      </c>
      <c r="P127" s="34" cm="1">
        <f t="array" ref="P127">IFERROR(_xlfn.LET(_xlpm.g,G127,_xlpm.f,F127,_xlpm.h,H127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5.4053981008133772E-2</v>
      </c>
      <c r="Q127" s="15" t="str" cm="1">
        <f t="array" ref="Q127">IFERROR(_xlfn.LET(_xlpm.e,E127,_xlpm.g,G127,_xlpm.h,H127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7" s="15" t="str">
        <f t="shared" si="12"/>
        <v>🔴 Lagging</v>
      </c>
      <c r="S127" s="35" cm="1">
        <f t="array" ref="S127">IFERROR(_xlfn.LET(_xlpm.e,E127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127" s="36">
        <f t="shared" si="13"/>
        <v>14.705860726675402</v>
      </c>
      <c r="U127" s="15">
        <f t="shared" si="14"/>
        <v>498</v>
      </c>
      <c r="V127" s="16">
        <f t="shared" si="15"/>
        <v>1396.1229468780193</v>
      </c>
      <c r="W127" s="16">
        <f t="shared" si="16"/>
        <v>3471.9511301023649</v>
      </c>
      <c r="X127" s="37">
        <f t="shared" si="17"/>
        <v>62</v>
      </c>
      <c r="Y127" s="15" t="str">
        <f t="shared" si="18"/>
        <v>📊 Medium</v>
      </c>
    </row>
    <row r="128" spans="1:25" x14ac:dyDescent="0.2">
      <c r="A128" t="str">
        <f>'5. KPI Baselines'!A113</f>
        <v>Bespoke Partners</v>
      </c>
      <c r="B128" t="str">
        <f>'5. KPI Baselines'!B113</f>
        <v>Client Relationship Management</v>
      </c>
      <c r="C128" t="str">
        <f>'5. KPI Baselines'!C113</f>
        <v>Coverage</v>
      </c>
      <c r="D128" t="str">
        <f>'5. KPI Baselines'!D113</f>
        <v>Relationship Manager Hours per Active Client</v>
      </c>
      <c r="E128" t="str">
        <f>'5. KPI Baselines'!E113</f>
        <v>42 hours annually</v>
      </c>
      <c r="F128" t="str">
        <f>'5. KPI Baselines'!F113</f>
        <v>52 hours annually</v>
      </c>
      <c r="G128" t="str">
        <f>'5. KPI Baselines'!G113</f>
        <v>38 hours annually</v>
      </c>
      <c r="H128" t="str">
        <f>'5. KPI Baselines'!H113</f>
        <v>↑</v>
      </c>
      <c r="I128" t="str">
        <f>'5. KPI Baselines'!I113</f>
        <v>18 months</v>
      </c>
      <c r="J128" t="str">
        <f>'5. KPI Baselines'!J113</f>
        <v>CRM-tracked interaction time divided by active clients</v>
      </c>
      <c r="K128" s="15" t="str">
        <f t="shared" si="10"/>
        <v>52 hours annually - 42 hours annually</v>
      </c>
      <c r="L128" s="34" cm="1">
        <f t="array" ref="L128">IFERROR(_xlfn.LET(_xlpm.e,E128,_xlpm.f,F128,_xlpm.h,H128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0.23809467120316377</v>
      </c>
      <c r="M128" s="15" cm="1">
        <f t="array" ref="M128">IFERROR(_xlfn.LET(_xlpm.e,E128,_xlpm.f,F128,_xlpm.h,H128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50.5</v>
      </c>
      <c r="N128" s="15" cm="1">
        <f t="array" ref="N128">IFERROR(_xlfn.LET(_xlpm.e,E128,_xlpm.f,F128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128" s="15" t="str">
        <f t="shared" si="11"/>
        <v>52 hours annually - 38 hours annually</v>
      </c>
      <c r="P128" s="34" cm="1">
        <f t="array" ref="P128">IFERROR(_xlfn.LET(_xlpm.g,G128,_xlpm.f,F128,_xlpm.h,H128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0.36842008310504443</v>
      </c>
      <c r="Q128" s="15" t="str" cm="1">
        <f t="array" ref="Q128">IFERROR(_xlfn.LET(_xlpm.e,E128,_xlpm.g,G128,_xlpm.h,H128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128" s="15" t="str">
        <f t="shared" si="12"/>
        <v>🟢 Leading</v>
      </c>
      <c r="S128" s="35" cm="1">
        <f t="array" ref="S128">IFERROR(_xlfn.LET(_xlpm.e,E128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128" s="36">
        <f t="shared" si="13"/>
        <v>23.809467120316377</v>
      </c>
      <c r="U128" s="15">
        <f t="shared" si="14"/>
        <v>430</v>
      </c>
      <c r="V128" s="16">
        <f t="shared" si="15"/>
        <v>1396.1216759007714</v>
      </c>
      <c r="W128" s="16">
        <f t="shared" si="16"/>
        <v>3471.9479693700655</v>
      </c>
      <c r="X128" s="37">
        <f t="shared" si="17"/>
        <v>62</v>
      </c>
      <c r="Y128" s="15" t="str">
        <f t="shared" si="18"/>
        <v>📊 Medium</v>
      </c>
    </row>
    <row r="129" spans="1:25" x14ac:dyDescent="0.2">
      <c r="A129" t="str">
        <f>'5. KPI Baselines'!A114</f>
        <v>Bespoke Partners</v>
      </c>
      <c r="B129" t="str">
        <f>'5. KPI Baselines'!B114</f>
        <v>Market Research</v>
      </c>
      <c r="C129" t="str">
        <f>'5. KPI Baselines'!C114</f>
        <v>Industry Analysis</v>
      </c>
      <c r="D129" t="str">
        <f>'5. KPI Baselines'!D114</f>
        <v>Research Report Turnaround</v>
      </c>
      <c r="E129" t="str">
        <f>'5. KPI Baselines'!E114</f>
        <v>9 days</v>
      </c>
      <c r="F129" t="str">
        <f>'5. KPI Baselines'!F114</f>
        <v>2 days</v>
      </c>
      <c r="G129" t="str">
        <f>'5. KPI Baselines'!G114</f>
        <v>6 days</v>
      </c>
      <c r="H129" t="str">
        <f>'5. KPI Baselines'!H114</f>
        <v>↓</v>
      </c>
      <c r="I129" t="str">
        <f>'5. KPI Baselines'!I114</f>
        <v>12 months</v>
      </c>
      <c r="J129" t="str">
        <f>'5. KPI Baselines'!J114</f>
        <v>Request to delivery of sector overview</v>
      </c>
      <c r="K129" s="15" t="str">
        <f t="shared" si="10"/>
        <v>9 days → 2 days</v>
      </c>
      <c r="L129" s="34" cm="1">
        <f t="array" ref="L129">IFERROR(_xlfn.LET(_xlpm.e,E129,_xlpm.f,F129,_xlpm.h,H129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0.77776913589849006</v>
      </c>
      <c r="M129" s="15" cm="1">
        <f t="array" ref="M129">IFERROR(_xlfn.LET(_xlpm.e,E129,_xlpm.f,F129,_xlpm.h,H129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3.1</v>
      </c>
      <c r="N129" s="15" cm="1">
        <f t="array" ref="N129">IFERROR(_xlfn.LET(_xlpm.e,E129,_xlpm.f,F129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129" s="15" t="str">
        <f t="shared" si="11"/>
        <v>6 days → 2 days</v>
      </c>
      <c r="P129" s="34" cm="1">
        <f t="array" ref="P129">IFERROR(_xlfn.LET(_xlpm.g,G129,_xlpm.f,F129,_xlpm.h,H129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0.66665555574073765</v>
      </c>
      <c r="Q129" s="15" t="str" cm="1">
        <f t="array" ref="Q129">IFERROR(_xlfn.LET(_xlpm.e,E129,_xlpm.g,G129,_xlpm.h,H129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29" s="15" t="str">
        <f t="shared" si="12"/>
        <v>🔴 Lagging</v>
      </c>
      <c r="S129" s="35" cm="1">
        <f t="array" ref="S129">IFERROR(_xlfn.LET(_xlpm.e,E129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129" s="36">
        <f t="shared" si="13"/>
        <v>77.776913589849002</v>
      </c>
      <c r="U129" s="15">
        <f t="shared" si="14"/>
        <v>46</v>
      </c>
      <c r="V129" s="16">
        <f t="shared" si="15"/>
        <v>977.27664137065153</v>
      </c>
      <c r="W129" s="16">
        <f t="shared" si="16"/>
        <v>2430.3423613349805</v>
      </c>
      <c r="X129" s="37">
        <f t="shared" si="17"/>
        <v>89</v>
      </c>
      <c r="Y129" s="15" t="str">
        <f t="shared" si="18"/>
        <v>🔥 Critical</v>
      </c>
    </row>
    <row r="130" spans="1:25" x14ac:dyDescent="0.2">
      <c r="A130" t="str">
        <f>'5. KPI Baselines'!A115</f>
        <v>Bespoke Partners</v>
      </c>
      <c r="B130" t="str">
        <f>'5. KPI Baselines'!B115</f>
        <v>Financial Analysis</v>
      </c>
      <c r="C130" t="str">
        <f>'5. KPI Baselines'!C115</f>
        <v>Valuation Modeling</v>
      </c>
      <c r="D130" t="str">
        <f>'5. KPI Baselines'!D115</f>
        <v>Model Build Hours per Deal</v>
      </c>
      <c r="E130" t="str">
        <f>'5. KPI Baselines'!E115</f>
        <v>85 hours</v>
      </c>
      <c r="F130" t="str">
        <f>'5. KPI Baselines'!F115</f>
        <v>48 hours</v>
      </c>
      <c r="G130" t="str">
        <f>'5. KPI Baselines'!G115</f>
        <v>72 hours</v>
      </c>
      <c r="H130" t="str">
        <f>'5. KPI Baselines'!H115</f>
        <v>↓</v>
      </c>
      <c r="I130" t="str">
        <f>'5. KPI Baselines'!I115</f>
        <v>12 months</v>
      </c>
      <c r="J130" t="str">
        <f>'5. KPI Baselines'!J115</f>
        <v>Associate time from data collection to partner review</v>
      </c>
      <c r="K130" s="15" t="str">
        <f t="shared" si="10"/>
        <v>85 hours → 48 hours</v>
      </c>
      <c r="L130" s="34" cm="1">
        <f t="array" ref="L130">IFERROR(_xlfn.LET(_xlpm.e,E130,_xlpm.f,F130,_xlpm.h,H130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0.43529360553693464</v>
      </c>
      <c r="M130" s="15" cm="1">
        <f t="array" ref="M130">IFERROR(_xlfn.LET(_xlpm.e,E130,_xlpm.f,F130,_xlpm.h,H130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53.6</v>
      </c>
      <c r="N130" s="15" cm="1">
        <f t="array" ref="N130">IFERROR(_xlfn.LET(_xlpm.e,E130,_xlpm.f,F130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28.31</v>
      </c>
      <c r="O130" s="15" t="str">
        <f t="shared" si="11"/>
        <v>72 hours → 48 hours</v>
      </c>
      <c r="P130" s="34" cm="1">
        <f t="array" ref="P130">IFERROR(_xlfn.LET(_xlpm.g,G130,_xlpm.f,F130,_xlpm.h,H130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0.33333287037101333</v>
      </c>
      <c r="Q130" s="15" t="str" cm="1">
        <f t="array" ref="Q130">IFERROR(_xlfn.LET(_xlpm.e,E130,_xlpm.g,G130,_xlpm.h,H130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30" s="15" t="str">
        <f t="shared" si="12"/>
        <v>🔴 Lagging</v>
      </c>
      <c r="S130" s="35" cm="1">
        <f t="array" ref="S130">IFERROR(_xlfn.LET(_xlpm.e,E130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85</v>
      </c>
      <c r="T130" s="36">
        <f t="shared" si="13"/>
        <v>43.529360553693465</v>
      </c>
      <c r="U130" s="15">
        <f t="shared" si="14"/>
        <v>278</v>
      </c>
      <c r="V130" s="16">
        <f t="shared" si="15"/>
        <v>5165.6564227571498</v>
      </c>
      <c r="W130" s="16">
        <f t="shared" si="16"/>
        <v>12846.222959674064</v>
      </c>
      <c r="X130" s="37">
        <f t="shared" si="17"/>
        <v>17</v>
      </c>
      <c r="Y130" s="15" t="str">
        <f t="shared" si="18"/>
        <v>⚠️ High</v>
      </c>
    </row>
    <row r="131" spans="1:25" x14ac:dyDescent="0.2">
      <c r="A131" t="str">
        <f>'5. KPI Baselines'!A116</f>
        <v>Bespoke Partners</v>
      </c>
      <c r="B131" t="str">
        <f>'5. KPI Baselines'!B116</f>
        <v>Compliance</v>
      </c>
      <c r="C131" t="str">
        <f>'5. KPI Baselines'!C116</f>
        <v>Regulatory Tracking</v>
      </c>
      <c r="D131" t="str">
        <f>'5. KPI Baselines'!D116</f>
        <v>Compliance Documentation Hours</v>
      </c>
      <c r="E131" t="str">
        <f>'5. KPI Baselines'!E116</f>
        <v>9,200 hours annually</v>
      </c>
      <c r="F131" t="str">
        <f>'5. KPI Baselines'!F116</f>
        <v>4,100 hours annually</v>
      </c>
      <c r="G131" t="str">
        <f>'5. KPI Baselines'!G116</f>
        <v>7,100 hours annually</v>
      </c>
      <c r="H131" t="str">
        <f>'5. KPI Baselines'!H116</f>
        <v>↓</v>
      </c>
      <c r="I131" t="str">
        <f>'5. KPI Baselines'!I116</f>
        <v>18 months</v>
      </c>
      <c r="J131" t="str">
        <f>'5. KPI Baselines'!J116</f>
        <v>Time logged to compliance tracking and reporting</v>
      </c>
      <c r="K131" s="15" t="str">
        <f t="shared" si="10"/>
        <v>9,200 hours annually → 4,100 hours annually</v>
      </c>
      <c r="L131" s="34" cm="1">
        <f t="array" ref="L131">IFERROR(_xlfn.LET(_xlpm.e,E131,_xlpm.f,F131,_xlpm.h,H131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0.55434782006143679</v>
      </c>
      <c r="M131" s="15" cm="1">
        <f t="array" ref="M131">IFERROR(_xlfn.LET(_xlpm.e,E131,_xlpm.f,F131,_xlpm.h,H131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4865</v>
      </c>
      <c r="N131" s="15" cm="1">
        <f t="array" ref="N131">IFERROR(_xlfn.LET(_xlpm.e,E131,_xlpm.f,F131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3901.5</v>
      </c>
      <c r="O131" s="15" t="str">
        <f t="shared" si="11"/>
        <v>7,100 hours annually → 4,100 hours annually</v>
      </c>
      <c r="P131" s="34" cm="1">
        <f t="array" ref="P131">IFERROR(_xlfn.LET(_xlpm.g,G131,_xlpm.f,F131,_xlpm.h,H131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0.42253520531640554</v>
      </c>
      <c r="Q131" s="15" t="str" cm="1">
        <f t="array" ref="Q131">IFERROR(_xlfn.LET(_xlpm.e,E131,_xlpm.g,G131,_xlpm.h,H131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31" s="15" t="str">
        <f t="shared" si="12"/>
        <v>🔴 Lagging</v>
      </c>
      <c r="S131" s="35" cm="1">
        <f t="array" ref="S131">IFERROR(_xlfn.LET(_xlpm.e,E131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9200</v>
      </c>
      <c r="T131" s="36">
        <f t="shared" si="13"/>
        <v>55.434782006143678</v>
      </c>
      <c r="U131" s="15">
        <f t="shared" si="14"/>
        <v>195</v>
      </c>
      <c r="V131" s="16">
        <f t="shared" si="15"/>
        <v>712023.7422606115</v>
      </c>
      <c r="W131" s="16">
        <f t="shared" si="16"/>
        <v>1770697.66106884</v>
      </c>
      <c r="X131" s="37">
        <f t="shared" si="17"/>
        <v>0</v>
      </c>
      <c r="Y131" s="15" t="str">
        <f t="shared" si="18"/>
        <v>🔥 Critical</v>
      </c>
    </row>
    <row r="132" spans="1:25" x14ac:dyDescent="0.2">
      <c r="A132" t="str">
        <f>'5. KPI Baselines'!A117</f>
        <v>Bespoke Partners</v>
      </c>
      <c r="B132" t="str">
        <f>'5. KPI Baselines'!B117</f>
        <v>Talent Management</v>
      </c>
      <c r="C132" t="str">
        <f>'5. KPI Baselines'!C117</f>
        <v>Associate Development</v>
      </c>
      <c r="D132" t="str">
        <f>'5. KPI Baselines'!D117</f>
        <v>Associate Annual Attrition Rate</v>
      </c>
      <c r="E132" t="str">
        <f>'5. KPI Baselines'!E117</f>
        <v>22%</v>
      </c>
      <c r="F132" t="str">
        <f>'5. KPI Baselines'!F117</f>
        <v>14%</v>
      </c>
      <c r="G132" t="str">
        <f>'5. KPI Baselines'!G117</f>
        <v>18%</v>
      </c>
      <c r="H132" t="str">
        <f>'5. KPI Baselines'!H117</f>
        <v>↓</v>
      </c>
      <c r="I132" t="str">
        <f>'5. KPI Baselines'!I117</f>
        <v>24 months</v>
      </c>
      <c r="J132" t="str">
        <f>'5. KPI Baselines'!J117</f>
        <v>Voluntary departures in first 36 months of tenure</v>
      </c>
      <c r="K132" s="15" t="str">
        <f t="shared" si="10"/>
        <v>22% → 14%</v>
      </c>
      <c r="L132" s="34" cm="1">
        <f t="array" ref="L132">IFERROR(_xlfn.LET(_xlpm.e,E132,_xlpm.f,F132,_xlpm.h,H132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0.36363471075131476</v>
      </c>
      <c r="M132" s="15" cm="1">
        <f t="array" ref="M132">IFERROR(_xlfn.LET(_xlpm.e,E132,_xlpm.f,F132,_xlpm.h,H132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15.2</v>
      </c>
      <c r="N132" s="15" cm="1">
        <f t="array" ref="N132">IFERROR(_xlfn.LET(_xlpm.e,E132,_xlpm.f,F132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32" s="15" t="str">
        <f t="shared" si="11"/>
        <v>18% → 14%</v>
      </c>
      <c r="P132" s="34" cm="1">
        <f t="array" ref="P132">IFERROR(_xlfn.LET(_xlpm.g,G132,_xlpm.f,F132,_xlpm.h,H132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0.22222098766117968</v>
      </c>
      <c r="Q132" s="15" t="str" cm="1">
        <f t="array" ref="Q132">IFERROR(_xlfn.LET(_xlpm.e,E132,_xlpm.g,G132,_xlpm.h,H132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32" s="15" t="str">
        <f t="shared" si="12"/>
        <v>🔴 Lagging</v>
      </c>
      <c r="S132" s="35" cm="1">
        <f t="array" ref="S132">IFERROR(_xlfn.LET(_xlpm.e,E132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22</v>
      </c>
      <c r="T132" s="36">
        <f t="shared" si="13"/>
        <v>36.363471075131478</v>
      </c>
      <c r="U132" s="15">
        <f t="shared" si="14"/>
        <v>347</v>
      </c>
      <c r="V132" s="16">
        <f t="shared" si="15"/>
        <v>1116.8949232048944</v>
      </c>
      <c r="W132" s="16">
        <f t="shared" si="16"/>
        <v>2777.5523634922642</v>
      </c>
      <c r="X132" s="37">
        <f t="shared" si="17"/>
        <v>78</v>
      </c>
      <c r="Y132" s="15" t="str">
        <f t="shared" si="18"/>
        <v>⚠️ High</v>
      </c>
    </row>
    <row r="133" spans="1:25" x14ac:dyDescent="0.2">
      <c r="A133" t="str">
        <f>'5. KPI Baselines'!A118</f>
        <v>Bespoke Partners</v>
      </c>
      <c r="B133" t="str">
        <f>'5. KPI Baselines'!B118</f>
        <v>Knowledge Management</v>
      </c>
      <c r="C133" t="str">
        <f>'5. KPI Baselines'!C118</f>
        <v>Deal Precedent Access</v>
      </c>
      <c r="D133" t="str">
        <f>'5. KPI Baselines'!D118</f>
        <v>Time to Locate Comparable Transaction</v>
      </c>
      <c r="E133" t="str">
        <f>'5. KPI Baselines'!E118</f>
        <v>3.2 hours</v>
      </c>
      <c r="F133" t="str">
        <f>'5. KPI Baselines'!F118</f>
        <v>0.3 hours</v>
      </c>
      <c r="G133" t="str">
        <f>'5. KPI Baselines'!G118</f>
        <v>1.8 hours</v>
      </c>
      <c r="H133" t="str">
        <f>'5. KPI Baselines'!H118</f>
        <v>↓</v>
      </c>
      <c r="I133" t="str">
        <f>'5. KPI Baselines'!I118</f>
        <v>12 months</v>
      </c>
      <c r="J133" t="str">
        <f>'5. KPI Baselines'!J118</f>
        <v>Search initiation to document retrieval</v>
      </c>
      <c r="K133" s="15" t="str">
        <f t="shared" si="10"/>
        <v>3.2 hours → 0.3 hours</v>
      </c>
      <c r="L133" s="34" cm="1">
        <f t="array" ref="L133">IFERROR(_xlfn.LET(_xlpm.e,E133,_xlpm.f,F133,_xlpm.h,H133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0.90622168057248209</v>
      </c>
      <c r="M133" s="15" cm="1">
        <f t="array" ref="M133">IFERROR(_xlfn.LET(_xlpm.e,E133,_xlpm.f,F133,_xlpm.h,H133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0.7</v>
      </c>
      <c r="N133" s="15" cm="1">
        <f t="array" ref="N133">IFERROR(_xlfn.LET(_xlpm.e,E133,_xlpm.f,F133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2.2200000000000002</v>
      </c>
      <c r="O133" s="15" t="str">
        <f t="shared" si="11"/>
        <v>1.8 hours → 0.3 hours</v>
      </c>
      <c r="P133" s="34" cm="1">
        <f t="array" ref="P133">IFERROR(_xlfn.LET(_xlpm.g,G133,_xlpm.f,F133,_xlpm.h,H133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0.8332870396089106</v>
      </c>
      <c r="Q133" s="15" t="str" cm="1">
        <f t="array" ref="Q133">IFERROR(_xlfn.LET(_xlpm.e,E133,_xlpm.g,G133,_xlpm.h,H133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33" s="15" t="str">
        <f t="shared" si="12"/>
        <v>🔴 Lagging</v>
      </c>
      <c r="S133" s="35" cm="1">
        <f t="array" ref="S133">IFERROR(_xlfn.LET(_xlpm.e,E133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133" s="36">
        <f t="shared" si="13"/>
        <v>90.622168057248203</v>
      </c>
      <c r="U133" s="15">
        <f t="shared" si="14"/>
        <v>15</v>
      </c>
      <c r="V133" s="16">
        <f t="shared" si="15"/>
        <v>404.86359801256214</v>
      </c>
      <c r="W133" s="16">
        <f t="shared" si="16"/>
        <v>1006.8358447945769</v>
      </c>
      <c r="X133" s="37">
        <f t="shared" si="17"/>
        <v>213</v>
      </c>
      <c r="Y133" s="15" t="str">
        <f t="shared" si="18"/>
        <v>🔥 Critical</v>
      </c>
    </row>
    <row r="134" spans="1:25" x14ac:dyDescent="0.2">
      <c r="A134" t="str">
        <f>'5. KPI Baselines'!A119</f>
        <v>Bespoke Partners</v>
      </c>
      <c r="B134" t="str">
        <f>'5. KPI Baselines'!B119</f>
        <v>Client Communications</v>
      </c>
      <c r="C134" t="str">
        <f>'5. KPI Baselines'!C119</f>
        <v>Status Updates</v>
      </c>
      <c r="D134" t="str">
        <f>'5. KPI Baselines'!D119</f>
        <v>Update Preparation Hours per Deal</v>
      </c>
      <c r="E134" t="str">
        <f>'5. KPI Baselines'!E119</f>
        <v>18 hours monthly</v>
      </c>
      <c r="F134" t="str">
        <f>'5. KPI Baselines'!F119</f>
        <v>6 hours monthly</v>
      </c>
      <c r="G134" t="str">
        <f>'5. KPI Baselines'!G119</f>
        <v>14 hours monthly</v>
      </c>
      <c r="H134" t="str">
        <f>'5. KPI Baselines'!H119</f>
        <v>↓</v>
      </c>
      <c r="I134" t="str">
        <f>'5. KPI Baselines'!I119</f>
        <v>9 months</v>
      </c>
      <c r="J134" t="str">
        <f>'5. KPI Baselines'!J119</f>
        <v>Time spent drafting and formatting client updates</v>
      </c>
      <c r="K134" s="15" t="str">
        <f t="shared" si="10"/>
        <v>18 hours monthly → 6 hours monthly</v>
      </c>
      <c r="L134" s="34" t="str" cm="1">
        <f t="array" ref="L134">IFERROR(_xlfn.LET(_xlpm.e,E134,_xlpm.f,F134,_xlpm.h,H134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34" s="15" t="str" cm="1">
        <f t="array" ref="M134">IFERROR(_xlfn.LET(_xlpm.e,E134,_xlpm.f,F134,_xlpm.h,H134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34" s="15" t="str" cm="1">
        <f t="array" ref="N134">IFERROR(_xlfn.LET(_xlpm.e,E134,_xlpm.f,F134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34" s="15" t="str">
        <f t="shared" si="11"/>
        <v>14 hours monthly → 6 hours monthly</v>
      </c>
      <c r="P134" s="34" t="str" cm="1">
        <f t="array" ref="P134">IFERROR(_xlfn.LET(_xlpm.g,G134,_xlpm.f,F134,_xlpm.h,H134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34" s="15" t="str" cm="1">
        <f t="array" ref="Q134">IFERROR(_xlfn.LET(_xlpm.e,E134,_xlpm.g,G134,_xlpm.h,H134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34" s="15" t="str">
        <f t="shared" si="12"/>
        <v>⚪ N/A</v>
      </c>
      <c r="S134" s="35" cm="1">
        <f t="array" ref="S134">IFERROR(_xlfn.LET(_xlpm.e,E134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34" s="36">
        <f t="shared" si="13"/>
        <v>0</v>
      </c>
      <c r="U134" s="15">
        <f t="shared" si="14"/>
        <v>554</v>
      </c>
      <c r="V134" s="16">
        <f t="shared" si="15"/>
        <v>0</v>
      </c>
      <c r="W134" s="16">
        <f t="shared" si="16"/>
        <v>0</v>
      </c>
      <c r="X134" s="37" t="str">
        <f t="shared" si="17"/>
        <v>-</v>
      </c>
      <c r="Y134" s="15" t="str">
        <f t="shared" si="18"/>
        <v>📉 Low</v>
      </c>
    </row>
    <row r="135" spans="1:25" x14ac:dyDescent="0.2">
      <c r="A135" t="str">
        <f>'5. KPI Baselines'!A120</f>
        <v>Cenegenics</v>
      </c>
      <c r="B135" t="str">
        <f>'5. KPI Baselines'!B120</f>
        <v>Clinical Operations</v>
      </c>
      <c r="C135" t="str">
        <f>'5. KPI Baselines'!C120</f>
        <v>Treatment Protocol Development</v>
      </c>
      <c r="D135" t="str">
        <f>'5. KPI Baselines'!D120</f>
        <v>Physician Hours per Protocol</v>
      </c>
      <c r="E135" t="str">
        <f>'5. KPI Baselines'!E120</f>
        <v>10.5 hours</v>
      </c>
      <c r="F135" t="str">
        <f>'5. KPI Baselines'!F120</f>
        <v>2.5 hours</v>
      </c>
      <c r="G135" t="str">
        <f>'5. KPI Baselines'!G120</f>
        <v>8-12 hours (concierge medicine)</v>
      </c>
      <c r="H135" t="str">
        <f>'5. KPI Baselines'!H120</f>
        <v>↓</v>
      </c>
      <c r="I135" t="str">
        <f>'5. KPI Baselines'!I120</f>
        <v>12 months</v>
      </c>
      <c r="J135" t="str">
        <f>'5. KPI Baselines'!J120</f>
        <v>Time tracking per patient protocol from lab results to final treatment plan</v>
      </c>
      <c r="K135" s="15" t="str">
        <f t="shared" si="10"/>
        <v>10.5 hours → 2.5 hours</v>
      </c>
      <c r="L135" s="34" cm="1">
        <f t="array" ref="L135">IFERROR(_xlfn.LET(_xlpm.e,E135,_xlpm.f,F135,_xlpm.h,H135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0.7618975057380406</v>
      </c>
      <c r="M135" s="15" cm="1">
        <f t="array" ref="M135">IFERROR(_xlfn.LET(_xlpm.e,E135,_xlpm.f,F135,_xlpm.h,H135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3.7</v>
      </c>
      <c r="N135" s="15" cm="1">
        <f t="array" ref="N135">IFERROR(_xlfn.LET(_xlpm.e,E135,_xlpm.f,F135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35" s="15" t="str">
        <f t="shared" si="11"/>
        <v>8-12 hours (concierge medicine) → 2.5 hours</v>
      </c>
      <c r="P135" s="34" cm="1">
        <f t="array" ref="P135">IFERROR(_xlfn.LET(_xlpm.g,G135,_xlpm.f,F135,_xlpm.h,H135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0.99994593910836416</v>
      </c>
      <c r="Q135" s="15" t="str" cm="1">
        <f t="array" ref="Q135">IFERROR(_xlfn.LET(_xlpm.e,E135,_xlpm.g,G135,_xlpm.h,H135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135" s="15" t="str">
        <f t="shared" si="12"/>
        <v>🟢 Leading</v>
      </c>
      <c r="S135" s="35" cm="1">
        <f t="array" ref="S135">IFERROR(_xlfn.LET(_xlpm.e,E135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10.5</v>
      </c>
      <c r="T135" s="36">
        <f t="shared" si="13"/>
        <v>76.189750573804062</v>
      </c>
      <c r="U135" s="15">
        <f t="shared" si="14"/>
        <v>49</v>
      </c>
      <c r="V135" s="16">
        <f t="shared" si="15"/>
        <v>1116.8893629584481</v>
      </c>
      <c r="W135" s="16">
        <f t="shared" si="16"/>
        <v>2777.538535982319</v>
      </c>
      <c r="X135" s="37">
        <f t="shared" si="17"/>
        <v>78</v>
      </c>
      <c r="Y135" s="15" t="str">
        <f t="shared" si="18"/>
        <v>🔥 Critical</v>
      </c>
    </row>
    <row r="136" spans="1:25" x14ac:dyDescent="0.2">
      <c r="A136" t="str">
        <f>'5. KPI Baselines'!A121</f>
        <v>Cenegenics</v>
      </c>
      <c r="B136" t="str">
        <f>'5. KPI Baselines'!B121</f>
        <v>Clinical Operations</v>
      </c>
      <c r="C136" t="str">
        <f>'5. KPI Baselines'!C121</f>
        <v>Literature Research</v>
      </c>
      <c r="D136" t="str">
        <f>'5. KPI Baselines'!D121</f>
        <v>Research Hours per Month</v>
      </c>
      <c r="E136" t="str">
        <f>'5. KPI Baselines'!E121</f>
        <v>340 hours</v>
      </c>
      <c r="F136" t="str">
        <f>'5. KPI Baselines'!F121</f>
        <v>85 hours</v>
      </c>
      <c r="G136" t="str">
        <f>'5. KPI Baselines'!G121</f>
        <v>15-20 hours per physician monthly</v>
      </c>
      <c r="H136" t="str">
        <f>'5. KPI Baselines'!H121</f>
        <v>↓</v>
      </c>
      <c r="I136" t="str">
        <f>'5. KPI Baselines'!I121</f>
        <v>12 months</v>
      </c>
      <c r="J136" t="str">
        <f>'5. KPI Baselines'!J121</f>
        <v>Physician time logs for clinical literature review and research activities</v>
      </c>
      <c r="K136" s="15" t="str">
        <f t="shared" si="10"/>
        <v>340 hours → 85 hours</v>
      </c>
      <c r="L136" s="34" cm="1">
        <f t="array" ref="L136">IFERROR(_xlfn.LET(_xlpm.e,E136,_xlpm.f,F136,_xlpm.h,H136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0.7499997794118296</v>
      </c>
      <c r="M136" s="15" cm="1">
        <f t="array" ref="M136">IFERROR(_xlfn.LET(_xlpm.e,E136,_xlpm.f,F136,_xlpm.h,H136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123.3</v>
      </c>
      <c r="N136" s="15" cm="1">
        <f t="array" ref="N136">IFERROR(_xlfn.LET(_xlpm.e,E136,_xlpm.f,F136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195.08</v>
      </c>
      <c r="O136" s="15" t="str">
        <f t="shared" si="11"/>
        <v>15-20 hours per physician monthly → 85 hours</v>
      </c>
      <c r="P136" s="34" t="str" cm="1">
        <f t="array" ref="P136">IFERROR(_xlfn.LET(_xlpm.g,G136,_xlpm.f,F136,_xlpm.h,H136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36" s="15" t="str" cm="1">
        <f t="array" ref="Q136">IFERROR(_xlfn.LET(_xlpm.e,E136,_xlpm.g,G136,_xlpm.h,H136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36" s="15" t="str">
        <f t="shared" si="12"/>
        <v>⚪ N/A</v>
      </c>
      <c r="S136" s="35" cm="1">
        <f t="array" ref="S136">IFERROR(_xlfn.LET(_xlpm.e,E136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340</v>
      </c>
      <c r="T136" s="36">
        <f t="shared" si="13"/>
        <v>74.999977941182962</v>
      </c>
      <c r="U136" s="15">
        <f t="shared" si="14"/>
        <v>51</v>
      </c>
      <c r="V136" s="16">
        <f t="shared" si="15"/>
        <v>35601.177029065584</v>
      </c>
      <c r="W136" s="16">
        <f t="shared" si="16"/>
        <v>88534.857976113592</v>
      </c>
      <c r="X136" s="37">
        <f t="shared" si="17"/>
        <v>2</v>
      </c>
      <c r="Y136" s="15" t="str">
        <f t="shared" si="18"/>
        <v>🔥 Critical</v>
      </c>
    </row>
    <row r="137" spans="1:25" x14ac:dyDescent="0.2">
      <c r="A137" t="str">
        <f>'5. KPI Baselines'!A122</f>
        <v>Cenegenics</v>
      </c>
      <c r="B137" t="str">
        <f>'5. KPI Baselines'!B122</f>
        <v>Clinical Operations</v>
      </c>
      <c r="C137" t="str">
        <f>'5. KPI Baselines'!C122</f>
        <v>Medical Documentation</v>
      </c>
      <c r="D137" t="str">
        <f>'5. KPI Baselines'!D122</f>
        <v>Documentation Completeness Rate</v>
      </c>
      <c r="E137" t="str">
        <f>'5. KPI Baselines'!E122</f>
        <v>77%</v>
      </c>
      <c r="F137" t="str">
        <f>'5. KPI Baselines'!F122</f>
        <v>95%</v>
      </c>
      <c r="G137" t="str">
        <f>'5. KPI Baselines'!G122</f>
        <v>85-95% (high-quality practices)</v>
      </c>
      <c r="H137" t="str">
        <f>'5. KPI Baselines'!H122</f>
        <v>↑</v>
      </c>
      <c r="I137" t="str">
        <f>'5. KPI Baselines'!I122</f>
        <v>9 months</v>
      </c>
      <c r="J137" t="str">
        <f>'5. KPI Baselines'!J122</f>
        <v>Chart audit scoring against documentation requirements</v>
      </c>
      <c r="K137" s="15" t="str">
        <f t="shared" si="10"/>
        <v>95% - 77%</v>
      </c>
      <c r="L137" s="34" cm="1">
        <f t="array" ref="L137">IFERROR(_xlfn.LET(_xlpm.e,E137,_xlpm.f,F137,_xlpm.h,H137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0.23376593017411665</v>
      </c>
      <c r="M137" s="15" cm="1">
        <f t="array" ref="M137">IFERROR(_xlfn.LET(_xlpm.e,E137,_xlpm.f,F137,_xlpm.h,H137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92.3</v>
      </c>
      <c r="N137" s="15" cm="1">
        <f t="array" ref="N137">IFERROR(_xlfn.LET(_xlpm.e,E137,_xlpm.f,F137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137" s="15" t="str">
        <f t="shared" si="11"/>
        <v>95% - 85-95% (high-quality practices)</v>
      </c>
      <c r="P137" s="34" t="str" cm="1">
        <f t="array" ref="P137">IFERROR(_xlfn.LET(_xlpm.g,G137,_xlpm.f,F137,_xlpm.h,H137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37" s="15" t="str" cm="1">
        <f t="array" ref="Q137">IFERROR(_xlfn.LET(_xlpm.e,E137,_xlpm.g,G137,_xlpm.h,H137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37" s="15" t="str">
        <f t="shared" si="12"/>
        <v>⚪ N/A</v>
      </c>
      <c r="S137" s="35" cm="1">
        <f t="array" ref="S137">IFERROR(_xlfn.LET(_xlpm.e,E137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77</v>
      </c>
      <c r="T137" s="36">
        <f t="shared" si="13"/>
        <v>23.376593017411665</v>
      </c>
      <c r="U137" s="15">
        <f t="shared" si="14"/>
        <v>436</v>
      </c>
      <c r="V137" s="16">
        <f t="shared" si="15"/>
        <v>2513.0217363354072</v>
      </c>
      <c r="W137" s="16">
        <f t="shared" si="16"/>
        <v>6249.5131083923407</v>
      </c>
      <c r="X137" s="37">
        <f t="shared" si="17"/>
        <v>35</v>
      </c>
      <c r="Y137" s="15" t="str">
        <f t="shared" si="18"/>
        <v>📊 Medium</v>
      </c>
    </row>
    <row r="138" spans="1:25" x14ac:dyDescent="0.2">
      <c r="A138" t="str">
        <f>'5. KPI Baselines'!A123</f>
        <v>Cenegenics</v>
      </c>
      <c r="B138" t="str">
        <f>'5. KPI Baselines'!B123</f>
        <v>Clinical Operations</v>
      </c>
      <c r="C138" t="str">
        <f>'5. KPI Baselines'!C123</f>
        <v>Protocol Delivery</v>
      </c>
      <c r="D138" t="str">
        <f>'5. KPI Baselines'!D123</f>
        <v>Lab-to-Protocol Days</v>
      </c>
      <c r="E138" t="str">
        <f>'5. KPI Baselines'!E123</f>
        <v>17 days</v>
      </c>
      <c r="F138" t="str">
        <f>'5. KPI Baselines'!F123</f>
        <v>3 days</v>
      </c>
      <c r="G138" t="str">
        <f>'5. KPI Baselines'!G123</f>
        <v>10-14 days (standard practice)</v>
      </c>
      <c r="H138" t="str">
        <f>'5. KPI Baselines'!H123</f>
        <v>↓</v>
      </c>
      <c r="I138" t="str">
        <f>'5. KPI Baselines'!I123</f>
        <v>12 months</v>
      </c>
      <c r="J138" t="str">
        <f>'5. KPI Baselines'!J123</f>
        <v>Calendar days from lab result availability to patient protocol delivery</v>
      </c>
      <c r="K138" s="15" t="str">
        <f t="shared" si="10"/>
        <v>17 days → 3 days</v>
      </c>
      <c r="L138" s="34" cm="1">
        <f t="array" ref="L138">IFERROR(_xlfn.LET(_xlpm.e,E138,_xlpm.f,F138,_xlpm.h,H138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0.8235245675025441</v>
      </c>
      <c r="M138" s="15" cm="1">
        <f t="array" ref="M138">IFERROR(_xlfn.LET(_xlpm.e,E138,_xlpm.f,F138,_xlpm.h,H138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138" s="15" cm="1">
        <f t="array" ref="N138">IFERROR(_xlfn.LET(_xlpm.e,E138,_xlpm.f,F138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138" s="15" t="str">
        <f t="shared" si="11"/>
        <v>10-14 days (standard practice) → 3 days</v>
      </c>
      <c r="P138" s="34" cm="1">
        <f t="array" ref="P138">IFERROR(_xlfn.LET(_xlpm.g,G138,_xlpm.f,F138,_xlpm.h,H138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0.99993521561697474</v>
      </c>
      <c r="Q138" s="15" t="str" cm="1">
        <f t="array" ref="Q138">IFERROR(_xlfn.LET(_xlpm.e,E138,_xlpm.g,G138,_xlpm.h,H138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138" s="15" t="str">
        <f t="shared" si="12"/>
        <v>🟢 Leading</v>
      </c>
      <c r="S138" s="35" cm="1">
        <f t="array" ref="S138">IFERROR(_xlfn.LET(_xlpm.e,E138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17</v>
      </c>
      <c r="T138" s="36">
        <f t="shared" si="13"/>
        <v>82.352456750254404</v>
      </c>
      <c r="U138" s="15">
        <f t="shared" si="14"/>
        <v>35</v>
      </c>
      <c r="V138" s="16">
        <f t="shared" si="15"/>
        <v>1954.5635025676318</v>
      </c>
      <c r="W138" s="16">
        <f t="shared" si="16"/>
        <v>4860.7101378654143</v>
      </c>
      <c r="X138" s="37">
        <f t="shared" si="17"/>
        <v>45</v>
      </c>
      <c r="Y138" s="15" t="str">
        <f t="shared" si="18"/>
        <v>🔥 Critical</v>
      </c>
    </row>
    <row r="139" spans="1:25" x14ac:dyDescent="0.2">
      <c r="A139" t="str">
        <f>'5. KPI Baselines'!A124</f>
        <v>Cenegenics</v>
      </c>
      <c r="B139" t="str">
        <f>'5. KPI Baselines'!B124</f>
        <v>Patient Services</v>
      </c>
      <c r="C139" t="str">
        <f>'5. KPI Baselines'!C124</f>
        <v>Patient Engagement</v>
      </c>
      <c r="D139" t="str">
        <f>'5. KPI Baselines'!D124</f>
        <v>12-Month Retention Rate</v>
      </c>
      <c r="E139" t="str">
        <f>'5. KPI Baselines'!E124</f>
        <v>73%</v>
      </c>
      <c r="F139" t="str">
        <f>'5. KPI Baselines'!F124</f>
        <v>85%</v>
      </c>
      <c r="G139" t="str">
        <f>'5. KPI Baselines'!G124</f>
        <v>75-85% (concierge medicine)</v>
      </c>
      <c r="H139" t="str">
        <f>'5. KPI Baselines'!H124</f>
        <v>↑</v>
      </c>
      <c r="I139" t="str">
        <f>'5. KPI Baselines'!I124</f>
        <v>18 months</v>
      </c>
      <c r="J139" t="str">
        <f>'5. KPI Baselines'!J124</f>
        <v>Percentage of patients completing initial 12-month program</v>
      </c>
      <c r="K139" s="15" t="str">
        <f t="shared" si="10"/>
        <v>85% - 73%</v>
      </c>
      <c r="L139" s="34" cm="1">
        <f t="array" ref="L139">IFERROR(_xlfn.LET(_xlpm.e,E139,_xlpm.f,F139,_xlpm.h,H139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0.16438333646118292</v>
      </c>
      <c r="M139" s="15" cm="1">
        <f t="array" ref="M139">IFERROR(_xlfn.LET(_xlpm.e,E139,_xlpm.f,F139,_xlpm.h,H139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83.2</v>
      </c>
      <c r="N139" s="15" cm="1">
        <f t="array" ref="N139">IFERROR(_xlfn.LET(_xlpm.e,E139,_xlpm.f,F139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139" s="15" t="str">
        <f t="shared" si="11"/>
        <v>85% - 75-85% (concierge medicine)</v>
      </c>
      <c r="P139" s="34" t="str" cm="1">
        <f t="array" ref="P139">IFERROR(_xlfn.LET(_xlpm.g,G139,_xlpm.f,F139,_xlpm.h,H139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39" s="15" t="str" cm="1">
        <f t="array" ref="Q139">IFERROR(_xlfn.LET(_xlpm.e,E139,_xlpm.g,G139,_xlpm.h,H139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39" s="15" t="str">
        <f t="shared" si="12"/>
        <v>⚪ N/A</v>
      </c>
      <c r="S139" s="35" cm="1">
        <f t="array" ref="S139">IFERROR(_xlfn.LET(_xlpm.e,E139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139" s="36">
        <f t="shared" si="13"/>
        <v>16.438333646118291</v>
      </c>
      <c r="U139" s="15">
        <f t="shared" si="14"/>
        <v>493</v>
      </c>
      <c r="V139" s="16">
        <f t="shared" si="15"/>
        <v>1675.3477050031438</v>
      </c>
      <c r="W139" s="16">
        <f t="shared" si="16"/>
        <v>4166.3417757779189</v>
      </c>
      <c r="X139" s="37">
        <f t="shared" si="17"/>
        <v>52</v>
      </c>
      <c r="Y139" s="15" t="str">
        <f t="shared" si="18"/>
        <v>📊 Medium</v>
      </c>
    </row>
    <row r="140" spans="1:25" x14ac:dyDescent="0.2">
      <c r="A140" t="str">
        <f>'5. KPI Baselines'!A125</f>
        <v>Cenegenics</v>
      </c>
      <c r="B140" t="str">
        <f>'5. KPI Baselines'!B125</f>
        <v>Patient Services</v>
      </c>
      <c r="C140" t="str">
        <f>'5. KPI Baselines'!C125</f>
        <v>Patient Support</v>
      </c>
      <c r="D140" t="str">
        <f>'5. KPI Baselines'!D125</f>
        <v>Average Response Time to Inquiries</v>
      </c>
      <c r="E140" t="str">
        <f>'5. KPI Baselines'!E125</f>
        <v>38 hours</v>
      </c>
      <c r="F140" t="str">
        <f>'5. KPI Baselines'!F125</f>
        <v>4 hours</v>
      </c>
      <c r="G140" t="str">
        <f>'5. KPI Baselines'!G125</f>
        <v>24-48 hours</v>
      </c>
      <c r="H140" t="str">
        <f>'5. KPI Baselines'!H125</f>
        <v>↓</v>
      </c>
      <c r="I140" t="str">
        <f>'5. KPI Baselines'!I125</f>
        <v>6 months</v>
      </c>
      <c r="J140" t="str">
        <f>'5. KPI Baselines'!J125</f>
        <v>Time from patient inquiry submission to first substantive response</v>
      </c>
      <c r="K140" s="15" t="str">
        <f t="shared" si="10"/>
        <v>38 hours → 4 hours</v>
      </c>
      <c r="L140" s="34" cm="1">
        <f t="array" ref="L140">IFERROR(_xlfn.LET(_xlpm.e,E140,_xlpm.f,F140,_xlpm.h,H140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0.89473448754082219</v>
      </c>
      <c r="M140" s="15" cm="1">
        <f t="array" ref="M140">IFERROR(_xlfn.LET(_xlpm.e,E140,_xlpm.f,F140,_xlpm.h,H140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9.1</v>
      </c>
      <c r="N140" s="15" cm="1">
        <f t="array" ref="N140">IFERROR(_xlfn.LET(_xlpm.e,E140,_xlpm.f,F140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26.01</v>
      </c>
      <c r="O140" s="15" t="str">
        <f t="shared" si="11"/>
        <v>24-48 hours → 4 hours</v>
      </c>
      <c r="P140" s="34" t="str" cm="1">
        <f t="array" ref="P140">IFERROR(_xlfn.LET(_xlpm.g,G140,_xlpm.f,F140,_xlpm.h,H140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40" s="15" t="str" cm="1">
        <f t="array" ref="Q140">IFERROR(_xlfn.LET(_xlpm.e,E140,_xlpm.g,G140,_xlpm.h,H140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40" s="15" t="str">
        <f t="shared" si="12"/>
        <v>⚪ N/A</v>
      </c>
      <c r="S140" s="35" cm="1">
        <f t="array" ref="S140">IFERROR(_xlfn.LET(_xlpm.e,E140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140" s="36">
        <f t="shared" si="13"/>
        <v>89.473448754082213</v>
      </c>
      <c r="U140" s="15">
        <f t="shared" si="14"/>
        <v>16</v>
      </c>
      <c r="V140" s="16">
        <f t="shared" si="15"/>
        <v>4746.812508388135</v>
      </c>
      <c r="W140" s="16">
        <f t="shared" si="16"/>
        <v>11804.620137313854</v>
      </c>
      <c r="X140" s="37">
        <f t="shared" si="17"/>
        <v>18</v>
      </c>
      <c r="Y140" s="15" t="str">
        <f t="shared" si="18"/>
        <v>🔥 Critical</v>
      </c>
    </row>
    <row r="141" spans="1:25" x14ac:dyDescent="0.2">
      <c r="A141" t="str">
        <f>'5. KPI Baselines'!A126</f>
        <v>Cenegenics</v>
      </c>
      <c r="B141" t="str">
        <f>'5. KPI Baselines'!B126</f>
        <v>Patient Services</v>
      </c>
      <c r="C141" t="str">
        <f>'5. KPI Baselines'!C126</f>
        <v>Lifestyle Coaching</v>
      </c>
      <c r="D141" t="str">
        <f>'5. KPI Baselines'!D126</f>
        <v>Coaching Hours per Patient Monthly</v>
      </c>
      <c r="E141" t="str">
        <f>'5. KPI Baselines'!E126</f>
        <v>1.2 hours</v>
      </c>
      <c r="F141" t="str">
        <f>'5. KPI Baselines'!F126</f>
        <v>2.8 hours</v>
      </c>
      <c r="G141" t="str">
        <f>'5. KPI Baselines'!G126</f>
        <v>1-2 hours</v>
      </c>
      <c r="H141" t="str">
        <f>'5. KPI Baselines'!H126</f>
        <v>↑</v>
      </c>
      <c r="I141" t="str">
        <f>'5. KPI Baselines'!I126</f>
        <v>12 months</v>
      </c>
      <c r="J141" t="str">
        <f>'5. KPI Baselines'!J126</f>
        <v>Total coaching contact hours divided by active patient count</v>
      </c>
      <c r="K141" s="15" t="str">
        <f t="shared" si="10"/>
        <v>2.8 hours - 1.2 hours</v>
      </c>
      <c r="L141" s="34" cm="1">
        <f t="array" ref="L141">IFERROR(_xlfn.LET(_xlpm.e,E141,_xlpm.f,F141,_xlpm.h,H141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1.3332222314807098</v>
      </c>
      <c r="M141" s="15" cm="1">
        <f t="array" ref="M141">IFERROR(_xlfn.LET(_xlpm.e,E141,_xlpm.f,F141,_xlpm.h,H141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141" s="15" cm="1">
        <f t="array" ref="N141">IFERROR(_xlfn.LET(_xlpm.e,E141,_xlpm.f,F141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1.22</v>
      </c>
      <c r="O141" s="15" t="str">
        <f t="shared" si="11"/>
        <v>2.8 hours - 1-2 hours</v>
      </c>
      <c r="P141" s="34" cm="1">
        <f t="array" ref="P141">IFERROR(_xlfn.LET(_xlpm.g,G141,_xlpm.f,F141,_xlpm.h,H141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-0.99993916000360861</v>
      </c>
      <c r="Q141" s="15" t="str" cm="1">
        <f t="array" ref="Q141">IFERROR(_xlfn.LET(_xlpm.e,E141,_xlpm.g,G141,_xlpm.h,H141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41" s="15" t="str">
        <f t="shared" si="12"/>
        <v>🔴 Lagging</v>
      </c>
      <c r="S141" s="35" cm="1">
        <f t="array" ref="S141">IFERROR(_xlfn.LET(_xlpm.e,E141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1.2</v>
      </c>
      <c r="T141" s="36">
        <f t="shared" si="13"/>
        <v>133.32222314807098</v>
      </c>
      <c r="U141" s="15">
        <f t="shared" si="14"/>
        <v>6</v>
      </c>
      <c r="V141" s="16">
        <f t="shared" si="15"/>
        <v>223.36138655112072</v>
      </c>
      <c r="W141" s="16">
        <f t="shared" si="16"/>
        <v>555.46670885365154</v>
      </c>
      <c r="X141" s="37">
        <f t="shared" si="17"/>
        <v>380</v>
      </c>
      <c r="Y141" s="15" t="str">
        <f t="shared" si="18"/>
        <v>🔥 Critical</v>
      </c>
    </row>
    <row r="142" spans="1:25" x14ac:dyDescent="0.2">
      <c r="A142" t="str">
        <f>'5. KPI Baselines'!A127</f>
        <v>Cenegenics</v>
      </c>
      <c r="B142" t="str">
        <f>'5. KPI Baselines'!B127</f>
        <v>Administrative</v>
      </c>
      <c r="C142" t="str">
        <f>'5. KPI Baselines'!C127</f>
        <v>Compliance Documentation</v>
      </c>
      <c r="D142" t="str">
        <f>'5. KPI Baselines'!D127</f>
        <v>Compliance Hours per Month</v>
      </c>
      <c r="E142" t="str">
        <f>'5. KPI Baselines'!E127</f>
        <v>1,000 hours</v>
      </c>
      <c r="F142" t="str">
        <f>'5. KPI Baselines'!F127</f>
        <v>400 hours</v>
      </c>
      <c r="G142" t="str">
        <f>'5. KPI Baselines'!G127</f>
        <v>Variable by clinic count</v>
      </c>
      <c r="H142" t="str">
        <f>'5. KPI Baselines'!H127</f>
        <v>↓</v>
      </c>
      <c r="I142" t="str">
        <f>'5. KPI Baselines'!I127</f>
        <v>9 months</v>
      </c>
      <c r="J142" t="str">
        <f>'5. KPI Baselines'!J127</f>
        <v>Staff time logs for regulatory filings and compliance activities</v>
      </c>
      <c r="K142" s="15" t="str">
        <f t="shared" si="10"/>
        <v>1,000 hours → 400 hours</v>
      </c>
      <c r="L142" s="34" cm="1">
        <f t="array" ref="L142">IFERROR(_xlfn.LET(_xlpm.e,E142,_xlpm.f,F142,_xlpm.h,H142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0.599999940000006</v>
      </c>
      <c r="M142" s="15" cm="1">
        <f t="array" ref="M142">IFERROR(_xlfn.LET(_xlpm.e,E142,_xlpm.f,F142,_xlpm.h,H142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490</v>
      </c>
      <c r="N142" s="15" cm="1">
        <f t="array" ref="N142">IFERROR(_xlfn.LET(_xlpm.e,E142,_xlpm.f,F142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459</v>
      </c>
      <c r="O142" s="15" t="str">
        <f t="shared" si="11"/>
        <v>Variable by clinic count → 400 hours</v>
      </c>
      <c r="P142" s="34" t="str" cm="1">
        <f t="array" ref="P142">IFERROR(_xlfn.LET(_xlpm.g,G142,_xlpm.f,F142,_xlpm.h,H142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42" s="15" t="str" cm="1">
        <f t="array" ref="Q142">IFERROR(_xlfn.LET(_xlpm.e,E142,_xlpm.g,G142,_xlpm.h,H142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42" s="15" t="str">
        <f t="shared" si="12"/>
        <v>⚪ N/A</v>
      </c>
      <c r="S142" s="35" cm="1">
        <f t="array" ref="S142">IFERROR(_xlfn.LET(_xlpm.e,E142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1000</v>
      </c>
      <c r="T142" s="36">
        <f t="shared" si="13"/>
        <v>59.999994000000598</v>
      </c>
      <c r="U142" s="15">
        <f t="shared" si="14"/>
        <v>153</v>
      </c>
      <c r="V142" s="16">
        <f t="shared" si="15"/>
        <v>83767.491623250826</v>
      </c>
      <c r="W142" s="16">
        <f t="shared" si="16"/>
        <v>208317.35332303567</v>
      </c>
      <c r="X142" s="37">
        <f t="shared" si="17"/>
        <v>1</v>
      </c>
      <c r="Y142" s="15" t="str">
        <f t="shared" si="18"/>
        <v>🔥 Critical</v>
      </c>
    </row>
    <row r="143" spans="1:25" x14ac:dyDescent="0.2">
      <c r="A143" t="str">
        <f>'5. KPI Baselines'!A128</f>
        <v>Cenegenics</v>
      </c>
      <c r="B143" t="str">
        <f>'5. KPI Baselines'!B128</f>
        <v>Business Development</v>
      </c>
      <c r="C143" t="str">
        <f>'5. KPI Baselines'!C128</f>
        <v>Clinical Outcomes Reporting</v>
      </c>
      <c r="D143" t="str">
        <f>'5. KPI Baselines'!D128</f>
        <v>Outcome Reports Published Annually</v>
      </c>
      <c r="E143" t="str">
        <f>'5. KPI Baselines'!E128</f>
        <v>0 reports</v>
      </c>
      <c r="F143" t="str">
        <f>'5. KPI Baselines'!F128</f>
        <v>4 reports</v>
      </c>
      <c r="G143" t="str">
        <f>'5. KPI Baselines'!G128</f>
        <v>2-4 reports (leading practices)</v>
      </c>
      <c r="H143" t="str">
        <f>'5. KPI Baselines'!H128</f>
        <v>↑</v>
      </c>
      <c r="I143" t="str">
        <f>'5. KPI Baselines'!I128</f>
        <v>24 months</v>
      </c>
      <c r="J143" t="str">
        <f>'5. KPI Baselines'!J128</f>
        <v>Count of published clinical outcome analyses or research papers</v>
      </c>
      <c r="K143" s="15" t="str">
        <f t="shared" si="10"/>
        <v>4 reports - 0 reports</v>
      </c>
      <c r="L143" s="34" t="str" cm="1">
        <f t="array" ref="L143">IFERROR(_xlfn.LET(_xlpm.e,E143,_xlpm.f,F143,_xlpm.h,H143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43" s="15" t="str" cm="1">
        <f t="array" ref="M143">IFERROR(_xlfn.LET(_xlpm.e,E143,_xlpm.f,F143,_xlpm.h,H143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43" s="15" t="str" cm="1">
        <f t="array" ref="N143">IFERROR(_xlfn.LET(_xlpm.e,E143,_xlpm.f,F143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43" s="15" t="str">
        <f t="shared" si="11"/>
        <v>4 reports - 2-4 reports (leading practices)</v>
      </c>
      <c r="P143" s="34" cm="1">
        <f t="array" ref="P143">IFERROR(_xlfn.LET(_xlpm.g,G143,_xlpm.f,F143,_xlpm.h,H143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-0.99991314892434779</v>
      </c>
      <c r="Q143" s="15" t="str" cm="1">
        <f t="array" ref="Q143">IFERROR(_xlfn.LET(_xlpm.e,E143,_xlpm.g,G143,_xlpm.h,H143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43" s="15" t="str">
        <f t="shared" si="12"/>
        <v>⚪ N/A</v>
      </c>
      <c r="S143" s="35" cm="1">
        <f t="array" ref="S143">IFERROR(_xlfn.LET(_xlpm.e,E143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43" s="36">
        <f t="shared" si="13"/>
        <v>0</v>
      </c>
      <c r="U143" s="15">
        <f t="shared" si="14"/>
        <v>554</v>
      </c>
      <c r="V143" s="16">
        <f t="shared" si="15"/>
        <v>0</v>
      </c>
      <c r="W143" s="16">
        <f t="shared" si="16"/>
        <v>0</v>
      </c>
      <c r="X143" s="37" t="str">
        <f t="shared" si="17"/>
        <v>-</v>
      </c>
      <c r="Y143" s="15" t="str">
        <f t="shared" si="18"/>
        <v>📉 Low</v>
      </c>
    </row>
    <row r="144" spans="1:25" x14ac:dyDescent="0.2">
      <c r="A144" t="str">
        <f>'5. KPI Baselines'!A129</f>
        <v>Cenegenics</v>
      </c>
      <c r="B144" t="str">
        <f>'5. KPI Baselines'!B129</f>
        <v>Business Development</v>
      </c>
      <c r="C144" t="str">
        <f>'5. KPI Baselines'!C129</f>
        <v>New Patient Acquisition</v>
      </c>
      <c r="D144" t="str">
        <f>'5. KPI Baselines'!D129</f>
        <v>Consultation-to-Enrollment Rate</v>
      </c>
      <c r="E144" t="str">
        <f>'5. KPI Baselines'!E129</f>
        <v>42%</v>
      </c>
      <c r="F144" t="str">
        <f>'5. KPI Baselines'!F129</f>
        <v>58%</v>
      </c>
      <c r="G144" t="str">
        <f>'5. KPI Baselines'!G129</f>
        <v>40-55%</v>
      </c>
      <c r="H144" t="str">
        <f>'5. KPI Baselines'!H129</f>
        <v>↑</v>
      </c>
      <c r="I144" t="str">
        <f>'5. KPI Baselines'!I129</f>
        <v>18 months</v>
      </c>
      <c r="J144" t="str">
        <f>'5. KPI Baselines'!J129</f>
        <v>Percentage of initial consultations converting to enrolled patients</v>
      </c>
      <c r="K144" s="15" t="str">
        <f t="shared" si="10"/>
        <v>58% - 42%</v>
      </c>
      <c r="L144" s="34" cm="1">
        <f t="array" ref="L144">IFERROR(_xlfn.LET(_xlpm.e,E144,_xlpm.f,F144,_xlpm.h,H144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0.38095147392506207</v>
      </c>
      <c r="M144" s="15" cm="1">
        <f t="array" ref="M144">IFERROR(_xlfn.LET(_xlpm.e,E144,_xlpm.f,F144,_xlpm.h,H144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55.6</v>
      </c>
      <c r="N144" s="15" cm="1">
        <f t="array" ref="N144">IFERROR(_xlfn.LET(_xlpm.e,E144,_xlpm.f,F144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144" s="15" t="str">
        <f t="shared" si="11"/>
        <v>58% - 40-55%</v>
      </c>
      <c r="P144" s="34" t="str" cm="1">
        <f t="array" ref="P144">IFERROR(_xlfn.LET(_xlpm.g,G144,_xlpm.f,F144,_xlpm.h,H144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44" s="15" t="str" cm="1">
        <f t="array" ref="Q144">IFERROR(_xlfn.LET(_xlpm.e,E144,_xlpm.g,G144,_xlpm.h,H144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44" s="15" t="str">
        <f t="shared" si="12"/>
        <v>⚪ N/A</v>
      </c>
      <c r="S144" s="35" cm="1">
        <f t="array" ref="S144">IFERROR(_xlfn.LET(_xlpm.e,E144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144" s="36">
        <f t="shared" si="13"/>
        <v>38.095147392506206</v>
      </c>
      <c r="U144" s="15">
        <f t="shared" si="14"/>
        <v>324</v>
      </c>
      <c r="V144" s="16">
        <f t="shared" si="15"/>
        <v>2233.7946814412344</v>
      </c>
      <c r="W144" s="16">
        <f t="shared" si="16"/>
        <v>5555.1167509921042</v>
      </c>
      <c r="X144" s="37">
        <f t="shared" si="17"/>
        <v>39</v>
      </c>
      <c r="Y144" s="15" t="str">
        <f t="shared" si="18"/>
        <v>⚠️ High</v>
      </c>
    </row>
    <row r="145" spans="1:25" x14ac:dyDescent="0.2">
      <c r="A145" t="str">
        <f>'5. KPI Baselines'!A130</f>
        <v>Cenegenics</v>
      </c>
      <c r="B145" t="str">
        <f>'5. KPI Baselines'!B130</f>
        <v>Clinical Operations</v>
      </c>
      <c r="C145" t="str">
        <f>'5. KPI Baselines'!C130</f>
        <v>Quality Assurance</v>
      </c>
      <c r="D145" t="str">
        <f>'5. KPI Baselines'!D130</f>
        <v>Chart Audit Findings per 100 Charts</v>
      </c>
      <c r="E145" t="str">
        <f>'5. KPI Baselines'!E130</f>
        <v>23 findings</v>
      </c>
      <c r="F145" t="str">
        <f>'5. KPI Baselines'!F130</f>
        <v>5 findings</v>
      </c>
      <c r="G145" t="str">
        <f>'5. KPI Baselines'!G130</f>
        <v>10-15 findings</v>
      </c>
      <c r="H145" t="str">
        <f>'5. KPI Baselines'!H130</f>
        <v>↓</v>
      </c>
      <c r="I145" t="str">
        <f>'5. KPI Baselines'!I130</f>
        <v>12 months</v>
      </c>
      <c r="J145" t="str">
        <f>'5. KPI Baselines'!J130</f>
        <v>Number of quality issues identified per 100 charts reviewed</v>
      </c>
      <c r="K145" s="15" t="str">
        <f t="shared" si="10"/>
        <v>23 findings → 5 findings</v>
      </c>
      <c r="L145" s="34" cm="1">
        <f t="array" ref="L145">IFERROR(_xlfn.LET(_xlpm.e,E145,_xlpm.f,F145,_xlpm.h,H145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0.78260529302046511</v>
      </c>
      <c r="M145" s="15" cm="1">
        <f t="array" ref="M145">IFERROR(_xlfn.LET(_xlpm.e,E145,_xlpm.f,F145,_xlpm.h,H145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7.7</v>
      </c>
      <c r="N145" s="15" cm="1">
        <f t="array" ref="N145">IFERROR(_xlfn.LET(_xlpm.e,E145,_xlpm.f,F145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145" s="15" t="str">
        <f t="shared" si="11"/>
        <v>10-15 findings → 5 findings</v>
      </c>
      <c r="P145" s="34" cm="1">
        <f t="array" ref="P145">IFERROR(_xlfn.LET(_xlpm.g,G145,_xlpm.f,F145,_xlpm.h,H145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0.99989202979941261</v>
      </c>
      <c r="Q145" s="15" t="str" cm="1">
        <f t="array" ref="Q145">IFERROR(_xlfn.LET(_xlpm.e,E145,_xlpm.g,G145,_xlpm.h,H145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145" s="15" t="str">
        <f t="shared" si="12"/>
        <v>🟢 Leading</v>
      </c>
      <c r="S145" s="35" cm="1">
        <f t="array" ref="S145">IFERROR(_xlfn.LET(_xlpm.e,E145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145" s="36">
        <f t="shared" si="13"/>
        <v>78.260529302046507</v>
      </c>
      <c r="U145" s="15">
        <f t="shared" si="14"/>
        <v>41</v>
      </c>
      <c r="V145" s="16">
        <f t="shared" si="15"/>
        <v>2513.0140738518526</v>
      </c>
      <c r="W145" s="16">
        <f t="shared" si="16"/>
        <v>6249.4940529298565</v>
      </c>
      <c r="X145" s="37">
        <f t="shared" si="17"/>
        <v>35</v>
      </c>
      <c r="Y145" s="15" t="str">
        <f t="shared" si="18"/>
        <v>🔥 Critical</v>
      </c>
    </row>
    <row r="146" spans="1:25" x14ac:dyDescent="0.2">
      <c r="A146" t="str">
        <f>'5. KPI Baselines'!A131</f>
        <v>Cenegenics</v>
      </c>
      <c r="B146" t="str">
        <f>'5. KPI Baselines'!B131</f>
        <v>Patient Services</v>
      </c>
      <c r="C146" t="str">
        <f>'5. KPI Baselines'!C131</f>
        <v>Patient Intake</v>
      </c>
      <c r="D146" t="str">
        <f>'5. KPI Baselines'!D131</f>
        <v>New Patient Capacity per Physician Monthly</v>
      </c>
      <c r="E146" t="str">
        <f>'5. KPI Baselines'!E131</f>
        <v>3.2 patients</v>
      </c>
      <c r="F146" t="str">
        <f>'5. KPI Baselines'!F131</f>
        <v>5.8 patients</v>
      </c>
      <c r="G146" t="str">
        <f>'5. KPI Baselines'!G131</f>
        <v>3-5 patients</v>
      </c>
      <c r="H146" t="str">
        <f>'5. KPI Baselines'!H131</f>
        <v>↑</v>
      </c>
      <c r="I146" t="str">
        <f>'5. KPI Baselines'!I131</f>
        <v>18 months</v>
      </c>
      <c r="J146" t="str">
        <f>'5. KPI Baselines'!J131</f>
        <v>New patient enrollments per full-time physician equivalent</v>
      </c>
      <c r="K146" s="15" t="str">
        <f t="shared" ref="K146:K209" si="19">IFERROR(IF(OR(E146="",F146=""),"-",IF(H146="↓",E146&amp;" → "&amp;F146,F146&amp;" - "&amp;E146)),"-")</f>
        <v>5.8 patients - 3.2 patients</v>
      </c>
      <c r="L146" s="34" cm="1">
        <f t="array" ref="L146">IFERROR(_xlfn.LET(_xlpm.e,E146,_xlpm.f,F146,_xlpm.h,H146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0.81247461016843203</v>
      </c>
      <c r="M146" s="15" cm="1">
        <f t="array" ref="M146">IFERROR(_xlfn.LET(_xlpm.e,E146,_xlpm.f,F146,_xlpm.h,H146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5.4</v>
      </c>
      <c r="N146" s="15" cm="1">
        <f t="array" ref="N146">IFERROR(_xlfn.LET(_xlpm.e,E146,_xlpm.f,F146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1.99</v>
      </c>
      <c r="O146" s="15" t="str">
        <f t="shared" ref="O146:O209" si="20">IFERROR(IF(OR(G146="",G146="Not Available",F146=""),"-",IF(H146="↓",G146&amp;" → "&amp;F146,F146&amp;" - "&amp;G146)),"-")</f>
        <v>5.8 patients - 3-5 patients</v>
      </c>
      <c r="P146" s="34" cm="1">
        <f t="array" ref="P146">IFERROR(_xlfn.LET(_xlpm.g,G146,_xlpm.f,F146,_xlpm.h,H146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-0.99987414616179715</v>
      </c>
      <c r="Q146" s="15" t="str" cm="1">
        <f t="array" ref="Q146">IFERROR(_xlfn.LET(_xlpm.e,E146,_xlpm.g,G146,_xlpm.h,H146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46" s="15" t="str">
        <f t="shared" ref="R146:R209" si="21">IFERROR(IF(Q146="Below Industry","🔴 Lagging",IF(Q146="Above Industry","🟢 Leading","⚪ N/A")),"⚪ N/A")</f>
        <v>🔴 Lagging</v>
      </c>
      <c r="S146" s="35" cm="1">
        <f t="array" ref="S146">IFERROR(_xlfn.LET(_xlpm.e,E146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146" s="36">
        <f t="shared" ref="T146:T209" si="22">IFERROR(IF(L146="-",0,ABS(L146)*100),0)</f>
        <v>81.247461016843204</v>
      </c>
      <c r="U146" s="15">
        <f t="shared" ref="U146:U209" si="23">IFERROR(RANK(T146,$T$17:$T$662,0),"-")</f>
        <v>36</v>
      </c>
      <c r="V146" s="16">
        <f t="shared" ref="V146:V209" si="24">IFERROR(IF(OR(L146="-",S146=0),0,S146*ABS(L146)*$F$9*$B$5*$B$7),0)</f>
        <v>362.98115683884873</v>
      </c>
      <c r="W146" s="16">
        <f t="shared" ref="W146:W209" si="25">IFERROR(IF(V146=0,0,V146*(1-(1/(1+$B$11)^$B$10))/$B$11),0)</f>
        <v>902.68041257444804</v>
      </c>
      <c r="X146" s="37">
        <f t="shared" ref="X146:X209" si="26">IFERROR(IF(V146=0,"-",ROUND(12/(V146/($F$9*40)+0.001),0)),"-")</f>
        <v>237</v>
      </c>
      <c r="Y146" s="15" t="str">
        <f t="shared" ref="Y146:Y209" si="27">IF(T146&gt;=50,"🔥 Critical",IF(T146&gt;=25,"⚠️ High",IF(T146&gt;=10,"📊 Medium","📉 Low")))</f>
        <v>🔥 Critical</v>
      </c>
    </row>
    <row r="147" spans="1:25" x14ac:dyDescent="0.2">
      <c r="A147" t="str">
        <f>'5. KPI Baselines'!A132</f>
        <v>Chemical Guys</v>
      </c>
      <c r="B147" t="str">
        <f>'5. KPI Baselines'!B132</f>
        <v>Product Development</v>
      </c>
      <c r="C147" t="str">
        <f>'5. KPI Baselines'!C132</f>
        <v>Content Creation</v>
      </c>
      <c r="D147" t="str">
        <f>'5. KPI Baselines'!D132</f>
        <v>Product Launch Cycle Time</v>
      </c>
      <c r="E147" t="str">
        <f>'5. KPI Baselines'!E132</f>
        <v>45 days</v>
      </c>
      <c r="F147" t="str">
        <f>'5. KPI Baselines'!F132</f>
        <v>12 days</v>
      </c>
      <c r="G147" t="str">
        <f>'5. KPI Baselines'!G132</f>
        <v>15 days</v>
      </c>
      <c r="H147" t="str">
        <f>'5. KPI Baselines'!H132</f>
        <v>↓</v>
      </c>
      <c r="I147" t="str">
        <f>'5. KPI Baselines'!I132</f>
        <v>12 months</v>
      </c>
      <c r="J147" t="str">
        <f>'5. KPI Baselines'!J132</f>
        <v>Average days from formulation complete to full content publication</v>
      </c>
      <c r="K147" s="15" t="str">
        <f t="shared" si="19"/>
        <v>45 days → 12 days</v>
      </c>
      <c r="L147" s="34" cm="1">
        <f t="array" ref="L147">IFERROR(_xlfn.LET(_xlpm.e,E147,_xlpm.f,F147,_xlpm.h,H147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0.73333170370732503</v>
      </c>
      <c r="M147" s="15" cm="1">
        <f t="array" ref="M147">IFERROR(_xlfn.LET(_xlpm.e,E147,_xlpm.f,F147,_xlpm.h,H147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</v>
      </c>
      <c r="N147" s="15" cm="1">
        <f t="array" ref="N147">IFERROR(_xlfn.LET(_xlpm.e,E147,_xlpm.f,F147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25.25</v>
      </c>
      <c r="O147" s="15" t="str">
        <f t="shared" si="20"/>
        <v>15 days → 12 days</v>
      </c>
      <c r="P147" s="34" cm="1">
        <f t="array" ref="P147">IFERROR(_xlfn.LET(_xlpm.g,G147,_xlpm.f,F147,_xlpm.h,H147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0.19999866667555549</v>
      </c>
      <c r="Q147" s="15" t="str" cm="1">
        <f t="array" ref="Q147">IFERROR(_xlfn.LET(_xlpm.e,E147,_xlpm.g,G147,_xlpm.h,H147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47" s="15" t="str">
        <f t="shared" si="21"/>
        <v>🔴 Lagging</v>
      </c>
      <c r="S147" s="35" cm="1">
        <f t="array" ref="S147">IFERROR(_xlfn.LET(_xlpm.e,E147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147" s="36">
        <f t="shared" si="22"/>
        <v>73.333170370732503</v>
      </c>
      <c r="U147" s="15">
        <f t="shared" si="23"/>
        <v>68</v>
      </c>
      <c r="V147" s="16">
        <f t="shared" si="24"/>
        <v>4607.2022617727516</v>
      </c>
      <c r="W147" s="16">
        <f t="shared" si="25"/>
        <v>11457.430117556589</v>
      </c>
      <c r="X147" s="37">
        <f t="shared" si="26"/>
        <v>19</v>
      </c>
      <c r="Y147" s="15" t="str">
        <f t="shared" si="27"/>
        <v>🔥 Critical</v>
      </c>
    </row>
    <row r="148" spans="1:25" x14ac:dyDescent="0.2">
      <c r="A148" t="str">
        <f>'5. KPI Baselines'!A133</f>
        <v>Chemical Guys</v>
      </c>
      <c r="B148" t="str">
        <f>'5. KPI Baselines'!B133</f>
        <v>Product Development</v>
      </c>
      <c r="C148" t="str">
        <f>'5. KPI Baselines'!C133</f>
        <v>SKU Expansion</v>
      </c>
      <c r="D148" t="str">
        <f>'5. KPI Baselines'!D133</f>
        <v>Quarterly New SKU Launch Rate</v>
      </c>
      <c r="E148" t="str">
        <f>'5. KPI Baselines'!E133</f>
        <v>10 SKUs</v>
      </c>
      <c r="F148" t="str">
        <f>'5. KPI Baselines'!F133</f>
        <v>23 SKUs</v>
      </c>
      <c r="G148" t="str">
        <f>'5. KPI Baselines'!G133</f>
        <v>22 SKUs</v>
      </c>
      <c r="H148" t="str">
        <f>'5. KPI Baselines'!H133</f>
        <v>↑</v>
      </c>
      <c r="I148" t="str">
        <f>'5. KPI Baselines'!I133</f>
        <v>12 months</v>
      </c>
      <c r="J148" t="str">
        <f>'5. KPI Baselines'!J133</f>
        <v>Count of new SKUs with complete content launched per quarter</v>
      </c>
      <c r="K148" s="15" t="str">
        <f t="shared" si="19"/>
        <v>23 SKUs - 10 SKUs</v>
      </c>
      <c r="L148" s="34" cm="1">
        <f t="array" ref="L148">IFERROR(_xlfn.LET(_xlpm.e,E148,_xlpm.f,F148,_xlpm.h,H148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1.2999870001299987</v>
      </c>
      <c r="M148" s="15" cm="1">
        <f t="array" ref="M148">IFERROR(_xlfn.LET(_xlpm.e,E148,_xlpm.f,F148,_xlpm.h,H148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21.1</v>
      </c>
      <c r="N148" s="15" cm="1">
        <f t="array" ref="N148">IFERROR(_xlfn.LET(_xlpm.e,E148,_xlpm.f,F148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148" s="15" t="str">
        <f t="shared" si="20"/>
        <v>23 SKUs - 22 SKUs</v>
      </c>
      <c r="P148" s="34" cm="1">
        <f t="array" ref="P148">IFERROR(_xlfn.LET(_xlpm.g,G148,_xlpm.f,F148,_xlpm.h,H148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4.5454338843914345E-2</v>
      </c>
      <c r="Q148" s="15" t="str" cm="1">
        <f t="array" ref="Q148">IFERROR(_xlfn.LET(_xlpm.e,E148,_xlpm.g,G148,_xlpm.h,H148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48" s="15" t="str">
        <f t="shared" si="21"/>
        <v>🔴 Lagging</v>
      </c>
      <c r="S148" s="35" cm="1">
        <f t="array" ref="S148">IFERROR(_xlfn.LET(_xlpm.e,E148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10</v>
      </c>
      <c r="T148" s="36">
        <f t="shared" si="22"/>
        <v>129.99870001299988</v>
      </c>
      <c r="U148" s="15">
        <f t="shared" si="23"/>
        <v>7</v>
      </c>
      <c r="V148" s="16">
        <f t="shared" si="24"/>
        <v>1814.9443505564943</v>
      </c>
      <c r="W148" s="16">
        <f t="shared" si="25"/>
        <v>4513.4979717069882</v>
      </c>
      <c r="X148" s="37">
        <f t="shared" si="26"/>
        <v>48</v>
      </c>
      <c r="Y148" s="15" t="str">
        <f t="shared" si="27"/>
        <v>🔥 Critical</v>
      </c>
    </row>
    <row r="149" spans="1:25" x14ac:dyDescent="0.2">
      <c r="A149" t="str">
        <f>'5. KPI Baselines'!A134</f>
        <v>Chemical Guys</v>
      </c>
      <c r="B149" t="str">
        <f>'5. KPI Baselines'!B134</f>
        <v>Customer Service</v>
      </c>
      <c r="C149" t="str">
        <f>'5. KPI Baselines'!C134</f>
        <v>Support Operations</v>
      </c>
      <c r="D149" t="str">
        <f>'5. KPI Baselines'!D134</f>
        <v>First Contact Resolution Rate</v>
      </c>
      <c r="E149" t="str">
        <f>'5. KPI Baselines'!E134</f>
        <v>71%</v>
      </c>
      <c r="F149" t="str">
        <f>'5. KPI Baselines'!F134</f>
        <v>85%</v>
      </c>
      <c r="G149" t="str">
        <f>'5. KPI Baselines'!G134</f>
        <v>85%</v>
      </c>
      <c r="H149" t="str">
        <f>'5. KPI Baselines'!H134</f>
        <v>↑</v>
      </c>
      <c r="I149" t="str">
        <f>'5. KPI Baselines'!I134</f>
        <v>9 months</v>
      </c>
      <c r="J149" t="str">
        <f>'5. KPI Baselines'!J134</f>
        <v>Percentage of customer contacts resolved without escalation or callback</v>
      </c>
      <c r="K149" s="15" t="str">
        <f t="shared" si="19"/>
        <v>85% - 71%</v>
      </c>
      <c r="L149" s="34" cm="1">
        <f t="array" ref="L149">IFERROR(_xlfn.LET(_xlpm.e,E149,_xlpm.f,F149,_xlpm.h,H149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0.19718282086926636</v>
      </c>
      <c r="M149" s="15" cm="1">
        <f t="array" ref="M149">IFERROR(_xlfn.LET(_xlpm.e,E149,_xlpm.f,F149,_xlpm.h,H149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82.9</v>
      </c>
      <c r="N149" s="15" cm="1">
        <f t="array" ref="N149">IFERROR(_xlfn.LET(_xlpm.e,E149,_xlpm.f,F149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149" s="15" t="str">
        <f t="shared" si="20"/>
        <v>85% - 85%</v>
      </c>
      <c r="P149" s="34" cm="1">
        <f t="array" ref="P149">IFERROR(_xlfn.LET(_xlpm.g,G149,_xlpm.f,F149,_xlpm.h,H149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49" s="15" t="str" cm="1">
        <f t="array" ref="Q149">IFERROR(_xlfn.LET(_xlpm.e,E149,_xlpm.g,G149,_xlpm.h,H149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49" s="15" t="str">
        <f t="shared" si="21"/>
        <v>🔴 Lagging</v>
      </c>
      <c r="S149" s="35" cm="1">
        <f t="array" ref="S149">IFERROR(_xlfn.LET(_xlpm.e,E149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71</v>
      </c>
      <c r="T149" s="36">
        <f t="shared" si="22"/>
        <v>19.718282086926635</v>
      </c>
      <c r="U149" s="15">
        <f t="shared" si="23"/>
        <v>469</v>
      </c>
      <c r="V149" s="16">
        <f t="shared" si="24"/>
        <v>1954.5722470813421</v>
      </c>
      <c r="W149" s="16">
        <f t="shared" si="25"/>
        <v>4860.7318841767456</v>
      </c>
      <c r="X149" s="37">
        <f t="shared" si="26"/>
        <v>45</v>
      </c>
      <c r="Y149" s="15" t="str">
        <f t="shared" si="27"/>
        <v>📊 Medium</v>
      </c>
    </row>
    <row r="150" spans="1:25" x14ac:dyDescent="0.2">
      <c r="A150" t="str">
        <f>'5. KPI Baselines'!A135</f>
        <v>Chemical Guys</v>
      </c>
      <c r="B150" t="str">
        <f>'5. KPI Baselines'!B135</f>
        <v>Customer Service</v>
      </c>
      <c r="C150" t="str">
        <f>'5. KPI Baselines'!C135</f>
        <v>Support Operations</v>
      </c>
      <c r="D150" t="str">
        <f>'5. KPI Baselines'!D135</f>
        <v>Monthly Contact Volume</v>
      </c>
      <c r="E150" t="str">
        <f>'5. KPI Baselines'!E135</f>
        <v>45,000 contacts</v>
      </c>
      <c r="F150" t="str">
        <f>'5. KPI Baselines'!F135</f>
        <v>32,000 contacts</v>
      </c>
      <c r="G150" t="str">
        <f>'5. KPI Baselines'!G135</f>
        <v>32,000 contacts</v>
      </c>
      <c r="H150" t="str">
        <f>'5. KPI Baselines'!H135</f>
        <v>↓</v>
      </c>
      <c r="I150" t="str">
        <f>'5. KPI Baselines'!I135</f>
        <v>12 months</v>
      </c>
      <c r="J150" t="str">
        <f>'5. KPI Baselines'!J135</f>
        <v>Total inbound phone, email, and chat contacts requiring agent response</v>
      </c>
      <c r="K150" s="15" t="str">
        <f t="shared" si="19"/>
        <v>45,000 contacts → 32,000 contacts</v>
      </c>
      <c r="L150" s="34" cm="1">
        <f t="array" ref="L150">IFERROR(_xlfn.LET(_xlpm.e,E150,_xlpm.f,F150,_xlpm.h,H150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0.28888888824691361</v>
      </c>
      <c r="M150" s="15" cm="1">
        <f t="array" ref="M150">IFERROR(_xlfn.LET(_xlpm.e,E150,_xlpm.f,F150,_xlpm.h,H150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33950</v>
      </c>
      <c r="N150" s="15" cm="1">
        <f t="array" ref="N150">IFERROR(_xlfn.LET(_xlpm.e,E150,_xlpm.f,F150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9945</v>
      </c>
      <c r="O150" s="15" t="str">
        <f t="shared" si="20"/>
        <v>32,000 contacts → 32,000 contacts</v>
      </c>
      <c r="P150" s="34" cm="1">
        <f t="array" ref="P150">IFERROR(_xlfn.LET(_xlpm.g,G150,_xlpm.f,F150,_xlpm.h,H150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50" s="15" t="str" cm="1">
        <f t="array" ref="Q150">IFERROR(_xlfn.LET(_xlpm.e,E150,_xlpm.g,G150,_xlpm.h,H150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0" s="15" t="str">
        <f t="shared" si="21"/>
        <v>🔴 Lagging</v>
      </c>
      <c r="S150" s="35" cm="1">
        <f t="array" ref="S150">IFERROR(_xlfn.LET(_xlpm.e,E150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45000</v>
      </c>
      <c r="T150" s="36">
        <f t="shared" si="22"/>
        <v>28.88888882469136</v>
      </c>
      <c r="U150" s="15">
        <f t="shared" si="23"/>
        <v>400</v>
      </c>
      <c r="V150" s="16">
        <f t="shared" si="24"/>
        <v>1814962.49596675</v>
      </c>
      <c r="W150" s="16">
        <f t="shared" si="25"/>
        <v>4513543.0966566103</v>
      </c>
      <c r="X150" s="37">
        <f t="shared" si="26"/>
        <v>0</v>
      </c>
      <c r="Y150" s="15" t="str">
        <f t="shared" si="27"/>
        <v>⚠️ High</v>
      </c>
    </row>
    <row r="151" spans="1:25" x14ac:dyDescent="0.2">
      <c r="A151" t="str">
        <f>'5. KPI Baselines'!A136</f>
        <v>Chemical Guys</v>
      </c>
      <c r="B151" t="str">
        <f>'5. KPI Baselines'!B136</f>
        <v>Supply Chain</v>
      </c>
      <c r="C151" t="str">
        <f>'5. KPI Baselines'!C136</f>
        <v>Inventory Management</v>
      </c>
      <c r="D151" t="str">
        <f>'5. KPI Baselines'!D136</f>
        <v>Days Inventory Outstanding</v>
      </c>
      <c r="E151" t="str">
        <f>'5. KPI Baselines'!E136</f>
        <v>78 days</v>
      </c>
      <c r="F151" t="str">
        <f>'5. KPI Baselines'!F136</f>
        <v>52 days</v>
      </c>
      <c r="G151" t="str">
        <f>'5. KPI Baselines'!G136</f>
        <v>52 days</v>
      </c>
      <c r="H151" t="str">
        <f>'5. KPI Baselines'!H136</f>
        <v>↓</v>
      </c>
      <c r="I151" t="str">
        <f>'5. KPI Baselines'!I136</f>
        <v>18 months</v>
      </c>
      <c r="J151" t="str">
        <f>'5. KPI Baselines'!J136</f>
        <v>Average inventory value divided by daily cost of goods sold</v>
      </c>
      <c r="K151" s="15" t="str">
        <f t="shared" si="19"/>
        <v>78 days → 52 days</v>
      </c>
      <c r="L151" s="34" cm="1">
        <f t="array" ref="L151">IFERROR(_xlfn.LET(_xlpm.e,E151,_xlpm.f,F151,_xlpm.h,H151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0.33333290598345383</v>
      </c>
      <c r="M151" s="15" cm="1">
        <f t="array" ref="M151">IFERROR(_xlfn.LET(_xlpm.e,E151,_xlpm.f,F151,_xlpm.h,H151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55.9</v>
      </c>
      <c r="N151" s="15" cm="1">
        <f t="array" ref="N151">IFERROR(_xlfn.LET(_xlpm.e,E151,_xlpm.f,F151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19.89</v>
      </c>
      <c r="O151" s="15" t="str">
        <f t="shared" si="20"/>
        <v>52 days → 52 days</v>
      </c>
      <c r="P151" s="34" cm="1">
        <f t="array" ref="P151">IFERROR(_xlfn.LET(_xlpm.g,G151,_xlpm.f,F151,_xlpm.h,H151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51" s="15" t="str" cm="1">
        <f t="array" ref="Q151">IFERROR(_xlfn.LET(_xlpm.e,E151,_xlpm.g,G151,_xlpm.h,H151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1" s="15" t="str">
        <f t="shared" si="21"/>
        <v>🔴 Lagging</v>
      </c>
      <c r="S151" s="35" cm="1">
        <f t="array" ref="S151">IFERROR(_xlfn.LET(_xlpm.e,E151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151" s="36">
        <f t="shared" si="22"/>
        <v>33.333290598345386</v>
      </c>
      <c r="U151" s="15">
        <f t="shared" si="23"/>
        <v>363</v>
      </c>
      <c r="V151" s="16">
        <f t="shared" si="24"/>
        <v>3629.9203462559658</v>
      </c>
      <c r="W151" s="16">
        <f t="shared" si="25"/>
        <v>9027.0746402007935</v>
      </c>
      <c r="X151" s="37">
        <f t="shared" si="26"/>
        <v>24</v>
      </c>
      <c r="Y151" s="15" t="str">
        <f t="shared" si="27"/>
        <v>⚠️ High</v>
      </c>
    </row>
    <row r="152" spans="1:25" x14ac:dyDescent="0.2">
      <c r="A152" t="str">
        <f>'5. KPI Baselines'!A137</f>
        <v>Chemical Guys</v>
      </c>
      <c r="B152" t="str">
        <f>'5. KPI Baselines'!B137</f>
        <v>Supply Chain</v>
      </c>
      <c r="C152" t="str">
        <f>'5. KPI Baselines'!C137</f>
        <v>Demand Planning</v>
      </c>
      <c r="D152" t="str">
        <f>'5. KPI Baselines'!D137</f>
        <v>Forecast Accuracy</v>
      </c>
      <c r="E152" t="str">
        <f>'5. KPI Baselines'!E137</f>
        <v>68%</v>
      </c>
      <c r="F152" t="str">
        <f>'5. KPI Baselines'!F137</f>
        <v>82%</v>
      </c>
      <c r="G152" t="str">
        <f>'5. KPI Baselines'!G137</f>
        <v>82%</v>
      </c>
      <c r="H152" t="str">
        <f>'5. KPI Baselines'!H137</f>
        <v>↑</v>
      </c>
      <c r="I152" t="str">
        <f>'5. KPI Baselines'!I137</f>
        <v>15 months</v>
      </c>
      <c r="J152" t="str">
        <f>'5. KPI Baselines'!J137</f>
        <v>Percentage deviation between forecasted and actual demand at SKU level</v>
      </c>
      <c r="K152" s="15" t="str">
        <f t="shared" si="19"/>
        <v>82% - 68%</v>
      </c>
      <c r="L152" s="34" cm="1">
        <f t="array" ref="L152">IFERROR(_xlfn.LET(_xlpm.e,E152,_xlpm.f,F152,_xlpm.h,H152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0.20588205017345562</v>
      </c>
      <c r="M152" s="15" cm="1">
        <f t="array" ref="M152">IFERROR(_xlfn.LET(_xlpm.e,E152,_xlpm.f,F152,_xlpm.h,H152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79.900000000000006</v>
      </c>
      <c r="N152" s="15" cm="1">
        <f t="array" ref="N152">IFERROR(_xlfn.LET(_xlpm.e,E152,_xlpm.f,F152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152" s="15" t="str">
        <f t="shared" si="20"/>
        <v>82% - 82%</v>
      </c>
      <c r="P152" s="34" cm="1">
        <f t="array" ref="P152">IFERROR(_xlfn.LET(_xlpm.g,G152,_xlpm.f,F152,_xlpm.h,H152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52" s="15" t="str" cm="1">
        <f t="array" ref="Q152">IFERROR(_xlfn.LET(_xlpm.e,E152,_xlpm.g,G152,_xlpm.h,H152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2" s="15" t="str">
        <f t="shared" si="21"/>
        <v>🔴 Lagging</v>
      </c>
      <c r="S152" s="35" cm="1">
        <f t="array" ref="S152">IFERROR(_xlfn.LET(_xlpm.e,E152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152" s="36">
        <f t="shared" si="22"/>
        <v>20.588205017345562</v>
      </c>
      <c r="U152" s="15">
        <f t="shared" si="23"/>
        <v>462</v>
      </c>
      <c r="V152" s="16">
        <f t="shared" si="24"/>
        <v>1954.5721256292268</v>
      </c>
      <c r="W152" s="16">
        <f t="shared" si="25"/>
        <v>4860.7315821433103</v>
      </c>
      <c r="X152" s="37">
        <f t="shared" si="26"/>
        <v>45</v>
      </c>
      <c r="Y152" s="15" t="str">
        <f t="shared" si="27"/>
        <v>📊 Medium</v>
      </c>
    </row>
    <row r="153" spans="1:25" x14ac:dyDescent="0.2">
      <c r="A153" t="str">
        <f>'5. KPI Baselines'!A138</f>
        <v>Chemical Guys</v>
      </c>
      <c r="B153" t="str">
        <f>'5. KPI Baselines'!B138</f>
        <v>Marketing</v>
      </c>
      <c r="C153" t="str">
        <f>'5. KPI Baselines'!C138</f>
        <v>Content Production</v>
      </c>
      <c r="D153" t="str">
        <f>'5. KPI Baselines'!D138</f>
        <v>Content Creation Cost per SKU</v>
      </c>
      <c r="E153" t="str">
        <f>'5. KPI Baselines'!E138</f>
        <v>$4,200</v>
      </c>
      <c r="F153" t="str">
        <f>'5. KPI Baselines'!F138</f>
        <v>$1,600</v>
      </c>
      <c r="G153" t="str">
        <f>'5. KPI Baselines'!G138</f>
        <v>$1,800</v>
      </c>
      <c r="H153" t="str">
        <f>'5. KPI Baselines'!H138</f>
        <v>↓</v>
      </c>
      <c r="I153" t="str">
        <f>'5. KPI Baselines'!I138</f>
        <v>9 months</v>
      </c>
      <c r="J153" t="str">
        <f>'5. KPI Baselines'!J138</f>
        <v>Fully-loaded labor cost for all content assets per new SKU</v>
      </c>
      <c r="K153" s="15" t="str">
        <f t="shared" si="19"/>
        <v>$4,200 → $1,600</v>
      </c>
      <c r="L153" s="34" cm="1">
        <f t="array" ref="L153">IFERROR(_xlfn.LET(_xlpm.e,E153,_xlpm.f,F153,_xlpm.h,H153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0.61904760430839034</v>
      </c>
      <c r="M153" s="15" cm="1">
        <f t="array" ref="M153">IFERROR(_xlfn.LET(_xlpm.e,E153,_xlpm.f,F153,_xlpm.h,H153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1990</v>
      </c>
      <c r="N153" s="15" cm="1">
        <f t="array" ref="N153">IFERROR(_xlfn.LET(_xlpm.e,E153,_xlpm.f,F153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1989</v>
      </c>
      <c r="O153" s="15" t="str">
        <f t="shared" si="20"/>
        <v>$1,800 → $1,600</v>
      </c>
      <c r="P153" s="34" cm="1">
        <f t="array" ref="P153">IFERROR(_xlfn.LET(_xlpm.g,G153,_xlpm.f,F153,_xlpm.h,H153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0.11111110493827195</v>
      </c>
      <c r="Q153" s="15" t="str" cm="1">
        <f t="array" ref="Q153">IFERROR(_xlfn.LET(_xlpm.e,E153,_xlpm.g,G153,_xlpm.h,H153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3" s="15" t="str">
        <f t="shared" si="21"/>
        <v>🔴 Lagging</v>
      </c>
      <c r="S153" s="35" cm="1">
        <f t="array" ref="S153">IFERROR(_xlfn.LET(_xlpm.e,E153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4200</v>
      </c>
      <c r="T153" s="36">
        <f t="shared" si="22"/>
        <v>61.904760430839033</v>
      </c>
      <c r="U153" s="15">
        <f t="shared" si="23"/>
        <v>141</v>
      </c>
      <c r="V153" s="16">
        <f t="shared" si="24"/>
        <v>362992.49135732162</v>
      </c>
      <c r="W153" s="16">
        <f t="shared" si="25"/>
        <v>902708.59984427923</v>
      </c>
      <c r="X153" s="37">
        <f t="shared" si="26"/>
        <v>0</v>
      </c>
      <c r="Y153" s="15" t="str">
        <f t="shared" si="27"/>
        <v>🔥 Critical</v>
      </c>
    </row>
    <row r="154" spans="1:25" x14ac:dyDescent="0.2">
      <c r="A154" t="str">
        <f>'5. KPI Baselines'!A139</f>
        <v>Chemical Guys</v>
      </c>
      <c r="B154" t="str">
        <f>'5. KPI Baselines'!B139</f>
        <v>Compliance</v>
      </c>
      <c r="C154" t="str">
        <f>'5. KPI Baselines'!C139</f>
        <v>Safety Documentation</v>
      </c>
      <c r="D154" t="str">
        <f>'5. KPI Baselines'!D139</f>
        <v>SDS Update Cycle Time</v>
      </c>
      <c r="E154" t="str">
        <f>'5. KPI Baselines'!E139</f>
        <v>18 days</v>
      </c>
      <c r="F154" t="str">
        <f>'5. KPI Baselines'!F139</f>
        <v>3 days</v>
      </c>
      <c r="G154" t="str">
        <f>'5. KPI Baselines'!G139</f>
        <v>5 days</v>
      </c>
      <c r="H154" t="str">
        <f>'5. KPI Baselines'!H139</f>
        <v>↓</v>
      </c>
      <c r="I154" t="str">
        <f>'5. KPI Baselines'!I139</f>
        <v>6 months</v>
      </c>
      <c r="J154" t="str">
        <f>'5. KPI Baselines'!J139</f>
        <v>Average days from regulatory change to updated SDS publication</v>
      </c>
      <c r="K154" s="15" t="str">
        <f t="shared" si="19"/>
        <v>18 days → 3 days</v>
      </c>
      <c r="L154" s="34" cm="1">
        <f t="array" ref="L154">IFERROR(_xlfn.LET(_xlpm.e,E154,_xlpm.f,F154,_xlpm.h,H154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0.83332870372942369</v>
      </c>
      <c r="M154" s="15" cm="1">
        <f t="array" ref="M154">IFERROR(_xlfn.LET(_xlpm.e,E154,_xlpm.f,F154,_xlpm.h,H154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5.3</v>
      </c>
      <c r="N154" s="15" cm="1">
        <f t="array" ref="N154">IFERROR(_xlfn.LET(_xlpm.e,E154,_xlpm.f,F154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154" s="15" t="str">
        <f t="shared" si="20"/>
        <v>5 days → 3 days</v>
      </c>
      <c r="P154" s="34" cm="1">
        <f t="array" ref="P154">IFERROR(_xlfn.LET(_xlpm.g,G154,_xlpm.f,F154,_xlpm.h,H154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154" s="15" t="str" cm="1">
        <f t="array" ref="Q154">IFERROR(_xlfn.LET(_xlpm.e,E154,_xlpm.g,G154,_xlpm.h,H154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4" s="15" t="str">
        <f t="shared" si="21"/>
        <v>🔴 Lagging</v>
      </c>
      <c r="S154" s="35" cm="1">
        <f t="array" ref="S154">IFERROR(_xlfn.LET(_xlpm.e,E154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154" s="36">
        <f t="shared" si="22"/>
        <v>83.332870372942367</v>
      </c>
      <c r="U154" s="15">
        <f t="shared" si="23"/>
        <v>30</v>
      </c>
      <c r="V154" s="16">
        <f t="shared" si="24"/>
        <v>2094.175865689635</v>
      </c>
      <c r="W154" s="16">
        <f t="shared" si="25"/>
        <v>5207.9054210613804</v>
      </c>
      <c r="X154" s="37">
        <f t="shared" si="26"/>
        <v>42</v>
      </c>
      <c r="Y154" s="15" t="str">
        <f t="shared" si="27"/>
        <v>🔥 Critical</v>
      </c>
    </row>
    <row r="155" spans="1:25" x14ac:dyDescent="0.2">
      <c r="A155" t="str">
        <f>'5. KPI Baselines'!A140</f>
        <v>Chemical Guys</v>
      </c>
      <c r="B155" t="str">
        <f>'5. KPI Baselines'!B140</f>
        <v>Sales</v>
      </c>
      <c r="C155" t="str">
        <f>'5. KPI Baselines'!C140</f>
        <v>Wholesale</v>
      </c>
      <c r="D155" t="str">
        <f>'5. KPI Baselines'!D140</f>
        <v>Quote Turnaround Time</v>
      </c>
      <c r="E155" t="str">
        <f>'5. KPI Baselines'!E140</f>
        <v>72 hours</v>
      </c>
      <c r="F155" t="str">
        <f>'5. KPI Baselines'!F140</f>
        <v>12 hours</v>
      </c>
      <c r="G155" t="str">
        <f>'5. KPI Baselines'!G140</f>
        <v>24 hours</v>
      </c>
      <c r="H155" t="str">
        <f>'5. KPI Baselines'!H140</f>
        <v>↓</v>
      </c>
      <c r="I155" t="str">
        <f>'5. KPI Baselines'!I140</f>
        <v>6 months</v>
      </c>
      <c r="J155" t="str">
        <f>'5. KPI Baselines'!J140</f>
        <v>Average hours from quote request to customer delivery</v>
      </c>
      <c r="K155" s="15" t="str">
        <f t="shared" si="19"/>
        <v>72 hours → 12 hours</v>
      </c>
      <c r="L155" s="34" cm="1">
        <f t="array" ref="L155">IFERROR(_xlfn.LET(_xlpm.e,E155,_xlpm.f,F155,_xlpm.h,H155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0.83333217592753339</v>
      </c>
      <c r="M155" s="15" cm="1">
        <f t="array" ref="M155">IFERROR(_xlfn.LET(_xlpm.e,E155,_xlpm.f,F155,_xlpm.h,H155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</v>
      </c>
      <c r="N155" s="15" cm="1">
        <f t="array" ref="N155">IFERROR(_xlfn.LET(_xlpm.e,E155,_xlpm.f,F155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45.9</v>
      </c>
      <c r="O155" s="15" t="str">
        <f t="shared" si="20"/>
        <v>24 hours → 12 hours</v>
      </c>
      <c r="P155" s="34" cm="1">
        <f t="array" ref="P155">IFERROR(_xlfn.LET(_xlpm.g,G155,_xlpm.f,F155,_xlpm.h,H155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0.49999791667534721</v>
      </c>
      <c r="Q155" s="15" t="str" cm="1">
        <f t="array" ref="Q155">IFERROR(_xlfn.LET(_xlpm.e,E155,_xlpm.g,G155,_xlpm.h,H155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5" s="15" t="str">
        <f t="shared" si="21"/>
        <v>🔴 Lagging</v>
      </c>
      <c r="S155" s="35" cm="1">
        <f t="array" ref="S155">IFERROR(_xlfn.LET(_xlpm.e,E155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72</v>
      </c>
      <c r="T155" s="36">
        <f t="shared" si="22"/>
        <v>83.333217592753343</v>
      </c>
      <c r="U155" s="15">
        <f t="shared" si="23"/>
        <v>29</v>
      </c>
      <c r="V155" s="16">
        <f t="shared" si="24"/>
        <v>8376.7383656411585</v>
      </c>
      <c r="W155" s="16">
        <f t="shared" si="25"/>
        <v>20831.708482548656</v>
      </c>
      <c r="X155" s="37">
        <f t="shared" si="26"/>
        <v>10</v>
      </c>
      <c r="Y155" s="15" t="str">
        <f t="shared" si="27"/>
        <v>🔥 Critical</v>
      </c>
    </row>
    <row r="156" spans="1:25" x14ac:dyDescent="0.2">
      <c r="A156" t="str">
        <f>'5. KPI Baselines'!A141</f>
        <v>Chemical Guys</v>
      </c>
      <c r="B156" t="str">
        <f>'5. KPI Baselines'!B141</f>
        <v>E-Commerce</v>
      </c>
      <c r="C156" t="str">
        <f>'5. KPI Baselines'!C141</f>
        <v>Conversion Optimization</v>
      </c>
      <c r="D156" t="str">
        <f>'5. KPI Baselines'!D141</f>
        <v>Product Page Conversion Rate</v>
      </c>
      <c r="E156" t="str">
        <f>'5. KPI Baselines'!E141</f>
        <v>2.8%</v>
      </c>
      <c r="F156" t="str">
        <f>'5. KPI Baselines'!F141</f>
        <v>4.2%</v>
      </c>
      <c r="G156" t="str">
        <f>'5. KPI Baselines'!G141</f>
        <v>3.9%</v>
      </c>
      <c r="H156" t="str">
        <f>'5. KPI Baselines'!H141</f>
        <v>↑</v>
      </c>
      <c r="I156" t="str">
        <f>'5. KPI Baselines'!I141</f>
        <v>12 months</v>
      </c>
      <c r="J156" t="str">
        <f>'5. KPI Baselines'!J141</f>
        <v>Percentage of product page visits resulting in add-to-cart action</v>
      </c>
      <c r="K156" s="15" t="str">
        <f t="shared" si="19"/>
        <v>4.2% - 2.8%</v>
      </c>
      <c r="L156" s="34" cm="1">
        <f t="array" ref="L156">IFERROR(_xlfn.LET(_xlpm.e,E156,_xlpm.f,F156,_xlpm.h,H156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0.4999821434948753</v>
      </c>
      <c r="M156" s="15" cm="1">
        <f t="array" ref="M156">IFERROR(_xlfn.LET(_xlpm.e,E156,_xlpm.f,F156,_xlpm.h,H156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</v>
      </c>
      <c r="N156" s="15" cm="1">
        <f t="array" ref="N156">IFERROR(_xlfn.LET(_xlpm.e,E156,_xlpm.f,F156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156" s="15" t="str">
        <f t="shared" si="20"/>
        <v>4.2% - 3.9%</v>
      </c>
      <c r="P156" s="34" cm="1">
        <f t="array" ref="P156">IFERROR(_xlfn.LET(_xlpm.g,G156,_xlpm.f,F156,_xlpm.h,H156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7.6921104587061931E-2</v>
      </c>
      <c r="Q156" s="15" t="str" cm="1">
        <f t="array" ref="Q156">IFERROR(_xlfn.LET(_xlpm.e,E156,_xlpm.g,G156,_xlpm.h,H156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6" s="15" t="str">
        <f t="shared" si="21"/>
        <v>🔴 Lagging</v>
      </c>
      <c r="S156" s="35" cm="1">
        <f t="array" ref="S156">IFERROR(_xlfn.LET(_xlpm.e,E156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2.8</v>
      </c>
      <c r="T156" s="36">
        <f t="shared" si="22"/>
        <v>49.998214349487533</v>
      </c>
      <c r="U156" s="15">
        <f t="shared" si="23"/>
        <v>244</v>
      </c>
      <c r="V156" s="16">
        <f t="shared" si="24"/>
        <v>195.45051962429918</v>
      </c>
      <c r="W156" s="16">
        <f t="shared" si="25"/>
        <v>486.05651386658968</v>
      </c>
      <c r="X156" s="37">
        <f t="shared" si="26"/>
        <v>432</v>
      </c>
      <c r="Y156" s="15" t="str">
        <f t="shared" si="27"/>
        <v>⚠️ High</v>
      </c>
    </row>
    <row r="157" spans="1:25" x14ac:dyDescent="0.2">
      <c r="A157" t="str">
        <f>'5. KPI Baselines'!A142</f>
        <v>Chemical Guys</v>
      </c>
      <c r="B157" t="str">
        <f>'5. KPI Baselines'!B142</f>
        <v>Finance</v>
      </c>
      <c r="C157" t="str">
        <f>'5. KPI Baselines'!C142</f>
        <v>Accounts Receivable</v>
      </c>
      <c r="D157" t="str">
        <f>'5. KPI Baselines'!D142</f>
        <v>Days Sales Outstanding</v>
      </c>
      <c r="E157" t="str">
        <f>'5. KPI Baselines'!E142</f>
        <v>42 days</v>
      </c>
      <c r="F157" t="str">
        <f>'5. KPI Baselines'!F142</f>
        <v>32 days</v>
      </c>
      <c r="G157" t="str">
        <f>'5. KPI Baselines'!G142</f>
        <v>35 days</v>
      </c>
      <c r="H157" t="str">
        <f>'5. KPI Baselines'!H142</f>
        <v>↓</v>
      </c>
      <c r="I157" t="str">
        <f>'5. KPI Baselines'!I142</f>
        <v>12 months</v>
      </c>
      <c r="J157" t="str">
        <f>'5. KPI Baselines'!J142</f>
        <v>Average accounts receivable divided by daily revenue</v>
      </c>
      <c r="K157" s="15" t="str">
        <f t="shared" si="19"/>
        <v>42 days → 32 days</v>
      </c>
      <c r="L157" s="34" cm="1">
        <f t="array" ref="L157">IFERROR(_xlfn.LET(_xlpm.e,E157,_xlpm.f,F157,_xlpm.h,H157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0.23809467120316377</v>
      </c>
      <c r="M157" s="15" cm="1">
        <f t="array" ref="M157">IFERROR(_xlfn.LET(_xlpm.e,E157,_xlpm.f,F157,_xlpm.h,H157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33.5</v>
      </c>
      <c r="N157" s="15" cm="1">
        <f t="array" ref="N157">IFERROR(_xlfn.LET(_xlpm.e,E157,_xlpm.f,F157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157" s="15" t="str">
        <f t="shared" si="20"/>
        <v>35 days → 32 days</v>
      </c>
      <c r="P157" s="34" cm="1">
        <f t="array" ref="P157">IFERROR(_xlfn.LET(_xlpm.g,G157,_xlpm.f,F157,_xlpm.h,H157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8.571404081702623E-2</v>
      </c>
      <c r="Q157" s="15" t="str" cm="1">
        <f t="array" ref="Q157">IFERROR(_xlfn.LET(_xlpm.e,E157,_xlpm.g,G157,_xlpm.h,H157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7" s="15" t="str">
        <f t="shared" si="21"/>
        <v>🔴 Lagging</v>
      </c>
      <c r="S157" s="35" cm="1">
        <f t="array" ref="S157">IFERROR(_xlfn.LET(_xlpm.e,E157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157" s="36">
        <f t="shared" si="22"/>
        <v>23.809467120316377</v>
      </c>
      <c r="U157" s="15">
        <f t="shared" si="23"/>
        <v>430</v>
      </c>
      <c r="V157" s="16">
        <f t="shared" si="24"/>
        <v>1396.1216759007714</v>
      </c>
      <c r="W157" s="16">
        <f t="shared" si="25"/>
        <v>3471.9479693700655</v>
      </c>
      <c r="X157" s="37">
        <f t="shared" si="26"/>
        <v>62</v>
      </c>
      <c r="Y157" s="15" t="str">
        <f t="shared" si="27"/>
        <v>📊 Medium</v>
      </c>
    </row>
    <row r="158" spans="1:25" x14ac:dyDescent="0.2">
      <c r="A158" t="str">
        <f>'5. KPI Baselines'!A143</f>
        <v>Chemical Guys</v>
      </c>
      <c r="B158" t="str">
        <f>'5. KPI Baselines'!B143</f>
        <v>Human Resources</v>
      </c>
      <c r="C158" t="str">
        <f>'5. KPI Baselines'!C143</f>
        <v>Training</v>
      </c>
      <c r="D158" t="str">
        <f>'5. KPI Baselines'!D143</f>
        <v>New Hire Time to Productivity</v>
      </c>
      <c r="E158" t="str">
        <f>'5. KPI Baselines'!E143</f>
        <v>65 days</v>
      </c>
      <c r="F158" t="str">
        <f>'5. KPI Baselines'!F143</f>
        <v>38 days</v>
      </c>
      <c r="G158" t="str">
        <f>'5. KPI Baselines'!G143</f>
        <v>42 days</v>
      </c>
      <c r="H158" t="str">
        <f>'5. KPI Baselines'!H143</f>
        <v>↓</v>
      </c>
      <c r="I158" t="str">
        <f>'5. KPI Baselines'!I143</f>
        <v>9 months</v>
      </c>
      <c r="J158" t="str">
        <f>'5. KPI Baselines'!J143</f>
        <v>Days from start date to achieving 85% of role performance standards</v>
      </c>
      <c r="K158" s="15" t="str">
        <f t="shared" si="19"/>
        <v>65 days → 38 days</v>
      </c>
      <c r="L158" s="34" cm="1">
        <f t="array" ref="L158">IFERROR(_xlfn.LET(_xlpm.e,E158,_xlpm.f,F158,_xlpm.h,H158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0.41538397633234408</v>
      </c>
      <c r="M158" s="15" cm="1">
        <f t="array" ref="M158">IFERROR(_xlfn.LET(_xlpm.e,E158,_xlpm.f,F158,_xlpm.h,H158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42.1</v>
      </c>
      <c r="N158" s="15" cm="1">
        <f t="array" ref="N158">IFERROR(_xlfn.LET(_xlpm.e,E158,_xlpm.f,F158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20.66</v>
      </c>
      <c r="O158" s="15" t="str">
        <f t="shared" si="20"/>
        <v>42 days → 38 days</v>
      </c>
      <c r="P158" s="34" cm="1">
        <f t="array" ref="P158">IFERROR(_xlfn.LET(_xlpm.g,G158,_xlpm.f,F158,_xlpm.h,H158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9.5237868481265517E-2</v>
      </c>
      <c r="Q158" s="15" t="str" cm="1">
        <f t="array" ref="Q158">IFERROR(_xlfn.LET(_xlpm.e,E158,_xlpm.g,G158,_xlpm.h,H158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8" s="15" t="str">
        <f t="shared" si="21"/>
        <v>🔴 Lagging</v>
      </c>
      <c r="S158" s="35" cm="1">
        <f t="array" ref="S158">IFERROR(_xlfn.LET(_xlpm.e,E158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65</v>
      </c>
      <c r="T158" s="36">
        <f t="shared" si="22"/>
        <v>41.53839763323441</v>
      </c>
      <c r="U158" s="15">
        <f t="shared" si="23"/>
        <v>299</v>
      </c>
      <c r="V158" s="16">
        <f t="shared" si="24"/>
        <v>3769.5317007204599</v>
      </c>
      <c r="W158" s="16">
        <f t="shared" si="25"/>
        <v>9374.267415014825</v>
      </c>
      <c r="X158" s="37">
        <f t="shared" si="26"/>
        <v>23</v>
      </c>
      <c r="Y158" s="15" t="str">
        <f t="shared" si="27"/>
        <v>⚠️ High</v>
      </c>
    </row>
    <row r="159" spans="1:25" x14ac:dyDescent="0.2">
      <c r="A159" t="str">
        <f>'5. KPI Baselines'!A144</f>
        <v>Chemtron RiverBend</v>
      </c>
      <c r="B159" t="str">
        <f>'5. KPI Baselines'!B144</f>
        <v>Manufacturing Operations</v>
      </c>
      <c r="C159" t="str">
        <f>'5. KPI Baselines'!C144</f>
        <v>Production Planning</v>
      </c>
      <c r="D159" t="str">
        <f>'5. KPI Baselines'!D144</f>
        <v>Schedule Adherence Rate</v>
      </c>
      <c r="E159" t="str">
        <f>'5. KPI Baselines'!E144</f>
        <v>84%</v>
      </c>
      <c r="F159" t="str">
        <f>'5. KPI Baselines'!F144</f>
        <v>91%</v>
      </c>
      <c r="G159" t="str">
        <f>'5. KPI Baselines'!G144</f>
        <v>92%</v>
      </c>
      <c r="H159" t="str">
        <f>'5. KPI Baselines'!H144</f>
        <v>↑</v>
      </c>
      <c r="I159" t="str">
        <f>'5. KPI Baselines'!I144</f>
        <v>12 months</v>
      </c>
      <c r="J159" t="str">
        <f>'5. KPI Baselines'!J144</f>
        <v>Actual vs planned batch completion time</v>
      </c>
      <c r="K159" s="15" t="str">
        <f t="shared" si="19"/>
        <v>91% - 84%</v>
      </c>
      <c r="L159" s="34" cm="1">
        <f t="array" ref="L159">IFERROR(_xlfn.LET(_xlpm.e,E159,_xlpm.f,F159,_xlpm.h,H159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8.3333234127102224E-2</v>
      </c>
      <c r="M159" s="15" cm="1">
        <f t="array" ref="M159">IFERROR(_xlfn.LET(_xlpm.e,E159,_xlpm.f,F159,_xlpm.h,H159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90</v>
      </c>
      <c r="N159" s="15" cm="1">
        <f t="array" ref="N159">IFERROR(_xlfn.LET(_xlpm.e,E159,_xlpm.f,F159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159" s="15" t="str">
        <f t="shared" si="20"/>
        <v>91% - 92%</v>
      </c>
      <c r="P159" s="34" cm="1">
        <f t="array" ref="P159">IFERROR(_xlfn.LET(_xlpm.g,G159,_xlpm.f,F159,_xlpm.h,H159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-1.0869553402659344E-2</v>
      </c>
      <c r="Q159" s="15" t="str" cm="1">
        <f t="array" ref="Q159">IFERROR(_xlfn.LET(_xlpm.e,E159,_xlpm.g,G159,_xlpm.h,H159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59" s="15" t="str">
        <f t="shared" si="21"/>
        <v>🔴 Lagging</v>
      </c>
      <c r="S159" s="35" cm="1">
        <f t="array" ref="S159">IFERROR(_xlfn.LET(_xlpm.e,E159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84</v>
      </c>
      <c r="T159" s="36">
        <f t="shared" si="22"/>
        <v>8.3333234127102216</v>
      </c>
      <c r="U159" s="15">
        <f t="shared" si="23"/>
        <v>529</v>
      </c>
      <c r="V159" s="16">
        <f t="shared" si="24"/>
        <v>977.2863365638849</v>
      </c>
      <c r="W159" s="16">
        <f t="shared" si="25"/>
        <v>2430.3664718455761</v>
      </c>
      <c r="X159" s="37">
        <f t="shared" si="26"/>
        <v>89</v>
      </c>
      <c r="Y159" s="15" t="str">
        <f t="shared" si="27"/>
        <v>📉 Low</v>
      </c>
    </row>
    <row r="160" spans="1:25" x14ac:dyDescent="0.2">
      <c r="A160" t="str">
        <f>'5. KPI Baselines'!A145</f>
        <v>Chemtron RiverBend</v>
      </c>
      <c r="B160" t="str">
        <f>'5. KPI Baselines'!B145</f>
        <v>Manufacturing Operations</v>
      </c>
      <c r="C160" t="str">
        <f>'5. KPI Baselines'!C145</f>
        <v>Quality Control</v>
      </c>
      <c r="D160" t="str">
        <f>'5. KPI Baselines'!D145</f>
        <v>Certificate of Analysis Cycle Time</v>
      </c>
      <c r="E160" t="str">
        <f>'5. KPI Baselines'!E145</f>
        <v>12 days</v>
      </c>
      <c r="F160" t="str">
        <f>'5. KPI Baselines'!F145</f>
        <v>4 days</v>
      </c>
      <c r="G160" t="str">
        <f>'5. KPI Baselines'!G145</f>
        <v>3 days</v>
      </c>
      <c r="H160" t="str">
        <f>'5. KPI Baselines'!H145</f>
        <v>↓</v>
      </c>
      <c r="I160" t="str">
        <f>'5. KPI Baselines'!I145</f>
        <v>9 months</v>
      </c>
      <c r="J160" t="str">
        <f>'5. KPI Baselines'!J145</f>
        <v>Batch completion to COA release</v>
      </c>
      <c r="K160" s="15" t="str">
        <f t="shared" si="19"/>
        <v>12 days → 4 days</v>
      </c>
      <c r="L160" s="34" cm="1">
        <f t="array" ref="L160">IFERROR(_xlfn.LET(_xlpm.e,E160,_xlpm.f,F160,_xlpm.h,H160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0.666661111157407</v>
      </c>
      <c r="M160" s="15" cm="1">
        <f t="array" ref="M160">IFERROR(_xlfn.LET(_xlpm.e,E160,_xlpm.f,F160,_xlpm.h,H160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5.2</v>
      </c>
      <c r="N160" s="15" cm="1">
        <f t="array" ref="N160">IFERROR(_xlfn.LET(_xlpm.e,E160,_xlpm.f,F160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160" s="15" t="str">
        <f t="shared" si="20"/>
        <v>3 days → 4 days</v>
      </c>
      <c r="P160" s="34" cm="1">
        <f t="array" ref="P160">IFERROR(_xlfn.LET(_xlpm.g,G160,_xlpm.f,F160,_xlpm.h,H160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-0.33332222259258021</v>
      </c>
      <c r="Q160" s="15" t="str" cm="1">
        <f t="array" ref="Q160">IFERROR(_xlfn.LET(_xlpm.e,E160,_xlpm.g,G160,_xlpm.h,H160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0" s="15" t="str">
        <f t="shared" si="21"/>
        <v>🔴 Lagging</v>
      </c>
      <c r="S160" s="35" cm="1">
        <f t="array" ref="S160">IFERROR(_xlfn.LET(_xlpm.e,E160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60" s="36">
        <f t="shared" si="22"/>
        <v>66.666111115740705</v>
      </c>
      <c r="U160" s="15">
        <f t="shared" si="23"/>
        <v>97</v>
      </c>
      <c r="V160" s="16">
        <f t="shared" si="24"/>
        <v>1116.8906925775618</v>
      </c>
      <c r="W160" s="16">
        <f t="shared" si="25"/>
        <v>2777.541842548259</v>
      </c>
      <c r="X160" s="37">
        <f t="shared" si="26"/>
        <v>78</v>
      </c>
      <c r="Y160" s="15" t="str">
        <f t="shared" si="27"/>
        <v>🔥 Critical</v>
      </c>
    </row>
    <row r="161" spans="1:25" x14ac:dyDescent="0.2">
      <c r="A161" t="str">
        <f>'5. KPI Baselines'!A146</f>
        <v>Chemtron RiverBend</v>
      </c>
      <c r="B161" t="str">
        <f>'5. KPI Baselines'!B146</f>
        <v>Manufacturing Operations</v>
      </c>
      <c r="C161" t="str">
        <f>'5. KPI Baselines'!C146</f>
        <v>Asset Management</v>
      </c>
      <c r="D161" t="str">
        <f>'5. KPI Baselines'!D146</f>
        <v>Overall Equipment Effectiveness</v>
      </c>
      <c r="E161" t="str">
        <f>'5. KPI Baselines'!E146</f>
        <v>73%</v>
      </c>
      <c r="F161" t="str">
        <f>'5. KPI Baselines'!F146</f>
        <v>79%</v>
      </c>
      <c r="G161" t="str">
        <f>'5. KPI Baselines'!G146</f>
        <v>85%</v>
      </c>
      <c r="H161" t="str">
        <f>'5. KPI Baselines'!H146</f>
        <v>↑</v>
      </c>
      <c r="I161" t="str">
        <f>'5. KPI Baselines'!I146</f>
        <v>18 months</v>
      </c>
      <c r="J161" t="str">
        <f>'5. KPI Baselines'!J146</f>
        <v>Availability × Performance × Quality</v>
      </c>
      <c r="K161" s="15" t="str">
        <f t="shared" si="19"/>
        <v>79% - 73%</v>
      </c>
      <c r="L161" s="34" cm="1">
        <f t="array" ref="L161">IFERROR(_xlfn.LET(_xlpm.e,E161,_xlpm.f,F161,_xlpm.h,H161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8.2191668230591458E-2</v>
      </c>
      <c r="M161" s="15" cm="1">
        <f t="array" ref="M161">IFERROR(_xlfn.LET(_xlpm.e,E161,_xlpm.f,F161,_xlpm.h,H161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78.099999999999994</v>
      </c>
      <c r="N161" s="15" cm="1">
        <f t="array" ref="N161">IFERROR(_xlfn.LET(_xlpm.e,E161,_xlpm.f,F161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61" s="15" t="str">
        <f t="shared" si="20"/>
        <v>79% - 85%</v>
      </c>
      <c r="P161" s="34" cm="1">
        <f t="array" ref="P161">IFERROR(_xlfn.LET(_xlpm.g,G161,_xlpm.f,F161,_xlpm.h,H161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-7.058815224923265E-2</v>
      </c>
      <c r="Q161" s="15" t="str" cm="1">
        <f t="array" ref="Q161">IFERROR(_xlfn.LET(_xlpm.e,E161,_xlpm.g,G161,_xlpm.h,H161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1" s="15" t="str">
        <f t="shared" si="21"/>
        <v>🔴 Lagging</v>
      </c>
      <c r="S161" s="35" cm="1">
        <f t="array" ref="S161">IFERROR(_xlfn.LET(_xlpm.e,E161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161" s="36">
        <f t="shared" si="22"/>
        <v>8.2191668230591457</v>
      </c>
      <c r="U161" s="15">
        <f t="shared" si="23"/>
        <v>531</v>
      </c>
      <c r="V161" s="16">
        <f t="shared" si="24"/>
        <v>837.6738525015719</v>
      </c>
      <c r="W161" s="16">
        <f t="shared" si="25"/>
        <v>2083.1708878889594</v>
      </c>
      <c r="X161" s="37">
        <f t="shared" si="26"/>
        <v>104</v>
      </c>
      <c r="Y161" s="15" t="str">
        <f t="shared" si="27"/>
        <v>📉 Low</v>
      </c>
    </row>
    <row r="162" spans="1:25" x14ac:dyDescent="0.2">
      <c r="A162" t="str">
        <f>'5. KPI Baselines'!A147</f>
        <v>Chemtron RiverBend</v>
      </c>
      <c r="B162" t="str">
        <f>'5. KPI Baselines'!B147</f>
        <v>Supply Chain</v>
      </c>
      <c r="C162" t="str">
        <f>'5. KPI Baselines'!C147</f>
        <v>Demand Planning</v>
      </c>
      <c r="D162" t="str">
        <f>'5. KPI Baselines'!D147</f>
        <v>Forecast Accuracy (MAPE)</v>
      </c>
      <c r="E162" t="str">
        <f>'5. KPI Baselines'!E147</f>
        <v>89%</v>
      </c>
      <c r="F162" t="str">
        <f>'5. KPI Baselines'!F147</f>
        <v>93%</v>
      </c>
      <c r="G162" t="str">
        <f>'5. KPI Baselines'!G147</f>
        <v>94%</v>
      </c>
      <c r="H162" t="str">
        <f>'5. KPI Baselines'!H147</f>
        <v>↑</v>
      </c>
      <c r="I162" t="str">
        <f>'5. KPI Baselines'!I147</f>
        <v>12 months</v>
      </c>
      <c r="J162" t="str">
        <f>'5. KPI Baselines'!J147</f>
        <v>Absolute forecast error / actual demand</v>
      </c>
      <c r="K162" s="15" t="str">
        <f t="shared" si="19"/>
        <v>93% - 89%</v>
      </c>
      <c r="L162" s="34" cm="1">
        <f t="array" ref="L162">IFERROR(_xlfn.LET(_xlpm.e,E162,_xlpm.f,F162,_xlpm.h,H162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4.494376972610143E-2</v>
      </c>
      <c r="M162" s="15" cm="1">
        <f t="array" ref="M162">IFERROR(_xlfn.LET(_xlpm.e,E162,_xlpm.f,F162,_xlpm.h,H162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92.4</v>
      </c>
      <c r="N162" s="15" cm="1">
        <f t="array" ref="N162">IFERROR(_xlfn.LET(_xlpm.e,E162,_xlpm.f,F162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162" s="15" t="str">
        <f t="shared" si="20"/>
        <v>93% - 94%</v>
      </c>
      <c r="P162" s="34" cm="1">
        <f t="array" ref="P162">IFERROR(_xlfn.LET(_xlpm.g,G162,_xlpm.f,F162,_xlpm.h,H162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-1.0638286555014302E-2</v>
      </c>
      <c r="Q162" s="15" t="str" cm="1">
        <f t="array" ref="Q162">IFERROR(_xlfn.LET(_xlpm.e,E162,_xlpm.g,G162,_xlpm.h,H162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2" s="15" t="str">
        <f t="shared" si="21"/>
        <v>🔴 Lagging</v>
      </c>
      <c r="S162" s="35" cm="1">
        <f t="array" ref="S162">IFERROR(_xlfn.LET(_xlpm.e,E162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89</v>
      </c>
      <c r="T162" s="36">
        <f t="shared" si="22"/>
        <v>4.4943769726101435</v>
      </c>
      <c r="U162" s="15">
        <f t="shared" si="23"/>
        <v>545</v>
      </c>
      <c r="V162" s="16">
        <f t="shared" si="24"/>
        <v>558.44937252879492</v>
      </c>
      <c r="W162" s="16">
        <f t="shared" si="25"/>
        <v>1388.7809339371245</v>
      </c>
      <c r="X162" s="37">
        <f t="shared" si="26"/>
        <v>155</v>
      </c>
      <c r="Y162" s="15" t="str">
        <f t="shared" si="27"/>
        <v>📉 Low</v>
      </c>
    </row>
    <row r="163" spans="1:25" x14ac:dyDescent="0.2">
      <c r="A163" t="str">
        <f>'5. KPI Baselines'!A148</f>
        <v>Chemtron RiverBend</v>
      </c>
      <c r="B163" t="str">
        <f>'5. KPI Baselines'!B148</f>
        <v>Supply Chain</v>
      </c>
      <c r="C163" t="str">
        <f>'5. KPI Baselines'!C148</f>
        <v>Inventory Management</v>
      </c>
      <c r="D163" t="str">
        <f>'5. KPI Baselines'!D148</f>
        <v>Days Inventory Outstanding</v>
      </c>
      <c r="E163" t="str">
        <f>'5. KPI Baselines'!E148</f>
        <v>62 days</v>
      </c>
      <c r="F163" t="str">
        <f>'5. KPI Baselines'!F148</f>
        <v>51 days</v>
      </c>
      <c r="G163" t="str">
        <f>'5. KPI Baselines'!G148</f>
        <v>45 days</v>
      </c>
      <c r="H163" t="str">
        <f>'5. KPI Baselines'!H148</f>
        <v>↓</v>
      </c>
      <c r="I163" t="str">
        <f>'5. KPI Baselines'!I148</f>
        <v>15 months</v>
      </c>
      <c r="J163" t="str">
        <f>'5. KPI Baselines'!J148</f>
        <v>Average inventory / COGS per day</v>
      </c>
      <c r="K163" s="15" t="str">
        <f t="shared" si="19"/>
        <v>62 days → 51 days</v>
      </c>
      <c r="L163" s="34" cm="1">
        <f t="array" ref="L163">IFERROR(_xlfn.LET(_xlpm.e,E163,_xlpm.f,F163,_xlpm.h,H163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0.17741906867892149</v>
      </c>
      <c r="M163" s="15" cm="1">
        <f t="array" ref="M163">IFERROR(_xlfn.LET(_xlpm.e,E163,_xlpm.f,F163,_xlpm.h,H163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52.7</v>
      </c>
      <c r="N163" s="15" cm="1">
        <f t="array" ref="N163">IFERROR(_xlfn.LET(_xlpm.e,E163,_xlpm.f,F163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163" s="15" t="str">
        <f t="shared" si="20"/>
        <v>45 days → 51 days</v>
      </c>
      <c r="P163" s="34" cm="1">
        <f t="array" ref="P163">IFERROR(_xlfn.LET(_xlpm.g,G163,_xlpm.f,F163,_xlpm.h,H163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-0.13333303703769547</v>
      </c>
      <c r="Q163" s="15" t="str" cm="1">
        <f t="array" ref="Q163">IFERROR(_xlfn.LET(_xlpm.e,E163,_xlpm.g,G163,_xlpm.h,H163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3" s="15" t="str">
        <f t="shared" si="21"/>
        <v>🔴 Lagging</v>
      </c>
      <c r="S163" s="35" cm="1">
        <f t="array" ref="S163">IFERROR(_xlfn.LET(_xlpm.e,E163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62</v>
      </c>
      <c r="T163" s="36">
        <f t="shared" si="22"/>
        <v>17.741906867892148</v>
      </c>
      <c r="U163" s="15">
        <f t="shared" si="23"/>
        <v>486</v>
      </c>
      <c r="V163" s="16">
        <f t="shared" si="24"/>
        <v>1535.7350230080274</v>
      </c>
      <c r="W163" s="16">
        <f t="shared" si="25"/>
        <v>3819.1456995917165</v>
      </c>
      <c r="X163" s="37">
        <f t="shared" si="26"/>
        <v>57</v>
      </c>
      <c r="Y163" s="15" t="str">
        <f t="shared" si="27"/>
        <v>📊 Medium</v>
      </c>
    </row>
    <row r="164" spans="1:25" x14ac:dyDescent="0.2">
      <c r="A164" t="str">
        <f>'5. KPI Baselines'!A149</f>
        <v>Chemtron RiverBend</v>
      </c>
      <c r="B164" t="str">
        <f>'5. KPI Baselines'!B149</f>
        <v>Supply Chain</v>
      </c>
      <c r="C164" t="str">
        <f>'5. KPI Baselines'!C149</f>
        <v>Procurement</v>
      </c>
      <c r="D164" t="str">
        <f>'5. KPI Baselines'!D149</f>
        <v>Raw Material Price Variance</v>
      </c>
      <c r="E164" t="str">
        <f>'5. KPI Baselines'!E149</f>
        <v>3.4% unfavorable</v>
      </c>
      <c r="F164" t="str">
        <f>'5. KPI Baselines'!F149</f>
        <v>1.8% unfavorable</v>
      </c>
      <c r="G164" t="str">
        <f>'5. KPI Baselines'!G149</f>
        <v>1.2% unfavorable</v>
      </c>
      <c r="H164" t="str">
        <f>'5. KPI Baselines'!H149</f>
        <v>↓</v>
      </c>
      <c r="I164" t="str">
        <f>'5. KPI Baselines'!I149</f>
        <v>12 months</v>
      </c>
      <c r="J164" t="str">
        <f>'5. KPI Baselines'!J149</f>
        <v>Actual vs market pricing differential</v>
      </c>
      <c r="K164" s="15" t="str">
        <f t="shared" si="19"/>
        <v>3.4% unfavorable → 1.8% unfavorable</v>
      </c>
      <c r="L164" s="34" cm="1">
        <f t="array" ref="L164">IFERROR(_xlfn.LET(_xlpm.e,E164,_xlpm.f,F164,_xlpm.h,H164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0.47057439487073904</v>
      </c>
      <c r="M164" s="15" cm="1">
        <f t="array" ref="M164">IFERROR(_xlfn.LET(_xlpm.e,E164,_xlpm.f,F164,_xlpm.h,H164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</v>
      </c>
      <c r="N164" s="15" cm="1">
        <f t="array" ref="N164">IFERROR(_xlfn.LET(_xlpm.e,E164,_xlpm.f,F164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1.22</v>
      </c>
      <c r="O164" s="15" t="str">
        <f t="shared" si="20"/>
        <v>1.2% unfavorable → 1.8% unfavorable</v>
      </c>
      <c r="P164" s="34" cm="1">
        <f t="array" ref="P164">IFERROR(_xlfn.LET(_xlpm.g,G164,_xlpm.f,F164,_xlpm.h,H164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-0.4999583368052663</v>
      </c>
      <c r="Q164" s="15" t="str" cm="1">
        <f t="array" ref="Q164">IFERROR(_xlfn.LET(_xlpm.e,E164,_xlpm.g,G164,_xlpm.h,H164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4" s="15" t="str">
        <f t="shared" si="21"/>
        <v>🔴 Lagging</v>
      </c>
      <c r="S164" s="35" cm="1">
        <f t="array" ref="S164">IFERROR(_xlfn.LET(_xlpm.e,E164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3.4</v>
      </c>
      <c r="T164" s="36">
        <f t="shared" si="22"/>
        <v>47.057439487073907</v>
      </c>
      <c r="U164" s="15">
        <f t="shared" si="23"/>
        <v>258</v>
      </c>
      <c r="V164" s="16">
        <f t="shared" si="24"/>
        <v>223.37343019322961</v>
      </c>
      <c r="W164" s="16">
        <f t="shared" si="25"/>
        <v>555.4966596090087</v>
      </c>
      <c r="X164" s="37">
        <f t="shared" si="26"/>
        <v>380</v>
      </c>
      <c r="Y164" s="15" t="str">
        <f t="shared" si="27"/>
        <v>⚠️ High</v>
      </c>
    </row>
    <row r="165" spans="1:25" x14ac:dyDescent="0.2">
      <c r="A165" t="str">
        <f>'5. KPI Baselines'!A150</f>
        <v>Chemtron RiverBend</v>
      </c>
      <c r="B165" t="str">
        <f>'5. KPI Baselines'!B150</f>
        <v>Maintenance</v>
      </c>
      <c r="C165" t="str">
        <f>'5. KPI Baselines'!C150</f>
        <v>Reliability Engineering</v>
      </c>
      <c r="D165" t="str">
        <f>'5. KPI Baselines'!D150</f>
        <v>Mean Time Between Failures</v>
      </c>
      <c r="E165" t="str">
        <f>'5. KPI Baselines'!E150</f>
        <v>127 days</v>
      </c>
      <c r="F165" t="str">
        <f>'5. KPI Baselines'!F150</f>
        <v>158 days</v>
      </c>
      <c r="G165" t="str">
        <f>'5. KPI Baselines'!G150</f>
        <v>185 days</v>
      </c>
      <c r="H165" t="str">
        <f>'5. KPI Baselines'!H150</f>
        <v>↑</v>
      </c>
      <c r="I165" t="str">
        <f>'5. KPI Baselines'!I150</f>
        <v>18 months</v>
      </c>
      <c r="J165" t="str">
        <f>'5. KPI Baselines'!J150</f>
        <v>Operating hours / failure events</v>
      </c>
      <c r="K165" s="15" t="str">
        <f t="shared" si="19"/>
        <v>158 days - 127 days</v>
      </c>
      <c r="L165" s="34" cm="1">
        <f t="array" ref="L165">IFERROR(_xlfn.LET(_xlpm.e,E165,_xlpm.f,F165,_xlpm.h,H165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0.2440942959887433</v>
      </c>
      <c r="M165" s="15" cm="1">
        <f t="array" ref="M165">IFERROR(_xlfn.LET(_xlpm.e,E165,_xlpm.f,F165,_xlpm.h,H165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153.4</v>
      </c>
      <c r="N165" s="15" cm="1">
        <f t="array" ref="N165">IFERROR(_xlfn.LET(_xlpm.e,E165,_xlpm.f,F165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23.72</v>
      </c>
      <c r="O165" s="15" t="str">
        <f t="shared" si="20"/>
        <v>158 days - 185 days</v>
      </c>
      <c r="P165" s="34" cm="1">
        <f t="array" ref="P165">IFERROR(_xlfn.LET(_xlpm.g,G165,_xlpm.f,F165,_xlpm.h,H165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-0.14594586705628806</v>
      </c>
      <c r="Q165" s="15" t="str" cm="1">
        <f t="array" ref="Q165">IFERROR(_xlfn.LET(_xlpm.e,E165,_xlpm.g,G165,_xlpm.h,H165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5" s="15" t="str">
        <f t="shared" si="21"/>
        <v>🔴 Lagging</v>
      </c>
      <c r="S165" s="35" cm="1">
        <f t="array" ref="S165">IFERROR(_xlfn.LET(_xlpm.e,E165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127</v>
      </c>
      <c r="T165" s="36">
        <f t="shared" si="22"/>
        <v>24.409429598874329</v>
      </c>
      <c r="U165" s="15">
        <f t="shared" si="23"/>
        <v>429</v>
      </c>
      <c r="V165" s="16">
        <f t="shared" si="24"/>
        <v>4327.9840921385103</v>
      </c>
      <c r="W165" s="16">
        <f t="shared" si="25"/>
        <v>10763.055856482706</v>
      </c>
      <c r="X165" s="37">
        <f t="shared" si="26"/>
        <v>20</v>
      </c>
      <c r="Y165" s="15" t="str">
        <f t="shared" si="27"/>
        <v>📊 Medium</v>
      </c>
    </row>
    <row r="166" spans="1:25" x14ac:dyDescent="0.2">
      <c r="A166" t="str">
        <f>'5. KPI Baselines'!A151</f>
        <v>Chemtron RiverBend</v>
      </c>
      <c r="B166" t="str">
        <f>'5. KPI Baselines'!B151</f>
        <v>Maintenance</v>
      </c>
      <c r="C166" t="str">
        <f>'5. KPI Baselines'!C151</f>
        <v>Work Order Management</v>
      </c>
      <c r="D166" t="str">
        <f>'5. KPI Baselines'!D151</f>
        <v>Emergency Work Order Percentage</v>
      </c>
      <c r="E166" t="str">
        <f>'5. KPI Baselines'!E151</f>
        <v>23%</v>
      </c>
      <c r="F166" t="str">
        <f>'5. KPI Baselines'!F151</f>
        <v>16%</v>
      </c>
      <c r="G166" t="str">
        <f>'5. KPI Baselines'!G151</f>
        <v>12%</v>
      </c>
      <c r="H166" t="str">
        <f>'5. KPI Baselines'!H151</f>
        <v>↓</v>
      </c>
      <c r="I166" t="str">
        <f>'5. KPI Baselines'!I151</f>
        <v>15 months</v>
      </c>
      <c r="J166" t="str">
        <f>'5. KPI Baselines'!J151</f>
        <v>Emergency WOs / total WOs</v>
      </c>
      <c r="K166" s="15" t="str">
        <f t="shared" si="19"/>
        <v>23% → 16%</v>
      </c>
      <c r="L166" s="34" cm="1">
        <f t="array" ref="L166">IFERROR(_xlfn.LET(_xlpm.e,E166,_xlpm.f,F166,_xlpm.h,H166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0.304346502841292</v>
      </c>
      <c r="M166" s="15" cm="1">
        <f t="array" ref="M166">IFERROR(_xlfn.LET(_xlpm.e,E166,_xlpm.f,F166,_xlpm.h,H166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17.100000000000001</v>
      </c>
      <c r="N166" s="15" cm="1">
        <f t="array" ref="N166">IFERROR(_xlfn.LET(_xlpm.e,E166,_xlpm.f,F166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166" s="15" t="str">
        <f t="shared" si="20"/>
        <v>12% → 16%</v>
      </c>
      <c r="P166" s="34" cm="1">
        <f t="array" ref="P166">IFERROR(_xlfn.LET(_xlpm.g,G166,_xlpm.f,F166,_xlpm.h,H166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-0.3333305555787035</v>
      </c>
      <c r="Q166" s="15" t="str" cm="1">
        <f t="array" ref="Q166">IFERROR(_xlfn.LET(_xlpm.e,E166,_xlpm.g,G166,_xlpm.h,H166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6" s="15" t="str">
        <f t="shared" si="21"/>
        <v>🔴 Lagging</v>
      </c>
      <c r="S166" s="35" cm="1">
        <f t="array" ref="S166">IFERROR(_xlfn.LET(_xlpm.e,E166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166" s="36">
        <f t="shared" si="22"/>
        <v>30.434650284129201</v>
      </c>
      <c r="U166" s="15">
        <f t="shared" si="23"/>
        <v>391</v>
      </c>
      <c r="V166" s="16">
        <f t="shared" si="24"/>
        <v>977.2832509423871</v>
      </c>
      <c r="W166" s="16">
        <f t="shared" si="25"/>
        <v>2430.3587983616108</v>
      </c>
      <c r="X166" s="37">
        <f t="shared" si="26"/>
        <v>89</v>
      </c>
      <c r="Y166" s="15" t="str">
        <f t="shared" si="27"/>
        <v>⚠️ High</v>
      </c>
    </row>
    <row r="167" spans="1:25" x14ac:dyDescent="0.2">
      <c r="A167" t="str">
        <f>'5. KPI Baselines'!A152</f>
        <v>Chemtron RiverBend</v>
      </c>
      <c r="B167" t="str">
        <f>'5. KPI Baselines'!B152</f>
        <v>Regulatory &amp; EHS</v>
      </c>
      <c r="C167" t="str">
        <f>'5. KPI Baselines'!C152</f>
        <v>Compliance Management</v>
      </c>
      <c r="D167" t="str">
        <f>'5. KPI Baselines'!D152</f>
        <v>Regulatory Documentation Hours</v>
      </c>
      <c r="E167" t="str">
        <f>'5. KPI Baselines'!E152</f>
        <v>42,000 hours/year</v>
      </c>
      <c r="F167" t="str">
        <f>'5. KPI Baselines'!F152</f>
        <v>29,000 hours/year</v>
      </c>
      <c r="G167" t="str">
        <f>'5. KPI Baselines'!G152</f>
        <v>24,000 hours/year</v>
      </c>
      <c r="H167" t="str">
        <f>'5. KPI Baselines'!H152</f>
        <v>↓</v>
      </c>
      <c r="I167" t="str">
        <f>'5. KPI Baselines'!I152</f>
        <v>12 months</v>
      </c>
      <c r="J167" t="str">
        <f>'5. KPI Baselines'!J152</f>
        <v>Labor hours on compliance activities</v>
      </c>
      <c r="K167" s="15" t="str">
        <f t="shared" si="19"/>
        <v>42,000 hours/year → 29,000 hours/year</v>
      </c>
      <c r="L167" s="34" t="str" cm="1">
        <f t="array" ref="L167">IFERROR(_xlfn.LET(_xlpm.e,E167,_xlpm.f,F167,_xlpm.h,H167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67" s="15" t="str" cm="1">
        <f t="array" ref="M167">IFERROR(_xlfn.LET(_xlpm.e,E167,_xlpm.f,F167,_xlpm.h,H167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67" s="15" t="str" cm="1">
        <f t="array" ref="N167">IFERROR(_xlfn.LET(_xlpm.e,E167,_xlpm.f,F167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67" s="15" t="str">
        <f t="shared" si="20"/>
        <v>24,000 hours/year → 29,000 hours/year</v>
      </c>
      <c r="P167" s="34" t="str" cm="1">
        <f t="array" ref="P167">IFERROR(_xlfn.LET(_xlpm.g,G167,_xlpm.f,F167,_xlpm.h,H167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67" s="15" t="str" cm="1">
        <f t="array" ref="Q167">IFERROR(_xlfn.LET(_xlpm.e,E167,_xlpm.g,G167,_xlpm.h,H167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67" s="15" t="str">
        <f t="shared" si="21"/>
        <v>⚪ N/A</v>
      </c>
      <c r="S167" s="35" cm="1">
        <f t="array" ref="S167">IFERROR(_xlfn.LET(_xlpm.e,E167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67" s="36">
        <f t="shared" si="22"/>
        <v>0</v>
      </c>
      <c r="U167" s="15">
        <f t="shared" si="23"/>
        <v>554</v>
      </c>
      <c r="V167" s="16">
        <f t="shared" si="24"/>
        <v>0</v>
      </c>
      <c r="W167" s="16">
        <f t="shared" si="25"/>
        <v>0</v>
      </c>
      <c r="X167" s="37" t="str">
        <f t="shared" si="26"/>
        <v>-</v>
      </c>
      <c r="Y167" s="15" t="str">
        <f t="shared" si="27"/>
        <v>📉 Low</v>
      </c>
    </row>
    <row r="168" spans="1:25" x14ac:dyDescent="0.2">
      <c r="A168" t="str">
        <f>'5. KPI Baselines'!A153</f>
        <v>Chemtron RiverBend</v>
      </c>
      <c r="B168" t="str">
        <f>'5. KPI Baselines'!B153</f>
        <v>Commercial</v>
      </c>
      <c r="C168" t="str">
        <f>'5. KPI Baselines'!C153</f>
        <v>Pricing &amp; Contracts</v>
      </c>
      <c r="D168" t="str">
        <f>'5. KPI Baselines'!D153</f>
        <v>Quote-to-Cash Cycle Time</v>
      </c>
      <c r="E168" t="str">
        <f>'5. KPI Baselines'!E153</f>
        <v>8 days</v>
      </c>
      <c r="F168" t="str">
        <f>'5. KPI Baselines'!F153</f>
        <v>3 days</v>
      </c>
      <c r="G168" t="str">
        <f>'5. KPI Baselines'!G153</f>
        <v>2 days</v>
      </c>
      <c r="H168" t="str">
        <f>'5. KPI Baselines'!H153</f>
        <v>↓</v>
      </c>
      <c r="I168" t="str">
        <f>'5. KPI Baselines'!I153</f>
        <v>9 months</v>
      </c>
      <c r="J168" t="str">
        <f>'5. KPI Baselines'!J153</f>
        <v>RFQ receipt to order confirmation</v>
      </c>
      <c r="K168" s="15" t="str">
        <f t="shared" si="19"/>
        <v>8 days → 3 days</v>
      </c>
      <c r="L168" s="34" cm="1">
        <f t="array" ref="L168">IFERROR(_xlfn.LET(_xlpm.e,E168,_xlpm.f,F168,_xlpm.h,H168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168" s="15" cm="1">
        <f t="array" ref="M168">IFERROR(_xlfn.LET(_xlpm.e,E168,_xlpm.f,F168,_xlpm.h,H168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168" s="15" cm="1">
        <f t="array" ref="N168">IFERROR(_xlfn.LET(_xlpm.e,E168,_xlpm.f,F168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168" s="15" t="str">
        <f t="shared" si="20"/>
        <v>2 days → 3 days</v>
      </c>
      <c r="P168" s="34" cm="1">
        <f t="array" ref="P168">IFERROR(_xlfn.LET(_xlpm.g,G168,_xlpm.f,F168,_xlpm.h,H168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-0.49997500124993743</v>
      </c>
      <c r="Q168" s="15" t="str" cm="1">
        <f t="array" ref="Q168">IFERROR(_xlfn.LET(_xlpm.e,E168,_xlpm.g,G168,_xlpm.h,H168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8" s="15" t="str">
        <f t="shared" si="21"/>
        <v>🔴 Lagging</v>
      </c>
      <c r="S168" s="35" cm="1">
        <f t="array" ref="S168">IFERROR(_xlfn.LET(_xlpm.e,E168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168" s="36">
        <f t="shared" si="22"/>
        <v>62.499218759765505</v>
      </c>
      <c r="U168" s="15">
        <f t="shared" si="23"/>
        <v>130</v>
      </c>
      <c r="V168" s="16">
        <f t="shared" si="24"/>
        <v>698.05377432782097</v>
      </c>
      <c r="W168" s="16">
        <f t="shared" si="25"/>
        <v>1735.9564185011941</v>
      </c>
      <c r="X168" s="37">
        <f t="shared" si="26"/>
        <v>124</v>
      </c>
      <c r="Y168" s="15" t="str">
        <f t="shared" si="27"/>
        <v>🔥 Critical</v>
      </c>
    </row>
    <row r="169" spans="1:25" x14ac:dyDescent="0.2">
      <c r="A169" t="str">
        <f>'5. KPI Baselines'!A154</f>
        <v>Chemtron RiverBend</v>
      </c>
      <c r="B169" t="str">
        <f>'5. KPI Baselines'!B154</f>
        <v>R&amp;D</v>
      </c>
      <c r="C169" t="str">
        <f>'5. KPI Baselines'!C154</f>
        <v>Product Development</v>
      </c>
      <c r="D169" t="str">
        <f>'5. KPI Baselines'!D154</f>
        <v>Average Development Cycle Time</v>
      </c>
      <c r="E169" t="str">
        <f>'5. KPI Baselines'!E154</f>
        <v>147 days</v>
      </c>
      <c r="F169" t="str">
        <f>'5. KPI Baselines'!F154</f>
        <v>118 days</v>
      </c>
      <c r="G169" t="str">
        <f>'5. KPI Baselines'!G154</f>
        <v>98 days</v>
      </c>
      <c r="H169" t="str">
        <f>'5. KPI Baselines'!H154</f>
        <v>↓</v>
      </c>
      <c r="I169" t="str">
        <f>'5. KPI Baselines'!I154</f>
        <v>18 months</v>
      </c>
      <c r="J169" t="str">
        <f>'5. KPI Baselines'!J154</f>
        <v>Concept to pilot batch completion</v>
      </c>
      <c r="K169" s="15" t="str">
        <f t="shared" si="19"/>
        <v>147 days → 118 days</v>
      </c>
      <c r="L169" s="34" cm="1">
        <f t="array" ref="L169">IFERROR(_xlfn.LET(_xlpm.e,E169,_xlpm.f,F169,_xlpm.h,H169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0.19727877736137595</v>
      </c>
      <c r="M169" s="15" cm="1">
        <f t="array" ref="M169">IFERROR(_xlfn.LET(_xlpm.e,E169,_xlpm.f,F169,_xlpm.h,H169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122.4</v>
      </c>
      <c r="N169" s="15" cm="1">
        <f t="array" ref="N169">IFERROR(_xlfn.LET(_xlpm.e,E169,_xlpm.f,F169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22.19</v>
      </c>
      <c r="O169" s="15" t="str">
        <f t="shared" si="20"/>
        <v>98 days → 118 days</v>
      </c>
      <c r="P169" s="34" cm="1">
        <f t="array" ref="P169">IFERROR(_xlfn.LET(_xlpm.g,G169,_xlpm.f,F169,_xlpm.h,H169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-0.20408142440670979</v>
      </c>
      <c r="Q169" s="15" t="str" cm="1">
        <f t="array" ref="Q169">IFERROR(_xlfn.LET(_xlpm.e,E169,_xlpm.g,G169,_xlpm.h,H169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69" s="15" t="str">
        <f t="shared" si="21"/>
        <v>🔴 Lagging</v>
      </c>
      <c r="S169" s="35" cm="1">
        <f t="array" ref="S169">IFERROR(_xlfn.LET(_xlpm.e,E169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147</v>
      </c>
      <c r="T169" s="36">
        <f t="shared" si="22"/>
        <v>19.727877736137593</v>
      </c>
      <c r="U169" s="15">
        <f t="shared" si="23"/>
        <v>468</v>
      </c>
      <c r="V169" s="16">
        <f t="shared" si="24"/>
        <v>4048.7597457416696</v>
      </c>
      <c r="W169" s="16">
        <f t="shared" si="25"/>
        <v>10068.666234714454</v>
      </c>
      <c r="X169" s="37">
        <f t="shared" si="26"/>
        <v>22</v>
      </c>
      <c r="Y169" s="15" t="str">
        <f t="shared" si="27"/>
        <v>📊 Medium</v>
      </c>
    </row>
    <row r="170" spans="1:25" x14ac:dyDescent="0.2">
      <c r="A170" t="str">
        <f>'5. KPI Baselines'!A155</f>
        <v>Chemtron RiverBend</v>
      </c>
      <c r="B170" t="str">
        <f>'5. KPI Baselines'!B155</f>
        <v>Finance</v>
      </c>
      <c r="C170" t="str">
        <f>'5. KPI Baselines'!C155</f>
        <v>Financial Planning</v>
      </c>
      <c r="D170" t="str">
        <f>'5. KPI Baselines'!D155</f>
        <v>Monthly Close Cycle Time</v>
      </c>
      <c r="E170" t="str">
        <f>'5. KPI Baselines'!E155</f>
        <v>9 days</v>
      </c>
      <c r="F170" t="str">
        <f>'5. KPI Baselines'!F155</f>
        <v>6 days</v>
      </c>
      <c r="G170" t="str">
        <f>'5. KPI Baselines'!G155</f>
        <v>5 days</v>
      </c>
      <c r="H170" t="str">
        <f>'5. KPI Baselines'!H155</f>
        <v>↓</v>
      </c>
      <c r="I170" t="str">
        <f>'5. KPI Baselines'!I155</f>
        <v>12 months</v>
      </c>
      <c r="J170" t="str">
        <f>'5. KPI Baselines'!J155</f>
        <v>Month-end to finalized statements</v>
      </c>
      <c r="K170" s="15" t="str">
        <f t="shared" si="19"/>
        <v>9 days → 6 days</v>
      </c>
      <c r="L170" s="34" cm="1">
        <f t="array" ref="L170">IFERROR(_xlfn.LET(_xlpm.e,E170,_xlpm.f,F170,_xlpm.h,H170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0.33332962967078145</v>
      </c>
      <c r="M170" s="15" cm="1">
        <f t="array" ref="M170">IFERROR(_xlfn.LET(_xlpm.e,E170,_xlpm.f,F170,_xlpm.h,H170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6.5</v>
      </c>
      <c r="N170" s="15" cm="1">
        <f t="array" ref="N170">IFERROR(_xlfn.LET(_xlpm.e,E170,_xlpm.f,F170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170" s="15" t="str">
        <f t="shared" si="20"/>
        <v>5 days → 6 days</v>
      </c>
      <c r="P170" s="34" cm="1">
        <f t="array" ref="P170">IFERROR(_xlfn.LET(_xlpm.g,G170,_xlpm.f,F170,_xlpm.h,H170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-0.1999960000799984</v>
      </c>
      <c r="Q170" s="15" t="str" cm="1">
        <f t="array" ref="Q170">IFERROR(_xlfn.LET(_xlpm.e,E170,_xlpm.g,G170,_xlpm.h,H170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0" s="15" t="str">
        <f t="shared" si="21"/>
        <v>🔴 Lagging</v>
      </c>
      <c r="S170" s="35" cm="1">
        <f t="array" ref="S170">IFERROR(_xlfn.LET(_xlpm.e,E170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170" s="36">
        <f t="shared" si="22"/>
        <v>33.332962967078146</v>
      </c>
      <c r="U170" s="15">
        <f t="shared" si="23"/>
        <v>371</v>
      </c>
      <c r="V170" s="16">
        <f t="shared" si="24"/>
        <v>418.83284630170778</v>
      </c>
      <c r="W170" s="16">
        <f t="shared" si="25"/>
        <v>1041.5752977149916</v>
      </c>
      <c r="X170" s="37">
        <f t="shared" si="26"/>
        <v>206</v>
      </c>
      <c r="Y170" s="15" t="str">
        <f t="shared" si="27"/>
        <v>⚠️ High</v>
      </c>
    </row>
    <row r="171" spans="1:25" x14ac:dyDescent="0.2">
      <c r="A171" t="str">
        <f>'5. KPI Baselines'!A156</f>
        <v>Cimsense</v>
      </c>
      <c r="B171" t="str">
        <f>'5. KPI Baselines'!B156</f>
        <v>Customer Success</v>
      </c>
      <c r="C171" t="str">
        <f>'5. KPI Baselines'!C156</f>
        <v>Implementation Services</v>
      </c>
      <c r="D171" t="str">
        <f>'5. KPI Baselines'!D156</f>
        <v>Average Time-to-Production</v>
      </c>
      <c r="E171" t="str">
        <f>'5. KPI Baselines'!E156</f>
        <v>67 days</v>
      </c>
      <c r="F171" t="str">
        <f>'5. KPI Baselines'!F156</f>
        <v>21 days</v>
      </c>
      <c r="G171" t="str">
        <f>'5. KPI Baselines'!G156</f>
        <v>42 days (SaaS construction software)</v>
      </c>
      <c r="H171" t="str">
        <f>'5. KPI Baselines'!H156</f>
        <v>↓</v>
      </c>
      <c r="I171" t="str">
        <f>'5. KPI Baselines'!I156</f>
        <v>18 months</v>
      </c>
      <c r="J171" t="str">
        <f>'5. KPI Baselines'!J156</f>
        <v>Contract signature to first production workflow completion</v>
      </c>
      <c r="K171" s="15" t="str">
        <f t="shared" si="19"/>
        <v>67 days → 21 days</v>
      </c>
      <c r="L171" s="34" cm="1">
        <f t="array" ref="L171">IFERROR(_xlfn.LET(_xlpm.e,E171,_xlpm.f,F171,_xlpm.h,H171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0.68656613945352318</v>
      </c>
      <c r="M171" s="15" cm="1">
        <f t="array" ref="M171">IFERROR(_xlfn.LET(_xlpm.e,E171,_xlpm.f,F171,_xlpm.h,H171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27.9</v>
      </c>
      <c r="N171" s="15" cm="1">
        <f t="array" ref="N171">IFERROR(_xlfn.LET(_xlpm.e,E171,_xlpm.f,F171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35.19</v>
      </c>
      <c r="O171" s="15" t="str">
        <f t="shared" si="20"/>
        <v>42 days (SaaS construction software) → 21 days</v>
      </c>
      <c r="P171" s="34" cm="1">
        <f t="array" ref="P171">IFERROR(_xlfn.LET(_xlpm.g,G171,_xlpm.f,F171,_xlpm.h,H171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0.49999880952664394</v>
      </c>
      <c r="Q171" s="15" t="str" cm="1">
        <f t="array" ref="Q171">IFERROR(_xlfn.LET(_xlpm.e,E171,_xlpm.g,G171,_xlpm.h,H171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1" s="15" t="str">
        <f t="shared" si="21"/>
        <v>🔴 Lagging</v>
      </c>
      <c r="S171" s="35" cm="1">
        <f t="array" ref="S171">IFERROR(_xlfn.LET(_xlpm.e,E171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171" s="36">
        <f t="shared" si="22"/>
        <v>68.656613945352319</v>
      </c>
      <c r="U171" s="15">
        <f t="shared" si="23"/>
        <v>86</v>
      </c>
      <c r="V171" s="16">
        <f t="shared" si="24"/>
        <v>6422.1654146784849</v>
      </c>
      <c r="W171" s="16">
        <f t="shared" si="25"/>
        <v>15970.974847923218</v>
      </c>
      <c r="X171" s="37">
        <f t="shared" si="26"/>
        <v>14</v>
      </c>
      <c r="Y171" s="15" t="str">
        <f t="shared" si="27"/>
        <v>🔥 Critical</v>
      </c>
    </row>
    <row r="172" spans="1:25" x14ac:dyDescent="0.2">
      <c r="A172" t="str">
        <f>'5. KPI Baselines'!A157</f>
        <v>Cimsense</v>
      </c>
      <c r="B172" t="str">
        <f>'5. KPI Baselines'!B157</f>
        <v>Customer Success</v>
      </c>
      <c r="C172" t="str">
        <f>'5. KPI Baselines'!C157</f>
        <v>Support Operations</v>
      </c>
      <c r="D172" t="str">
        <f>'5. KPI Baselines'!D157</f>
        <v>Monthly Tier 1 Support Tickets</v>
      </c>
      <c r="E172" t="str">
        <f>'5. KPI Baselines'!E157</f>
        <v>8,500 tickets</v>
      </c>
      <c r="F172" t="str">
        <f>'5. KPI Baselines'!F157</f>
        <v>4,250 tickets</v>
      </c>
      <c r="G172" t="str">
        <f>'5. KPI Baselines'!G157</f>
        <v>6,200 tickets (peer group)</v>
      </c>
      <c r="H172" t="str">
        <f>'5. KPI Baselines'!H157</f>
        <v>↓</v>
      </c>
      <c r="I172" t="str">
        <f>'5. KPI Baselines'!I157</f>
        <v>12 months</v>
      </c>
      <c r="J172" t="str">
        <f>'5. KPI Baselines'!J157</f>
        <v>Tickets requiring human agent response</v>
      </c>
      <c r="K172" s="15" t="str">
        <f t="shared" si="19"/>
        <v>8,500 tickets → 4,250 tickets</v>
      </c>
      <c r="L172" s="34" t="str" cm="1">
        <f t="array" ref="L172">IFERROR(_xlfn.LET(_xlpm.e,E172,_xlpm.f,F172,_xlpm.h,H172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72" s="15" t="str" cm="1">
        <f t="array" ref="M172">IFERROR(_xlfn.LET(_xlpm.e,E172,_xlpm.f,F172,_xlpm.h,H172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72" s="15" t="str" cm="1">
        <f t="array" ref="N172">IFERROR(_xlfn.LET(_xlpm.e,E172,_xlpm.f,F172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72" s="15" t="str">
        <f t="shared" si="20"/>
        <v>6,200 tickets (peer group) → 4,250 tickets</v>
      </c>
      <c r="P172" s="34" t="str" cm="1">
        <f t="array" ref="P172">IFERROR(_xlfn.LET(_xlpm.g,G172,_xlpm.f,F172,_xlpm.h,H172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72" s="15" t="str" cm="1">
        <f t="array" ref="Q172">IFERROR(_xlfn.LET(_xlpm.e,E172,_xlpm.g,G172,_xlpm.h,H172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72" s="15" t="str">
        <f t="shared" si="21"/>
        <v>⚪ N/A</v>
      </c>
      <c r="S172" s="35" cm="1">
        <f t="array" ref="S172">IFERROR(_xlfn.LET(_xlpm.e,E172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72" s="36">
        <f t="shared" si="22"/>
        <v>0</v>
      </c>
      <c r="U172" s="15">
        <f t="shared" si="23"/>
        <v>554</v>
      </c>
      <c r="V172" s="16">
        <f t="shared" si="24"/>
        <v>0</v>
      </c>
      <c r="W172" s="16">
        <f t="shared" si="25"/>
        <v>0</v>
      </c>
      <c r="X172" s="37" t="str">
        <f t="shared" si="26"/>
        <v>-</v>
      </c>
      <c r="Y172" s="15" t="str">
        <f t="shared" si="27"/>
        <v>📉 Low</v>
      </c>
    </row>
    <row r="173" spans="1:25" x14ac:dyDescent="0.2">
      <c r="A173" t="str">
        <f>'5. KPI Baselines'!A158</f>
        <v>Cimsense</v>
      </c>
      <c r="B173" t="str">
        <f>'5. KPI Baselines'!B158</f>
        <v>Product Management</v>
      </c>
      <c r="C173" t="str">
        <f>'5. KPI Baselines'!C158</f>
        <v>Document Processing</v>
      </c>
      <c r="D173" t="str">
        <f>'5. KPI Baselines'!D158</f>
        <v>Manual Classification Hours</v>
      </c>
      <c r="E173" t="str">
        <f>'5. KPI Baselines'!E158</f>
        <v>78,000 hours/year</v>
      </c>
      <c r="F173" t="str">
        <f>'5. KPI Baselines'!F158</f>
        <v>11,700 hours/year</v>
      </c>
      <c r="G173" t="str">
        <f>'5. KPI Baselines'!G158</f>
        <v>No comparable benchmark</v>
      </c>
      <c r="H173" t="str">
        <f>'5. KPI Baselines'!H158</f>
        <v>↓</v>
      </c>
      <c r="I173" t="str">
        <f>'5. KPI Baselines'!I158</f>
        <v>24 months</v>
      </c>
      <c r="J173" t="str">
        <f>'5. KPI Baselines'!J158</f>
        <v>Staff hours logged to document categorization tasks</v>
      </c>
      <c r="K173" s="15" t="str">
        <f t="shared" si="19"/>
        <v>78,000 hours/year → 11,700 hours/year</v>
      </c>
      <c r="L173" s="34" t="str" cm="1">
        <f t="array" ref="L173">IFERROR(_xlfn.LET(_xlpm.e,E173,_xlpm.f,F173,_xlpm.h,H173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73" s="15" t="str" cm="1">
        <f t="array" ref="M173">IFERROR(_xlfn.LET(_xlpm.e,E173,_xlpm.f,F173,_xlpm.h,H173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73" s="15" t="str" cm="1">
        <f t="array" ref="N173">IFERROR(_xlfn.LET(_xlpm.e,E173,_xlpm.f,F173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73" s="15" t="str">
        <f t="shared" si="20"/>
        <v>No comparable benchmark → 11,700 hours/year</v>
      </c>
      <c r="P173" s="34" t="str" cm="1">
        <f t="array" ref="P173">IFERROR(_xlfn.LET(_xlpm.g,G173,_xlpm.f,F173,_xlpm.h,H173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73" s="15" t="str" cm="1">
        <f t="array" ref="Q173">IFERROR(_xlfn.LET(_xlpm.e,E173,_xlpm.g,G173,_xlpm.h,H173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73" s="15" t="str">
        <f t="shared" si="21"/>
        <v>⚪ N/A</v>
      </c>
      <c r="S173" s="35" cm="1">
        <f t="array" ref="S173">IFERROR(_xlfn.LET(_xlpm.e,E173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73" s="36">
        <f t="shared" si="22"/>
        <v>0</v>
      </c>
      <c r="U173" s="15">
        <f t="shared" si="23"/>
        <v>554</v>
      </c>
      <c r="V173" s="16">
        <f t="shared" si="24"/>
        <v>0</v>
      </c>
      <c r="W173" s="16">
        <f t="shared" si="25"/>
        <v>0</v>
      </c>
      <c r="X173" s="37" t="str">
        <f t="shared" si="26"/>
        <v>-</v>
      </c>
      <c r="Y173" s="15" t="str">
        <f t="shared" si="27"/>
        <v>📉 Low</v>
      </c>
    </row>
    <row r="174" spans="1:25" x14ac:dyDescent="0.2">
      <c r="A174" t="str">
        <f>'5. KPI Baselines'!A159</f>
        <v>Cimsense</v>
      </c>
      <c r="B174" t="str">
        <f>'5. KPI Baselines'!B159</f>
        <v>Product Management</v>
      </c>
      <c r="C174" t="str">
        <f>'5. KPI Baselines'!C159</f>
        <v>Feature Development</v>
      </c>
      <c r="D174" t="str">
        <f>'5. KPI Baselines'!D159</f>
        <v>Release Cycle Duration</v>
      </c>
      <c r="E174" t="str">
        <f>'5. KPI Baselines'!E159</f>
        <v>18 months</v>
      </c>
      <c r="F174" t="str">
        <f>'5. KPI Baselines'!F159</f>
        <v>12 months</v>
      </c>
      <c r="G174" t="str">
        <f>'5. KPI Baselines'!G159</f>
        <v>12 months (enterprise software)</v>
      </c>
      <c r="H174" t="str">
        <f>'5. KPI Baselines'!H159</f>
        <v>↓</v>
      </c>
      <c r="I174" t="str">
        <f>'5. KPI Baselines'!I159</f>
        <v>24 months</v>
      </c>
      <c r="J174" t="str">
        <f>'5. KPI Baselines'!J159</f>
        <v>Concept to general availability timeline</v>
      </c>
      <c r="K174" s="15" t="str">
        <f t="shared" si="19"/>
        <v>18 months → 12 months</v>
      </c>
      <c r="L174" s="34" cm="1">
        <f t="array" ref="L174">IFERROR(_xlfn.LET(_xlpm.e,E174,_xlpm.f,F174,_xlpm.h,H174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0.3333314814917695</v>
      </c>
      <c r="M174" s="15" cm="1">
        <f t="array" ref="M174">IFERROR(_xlfn.LET(_xlpm.e,E174,_xlpm.f,F174,_xlpm.h,H174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12.9</v>
      </c>
      <c r="N174" s="15" cm="1">
        <f t="array" ref="N174">IFERROR(_xlfn.LET(_xlpm.e,E174,_xlpm.f,F174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74" s="15" t="str">
        <f t="shared" si="20"/>
        <v>12 months (enterprise software) → 12 months</v>
      </c>
      <c r="P174" s="34" cm="1">
        <f t="array" ref="P174">IFERROR(_xlfn.LET(_xlpm.g,G174,_xlpm.f,F174,_xlpm.h,H174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74" s="15" t="str" cm="1">
        <f t="array" ref="Q174">IFERROR(_xlfn.LET(_xlpm.e,E174,_xlpm.g,G174,_xlpm.h,H174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4" s="15" t="str">
        <f t="shared" si="21"/>
        <v>🔴 Lagging</v>
      </c>
      <c r="S174" s="35" cm="1">
        <f t="array" ref="S174">IFERROR(_xlfn.LET(_xlpm.e,E174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174" s="36">
        <f t="shared" si="22"/>
        <v>33.333148149176949</v>
      </c>
      <c r="U174" s="15">
        <f t="shared" si="23"/>
        <v>365</v>
      </c>
      <c r="V174" s="16">
        <f t="shared" si="24"/>
        <v>837.67034627585406</v>
      </c>
      <c r="W174" s="16">
        <f t="shared" si="25"/>
        <v>2083.1621684245524</v>
      </c>
      <c r="X174" s="37">
        <f t="shared" si="26"/>
        <v>104</v>
      </c>
      <c r="Y174" s="15" t="str">
        <f t="shared" si="27"/>
        <v>⚠️ High</v>
      </c>
    </row>
    <row r="175" spans="1:25" x14ac:dyDescent="0.2">
      <c r="A175" t="str">
        <f>'5. KPI Baselines'!A160</f>
        <v>Cimsense</v>
      </c>
      <c r="B175" t="str">
        <f>'5. KPI Baselines'!B160</f>
        <v>Sales</v>
      </c>
      <c r="C175" t="str">
        <f>'5. KPI Baselines'!C160</f>
        <v>Pipeline Management</v>
      </c>
      <c r="D175" t="str">
        <f>'5. KPI Baselines'!D160</f>
        <v>Proposal Turnaround Time</v>
      </c>
      <c r="E175" t="str">
        <f>'5. KPI Baselines'!E160</f>
        <v>9 days</v>
      </c>
      <c r="F175" t="str">
        <f>'5. KPI Baselines'!F160</f>
        <v>3 days</v>
      </c>
      <c r="G175" t="str">
        <f>'5. KPI Baselines'!G160</f>
        <v>5 days (B2B software)</v>
      </c>
      <c r="H175" t="str">
        <f>'5. KPI Baselines'!H160</f>
        <v>↓</v>
      </c>
      <c r="I175" t="str">
        <f>'5. KPI Baselines'!I160</f>
        <v>12 months</v>
      </c>
      <c r="J175" t="str">
        <f>'5. KPI Baselines'!J160</f>
        <v>RFP receipt to proposal submission</v>
      </c>
      <c r="K175" s="15" t="str">
        <f t="shared" si="19"/>
        <v>9 days → 3 days</v>
      </c>
      <c r="L175" s="34" cm="1">
        <f t="array" ref="L175">IFERROR(_xlfn.LET(_xlpm.e,E175,_xlpm.f,F175,_xlpm.h,H175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0.66665925934156289</v>
      </c>
      <c r="M175" s="15" cm="1">
        <f t="array" ref="M175">IFERROR(_xlfn.LET(_xlpm.e,E175,_xlpm.f,F175,_xlpm.h,H175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175" s="15" cm="1">
        <f t="array" ref="N175">IFERROR(_xlfn.LET(_xlpm.e,E175,_xlpm.f,F175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75" s="15" t="str">
        <f t="shared" si="20"/>
        <v>5 days (B2B software) → 3 days</v>
      </c>
      <c r="P175" s="34" cm="1">
        <f t="array" ref="P175">IFERROR(_xlfn.LET(_xlpm.g,G175,_xlpm.f,F175,_xlpm.h,H175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175" s="15" t="str" cm="1">
        <f t="array" ref="Q175">IFERROR(_xlfn.LET(_xlpm.e,E175,_xlpm.g,G175,_xlpm.h,H175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5" s="15" t="str">
        <f t="shared" si="21"/>
        <v>🔴 Lagging</v>
      </c>
      <c r="S175" s="35" cm="1">
        <f t="array" ref="S175">IFERROR(_xlfn.LET(_xlpm.e,E175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175" s="36">
        <f t="shared" si="22"/>
        <v>66.665925934156292</v>
      </c>
      <c r="U175" s="15">
        <f t="shared" si="23"/>
        <v>102</v>
      </c>
      <c r="V175" s="16">
        <f t="shared" si="24"/>
        <v>837.66569260341555</v>
      </c>
      <c r="W175" s="16">
        <f t="shared" si="25"/>
        <v>2083.1505954299832</v>
      </c>
      <c r="X175" s="37">
        <f t="shared" si="26"/>
        <v>104</v>
      </c>
      <c r="Y175" s="15" t="str">
        <f t="shared" si="27"/>
        <v>🔥 Critical</v>
      </c>
    </row>
    <row r="176" spans="1:25" x14ac:dyDescent="0.2">
      <c r="A176" t="str">
        <f>'5. KPI Baselines'!A161</f>
        <v>Cimsense</v>
      </c>
      <c r="B176" t="str">
        <f>'5. KPI Baselines'!B161</f>
        <v>Sales</v>
      </c>
      <c r="C176" t="str">
        <f>'5. KPI Baselines'!C161</f>
        <v>Account Expansion</v>
      </c>
      <c r="D176" t="str">
        <f>'5. KPI Baselines'!D161</f>
        <v>Cross-Sell Conversion Rate</v>
      </c>
      <c r="E176" t="str">
        <f>'5. KPI Baselines'!E161</f>
        <v>12%</v>
      </c>
      <c r="F176" t="str">
        <f>'5. KPI Baselines'!F161</f>
        <v>18%</v>
      </c>
      <c r="G176" t="str">
        <f>'5. KPI Baselines'!G161</f>
        <v>18% (SaaS industry)</v>
      </c>
      <c r="H176" t="str">
        <f>'5. KPI Baselines'!H161</f>
        <v>↑</v>
      </c>
      <c r="I176" t="str">
        <f>'5. KPI Baselines'!I161</f>
        <v>18 months</v>
      </c>
      <c r="J176" t="str">
        <f>'5. KPI Baselines'!J161</f>
        <v>Module upsell rate among existing customers</v>
      </c>
      <c r="K176" s="15" t="str">
        <f t="shared" si="19"/>
        <v>18% - 12%</v>
      </c>
      <c r="L176" s="34" cm="1">
        <f t="array" ref="L176">IFERROR(_xlfn.LET(_xlpm.e,E176,_xlpm.f,F176,_xlpm.h,H176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176" s="15" cm="1">
        <f t="array" ref="M176">IFERROR(_xlfn.LET(_xlpm.e,E176,_xlpm.f,F176,_xlpm.h,H176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17.100000000000001</v>
      </c>
      <c r="N176" s="15" cm="1">
        <f t="array" ref="N176">IFERROR(_xlfn.LET(_xlpm.e,E176,_xlpm.f,F176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176" s="15" t="str">
        <f t="shared" si="20"/>
        <v>18% - 18% (SaaS industry)</v>
      </c>
      <c r="P176" s="34" cm="1">
        <f t="array" ref="P176">IFERROR(_xlfn.LET(_xlpm.g,G176,_xlpm.f,F176,_xlpm.h,H176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76" s="15" t="str" cm="1">
        <f t="array" ref="Q176">IFERROR(_xlfn.LET(_xlpm.e,E176,_xlpm.g,G176,_xlpm.h,H176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6" s="15" t="str">
        <f t="shared" si="21"/>
        <v>🔴 Lagging</v>
      </c>
      <c r="S176" s="35" cm="1">
        <f t="array" ref="S176">IFERROR(_xlfn.LET(_xlpm.e,E176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76" s="36">
        <f t="shared" si="22"/>
        <v>49.999583336805529</v>
      </c>
      <c r="U176" s="15">
        <f t="shared" si="23"/>
        <v>231</v>
      </c>
      <c r="V176" s="16">
        <f t="shared" si="24"/>
        <v>837.66801943317137</v>
      </c>
      <c r="W176" s="16">
        <f t="shared" si="25"/>
        <v>2083.1563819111943</v>
      </c>
      <c r="X176" s="37">
        <f t="shared" si="26"/>
        <v>104</v>
      </c>
      <c r="Y176" s="15" t="str">
        <f t="shared" si="27"/>
        <v>⚠️ High</v>
      </c>
    </row>
    <row r="177" spans="1:25" x14ac:dyDescent="0.2">
      <c r="A177" t="str">
        <f>'5. KPI Baselines'!A162</f>
        <v>Cimsense</v>
      </c>
      <c r="B177" t="str">
        <f>'5. KPI Baselines'!B162</f>
        <v>Finance</v>
      </c>
      <c r="C177" t="str">
        <f>'5. KPI Baselines'!C162</f>
        <v>Revenue Operations</v>
      </c>
      <c r="D177" t="str">
        <f>'5. KPI Baselines'!D162</f>
        <v>Contract Review Cycle</v>
      </c>
      <c r="E177" t="str">
        <f>'5. KPI Baselines'!E162</f>
        <v>7 days</v>
      </c>
      <c r="F177" t="str">
        <f>'5. KPI Baselines'!F162</f>
        <v>2 days</v>
      </c>
      <c r="G177" t="str">
        <f>'5. KPI Baselines'!G162</f>
        <v>3 days (software contracts)</v>
      </c>
      <c r="H177" t="str">
        <f>'5. KPI Baselines'!H162</f>
        <v>↓</v>
      </c>
      <c r="I177" t="str">
        <f>'5. KPI Baselines'!I162</f>
        <v>12 months</v>
      </c>
      <c r="J177" t="str">
        <f>'5. KPI Baselines'!J162</f>
        <v>Legal review to signature-ready status</v>
      </c>
      <c r="K177" s="15" t="str">
        <f t="shared" si="19"/>
        <v>7 days → 2 days</v>
      </c>
      <c r="L177" s="34" cm="1">
        <f t="array" ref="L177">IFERROR(_xlfn.LET(_xlpm.e,E177,_xlpm.f,F177,_xlpm.h,H177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0.71427551034985215</v>
      </c>
      <c r="M177" s="15" cm="1">
        <f t="array" ref="M177">IFERROR(_xlfn.LET(_xlpm.e,E177,_xlpm.f,F177,_xlpm.h,H177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2.8</v>
      </c>
      <c r="N177" s="15" cm="1">
        <f t="array" ref="N177">IFERROR(_xlfn.LET(_xlpm.e,E177,_xlpm.f,F177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177" s="15" t="str">
        <f t="shared" si="20"/>
        <v>3 days (software contracts) → 2 days</v>
      </c>
      <c r="P177" s="34" cm="1">
        <f t="array" ref="P177">IFERROR(_xlfn.LET(_xlpm.g,G177,_xlpm.f,F177,_xlpm.h,H177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0.33332222259258021</v>
      </c>
      <c r="Q177" s="15" t="str" cm="1">
        <f t="array" ref="Q177">IFERROR(_xlfn.LET(_xlpm.e,E177,_xlpm.g,G177,_xlpm.h,H177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7" s="15" t="str">
        <f t="shared" si="21"/>
        <v>🔴 Lagging</v>
      </c>
      <c r="S177" s="35" cm="1">
        <f t="array" ref="S177">IFERROR(_xlfn.LET(_xlpm.e,E177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</v>
      </c>
      <c r="T177" s="36">
        <f t="shared" si="22"/>
        <v>71.427551034985214</v>
      </c>
      <c r="U177" s="15">
        <f t="shared" si="23"/>
        <v>77</v>
      </c>
      <c r="V177" s="16">
        <f t="shared" si="24"/>
        <v>698.05252782103116</v>
      </c>
      <c r="W177" s="16">
        <f t="shared" si="25"/>
        <v>1735.9533186233023</v>
      </c>
      <c r="X177" s="37">
        <f t="shared" si="26"/>
        <v>124</v>
      </c>
      <c r="Y177" s="15" t="str">
        <f t="shared" si="27"/>
        <v>🔥 Critical</v>
      </c>
    </row>
    <row r="178" spans="1:25" x14ac:dyDescent="0.2">
      <c r="A178" t="str">
        <f>'5. KPI Baselines'!A163</f>
        <v>Cimsense</v>
      </c>
      <c r="B178" t="str">
        <f>'5. KPI Baselines'!B163</f>
        <v>Engineering</v>
      </c>
      <c r="C178" t="str">
        <f>'5. KPI Baselines'!C163</f>
        <v>API Integration</v>
      </c>
      <c r="D178" t="str">
        <f>'5. KPI Baselines'!D163</f>
        <v>Custom Integration Hours per Client</v>
      </c>
      <c r="E178" t="str">
        <f>'5. KPI Baselines'!E163</f>
        <v>84 hours</v>
      </c>
      <c r="F178" t="str">
        <f>'5. KPI Baselines'!F163</f>
        <v>16 hours</v>
      </c>
      <c r="G178" t="str">
        <f>'5. KPI Baselines'!G163</f>
        <v>32 hours (platform software)</v>
      </c>
      <c r="H178" t="str">
        <f>'5. KPI Baselines'!H163</f>
        <v>↓</v>
      </c>
      <c r="I178" t="str">
        <f>'5. KPI Baselines'!I163</f>
        <v>18 months</v>
      </c>
      <c r="J178" t="str">
        <f>'5. KPI Baselines'!J163</f>
        <v>Engineering hours per new customer API configuration</v>
      </c>
      <c r="K178" s="15" t="str">
        <f t="shared" si="19"/>
        <v>84 hours → 16 hours</v>
      </c>
      <c r="L178" s="34" cm="1">
        <f t="array" ref="L178">IFERROR(_xlfn.LET(_xlpm.e,E178,_xlpm.f,F178,_xlpm.h,H178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0.80952284580613587</v>
      </c>
      <c r="M178" s="15" cm="1">
        <f t="array" ref="M178">IFERROR(_xlfn.LET(_xlpm.e,E178,_xlpm.f,F178,_xlpm.h,H178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26.2</v>
      </c>
      <c r="N178" s="15" cm="1">
        <f t="array" ref="N178">IFERROR(_xlfn.LET(_xlpm.e,E178,_xlpm.f,F178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52.02</v>
      </c>
      <c r="O178" s="15" t="str">
        <f t="shared" si="20"/>
        <v>32 hours (platform software) → 16 hours</v>
      </c>
      <c r="P178" s="34" cm="1">
        <f t="array" ref="P178">IFERROR(_xlfn.LET(_xlpm.g,G178,_xlpm.f,F178,_xlpm.h,H178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0.49999843750488276</v>
      </c>
      <c r="Q178" s="15" t="str" cm="1">
        <f t="array" ref="Q178">IFERROR(_xlfn.LET(_xlpm.e,E178,_xlpm.g,G178,_xlpm.h,H178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78" s="15" t="str">
        <f t="shared" si="21"/>
        <v>🔴 Lagging</v>
      </c>
      <c r="S178" s="35" cm="1">
        <f t="array" ref="S178">IFERROR(_xlfn.LET(_xlpm.e,E178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84</v>
      </c>
      <c r="T178" s="36">
        <f t="shared" si="22"/>
        <v>80.952284580613593</v>
      </c>
      <c r="U178" s="15">
        <f t="shared" si="23"/>
        <v>37</v>
      </c>
      <c r="V178" s="16">
        <f t="shared" si="24"/>
        <v>9493.6386980491661</v>
      </c>
      <c r="W178" s="16">
        <f t="shared" si="25"/>
        <v>23609.274297928449</v>
      </c>
      <c r="X178" s="37">
        <f t="shared" si="26"/>
        <v>9</v>
      </c>
      <c r="Y178" s="15" t="str">
        <f t="shared" si="27"/>
        <v>🔥 Critical</v>
      </c>
    </row>
    <row r="179" spans="1:25" x14ac:dyDescent="0.2">
      <c r="A179" t="str">
        <f>'5. KPI Baselines'!A164</f>
        <v>Cimsense</v>
      </c>
      <c r="B179" t="str">
        <f>'5. KPI Baselines'!B164</f>
        <v>Engineering</v>
      </c>
      <c r="C179" t="str">
        <f>'5. KPI Baselines'!C164</f>
        <v>Code Quality</v>
      </c>
      <c r="D179" t="str">
        <f>'5. KPI Baselines'!D164</f>
        <v>Production Defect Rate</v>
      </c>
      <c r="E179" t="str">
        <f>'5. KPI Baselines'!E164</f>
        <v>3.2 defects per 1000 lines</v>
      </c>
      <c r="F179" t="str">
        <f>'5. KPI Baselines'!F164</f>
        <v>1.5 defects per 1000 lines</v>
      </c>
      <c r="G179" t="str">
        <f>'5. KPI Baselines'!G164</f>
        <v>1.8 defects per 1000 lines</v>
      </c>
      <c r="H179" t="str">
        <f>'5. KPI Baselines'!H164</f>
        <v>↓</v>
      </c>
      <c r="I179" t="str">
        <f>'5. KPI Baselines'!I164</f>
        <v>24 months</v>
      </c>
      <c r="J179" t="str">
        <f>'5. KPI Baselines'!J164</f>
        <v>Post-release defects requiring hotfix</v>
      </c>
      <c r="K179" s="15" t="str">
        <f t="shared" si="19"/>
        <v>3.2 defects per 1000 lines → 1.5 defects per 1000 lines</v>
      </c>
      <c r="L179" s="34" t="str" cm="1">
        <f t="array" ref="L179">IFERROR(_xlfn.LET(_xlpm.e,E179,_xlpm.f,F179,_xlpm.h,H179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79" s="15" t="str" cm="1">
        <f t="array" ref="M179">IFERROR(_xlfn.LET(_xlpm.e,E179,_xlpm.f,F179,_xlpm.h,H179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79" s="15" t="str" cm="1">
        <f t="array" ref="N179">IFERROR(_xlfn.LET(_xlpm.e,E179,_xlpm.f,F179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79" s="15" t="str">
        <f t="shared" si="20"/>
        <v>1.8 defects per 1000 lines → 1.5 defects per 1000 lines</v>
      </c>
      <c r="P179" s="34" t="str" cm="1">
        <f t="array" ref="P179">IFERROR(_xlfn.LET(_xlpm.g,G179,_xlpm.f,F179,_xlpm.h,H179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79" s="15" t="str" cm="1">
        <f t="array" ref="Q179">IFERROR(_xlfn.LET(_xlpm.e,E179,_xlpm.g,G179,_xlpm.h,H179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79" s="15" t="str">
        <f t="shared" si="21"/>
        <v>⚪ N/A</v>
      </c>
      <c r="S179" s="35" cm="1">
        <f t="array" ref="S179">IFERROR(_xlfn.LET(_xlpm.e,E179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79" s="36">
        <f t="shared" si="22"/>
        <v>0</v>
      </c>
      <c r="U179" s="15">
        <f t="shared" si="23"/>
        <v>554</v>
      </c>
      <c r="V179" s="16">
        <f t="shared" si="24"/>
        <v>0</v>
      </c>
      <c r="W179" s="16">
        <f t="shared" si="25"/>
        <v>0</v>
      </c>
      <c r="X179" s="37" t="str">
        <f t="shared" si="26"/>
        <v>-</v>
      </c>
      <c r="Y179" s="15" t="str">
        <f t="shared" si="27"/>
        <v>📉 Low</v>
      </c>
    </row>
    <row r="180" spans="1:25" x14ac:dyDescent="0.2">
      <c r="A180" t="str">
        <f>'5. KPI Baselines'!A165</f>
        <v>Cimsense</v>
      </c>
      <c r="B180" t="str">
        <f>'5. KPI Baselines'!B165</f>
        <v>Marketing</v>
      </c>
      <c r="C180" t="str">
        <f>'5. KPI Baselines'!C165</f>
        <v>Content Production</v>
      </c>
      <c r="D180" t="str">
        <f>'5. KPI Baselines'!D165</f>
        <v>Monthly Content Output</v>
      </c>
      <c r="E180" t="str">
        <f>'5. KPI Baselines'!E165</f>
        <v>18 assets</v>
      </c>
      <c r="F180" t="str">
        <f>'5. KPI Baselines'!F165</f>
        <v>42 assets</v>
      </c>
      <c r="G180" t="str">
        <f>'5. KPI Baselines'!G165</f>
        <v>32 assets (B2B software marketing)</v>
      </c>
      <c r="H180" t="str">
        <f>'5. KPI Baselines'!H165</f>
        <v>↑</v>
      </c>
      <c r="I180" t="str">
        <f>'5. KPI Baselines'!I165</f>
        <v>12 months</v>
      </c>
      <c r="J180" t="str">
        <f>'5. KPI Baselines'!J165</f>
        <v>Published blog posts, case studies, whitepapers, guides</v>
      </c>
      <c r="K180" s="15" t="str">
        <f t="shared" si="19"/>
        <v>42 assets - 18 assets</v>
      </c>
      <c r="L180" s="34" t="str" cm="1">
        <f t="array" ref="L180">IFERROR(_xlfn.LET(_xlpm.e,E180,_xlpm.f,F180,_xlpm.h,H180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80" s="15" t="str" cm="1">
        <f t="array" ref="M180">IFERROR(_xlfn.LET(_xlpm.e,E180,_xlpm.f,F180,_xlpm.h,H180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80" s="15" t="str" cm="1">
        <f t="array" ref="N180">IFERROR(_xlfn.LET(_xlpm.e,E180,_xlpm.f,F180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80" s="15" t="str">
        <f t="shared" si="20"/>
        <v>42 assets - 32 assets (B2B software marketing)</v>
      </c>
      <c r="P180" s="34" t="str" cm="1">
        <f t="array" ref="P180">IFERROR(_xlfn.LET(_xlpm.g,G180,_xlpm.f,F180,_xlpm.h,H180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80" s="15" t="str" cm="1">
        <f t="array" ref="Q180">IFERROR(_xlfn.LET(_xlpm.e,E180,_xlpm.g,G180,_xlpm.h,H180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80" s="15" t="str">
        <f t="shared" si="21"/>
        <v>⚪ N/A</v>
      </c>
      <c r="S180" s="35" cm="1">
        <f t="array" ref="S180">IFERROR(_xlfn.LET(_xlpm.e,E180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80" s="36">
        <f t="shared" si="22"/>
        <v>0</v>
      </c>
      <c r="U180" s="15">
        <f t="shared" si="23"/>
        <v>554</v>
      </c>
      <c r="V180" s="16">
        <f t="shared" si="24"/>
        <v>0</v>
      </c>
      <c r="W180" s="16">
        <f t="shared" si="25"/>
        <v>0</v>
      </c>
      <c r="X180" s="37" t="str">
        <f t="shared" si="26"/>
        <v>-</v>
      </c>
      <c r="Y180" s="15" t="str">
        <f t="shared" si="27"/>
        <v>📉 Low</v>
      </c>
    </row>
    <row r="181" spans="1:25" x14ac:dyDescent="0.2">
      <c r="A181" t="str">
        <f>'5. KPI Baselines'!A166</f>
        <v>Cimsense</v>
      </c>
      <c r="B181" t="str">
        <f>'5. KPI Baselines'!B166</f>
        <v>Human Resources</v>
      </c>
      <c r="C181" t="str">
        <f>'5. KPI Baselines'!C166</f>
        <v>Talent Acquisition</v>
      </c>
      <c r="D181" t="str">
        <f>'5. KPI Baselines'!D166</f>
        <v>Engineering Candidate Screening Time</v>
      </c>
      <c r="E181" t="str">
        <f>'5. KPI Baselines'!E166</f>
        <v>6 hours per candidate</v>
      </c>
      <c r="F181" t="str">
        <f>'5. KPI Baselines'!F166</f>
        <v>2 hours per candidate</v>
      </c>
      <c r="G181" t="str">
        <f>'5. KPI Baselines'!G166</f>
        <v>3 hours per candidate</v>
      </c>
      <c r="H181" t="str">
        <f>'5. KPI Baselines'!H166</f>
        <v>↓</v>
      </c>
      <c r="I181" t="str">
        <f>'5. KPI Baselines'!I166</f>
        <v>9 months</v>
      </c>
      <c r="J181" t="str">
        <f>'5. KPI Baselines'!J166</f>
        <v>Recruiter hours from resume review to first interview</v>
      </c>
      <c r="K181" s="15" t="str">
        <f t="shared" si="19"/>
        <v>6 hours per candidate → 2 hours per candidate</v>
      </c>
      <c r="L181" s="34" t="str" cm="1">
        <f t="array" ref="L181">IFERROR(_xlfn.LET(_xlpm.e,E181,_xlpm.f,F181,_xlpm.h,H181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81" s="15" t="str" cm="1">
        <f t="array" ref="M181">IFERROR(_xlfn.LET(_xlpm.e,E181,_xlpm.f,F181,_xlpm.h,H181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81" s="15" t="str" cm="1">
        <f t="array" ref="N181">IFERROR(_xlfn.LET(_xlpm.e,E181,_xlpm.f,F181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81" s="15" t="str">
        <f t="shared" si="20"/>
        <v>3 hours per candidate → 2 hours per candidate</v>
      </c>
      <c r="P181" s="34" t="str" cm="1">
        <f t="array" ref="P181">IFERROR(_xlfn.LET(_xlpm.g,G181,_xlpm.f,F181,_xlpm.h,H181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81" s="15" t="str" cm="1">
        <f t="array" ref="Q181">IFERROR(_xlfn.LET(_xlpm.e,E181,_xlpm.g,G181,_xlpm.h,H181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81" s="15" t="str">
        <f t="shared" si="21"/>
        <v>⚪ N/A</v>
      </c>
      <c r="S181" s="35" cm="1">
        <f t="array" ref="S181">IFERROR(_xlfn.LET(_xlpm.e,E181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81" s="36">
        <f t="shared" si="22"/>
        <v>0</v>
      </c>
      <c r="U181" s="15">
        <f t="shared" si="23"/>
        <v>554</v>
      </c>
      <c r="V181" s="16">
        <f t="shared" si="24"/>
        <v>0</v>
      </c>
      <c r="W181" s="16">
        <f t="shared" si="25"/>
        <v>0</v>
      </c>
      <c r="X181" s="37" t="str">
        <f t="shared" si="26"/>
        <v>-</v>
      </c>
      <c r="Y181" s="15" t="str">
        <f t="shared" si="27"/>
        <v>📉 Low</v>
      </c>
    </row>
    <row r="182" spans="1:25" x14ac:dyDescent="0.2">
      <c r="A182" t="str">
        <f>'5. KPI Baselines'!A167</f>
        <v>Cimsense</v>
      </c>
      <c r="B182" t="str">
        <f>'5. KPI Baselines'!B167</f>
        <v>Legal &amp; Compliance</v>
      </c>
      <c r="C182" t="str">
        <f>'5. KPI Baselines'!C167</f>
        <v>Contract Management</v>
      </c>
      <c r="D182" t="str">
        <f>'5. KPI Baselines'!D167</f>
        <v>Contract Extraction Accuracy</v>
      </c>
      <c r="E182" t="str">
        <f>'5. KPI Baselines'!E167</f>
        <v>87% first-pass accuracy</v>
      </c>
      <c r="F182" t="str">
        <f>'5. KPI Baselines'!F167</f>
        <v>98% first-pass accuracy</v>
      </c>
      <c r="G182" t="str">
        <f>'5. KPI Baselines'!G167</f>
        <v>95% (legal tech platforms)</v>
      </c>
      <c r="H182" t="str">
        <f>'5. KPI Baselines'!H167</f>
        <v>↑</v>
      </c>
      <c r="I182" t="str">
        <f>'5. KPI Baselines'!I167</f>
        <v>12 months</v>
      </c>
      <c r="J182" t="str">
        <f>'5. KPI Baselines'!J167</f>
        <v>Key term extraction requiring no human correction</v>
      </c>
      <c r="K182" s="15" t="str">
        <f t="shared" si="19"/>
        <v>98% first-pass accuracy - 87% first-pass accuracy</v>
      </c>
      <c r="L182" s="34" t="str" cm="1">
        <f t="array" ref="L182">IFERROR(_xlfn.LET(_xlpm.e,E182,_xlpm.f,F182,_xlpm.h,H182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182" s="15" t="str" cm="1">
        <f t="array" ref="M182">IFERROR(_xlfn.LET(_xlpm.e,E182,_xlpm.f,F182,_xlpm.h,H182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182" s="15" t="str" cm="1">
        <f t="array" ref="N182">IFERROR(_xlfn.LET(_xlpm.e,E182,_xlpm.f,F182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182" s="15" t="str">
        <f t="shared" si="20"/>
        <v>98% first-pass accuracy - 95% (legal tech platforms)</v>
      </c>
      <c r="P182" s="34" t="str" cm="1">
        <f t="array" ref="P182">IFERROR(_xlfn.LET(_xlpm.g,G182,_xlpm.f,F182,_xlpm.h,H182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182" s="15" t="str" cm="1">
        <f t="array" ref="Q182">IFERROR(_xlfn.LET(_xlpm.e,E182,_xlpm.g,G182,_xlpm.h,H182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182" s="15" t="str">
        <f t="shared" si="21"/>
        <v>⚪ N/A</v>
      </c>
      <c r="S182" s="35" cm="1">
        <f t="array" ref="S182">IFERROR(_xlfn.LET(_xlpm.e,E182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182" s="36">
        <f t="shared" si="22"/>
        <v>0</v>
      </c>
      <c r="U182" s="15">
        <f t="shared" si="23"/>
        <v>554</v>
      </c>
      <c r="V182" s="16">
        <f t="shared" si="24"/>
        <v>0</v>
      </c>
      <c r="W182" s="16">
        <f t="shared" si="25"/>
        <v>0</v>
      </c>
      <c r="X182" s="37" t="str">
        <f t="shared" si="26"/>
        <v>-</v>
      </c>
      <c r="Y182" s="15" t="str">
        <f t="shared" si="27"/>
        <v>📉 Low</v>
      </c>
    </row>
    <row r="183" spans="1:25" x14ac:dyDescent="0.2">
      <c r="A183" t="str">
        <f>'5. KPI Baselines'!A168</f>
        <v>Commonwealth Pain</v>
      </c>
      <c r="B183" t="str">
        <f>'5. KPI Baselines'!B168</f>
        <v>Clinical Operations</v>
      </c>
      <c r="C183" t="str">
        <f>'5. KPI Baselines'!C168</f>
        <v>Documentation</v>
      </c>
      <c r="D183" t="str">
        <f>'5. KPI Baselines'!D168</f>
        <v>Daily Documentation Time per Physician</v>
      </c>
      <c r="E183" t="str">
        <f>'5. KPI Baselines'!E168</f>
        <v>2.1 hours</v>
      </c>
      <c r="F183" t="str">
        <f>'5. KPI Baselines'!F168</f>
        <v>1.2 hours</v>
      </c>
      <c r="G183" t="str">
        <f>'5. KPI Baselines'!G168</f>
        <v>1.4 hours</v>
      </c>
      <c r="H183" t="str">
        <f>'5. KPI Baselines'!H168</f>
        <v>↓</v>
      </c>
      <c r="I183" t="str">
        <f>'5. KPI Baselines'!I168</f>
        <v>12 months</v>
      </c>
      <c r="J183" t="str">
        <f>'5. KPI Baselines'!J168</f>
        <v>EHR timestamp analysis</v>
      </c>
      <c r="K183" s="15" t="str">
        <f t="shared" si="19"/>
        <v>2.1 hours → 1.2 hours</v>
      </c>
      <c r="L183" s="34" cm="1">
        <f t="array" ref="L183">IFERROR(_xlfn.LET(_xlpm.e,E183,_xlpm.f,F183,_xlpm.h,H183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0.42855102137993428</v>
      </c>
      <c r="M183" s="15" cm="1">
        <f t="array" ref="M183">IFERROR(_xlfn.LET(_xlpm.e,E183,_xlpm.f,F183,_xlpm.h,H183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1.3</v>
      </c>
      <c r="N183" s="15" cm="1">
        <f t="array" ref="N183">IFERROR(_xlfn.LET(_xlpm.e,E183,_xlpm.f,F183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0.69</v>
      </c>
      <c r="O183" s="15" t="str">
        <f t="shared" si="20"/>
        <v>1.4 hours → 1.2 hours</v>
      </c>
      <c r="P183" s="34" cm="1">
        <f t="array" ref="P183">IFERROR(_xlfn.LET(_xlpm.g,G183,_xlpm.f,F183,_xlpm.h,H183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0.14284693950432109</v>
      </c>
      <c r="Q183" s="15" t="str" cm="1">
        <f t="array" ref="Q183">IFERROR(_xlfn.LET(_xlpm.e,E183,_xlpm.g,G183,_xlpm.h,H183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3" s="15" t="str">
        <f t="shared" si="21"/>
        <v>🔴 Lagging</v>
      </c>
      <c r="S183" s="35" cm="1">
        <f t="array" ref="S183">IFERROR(_xlfn.LET(_xlpm.e,E183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2.1</v>
      </c>
      <c r="T183" s="36">
        <f t="shared" si="22"/>
        <v>42.855102137993427</v>
      </c>
      <c r="U183" s="15">
        <f t="shared" si="23"/>
        <v>284</v>
      </c>
      <c r="V183" s="16">
        <f t="shared" si="24"/>
        <v>125.64526689205276</v>
      </c>
      <c r="W183" s="16">
        <f t="shared" si="25"/>
        <v>312.4611821282457</v>
      </c>
      <c r="X183" s="37">
        <f t="shared" si="26"/>
        <v>659</v>
      </c>
      <c r="Y183" s="15" t="str">
        <f t="shared" si="27"/>
        <v>⚠️ High</v>
      </c>
    </row>
    <row r="184" spans="1:25" x14ac:dyDescent="0.2">
      <c r="A184" t="str">
        <f>'5. KPI Baselines'!A169</f>
        <v>Commonwealth Pain</v>
      </c>
      <c r="B184" t="str">
        <f>'5. KPI Baselines'!B169</f>
        <v>Clinical Operations</v>
      </c>
      <c r="C184" t="str">
        <f>'5. KPI Baselines'!C169</f>
        <v>Chart Closure</v>
      </c>
      <c r="D184" t="str">
        <f>'5. KPI Baselines'!D169</f>
        <v>Days from Encounter to Chart Closure</v>
      </c>
      <c r="E184" t="str">
        <f>'5. KPI Baselines'!E169</f>
        <v>4.2 days</v>
      </c>
      <c r="F184" t="str">
        <f>'5. KPI Baselines'!F169</f>
        <v>1.8 days</v>
      </c>
      <c r="G184" t="str">
        <f>'5. KPI Baselines'!G169</f>
        <v>2.1 days</v>
      </c>
      <c r="H184" t="str">
        <f>'5. KPI Baselines'!H169</f>
        <v>↓</v>
      </c>
      <c r="I184" t="str">
        <f>'5. KPI Baselines'!I169</f>
        <v>9 months</v>
      </c>
      <c r="J184" t="str">
        <f>'5. KPI Baselines'!J169</f>
        <v>EHR workflow timestamps</v>
      </c>
      <c r="K184" s="15" t="str">
        <f t="shared" si="19"/>
        <v>4.2 days → 1.8 days</v>
      </c>
      <c r="L184" s="34" cm="1">
        <f t="array" ref="L184">IFERROR(_xlfn.LET(_xlpm.e,E184,_xlpm.f,F184,_xlpm.h,H184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0.57141496631032607</v>
      </c>
      <c r="M184" s="15" cm="1">
        <f t="array" ref="M184">IFERROR(_xlfn.LET(_xlpm.e,E184,_xlpm.f,F184,_xlpm.h,H184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184" s="15" cm="1">
        <f t="array" ref="N184">IFERROR(_xlfn.LET(_xlpm.e,E184,_xlpm.f,F184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1.84</v>
      </c>
      <c r="O184" s="15" t="str">
        <f t="shared" si="20"/>
        <v>2.1 days → 1.8 days</v>
      </c>
      <c r="P184" s="34" cm="1">
        <f t="array" ref="P184">IFERROR(_xlfn.LET(_xlpm.g,G184,_xlpm.f,F184,_xlpm.h,H184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0.1428503404599781</v>
      </c>
      <c r="Q184" s="15" t="str" cm="1">
        <f t="array" ref="Q184">IFERROR(_xlfn.LET(_xlpm.e,E184,_xlpm.g,G184,_xlpm.h,H184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4" s="15" t="str">
        <f t="shared" si="21"/>
        <v>🔴 Lagging</v>
      </c>
      <c r="S184" s="35" cm="1">
        <f t="array" ref="S184">IFERROR(_xlfn.LET(_xlpm.e,E184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184" s="36">
        <f t="shared" si="22"/>
        <v>57.141496631032609</v>
      </c>
      <c r="U184" s="15">
        <f t="shared" si="23"/>
        <v>177</v>
      </c>
      <c r="V184" s="16">
        <f t="shared" si="24"/>
        <v>335.06202233280169</v>
      </c>
      <c r="W184" s="16">
        <f t="shared" si="25"/>
        <v>833.24965734152852</v>
      </c>
      <c r="X184" s="37">
        <f t="shared" si="26"/>
        <v>256</v>
      </c>
      <c r="Y184" s="15" t="str">
        <f t="shared" si="27"/>
        <v>🔥 Critical</v>
      </c>
    </row>
    <row r="185" spans="1:25" x14ac:dyDescent="0.2">
      <c r="A185" t="str">
        <f>'5. KPI Baselines'!A170</f>
        <v>Commonwealth Pain</v>
      </c>
      <c r="B185" t="str">
        <f>'5. KPI Baselines'!B170</f>
        <v>Revenue Cycle</v>
      </c>
      <c r="C185" t="str">
        <f>'5. KPI Baselines'!C170</f>
        <v>Claims Processing</v>
      </c>
      <c r="D185" t="str">
        <f>'5. KPI Baselines'!D170</f>
        <v>First-Pass Claim Acceptance Rate</v>
      </c>
      <c r="E185" t="str">
        <f>'5. KPI Baselines'!E170</f>
        <v>88%</v>
      </c>
      <c r="F185" t="str">
        <f>'5. KPI Baselines'!F170</f>
        <v>93%</v>
      </c>
      <c r="G185" t="str">
        <f>'5. KPI Baselines'!G170</f>
        <v>94%</v>
      </c>
      <c r="H185" t="str">
        <f>'5. KPI Baselines'!H170</f>
        <v>↑</v>
      </c>
      <c r="I185" t="str">
        <f>'5. KPI Baselines'!I170</f>
        <v>12 months</v>
      </c>
      <c r="J185" t="str">
        <f>'5. KPI Baselines'!J170</f>
        <v>Clearinghouse rejection reports</v>
      </c>
      <c r="K185" s="15" t="str">
        <f t="shared" si="19"/>
        <v>93% - 88%</v>
      </c>
      <c r="L185" s="34" cm="1">
        <f t="array" ref="L185">IFERROR(_xlfn.LET(_xlpm.e,E185,_xlpm.f,F185,_xlpm.h,H185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5.6818117252139484E-2</v>
      </c>
      <c r="M185" s="15" cm="1">
        <f t="array" ref="M185">IFERROR(_xlfn.LET(_xlpm.e,E185,_xlpm.f,F185,_xlpm.h,H185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92.3</v>
      </c>
      <c r="N185" s="15" cm="1">
        <f t="array" ref="N185">IFERROR(_xlfn.LET(_xlpm.e,E185,_xlpm.f,F185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185" s="15" t="str">
        <f t="shared" si="20"/>
        <v>93% - 94%</v>
      </c>
      <c r="P185" s="34" cm="1">
        <f t="array" ref="P185">IFERROR(_xlfn.LET(_xlpm.g,G185,_xlpm.f,F185,_xlpm.h,H185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-1.0638286555014302E-2</v>
      </c>
      <c r="Q185" s="15" t="str" cm="1">
        <f t="array" ref="Q185">IFERROR(_xlfn.LET(_xlpm.e,E185,_xlpm.g,G185,_xlpm.h,H185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5" s="15" t="str">
        <f t="shared" si="21"/>
        <v>🔴 Lagging</v>
      </c>
      <c r="S185" s="35" cm="1">
        <f t="array" ref="S185">IFERROR(_xlfn.LET(_xlpm.e,E185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88</v>
      </c>
      <c r="T185" s="36">
        <f t="shared" si="22"/>
        <v>5.6818117252139482</v>
      </c>
      <c r="U185" s="15">
        <f t="shared" si="23"/>
        <v>541</v>
      </c>
      <c r="V185" s="16">
        <f t="shared" si="24"/>
        <v>698.06170674806049</v>
      </c>
      <c r="W185" s="16">
        <f t="shared" si="25"/>
        <v>1735.9761452562602</v>
      </c>
      <c r="X185" s="37">
        <f t="shared" si="26"/>
        <v>124</v>
      </c>
      <c r="Y185" s="15" t="str">
        <f t="shared" si="27"/>
        <v>📉 Low</v>
      </c>
    </row>
    <row r="186" spans="1:25" x14ac:dyDescent="0.2">
      <c r="A186" t="str">
        <f>'5. KPI Baselines'!A171</f>
        <v>Commonwealth Pain</v>
      </c>
      <c r="B186" t="str">
        <f>'5. KPI Baselines'!B171</f>
        <v>Revenue Cycle</v>
      </c>
      <c r="C186" t="str">
        <f>'5. KPI Baselines'!C171</f>
        <v>Collections</v>
      </c>
      <c r="D186" t="str">
        <f>'5. KPI Baselines'!D171</f>
        <v>Days in Accounts Receivable</v>
      </c>
      <c r="E186" t="str">
        <f>'5. KPI Baselines'!E171</f>
        <v>89 days</v>
      </c>
      <c r="F186" t="str">
        <f>'5. KPI Baselines'!F171</f>
        <v>68 days</v>
      </c>
      <c r="G186" t="str">
        <f>'5. KPI Baselines'!G171</f>
        <v>64 days</v>
      </c>
      <c r="H186" t="str">
        <f>'5. KPI Baselines'!H171</f>
        <v>↓</v>
      </c>
      <c r="I186" t="str">
        <f>'5. KPI Baselines'!I171</f>
        <v>12 months</v>
      </c>
      <c r="J186" t="str">
        <f>'5. KPI Baselines'!J171</f>
        <v>Aging report analysis</v>
      </c>
      <c r="K186" s="15" t="str">
        <f t="shared" si="19"/>
        <v>89 days → 68 days</v>
      </c>
      <c r="L186" s="34" cm="1">
        <f t="array" ref="L186">IFERROR(_xlfn.LET(_xlpm.e,E186,_xlpm.f,F186,_xlpm.h,H186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0.23595479106203252</v>
      </c>
      <c r="M186" s="15" cm="1">
        <f t="array" ref="M186">IFERROR(_xlfn.LET(_xlpm.e,E186,_xlpm.f,F186,_xlpm.h,H186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71.2</v>
      </c>
      <c r="N186" s="15" cm="1">
        <f t="array" ref="N186">IFERROR(_xlfn.LET(_xlpm.e,E186,_xlpm.f,F186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16.07</v>
      </c>
      <c r="O186" s="15" t="str">
        <f t="shared" si="20"/>
        <v>64 days → 68 days</v>
      </c>
      <c r="P186" s="34" cm="1">
        <f t="array" ref="P186">IFERROR(_xlfn.LET(_xlpm.g,G186,_xlpm.f,F186,_xlpm.h,H186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-6.2499902343902583E-2</v>
      </c>
      <c r="Q186" s="15" t="str" cm="1">
        <f t="array" ref="Q186">IFERROR(_xlfn.LET(_xlpm.e,E186,_xlpm.g,G186,_xlpm.h,H186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6" s="15" t="str">
        <f t="shared" si="21"/>
        <v>🔴 Lagging</v>
      </c>
      <c r="S186" s="35" cm="1">
        <f t="array" ref="S186">IFERROR(_xlfn.LET(_xlpm.e,E186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89</v>
      </c>
      <c r="T186" s="36">
        <f t="shared" si="22"/>
        <v>23.59547910620325</v>
      </c>
      <c r="U186" s="15">
        <f t="shared" si="23"/>
        <v>432</v>
      </c>
      <c r="V186" s="16">
        <f t="shared" si="24"/>
        <v>2931.859205776173</v>
      </c>
      <c r="W186" s="16">
        <f t="shared" si="25"/>
        <v>7291.099903169903</v>
      </c>
      <c r="X186" s="37">
        <f t="shared" si="26"/>
        <v>30</v>
      </c>
      <c r="Y186" s="15" t="str">
        <f t="shared" si="27"/>
        <v>📊 Medium</v>
      </c>
    </row>
    <row r="187" spans="1:25" x14ac:dyDescent="0.2">
      <c r="A187" t="str">
        <f>'5. KPI Baselines'!A172</f>
        <v>Commonwealth Pain</v>
      </c>
      <c r="B187" t="str">
        <f>'5. KPI Baselines'!B172</f>
        <v>Revenue Cycle</v>
      </c>
      <c r="C187" t="str">
        <f>'5. KPI Baselines'!C172</f>
        <v>Denial Management</v>
      </c>
      <c r="D187" t="str">
        <f>'5. KPI Baselines'!D172</f>
        <v>Denial Rate</v>
      </c>
      <c r="E187" t="str">
        <f>'5. KPI Baselines'!E172</f>
        <v>12%</v>
      </c>
      <c r="F187" t="str">
        <f>'5. KPI Baselines'!F172</f>
        <v>8.5%</v>
      </c>
      <c r="G187" t="str">
        <f>'5. KPI Baselines'!G172</f>
        <v>8%</v>
      </c>
      <c r="H187" t="str">
        <f>'5. KPI Baselines'!H172</f>
        <v>↓</v>
      </c>
      <c r="I187" t="str">
        <f>'5. KPI Baselines'!I172</f>
        <v>12 months</v>
      </c>
      <c r="J187" t="str">
        <f>'5. KPI Baselines'!J172</f>
        <v>Payer remittance analysis</v>
      </c>
      <c r="K187" s="15" t="str">
        <f t="shared" si="19"/>
        <v>12% → 8.5%</v>
      </c>
      <c r="L187" s="34" cm="1">
        <f t="array" ref="L187">IFERROR(_xlfn.LET(_xlpm.e,E187,_xlpm.f,F187,_xlpm.h,H187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0.29166423613136555</v>
      </c>
      <c r="M187" s="15" cm="1">
        <f t="array" ref="M187">IFERROR(_xlfn.LET(_xlpm.e,E187,_xlpm.f,F187,_xlpm.h,H187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</v>
      </c>
      <c r="N187" s="15" cm="1">
        <f t="array" ref="N187">IFERROR(_xlfn.LET(_xlpm.e,E187,_xlpm.f,F187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2.68</v>
      </c>
      <c r="O187" s="15" t="str">
        <f t="shared" si="20"/>
        <v>8% → 8.5%</v>
      </c>
      <c r="P187" s="34" cm="1">
        <f t="array" ref="P187">IFERROR(_xlfn.LET(_xlpm.g,G187,_xlpm.f,F187,_xlpm.h,H187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-6.2499218759765503E-2</v>
      </c>
      <c r="Q187" s="15" t="str" cm="1">
        <f t="array" ref="Q187">IFERROR(_xlfn.LET(_xlpm.e,E187,_xlpm.g,G187,_xlpm.h,H187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7" s="15" t="str">
        <f t="shared" si="21"/>
        <v>🔴 Lagging</v>
      </c>
      <c r="S187" s="35" cm="1">
        <f t="array" ref="S187">IFERROR(_xlfn.LET(_xlpm.e,E187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87" s="36">
        <f t="shared" si="22"/>
        <v>29.166423613136555</v>
      </c>
      <c r="U187" s="15">
        <f t="shared" si="23"/>
        <v>397</v>
      </c>
      <c r="V187" s="16">
        <f t="shared" si="24"/>
        <v>488.6396780026833</v>
      </c>
      <c r="W187" s="16">
        <f t="shared" si="25"/>
        <v>1215.1745561148634</v>
      </c>
      <c r="X187" s="37">
        <f t="shared" si="26"/>
        <v>177</v>
      </c>
      <c r="Y187" s="15" t="str">
        <f t="shared" si="27"/>
        <v>⚠️ High</v>
      </c>
    </row>
    <row r="188" spans="1:25" x14ac:dyDescent="0.2">
      <c r="A188" t="str">
        <f>'5. KPI Baselines'!A173</f>
        <v>Commonwealth Pain</v>
      </c>
      <c r="B188" t="str">
        <f>'5. KPI Baselines'!B173</f>
        <v>Utilization Management</v>
      </c>
      <c r="C188" t="str">
        <f>'5. KPI Baselines'!C173</f>
        <v>Prior Authorization</v>
      </c>
      <c r="D188" t="str">
        <f>'5. KPI Baselines'!D173</f>
        <v>Average Authorization Turnaround Time</v>
      </c>
      <c r="E188" t="str">
        <f>'5. KPI Baselines'!E173</f>
        <v>6.8 days</v>
      </c>
      <c r="F188" t="str">
        <f>'5. KPI Baselines'!F173</f>
        <v>3.8 days</v>
      </c>
      <c r="G188" t="str">
        <f>'5. KPI Baselines'!G173</f>
        <v>4.2 days</v>
      </c>
      <c r="H188" t="str">
        <f>'5. KPI Baselines'!H173</f>
        <v>↓</v>
      </c>
      <c r="I188" t="str">
        <f>'5. KPI Baselines'!I173</f>
        <v>9 months</v>
      </c>
      <c r="J188" t="str">
        <f>'5. KPI Baselines'!J173</f>
        <v>Authorization tracking system</v>
      </c>
      <c r="K188" s="15" t="str">
        <f t="shared" si="19"/>
        <v>6.8 days → 3.8 days</v>
      </c>
      <c r="L188" s="34" cm="1">
        <f t="array" ref="L188">IFERROR(_xlfn.LET(_xlpm.e,E188,_xlpm.f,F188,_xlpm.h,H188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0.4411699827943707</v>
      </c>
      <c r="M188" s="15" cm="1">
        <f t="array" ref="M188">IFERROR(_xlfn.LET(_xlpm.e,E188,_xlpm.f,F188,_xlpm.h,H188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4.3</v>
      </c>
      <c r="N188" s="15" cm="1">
        <f t="array" ref="N188">IFERROR(_xlfn.LET(_xlpm.e,E188,_xlpm.f,F188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188" s="15" t="str">
        <f t="shared" si="20"/>
        <v>4.2 days → 3.8 days</v>
      </c>
      <c r="P188" s="34" cm="1">
        <f t="array" ref="P188">IFERROR(_xlfn.LET(_xlpm.g,G188,_xlpm.f,F188,_xlpm.h,H188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9.5235827718387747E-2</v>
      </c>
      <c r="Q188" s="15" t="str" cm="1">
        <f t="array" ref="Q188">IFERROR(_xlfn.LET(_xlpm.e,E188,_xlpm.g,G188,_xlpm.h,H188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8" s="15" t="str">
        <f t="shared" si="21"/>
        <v>🔴 Lagging</v>
      </c>
      <c r="S188" s="35" cm="1">
        <f t="array" ref="S188">IFERROR(_xlfn.LET(_xlpm.e,E188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6.8</v>
      </c>
      <c r="T188" s="36">
        <f t="shared" si="22"/>
        <v>44.11699827943707</v>
      </c>
      <c r="U188" s="15">
        <f t="shared" si="23"/>
        <v>275</v>
      </c>
      <c r="V188" s="16">
        <f t="shared" si="24"/>
        <v>418.83134071557771</v>
      </c>
      <c r="W188" s="16">
        <f t="shared" si="25"/>
        <v>1041.5715535451266</v>
      </c>
      <c r="X188" s="37">
        <f t="shared" si="26"/>
        <v>206</v>
      </c>
      <c r="Y188" s="15" t="str">
        <f t="shared" si="27"/>
        <v>⚠️ High</v>
      </c>
    </row>
    <row r="189" spans="1:25" x14ac:dyDescent="0.2">
      <c r="A189" t="str">
        <f>'5. KPI Baselines'!A174</f>
        <v>Commonwealth Pain</v>
      </c>
      <c r="B189" t="str">
        <f>'5. KPI Baselines'!B174</f>
        <v>Utilization Management</v>
      </c>
      <c r="C189" t="str">
        <f>'5. KPI Baselines'!C174</f>
        <v>Prior Authorization</v>
      </c>
      <c r="D189" t="str">
        <f>'5. KPI Baselines'!D174</f>
        <v>First-Pass Authorization Approval Rate</v>
      </c>
      <c r="E189" t="str">
        <f>'5. KPI Baselines'!E174</f>
        <v>73%</v>
      </c>
      <c r="F189" t="str">
        <f>'5. KPI Baselines'!F174</f>
        <v>86%</v>
      </c>
      <c r="G189" t="str">
        <f>'5. KPI Baselines'!G174</f>
        <v>84%</v>
      </c>
      <c r="H189" t="str">
        <f>'5. KPI Baselines'!H174</f>
        <v>↑</v>
      </c>
      <c r="I189" t="str">
        <f>'5. KPI Baselines'!I174</f>
        <v>12 months</v>
      </c>
      <c r="J189" t="str">
        <f>'5. KPI Baselines'!J174</f>
        <v>Payer response tracking</v>
      </c>
      <c r="K189" s="15" t="str">
        <f t="shared" si="19"/>
        <v>86% - 73%</v>
      </c>
      <c r="L189" s="34" cm="1">
        <f t="array" ref="L189">IFERROR(_xlfn.LET(_xlpm.e,E189,_xlpm.f,F189,_xlpm.h,H189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0.17808194783294817</v>
      </c>
      <c r="M189" s="15" cm="1">
        <f t="array" ref="M189">IFERROR(_xlfn.LET(_xlpm.e,E189,_xlpm.f,F189,_xlpm.h,H189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84.1</v>
      </c>
      <c r="N189" s="15" cm="1">
        <f t="array" ref="N189">IFERROR(_xlfn.LET(_xlpm.e,E189,_xlpm.f,F189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189" s="15" t="str">
        <f t="shared" si="20"/>
        <v>86% - 84%</v>
      </c>
      <c r="P189" s="34" cm="1">
        <f t="array" ref="P189">IFERROR(_xlfn.LET(_xlpm.g,G189,_xlpm.f,F189,_xlpm.h,H189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2.3809495464886352E-2</v>
      </c>
      <c r="Q189" s="15" t="str" cm="1">
        <f t="array" ref="Q189">IFERROR(_xlfn.LET(_xlpm.e,E189,_xlpm.g,G189,_xlpm.h,H189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89" s="15" t="str">
        <f t="shared" si="21"/>
        <v>🔴 Lagging</v>
      </c>
      <c r="S189" s="35" cm="1">
        <f t="array" ref="S189">IFERROR(_xlfn.LET(_xlpm.e,E189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189" s="36">
        <f t="shared" si="22"/>
        <v>17.808194783294816</v>
      </c>
      <c r="U189" s="15">
        <f t="shared" si="23"/>
        <v>485</v>
      </c>
      <c r="V189" s="16">
        <f t="shared" si="24"/>
        <v>1814.9600137534055</v>
      </c>
      <c r="W189" s="16">
        <f t="shared" si="25"/>
        <v>4513.5369237594114</v>
      </c>
      <c r="X189" s="37">
        <f t="shared" si="26"/>
        <v>48</v>
      </c>
      <c r="Y189" s="15" t="str">
        <f t="shared" si="27"/>
        <v>📊 Medium</v>
      </c>
    </row>
    <row r="190" spans="1:25" x14ac:dyDescent="0.2">
      <c r="A190" t="str">
        <f>'5. KPI Baselines'!A175</f>
        <v>Commonwealth Pain</v>
      </c>
      <c r="B190" t="str">
        <f>'5. KPI Baselines'!B175</f>
        <v>Patient Access</v>
      </c>
      <c r="C190" t="str">
        <f>'5. KPI Baselines'!C175</f>
        <v>Insurance Verification</v>
      </c>
      <c r="D190" t="str">
        <f>'5. KPI Baselines'!D175</f>
        <v>Pre-Visit Verification Accuracy</v>
      </c>
      <c r="E190" t="str">
        <f>'5. KPI Baselines'!E175</f>
        <v>92%</v>
      </c>
      <c r="F190" t="str">
        <f>'5. KPI Baselines'!F175</f>
        <v>96%</v>
      </c>
      <c r="G190" t="str">
        <f>'5. KPI Baselines'!G175</f>
        <v>97%</v>
      </c>
      <c r="H190" t="str">
        <f>'5. KPI Baselines'!H175</f>
        <v>↑</v>
      </c>
      <c r="I190" t="str">
        <f>'5. KPI Baselines'!I175</f>
        <v>6 months</v>
      </c>
      <c r="J190" t="str">
        <f>'5. KPI Baselines'!J175</f>
        <v>Day-of-service discrepancy rate</v>
      </c>
      <c r="K190" s="15" t="str">
        <f t="shared" si="19"/>
        <v>96% - 92%</v>
      </c>
      <c r="L190" s="34" cm="1">
        <f t="array" ref="L190">IFERROR(_xlfn.LET(_xlpm.e,E190,_xlpm.f,F190,_xlpm.h,H190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4.3478213610637376E-2</v>
      </c>
      <c r="M190" s="15" cm="1">
        <f t="array" ref="M190">IFERROR(_xlfn.LET(_xlpm.e,E190,_xlpm.f,F190,_xlpm.h,H190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95.4</v>
      </c>
      <c r="N190" s="15" cm="1">
        <f t="array" ref="N190">IFERROR(_xlfn.LET(_xlpm.e,E190,_xlpm.f,F190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190" s="15" t="str">
        <f t="shared" si="20"/>
        <v>96% - 97%</v>
      </c>
      <c r="P190" s="34" cm="1">
        <f t="array" ref="P190">IFERROR(_xlfn.LET(_xlpm.g,G190,_xlpm.f,F190,_xlpm.h,H190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-1.0309267722404409E-2</v>
      </c>
      <c r="Q190" s="15" t="str" cm="1">
        <f t="array" ref="Q190">IFERROR(_xlfn.LET(_xlpm.e,E190,_xlpm.g,G190,_xlpm.h,H190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0" s="15" t="str">
        <f t="shared" si="21"/>
        <v>🔴 Lagging</v>
      </c>
      <c r="S190" s="35" cm="1">
        <f t="array" ref="S190">IFERROR(_xlfn.LET(_xlpm.e,E190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92</v>
      </c>
      <c r="T190" s="36">
        <f t="shared" si="22"/>
        <v>4.3478213610637377</v>
      </c>
      <c r="U190" s="15">
        <f t="shared" si="23"/>
        <v>547</v>
      </c>
      <c r="V190" s="16">
        <f t="shared" si="24"/>
        <v>558.44939298979011</v>
      </c>
      <c r="W190" s="16">
        <f t="shared" si="25"/>
        <v>1388.7809848205911</v>
      </c>
      <c r="X190" s="37">
        <f t="shared" si="26"/>
        <v>155</v>
      </c>
      <c r="Y190" s="15" t="str">
        <f t="shared" si="27"/>
        <v>📉 Low</v>
      </c>
    </row>
    <row r="191" spans="1:25" x14ac:dyDescent="0.2">
      <c r="A191" t="str">
        <f>'5. KPI Baselines'!A176</f>
        <v>Commonwealth Pain</v>
      </c>
      <c r="B191" t="str">
        <f>'5. KPI Baselines'!B176</f>
        <v>Compliance</v>
      </c>
      <c r="C191" t="str">
        <f>'5. KPI Baselines'!C176</f>
        <v>Coding Accuracy</v>
      </c>
      <c r="D191" t="str">
        <f>'5. KPI Baselines'!D176</f>
        <v>Coding Error Rate</v>
      </c>
      <c r="E191" t="str">
        <f>'5. KPI Baselines'!E176</f>
        <v>6.4%</v>
      </c>
      <c r="F191" t="str">
        <f>'5. KPI Baselines'!F176</f>
        <v>2.8%</v>
      </c>
      <c r="G191" t="str">
        <f>'5. KPI Baselines'!G176</f>
        <v>3.2%</v>
      </c>
      <c r="H191" t="str">
        <f>'5. KPI Baselines'!H176</f>
        <v>↓</v>
      </c>
      <c r="I191" t="str">
        <f>'5. KPI Baselines'!I176</f>
        <v>12 months</v>
      </c>
      <c r="J191" t="str">
        <f>'5. KPI Baselines'!J176</f>
        <v>External audit results</v>
      </c>
      <c r="K191" s="15" t="str">
        <f t="shared" si="19"/>
        <v>6.4% → 2.8%</v>
      </c>
      <c r="L191" s="34" cm="1">
        <f t="array" ref="L191">IFERROR(_xlfn.LET(_xlpm.e,E191,_xlpm.f,F191,_xlpm.h,H191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0.56249121107482702</v>
      </c>
      <c r="M191" s="15" cm="1">
        <f t="array" ref="M191">IFERROR(_xlfn.LET(_xlpm.e,E191,_xlpm.f,F191,_xlpm.h,H191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3.3</v>
      </c>
      <c r="N191" s="15" cm="1">
        <f t="array" ref="N191">IFERROR(_xlfn.LET(_xlpm.e,E191,_xlpm.f,F191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2.75</v>
      </c>
      <c r="O191" s="15" t="str">
        <f t="shared" si="20"/>
        <v>3.2% → 2.8%</v>
      </c>
      <c r="P191" s="34" cm="1">
        <f t="array" ref="P191">IFERROR(_xlfn.LET(_xlpm.g,G191,_xlpm.f,F191,_xlpm.h,H191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0.12499609387206659</v>
      </c>
      <c r="Q191" s="15" t="str" cm="1">
        <f t="array" ref="Q191">IFERROR(_xlfn.LET(_xlpm.e,E191,_xlpm.g,G191,_xlpm.h,H191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1" s="15" t="str">
        <f t="shared" si="21"/>
        <v>🔴 Lagging</v>
      </c>
      <c r="S191" s="35" cm="1">
        <f t="array" ref="S191">IFERROR(_xlfn.LET(_xlpm.e,E191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6.4</v>
      </c>
      <c r="T191" s="36">
        <f t="shared" si="22"/>
        <v>56.249121107482701</v>
      </c>
      <c r="U191" s="15">
        <f t="shared" si="23"/>
        <v>182</v>
      </c>
      <c r="V191" s="16">
        <f t="shared" si="24"/>
        <v>502.59714691957942</v>
      </c>
      <c r="W191" s="16">
        <f t="shared" si="25"/>
        <v>1249.8847154799469</v>
      </c>
      <c r="X191" s="37">
        <f t="shared" si="26"/>
        <v>172</v>
      </c>
      <c r="Y191" s="15" t="str">
        <f t="shared" si="27"/>
        <v>🔥 Critical</v>
      </c>
    </row>
    <row r="192" spans="1:25" x14ac:dyDescent="0.2">
      <c r="A192" t="str">
        <f>'5. KPI Baselines'!A177</f>
        <v>Commonwealth Pain</v>
      </c>
      <c r="B192" t="str">
        <f>'5. KPI Baselines'!B177</f>
        <v>Compliance</v>
      </c>
      <c r="C192" t="str">
        <f>'5. KPI Baselines'!C177</f>
        <v>Documentation Quality</v>
      </c>
      <c r="D192" t="str">
        <f>'5. KPI Baselines'!D177</f>
        <v>Charts Meeting Documentation Standards</v>
      </c>
      <c r="E192" t="str">
        <f>'5. KPI Baselines'!E177</f>
        <v>81%</v>
      </c>
      <c r="F192" t="str">
        <f>'5. KPI Baselines'!F177</f>
        <v>90%</v>
      </c>
      <c r="G192" t="str">
        <f>'5. KPI Baselines'!G177</f>
        <v>92%</v>
      </c>
      <c r="H192" t="str">
        <f>'5. KPI Baselines'!H177</f>
        <v>↑</v>
      </c>
      <c r="I192" t="str">
        <f>'5. KPI Baselines'!I177</f>
        <v>12 months</v>
      </c>
      <c r="J192" t="str">
        <f>'5. KPI Baselines'!J177</f>
        <v>Internal quality audit sampling</v>
      </c>
      <c r="K192" s="15" t="str">
        <f t="shared" si="19"/>
        <v>90% - 81%</v>
      </c>
      <c r="L192" s="34" cm="1">
        <f t="array" ref="L192">IFERROR(_xlfn.LET(_xlpm.e,E192,_xlpm.f,F192,_xlpm.h,H192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0.11111097393706922</v>
      </c>
      <c r="M192" s="15" cm="1">
        <f t="array" ref="M192">IFERROR(_xlfn.LET(_xlpm.e,E192,_xlpm.f,F192,_xlpm.h,H192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88.7</v>
      </c>
      <c r="N192" s="15" cm="1">
        <f t="array" ref="N192">IFERROR(_xlfn.LET(_xlpm.e,E192,_xlpm.f,F192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192" s="15" t="str">
        <f t="shared" si="20"/>
        <v>90% - 92%</v>
      </c>
      <c r="P192" s="34" cm="1">
        <f t="array" ref="P192">IFERROR(_xlfn.LET(_xlpm.g,G192,_xlpm.f,F192,_xlpm.h,H192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-2.1739106805318688E-2</v>
      </c>
      <c r="Q192" s="15" t="str" cm="1">
        <f t="array" ref="Q192">IFERROR(_xlfn.LET(_xlpm.e,E192,_xlpm.g,G192,_xlpm.h,H192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2" s="15" t="str">
        <f t="shared" si="21"/>
        <v>🔴 Lagging</v>
      </c>
      <c r="S192" s="35" cm="1">
        <f t="array" ref="S192">IFERROR(_xlfn.LET(_xlpm.e,E192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81</v>
      </c>
      <c r="T192" s="36">
        <f t="shared" si="22"/>
        <v>11.111097393706922</v>
      </c>
      <c r="U192" s="15">
        <f t="shared" si="23"/>
        <v>514</v>
      </c>
      <c r="V192" s="16">
        <f t="shared" si="24"/>
        <v>1256.5109487519151</v>
      </c>
      <c r="W192" s="16">
        <f t="shared" si="25"/>
        <v>3124.756754597177</v>
      </c>
      <c r="X192" s="37">
        <f t="shared" si="26"/>
        <v>69</v>
      </c>
      <c r="Y192" s="15" t="str">
        <f t="shared" si="27"/>
        <v>📊 Medium</v>
      </c>
    </row>
    <row r="193" spans="1:25" x14ac:dyDescent="0.2">
      <c r="A193" t="str">
        <f>'5. KPI Baselines'!A178</f>
        <v>Commonwealth Pain</v>
      </c>
      <c r="B193" t="str">
        <f>'5. KPI Baselines'!B178</f>
        <v>Patient Experience</v>
      </c>
      <c r="C193" t="str">
        <f>'5. KPI Baselines'!C178</f>
        <v>Scheduling Efficiency</v>
      </c>
      <c r="D193" t="str">
        <f>'5. KPI Baselines'!D178</f>
        <v>Procedure Cancellation Rate</v>
      </c>
      <c r="E193" t="str">
        <f>'5. KPI Baselines'!E178</f>
        <v>8%</v>
      </c>
      <c r="F193" t="str">
        <f>'5. KPI Baselines'!F178</f>
        <v>4.5%</v>
      </c>
      <c r="G193" t="str">
        <f>'5. KPI Baselines'!G178</f>
        <v>4%</v>
      </c>
      <c r="H193" t="str">
        <f>'5. KPI Baselines'!H178</f>
        <v>↓</v>
      </c>
      <c r="I193" t="str">
        <f>'5. KPI Baselines'!I178</f>
        <v>9 months</v>
      </c>
      <c r="J193" t="str">
        <f>'5. KPI Baselines'!J178</f>
        <v>Scheduling system cancellation tracking</v>
      </c>
      <c r="K193" s="15" t="str">
        <f t="shared" si="19"/>
        <v>8% → 4.5%</v>
      </c>
      <c r="L193" s="34" cm="1">
        <f t="array" ref="L193">IFERROR(_xlfn.LET(_xlpm.e,E193,_xlpm.f,F193,_xlpm.h,H193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0.43749453131835853</v>
      </c>
      <c r="M193" s="15" cm="1">
        <f t="array" ref="M193">IFERROR(_xlfn.LET(_xlpm.e,E193,_xlpm.f,F193,_xlpm.h,H193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</v>
      </c>
      <c r="N193" s="15" cm="1">
        <f t="array" ref="N193">IFERROR(_xlfn.LET(_xlpm.e,E193,_xlpm.f,F193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2.68</v>
      </c>
      <c r="O193" s="15" t="str">
        <f t="shared" si="20"/>
        <v>4% → 4.5%</v>
      </c>
      <c r="P193" s="34" cm="1">
        <f t="array" ref="P193">IFERROR(_xlfn.LET(_xlpm.g,G193,_xlpm.f,F193,_xlpm.h,H193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-0.12499687507812306</v>
      </c>
      <c r="Q193" s="15" t="str" cm="1">
        <f t="array" ref="Q193">IFERROR(_xlfn.LET(_xlpm.e,E193,_xlpm.g,G193,_xlpm.h,H193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3" s="15" t="str">
        <f t="shared" si="21"/>
        <v>🔴 Lagging</v>
      </c>
      <c r="S193" s="35" cm="1">
        <f t="array" ref="S193">IFERROR(_xlfn.LET(_xlpm.e,E193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193" s="36">
        <f t="shared" si="22"/>
        <v>43.74945313183585</v>
      </c>
      <c r="U193" s="15">
        <f t="shared" si="23"/>
        <v>276</v>
      </c>
      <c r="V193" s="16">
        <f t="shared" si="24"/>
        <v>488.63764202947459</v>
      </c>
      <c r="W193" s="16">
        <f t="shared" si="25"/>
        <v>1215.1694929508358</v>
      </c>
      <c r="X193" s="37">
        <f t="shared" si="26"/>
        <v>177</v>
      </c>
      <c r="Y193" s="15" t="str">
        <f t="shared" si="27"/>
        <v>⚠️ High</v>
      </c>
    </row>
    <row r="194" spans="1:25" x14ac:dyDescent="0.2">
      <c r="A194" t="str">
        <f>'5. KPI Baselines'!A179</f>
        <v>Commonwealth Pain</v>
      </c>
      <c r="B194" t="str">
        <f>'5. KPI Baselines'!B179</f>
        <v>Clinical Decision Support</v>
      </c>
      <c r="C194" t="str">
        <f>'5. KPI Baselines'!C179</f>
        <v>Treatment Planning</v>
      </c>
      <c r="D194" t="str">
        <f>'5. KPI Baselines'!D179</f>
        <v>Time to Treatment Plan Completion</v>
      </c>
      <c r="E194" t="str">
        <f>'5. KPI Baselines'!E179</f>
        <v>3.4 days</v>
      </c>
      <c r="F194" t="str">
        <f>'5. KPI Baselines'!F179</f>
        <v>2.0 days</v>
      </c>
      <c r="G194" t="str">
        <f>'5. KPI Baselines'!G179</f>
        <v>1.8 days</v>
      </c>
      <c r="H194" t="str">
        <f>'5. KPI Baselines'!H179</f>
        <v>↓</v>
      </c>
      <c r="I194" t="str">
        <f>'5. KPI Baselines'!I179</f>
        <v>9 months</v>
      </c>
      <c r="J194" t="str">
        <f>'5. KPI Baselines'!J179</f>
        <v>EHR workflow analysis</v>
      </c>
      <c r="K194" s="15" t="str">
        <f t="shared" si="19"/>
        <v>3.4 days → 2.0 days</v>
      </c>
      <c r="L194" s="34" cm="1">
        <f t="array" ref="L194">IFERROR(_xlfn.LET(_xlpm.e,E194,_xlpm.f,F194,_xlpm.h,H194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0.41175259551189669</v>
      </c>
      <c r="M194" s="15" cm="1">
        <f t="array" ref="M194">IFERROR(_xlfn.LET(_xlpm.e,E194,_xlpm.f,F194,_xlpm.h,H194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194" s="15" cm="1">
        <f t="array" ref="N194">IFERROR(_xlfn.LET(_xlpm.e,E194,_xlpm.f,F194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194" s="15" t="str">
        <f t="shared" si="20"/>
        <v>1.8 days → 2.0 days</v>
      </c>
      <c r="P194" s="34" cm="1">
        <f t="array" ref="P194">IFERROR(_xlfn.LET(_xlpm.g,G194,_xlpm.f,F194,_xlpm.h,H194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-0.11110493861452139</v>
      </c>
      <c r="Q194" s="15" t="str" cm="1">
        <f t="array" ref="Q194">IFERROR(_xlfn.LET(_xlpm.e,E194,_xlpm.g,G194,_xlpm.h,H194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4" s="15" t="str">
        <f t="shared" si="21"/>
        <v>🔴 Lagging</v>
      </c>
      <c r="S194" s="35" cm="1">
        <f t="array" ref="S194">IFERROR(_xlfn.LET(_xlpm.e,E194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3.4</v>
      </c>
      <c r="T194" s="36">
        <f t="shared" si="22"/>
        <v>41.175259551189669</v>
      </c>
      <c r="U194" s="15">
        <f t="shared" si="23"/>
        <v>306</v>
      </c>
      <c r="V194" s="16">
        <f t="shared" si="24"/>
        <v>195.45175141907589</v>
      </c>
      <c r="W194" s="16">
        <f t="shared" si="25"/>
        <v>486.05957715788264</v>
      </c>
      <c r="X194" s="37">
        <f t="shared" si="26"/>
        <v>432</v>
      </c>
      <c r="Y194" s="15" t="str">
        <f t="shared" si="27"/>
        <v>⚠️ High</v>
      </c>
    </row>
    <row r="195" spans="1:25" x14ac:dyDescent="0.2">
      <c r="A195" t="str">
        <f>'5. KPI Baselines'!A180</f>
        <v>Crane Engineering</v>
      </c>
      <c r="B195" t="str">
        <f>'5. KPI Baselines'!B180</f>
        <v>Sales Engineering</v>
      </c>
      <c r="C195" t="str">
        <f>'5. KPI Baselines'!C180</f>
        <v>Technical Quotation</v>
      </c>
      <c r="D195" t="str">
        <f>'5. KPI Baselines'!D180</f>
        <v>Quote Turnaround Time</v>
      </c>
      <c r="E195" t="str">
        <f>'5. KPI Baselines'!E180</f>
        <v>12 days</v>
      </c>
      <c r="F195" t="str">
        <f>'5. KPI Baselines'!F180</f>
        <v>3 days</v>
      </c>
      <c r="G195" t="str">
        <f>'5. KPI Baselines'!G180</f>
        <v>3 days</v>
      </c>
      <c r="H195" t="str">
        <f>'5. KPI Baselines'!H180</f>
        <v>↓</v>
      </c>
      <c r="I195" t="str">
        <f>'5. KPI Baselines'!I180</f>
        <v>12 months</v>
      </c>
      <c r="J195" t="str">
        <f>'5. KPI Baselines'!J180</f>
        <v>Average days from RFQ receipt to quote delivery in CRM system</v>
      </c>
      <c r="K195" s="15" t="str">
        <f t="shared" si="19"/>
        <v>12 days → 3 days</v>
      </c>
      <c r="L195" s="34" cm="1">
        <f t="array" ref="L195">IFERROR(_xlfn.LET(_xlpm.e,E195,_xlpm.f,F195,_xlpm.h,H195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195" s="15" cm="1">
        <f t="array" ref="M195">IFERROR(_xlfn.LET(_xlpm.e,E195,_xlpm.f,F195,_xlpm.h,H195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195" s="15" cm="1">
        <f t="array" ref="N195">IFERROR(_xlfn.LET(_xlpm.e,E195,_xlpm.f,F195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195" s="15" t="str">
        <f t="shared" si="20"/>
        <v>3 days → 3 days</v>
      </c>
      <c r="P195" s="34" cm="1">
        <f t="array" ref="P195">IFERROR(_xlfn.LET(_xlpm.g,G195,_xlpm.f,F195,_xlpm.h,H195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195" s="15" t="str" cm="1">
        <f t="array" ref="Q195">IFERROR(_xlfn.LET(_xlpm.e,E195,_xlpm.g,G195,_xlpm.h,H195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5" s="15" t="str">
        <f t="shared" si="21"/>
        <v>🔴 Lagging</v>
      </c>
      <c r="S195" s="35" cm="1">
        <f t="array" ref="S195">IFERROR(_xlfn.LET(_xlpm.e,E195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195" s="36">
        <f t="shared" si="22"/>
        <v>74.999375005208293</v>
      </c>
      <c r="U195" s="15">
        <f t="shared" si="23"/>
        <v>53</v>
      </c>
      <c r="V195" s="16">
        <f t="shared" si="24"/>
        <v>1256.5020291497572</v>
      </c>
      <c r="W195" s="16">
        <f t="shared" si="25"/>
        <v>3124.734572866792</v>
      </c>
      <c r="X195" s="37">
        <f t="shared" si="26"/>
        <v>69</v>
      </c>
      <c r="Y195" s="15" t="str">
        <f t="shared" si="27"/>
        <v>🔥 Critical</v>
      </c>
    </row>
    <row r="196" spans="1:25" x14ac:dyDescent="0.2">
      <c r="A196" t="str">
        <f>'5. KPI Baselines'!A181</f>
        <v>Crane Engineering</v>
      </c>
      <c r="B196" t="str">
        <f>'5. KPI Baselines'!B181</f>
        <v>Sales Engineering</v>
      </c>
      <c r="C196" t="str">
        <f>'5. KPI Baselines'!C181</f>
        <v>System Sizing</v>
      </c>
      <c r="D196" t="str">
        <f>'5. KPI Baselines'!D181</f>
        <v>Engineering Hours per Quote</v>
      </c>
      <c r="E196" t="str">
        <f>'5. KPI Baselines'!E181</f>
        <v>18 hours</v>
      </c>
      <c r="F196" t="str">
        <f>'5. KPI Baselines'!F181</f>
        <v>8 hours</v>
      </c>
      <c r="G196" t="str">
        <f>'5. KPI Baselines'!G181</f>
        <v>6 hours</v>
      </c>
      <c r="H196" t="str">
        <f>'5. KPI Baselines'!H181</f>
        <v>↓</v>
      </c>
      <c r="I196" t="str">
        <f>'5. KPI Baselines'!I181</f>
        <v>12 months</v>
      </c>
      <c r="J196" t="str">
        <f>'5. KPI Baselines'!J181</f>
        <v>Time tracking system hours tagged to quotation projects</v>
      </c>
      <c r="K196" s="15" t="str">
        <f t="shared" si="19"/>
        <v>18 hours → 8 hours</v>
      </c>
      <c r="L196" s="34" cm="1">
        <f t="array" ref="L196">IFERROR(_xlfn.LET(_xlpm.e,E196,_xlpm.f,F196,_xlpm.h,H196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196" s="15" cm="1">
        <f t="array" ref="M196">IFERROR(_xlfn.LET(_xlpm.e,E196,_xlpm.f,F196,_xlpm.h,H196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9.5</v>
      </c>
      <c r="N196" s="15" cm="1">
        <f t="array" ref="N196">IFERROR(_xlfn.LET(_xlpm.e,E196,_xlpm.f,F196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196" s="15" t="str">
        <f t="shared" si="20"/>
        <v>6 hours → 8 hours</v>
      </c>
      <c r="P196" s="34" cm="1">
        <f t="array" ref="P196">IFERROR(_xlfn.LET(_xlpm.g,G196,_xlpm.f,F196,_xlpm.h,H196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-0.33332777787036882</v>
      </c>
      <c r="Q196" s="15" t="str" cm="1">
        <f t="array" ref="Q196">IFERROR(_xlfn.LET(_xlpm.e,E196,_xlpm.g,G196,_xlpm.h,H196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6" s="15" t="str">
        <f t="shared" si="21"/>
        <v>🔴 Lagging</v>
      </c>
      <c r="S196" s="35" cm="1">
        <f t="array" ref="S196">IFERROR(_xlfn.LET(_xlpm.e,E196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196" s="36">
        <f t="shared" si="22"/>
        <v>55.555246915294923</v>
      </c>
      <c r="U196" s="15">
        <f t="shared" si="23"/>
        <v>188</v>
      </c>
      <c r="V196" s="16">
        <f t="shared" si="24"/>
        <v>1396.11724379309</v>
      </c>
      <c r="W196" s="16">
        <f t="shared" si="25"/>
        <v>3471.936947374254</v>
      </c>
      <c r="X196" s="37">
        <f t="shared" si="26"/>
        <v>62</v>
      </c>
      <c r="Y196" s="15" t="str">
        <f t="shared" si="27"/>
        <v>🔥 Critical</v>
      </c>
    </row>
    <row r="197" spans="1:25" x14ac:dyDescent="0.2">
      <c r="A197" t="str">
        <f>'5. KPI Baselines'!A182</f>
        <v>Crane Engineering</v>
      </c>
      <c r="B197" t="str">
        <f>'5. KPI Baselines'!B182</f>
        <v>Product Management</v>
      </c>
      <c r="C197" t="str">
        <f>'5. KPI Baselines'!C182</f>
        <v>Specification Accuracy</v>
      </c>
      <c r="D197" t="str">
        <f>'5. KPI Baselines'!D182</f>
        <v>Warranty Claim Rate</v>
      </c>
      <c r="E197" t="str">
        <f>'5. KPI Baselines'!E182</f>
        <v>4.2%</v>
      </c>
      <c r="F197" t="str">
        <f>'5. KPI Baselines'!F182</f>
        <v>2.5%</v>
      </c>
      <c r="G197" t="str">
        <f>'5. KPI Baselines'!G182</f>
        <v>2.1%</v>
      </c>
      <c r="H197" t="str">
        <f>'5. KPI Baselines'!H182</f>
        <v>↓</v>
      </c>
      <c r="I197" t="str">
        <f>'5. KPI Baselines'!I182</f>
        <v>18 months</v>
      </c>
      <c r="J197" t="str">
        <f>'5. KPI Baselines'!J182</f>
        <v>Warranty claims divided by units sold, rolling 12-month average</v>
      </c>
      <c r="K197" s="15" t="str">
        <f t="shared" si="19"/>
        <v>4.2% → 2.5%</v>
      </c>
      <c r="L197" s="34" cm="1">
        <f t="array" ref="L197">IFERROR(_xlfn.LET(_xlpm.e,E197,_xlpm.f,F197,_xlpm.h,H197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0.4047522678031476</v>
      </c>
      <c r="M197" s="15" cm="1">
        <f t="array" ref="M197">IFERROR(_xlfn.LET(_xlpm.e,E197,_xlpm.f,F197,_xlpm.h,H197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2.8</v>
      </c>
      <c r="N197" s="15" cm="1">
        <f t="array" ref="N197">IFERROR(_xlfn.LET(_xlpm.e,E197,_xlpm.f,F197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</v>
      </c>
      <c r="O197" s="15" t="str">
        <f t="shared" si="20"/>
        <v>2.1% → 2.5%</v>
      </c>
      <c r="P197" s="34" cm="1">
        <f t="array" ref="P197">IFERROR(_xlfn.LET(_xlpm.g,G197,_xlpm.f,F197,_xlpm.h,H197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-0.19046712061330406</v>
      </c>
      <c r="Q197" s="15" t="str" cm="1">
        <f t="array" ref="Q197">IFERROR(_xlfn.LET(_xlpm.e,E197,_xlpm.g,G197,_xlpm.h,H197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7" s="15" t="str">
        <f t="shared" si="21"/>
        <v>🔴 Lagging</v>
      </c>
      <c r="S197" s="35" cm="1">
        <f t="array" ref="S197">IFERROR(_xlfn.LET(_xlpm.e,E197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197" s="36">
        <f t="shared" si="22"/>
        <v>40.475226780314763</v>
      </c>
      <c r="U197" s="15">
        <f t="shared" si="23"/>
        <v>309</v>
      </c>
      <c r="V197" s="16">
        <f t="shared" si="24"/>
        <v>237.33559915240116</v>
      </c>
      <c r="W197" s="16">
        <f t="shared" si="25"/>
        <v>590.21850728358265</v>
      </c>
      <c r="X197" s="37">
        <f t="shared" si="26"/>
        <v>358</v>
      </c>
      <c r="Y197" s="15" t="str">
        <f t="shared" si="27"/>
        <v>⚠️ High</v>
      </c>
    </row>
    <row r="198" spans="1:25" x14ac:dyDescent="0.2">
      <c r="A198" t="str">
        <f>'5. KPI Baselines'!A183</f>
        <v>Crane Engineering</v>
      </c>
      <c r="B198" t="str">
        <f>'5. KPI Baselines'!B183</f>
        <v>Customer Service</v>
      </c>
      <c r="C198" t="str">
        <f>'5. KPI Baselines'!C183</f>
        <v>Technical Support</v>
      </c>
      <c r="D198" t="str">
        <f>'5. KPI Baselines'!D183</f>
        <v>First-Call Resolution Rate</v>
      </c>
      <c r="E198" t="str">
        <f>'5. KPI Baselines'!E183</f>
        <v>42%</v>
      </c>
      <c r="F198" t="str">
        <f>'5. KPI Baselines'!F183</f>
        <v>65%</v>
      </c>
      <c r="G198" t="str">
        <f>'5. KPI Baselines'!G183</f>
        <v>68%</v>
      </c>
      <c r="H198" t="str">
        <f>'5. KPI Baselines'!H183</f>
        <v>↑</v>
      </c>
      <c r="I198" t="str">
        <f>'5. KPI Baselines'!I183</f>
        <v>12 months</v>
      </c>
      <c r="J198" t="str">
        <f>'5. KPI Baselines'!J183</f>
        <v>Issues resolved without escalation or callback divided by total calls</v>
      </c>
      <c r="K198" s="15" t="str">
        <f t="shared" si="19"/>
        <v>65% - 42%</v>
      </c>
      <c r="L198" s="34" cm="1">
        <f t="array" ref="L198">IFERROR(_xlfn.LET(_xlpm.e,E198,_xlpm.f,F198,_xlpm.h,H198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0.54761774376727668</v>
      </c>
      <c r="M198" s="15" cm="1">
        <f t="array" ref="M198">IFERROR(_xlfn.LET(_xlpm.e,E198,_xlpm.f,F198,_xlpm.h,H198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61.6</v>
      </c>
      <c r="N198" s="15" cm="1">
        <f t="array" ref="N198">IFERROR(_xlfn.LET(_xlpm.e,E198,_xlpm.f,F198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17.600000000000001</v>
      </c>
      <c r="O198" s="15" t="str">
        <f t="shared" si="20"/>
        <v>65% - 68%</v>
      </c>
      <c r="P198" s="34" cm="1">
        <f t="array" ref="P198">IFERROR(_xlfn.LET(_xlpm.g,G198,_xlpm.f,F198,_xlpm.h,H198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-4.4117582180026205E-2</v>
      </c>
      <c r="Q198" s="15" t="str" cm="1">
        <f t="array" ref="Q198">IFERROR(_xlfn.LET(_xlpm.e,E198,_xlpm.g,G198,_xlpm.h,H198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8" s="15" t="str">
        <f t="shared" si="21"/>
        <v>🔴 Lagging</v>
      </c>
      <c r="S198" s="35" cm="1">
        <f t="array" ref="S198">IFERROR(_xlfn.LET(_xlpm.e,E198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198" s="36">
        <f t="shared" si="22"/>
        <v>54.761774376727665</v>
      </c>
      <c r="U198" s="15">
        <f t="shared" si="23"/>
        <v>197</v>
      </c>
      <c r="V198" s="16">
        <f t="shared" si="24"/>
        <v>3211.0798545717744</v>
      </c>
      <c r="W198" s="16">
        <f t="shared" si="25"/>
        <v>7985.480329551151</v>
      </c>
      <c r="X198" s="37">
        <f t="shared" si="26"/>
        <v>27</v>
      </c>
      <c r="Y198" s="15" t="str">
        <f t="shared" si="27"/>
        <v>🔥 Critical</v>
      </c>
    </row>
    <row r="199" spans="1:25" x14ac:dyDescent="0.2">
      <c r="A199" t="str">
        <f>'5. KPI Baselines'!A184</f>
        <v>Crane Engineering</v>
      </c>
      <c r="B199" t="str">
        <f>'5. KPI Baselines'!B184</f>
        <v>Customer Service</v>
      </c>
      <c r="C199" t="str">
        <f>'5. KPI Baselines'!C184</f>
        <v>Technical Support</v>
      </c>
      <c r="D199" t="str">
        <f>'5. KPI Baselines'!D184</f>
        <v>Average Resolution Time</v>
      </c>
      <c r="E199" t="str">
        <f>'5. KPI Baselines'!E184</f>
        <v>3.2 hours</v>
      </c>
      <c r="F199" t="str">
        <f>'5. KPI Baselines'!F184</f>
        <v>2.0 hours</v>
      </c>
      <c r="G199" t="str">
        <f>'5. KPI Baselines'!G184</f>
        <v>1.8 hours</v>
      </c>
      <c r="H199" t="str">
        <f>'5. KPI Baselines'!H184</f>
        <v>↓</v>
      </c>
      <c r="I199" t="str">
        <f>'5. KPI Baselines'!I184</f>
        <v>12 months</v>
      </c>
      <c r="J199" t="str">
        <f>'5. KPI Baselines'!J184</f>
        <v>Time from ticket creation to closure in support system</v>
      </c>
      <c r="K199" s="15" t="str">
        <f t="shared" si="19"/>
        <v>3.2 hours → 2.0 hours</v>
      </c>
      <c r="L199" s="34" cm="1">
        <f t="array" ref="L199">IFERROR(_xlfn.LET(_xlpm.e,E199,_xlpm.f,F199,_xlpm.h,H199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0.37498828161619951</v>
      </c>
      <c r="M199" s="15" cm="1">
        <f t="array" ref="M199">IFERROR(_xlfn.LET(_xlpm.e,E199,_xlpm.f,F199,_xlpm.h,H199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199" s="15" cm="1">
        <f t="array" ref="N199">IFERROR(_xlfn.LET(_xlpm.e,E199,_xlpm.f,F199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0.92</v>
      </c>
      <c r="O199" s="15" t="str">
        <f t="shared" si="20"/>
        <v>1.8 hours → 2.0 hours</v>
      </c>
      <c r="P199" s="34" cm="1">
        <f t="array" ref="P199">IFERROR(_xlfn.LET(_xlpm.g,G199,_xlpm.f,F199,_xlpm.h,H199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-0.11110493861452139</v>
      </c>
      <c r="Q199" s="15" t="str" cm="1">
        <f t="array" ref="Q199">IFERROR(_xlfn.LET(_xlpm.e,E199,_xlpm.g,G199,_xlpm.h,H199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199" s="15" t="str">
        <f t="shared" si="21"/>
        <v>🔴 Lagging</v>
      </c>
      <c r="S199" s="35" cm="1">
        <f t="array" ref="S199">IFERROR(_xlfn.LET(_xlpm.e,E199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199" s="36">
        <f t="shared" si="22"/>
        <v>37.498828161619954</v>
      </c>
      <c r="U199" s="15">
        <f t="shared" si="23"/>
        <v>337</v>
      </c>
      <c r="V199" s="16">
        <f t="shared" si="24"/>
        <v>167.5297646948533</v>
      </c>
      <c r="W199" s="16">
        <f t="shared" si="25"/>
        <v>416.62172888051458</v>
      </c>
      <c r="X199" s="37">
        <f t="shared" si="26"/>
        <v>501</v>
      </c>
      <c r="Y199" s="15" t="str">
        <f t="shared" si="27"/>
        <v>⚠️ High</v>
      </c>
    </row>
    <row r="200" spans="1:25" x14ac:dyDescent="0.2">
      <c r="A200" t="str">
        <f>'5. KPI Baselines'!A185</f>
        <v>Crane Engineering</v>
      </c>
      <c r="B200" t="str">
        <f>'5. KPI Baselines'!B185</f>
        <v>Business Development</v>
      </c>
      <c r="C200" t="str">
        <f>'5. KPI Baselines'!C185</f>
        <v>Proposal Development</v>
      </c>
      <c r="D200" t="str">
        <f>'5. KPI Baselines'!D185</f>
        <v>Competitive Win Rate</v>
      </c>
      <c r="E200" t="str">
        <f>'5. KPI Baselines'!E185</f>
        <v>38%</v>
      </c>
      <c r="F200" t="str">
        <f>'5. KPI Baselines'!F185</f>
        <v>46%</v>
      </c>
      <c r="G200" t="str">
        <f>'5. KPI Baselines'!G185</f>
        <v>45%</v>
      </c>
      <c r="H200" t="str">
        <f>'5. KPI Baselines'!H185</f>
        <v>↑</v>
      </c>
      <c r="I200" t="str">
        <f>'5. KPI Baselines'!I185</f>
        <v>18 months</v>
      </c>
      <c r="J200" t="str">
        <f>'5. KPI Baselines'!J185</f>
        <v>Won opportunities divided by total competitive bids submitted</v>
      </c>
      <c r="K200" s="15" t="str">
        <f t="shared" si="19"/>
        <v>46% - 38%</v>
      </c>
      <c r="L200" s="34" cm="1">
        <f t="array" ref="L200">IFERROR(_xlfn.LET(_xlpm.e,E200,_xlpm.f,F200,_xlpm.h,H200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0.21052576177431109</v>
      </c>
      <c r="M200" s="15" cm="1">
        <f t="array" ref="M200">IFERROR(_xlfn.LET(_xlpm.e,E200,_xlpm.f,F200,_xlpm.h,H200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44.8</v>
      </c>
      <c r="N200" s="15" cm="1">
        <f t="array" ref="N200">IFERROR(_xlfn.LET(_xlpm.e,E200,_xlpm.f,F200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200" s="15" t="str">
        <f t="shared" si="20"/>
        <v>46% - 45%</v>
      </c>
      <c r="P200" s="34" cm="1">
        <f t="array" ref="P200">IFERROR(_xlfn.LET(_xlpm.g,G200,_xlpm.f,F200,_xlpm.h,H200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2.222217283961591E-2</v>
      </c>
      <c r="Q200" s="15" t="str" cm="1">
        <f t="array" ref="Q200">IFERROR(_xlfn.LET(_xlpm.e,E200,_xlpm.g,G200,_xlpm.h,H200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0" s="15" t="str">
        <f t="shared" si="21"/>
        <v>🔴 Lagging</v>
      </c>
      <c r="S200" s="35" cm="1">
        <f t="array" ref="S200">IFERROR(_xlfn.LET(_xlpm.e,E200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200" s="36">
        <f t="shared" si="22"/>
        <v>21.05257617743111</v>
      </c>
      <c r="U200" s="15">
        <f t="shared" si="23"/>
        <v>459</v>
      </c>
      <c r="V200" s="16">
        <f t="shared" si="24"/>
        <v>1116.8970607972083</v>
      </c>
      <c r="W200" s="16">
        <f t="shared" si="25"/>
        <v>2777.5576793679656</v>
      </c>
      <c r="X200" s="37">
        <f t="shared" si="26"/>
        <v>78</v>
      </c>
      <c r="Y200" s="15" t="str">
        <f t="shared" si="27"/>
        <v>📊 Medium</v>
      </c>
    </row>
    <row r="201" spans="1:25" x14ac:dyDescent="0.2">
      <c r="A201" t="str">
        <f>'5. KPI Baselines'!A186</f>
        <v>Crane Engineering</v>
      </c>
      <c r="B201" t="str">
        <f>'5. KPI Baselines'!B186</f>
        <v>Business Development</v>
      </c>
      <c r="C201" t="str">
        <f>'5. KPI Baselines'!C186</f>
        <v>Proposal Development</v>
      </c>
      <c r="D201" t="str">
        <f>'5. KPI Baselines'!D186</f>
        <v>Proposal Development Hours</v>
      </c>
      <c r="E201" t="str">
        <f>'5. KPI Baselines'!E186</f>
        <v>85 hours</v>
      </c>
      <c r="F201" t="str">
        <f>'5. KPI Baselines'!F186</f>
        <v>50 hours</v>
      </c>
      <c r="G201" t="str">
        <f>'5. KPI Baselines'!G186</f>
        <v>45 hours</v>
      </c>
      <c r="H201" t="str">
        <f>'5. KPI Baselines'!H186</f>
        <v>↓</v>
      </c>
      <c r="I201" t="str">
        <f>'5. KPI Baselines'!I186</f>
        <v>12 months</v>
      </c>
      <c r="J201" t="str">
        <f>'5. KPI Baselines'!J186</f>
        <v>Time tracking hours for proposals over $250K project value</v>
      </c>
      <c r="K201" s="15" t="str">
        <f t="shared" si="19"/>
        <v>85 hours → 50 hours</v>
      </c>
      <c r="L201" s="34" cm="1">
        <f t="array" ref="L201">IFERROR(_xlfn.LET(_xlpm.e,E201,_xlpm.f,F201,_xlpm.h,H201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0.4117642214538571</v>
      </c>
      <c r="M201" s="15" cm="1">
        <f t="array" ref="M201">IFERROR(_xlfn.LET(_xlpm.e,E201,_xlpm.f,F201,_xlpm.h,H201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55.3</v>
      </c>
      <c r="N201" s="15" cm="1">
        <f t="array" ref="N201">IFERROR(_xlfn.LET(_xlpm.e,E201,_xlpm.f,F201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26.78</v>
      </c>
      <c r="O201" s="15" t="str">
        <f t="shared" si="20"/>
        <v>45 hours → 50 hours</v>
      </c>
      <c r="P201" s="34" cm="1">
        <f t="array" ref="P201">IFERROR(_xlfn.LET(_xlpm.g,G201,_xlpm.f,F201,_xlpm.h,H201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-0.11111086419807956</v>
      </c>
      <c r="Q201" s="15" t="str" cm="1">
        <f t="array" ref="Q201">IFERROR(_xlfn.LET(_xlpm.e,E201,_xlpm.g,G201,_xlpm.h,H201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1" s="15" t="str">
        <f t="shared" si="21"/>
        <v>🔴 Lagging</v>
      </c>
      <c r="S201" s="35" cm="1">
        <f t="array" ref="S201">IFERROR(_xlfn.LET(_xlpm.e,E201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85</v>
      </c>
      <c r="T201" s="36">
        <f t="shared" si="22"/>
        <v>41.176422145385708</v>
      </c>
      <c r="U201" s="15">
        <f t="shared" si="23"/>
        <v>302</v>
      </c>
      <c r="V201" s="16">
        <f t="shared" si="24"/>
        <v>4886.4317512567632</v>
      </c>
      <c r="W201" s="16">
        <f t="shared" si="25"/>
        <v>12151.832529421412</v>
      </c>
      <c r="X201" s="37">
        <f t="shared" si="26"/>
        <v>18</v>
      </c>
      <c r="Y201" s="15" t="str">
        <f t="shared" si="27"/>
        <v>⚠️ High</v>
      </c>
    </row>
    <row r="202" spans="1:25" x14ac:dyDescent="0.2">
      <c r="A202" t="str">
        <f>'5. KPI Baselines'!A187</f>
        <v>Crane Engineering</v>
      </c>
      <c r="B202" t="str">
        <f>'5. KPI Baselines'!B187</f>
        <v>Field Service</v>
      </c>
      <c r="C202" t="str">
        <f>'5. KPI Baselines'!C187</f>
        <v>Installation Support</v>
      </c>
      <c r="D202" t="str">
        <f>'5. KPI Baselines'!D187</f>
        <v>Field Service Callbacks</v>
      </c>
      <c r="E202" t="str">
        <f>'5. KPI Baselines'!E187</f>
        <v>18%</v>
      </c>
      <c r="F202" t="str">
        <f>'5. KPI Baselines'!F187</f>
        <v>11%</v>
      </c>
      <c r="G202" t="str">
        <f>'5. KPI Baselines'!G187</f>
        <v>9%</v>
      </c>
      <c r="H202" t="str">
        <f>'5. KPI Baselines'!H187</f>
        <v>↓</v>
      </c>
      <c r="I202" t="str">
        <f>'5. KPI Baselines'!I187</f>
        <v>18 months</v>
      </c>
      <c r="J202" t="str">
        <f>'5. KPI Baselines'!J187</f>
        <v>Return visits within 30 days divided by completed installations</v>
      </c>
      <c r="K202" s="15" t="str">
        <f t="shared" si="19"/>
        <v>18% → 11%</v>
      </c>
      <c r="L202" s="34" cm="1">
        <f t="array" ref="L202">IFERROR(_xlfn.LET(_xlpm.e,E202,_xlpm.f,F202,_xlpm.h,H202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0.3888867284070644</v>
      </c>
      <c r="M202" s="15" cm="1">
        <f t="array" ref="M202">IFERROR(_xlfn.LET(_xlpm.e,E202,_xlpm.f,F202,_xlpm.h,H202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12.1</v>
      </c>
      <c r="N202" s="15" cm="1">
        <f t="array" ref="N202">IFERROR(_xlfn.LET(_xlpm.e,E202,_xlpm.f,F202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02" s="15" t="str">
        <f t="shared" si="20"/>
        <v>9% → 11%</v>
      </c>
      <c r="P202" s="34" cm="1">
        <f t="array" ref="P202">IFERROR(_xlfn.LET(_xlpm.g,G202,_xlpm.f,F202,_xlpm.h,H202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-0.22221975311385431</v>
      </c>
      <c r="Q202" s="15" t="str" cm="1">
        <f t="array" ref="Q202">IFERROR(_xlfn.LET(_xlpm.e,E202,_xlpm.g,G202,_xlpm.h,H202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2" s="15" t="str">
        <f t="shared" si="21"/>
        <v>🔴 Lagging</v>
      </c>
      <c r="S202" s="35" cm="1">
        <f t="array" ref="S202">IFERROR(_xlfn.LET(_xlpm.e,E202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02" s="36">
        <f t="shared" si="22"/>
        <v>38.888672840706441</v>
      </c>
      <c r="U202" s="15">
        <f t="shared" si="23"/>
        <v>319</v>
      </c>
      <c r="V202" s="16">
        <f t="shared" si="24"/>
        <v>977.28207065516278</v>
      </c>
      <c r="W202" s="16">
        <f t="shared" si="25"/>
        <v>2430.3558631619771</v>
      </c>
      <c r="X202" s="37">
        <f t="shared" si="26"/>
        <v>89</v>
      </c>
      <c r="Y202" s="15" t="str">
        <f t="shared" si="27"/>
        <v>⚠️ High</v>
      </c>
    </row>
    <row r="203" spans="1:25" x14ac:dyDescent="0.2">
      <c r="A203" t="str">
        <f>'5. KPI Baselines'!A188</f>
        <v>Crane Engineering</v>
      </c>
      <c r="B203" t="str">
        <f>'5. KPI Baselines'!B188</f>
        <v>Training &amp; Development</v>
      </c>
      <c r="C203" t="str">
        <f>'5. KPI Baselines'!C188</f>
        <v>Engineer Onboarding</v>
      </c>
      <c r="D203" t="str">
        <f>'5. KPI Baselines'!D188</f>
        <v>Time to Full Productivity</v>
      </c>
      <c r="E203" t="str">
        <f>'5. KPI Baselines'!E188</f>
        <v>9 months</v>
      </c>
      <c r="F203" t="str">
        <f>'5. KPI Baselines'!F188</f>
        <v>5 months</v>
      </c>
      <c r="G203" t="str">
        <f>'5. KPI Baselines'!G188</f>
        <v>4 months</v>
      </c>
      <c r="H203" t="str">
        <f>'5. KPI Baselines'!H188</f>
        <v>↓</v>
      </c>
      <c r="I203" t="str">
        <f>'5. KPI Baselines'!I188</f>
        <v>24 months</v>
      </c>
      <c r="J203" t="str">
        <f>'5. KPI Baselines'!J188</f>
        <v>Months until new engineer achieves 80% of peer quote volume</v>
      </c>
      <c r="K203" s="15" t="str">
        <f t="shared" si="19"/>
        <v>9 months → 5 months</v>
      </c>
      <c r="L203" s="34" cm="1">
        <f t="array" ref="L203">IFERROR(_xlfn.LET(_xlpm.e,E203,_xlpm.f,F203,_xlpm.h,H203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0.44443950622770861</v>
      </c>
      <c r="M203" s="15" cm="1">
        <f t="array" ref="M203">IFERROR(_xlfn.LET(_xlpm.e,E203,_xlpm.f,F203,_xlpm.h,H203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5.6</v>
      </c>
      <c r="N203" s="15" cm="1">
        <f t="array" ref="N203">IFERROR(_xlfn.LET(_xlpm.e,E203,_xlpm.f,F203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03" s="15" t="str">
        <f t="shared" si="20"/>
        <v>4 months → 5 months</v>
      </c>
      <c r="P203" s="34" cm="1">
        <f t="array" ref="P203">IFERROR(_xlfn.LET(_xlpm.g,G203,_xlpm.f,F203,_xlpm.h,H203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-0.24999375015624611</v>
      </c>
      <c r="Q203" s="15" t="str" cm="1">
        <f t="array" ref="Q203">IFERROR(_xlfn.LET(_xlpm.e,E203,_xlpm.g,G203,_xlpm.h,H203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3" s="15" t="str">
        <f t="shared" si="21"/>
        <v>🔴 Lagging</v>
      </c>
      <c r="S203" s="35" cm="1">
        <f t="array" ref="S203">IFERROR(_xlfn.LET(_xlpm.e,E203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203" s="36">
        <f t="shared" si="22"/>
        <v>44.443950622770863</v>
      </c>
      <c r="U203" s="15">
        <f t="shared" si="23"/>
        <v>273</v>
      </c>
      <c r="V203" s="16">
        <f t="shared" si="24"/>
        <v>558.4437950689437</v>
      </c>
      <c r="W203" s="16">
        <f t="shared" si="25"/>
        <v>1388.7670636199887</v>
      </c>
      <c r="X203" s="37">
        <f t="shared" si="26"/>
        <v>155</v>
      </c>
      <c r="Y203" s="15" t="str">
        <f t="shared" si="27"/>
        <v>⚠️ High</v>
      </c>
    </row>
    <row r="204" spans="1:25" x14ac:dyDescent="0.2">
      <c r="A204" t="str">
        <f>'5. KPI Baselines'!A189</f>
        <v>Crane Engineering</v>
      </c>
      <c r="B204" t="str">
        <f>'5. KPI Baselines'!B189</f>
        <v>Procurement</v>
      </c>
      <c r="C204" t="str">
        <f>'5. KPI Baselines'!C189</f>
        <v>Vendor Management</v>
      </c>
      <c r="D204" t="str">
        <f>'5. KPI Baselines'!D189</f>
        <v>Technical Data Retrieval Time</v>
      </c>
      <c r="E204" t="str">
        <f>'5. KPI Baselines'!E189</f>
        <v>2.8 hours</v>
      </c>
      <c r="F204" t="str">
        <f>'5. KPI Baselines'!F189</f>
        <v>1.0 hour</v>
      </c>
      <c r="G204" t="str">
        <f>'5. KPI Baselines'!G189</f>
        <v>0.5 hours</v>
      </c>
      <c r="H204" t="str">
        <f>'5. KPI Baselines'!H189</f>
        <v>↓</v>
      </c>
      <c r="I204" t="str">
        <f>'5. KPI Baselines'!I189</f>
        <v>12 months</v>
      </c>
      <c r="J204" t="str">
        <f>'5. KPI Baselines'!J189</f>
        <v>Average time to locate and compile manufacturer technical specifications</v>
      </c>
      <c r="K204" s="15" t="str">
        <f t="shared" si="19"/>
        <v>2.8 hours → 1.0 hour</v>
      </c>
      <c r="L204" s="34" cm="1">
        <f t="array" ref="L204">IFERROR(_xlfn.LET(_xlpm.e,E204,_xlpm.f,F204,_xlpm.h,H204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0.6428341844934109</v>
      </c>
      <c r="M204" s="15" cm="1">
        <f t="array" ref="M204">IFERROR(_xlfn.LET(_xlpm.e,E204,_xlpm.f,F204,_xlpm.h,H204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1.3</v>
      </c>
      <c r="N204" s="15" cm="1">
        <f t="array" ref="N204">IFERROR(_xlfn.LET(_xlpm.e,E204,_xlpm.f,F204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1.38</v>
      </c>
      <c r="O204" s="15" t="str">
        <f t="shared" si="20"/>
        <v>0.5 hours → 1.0 hour</v>
      </c>
      <c r="P204" s="34" cm="1">
        <f t="array" ref="P204">IFERROR(_xlfn.LET(_xlpm.g,G204,_xlpm.f,F204,_xlpm.h,H204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-0.99980003999200162</v>
      </c>
      <c r="Q204" s="15" t="str" cm="1">
        <f t="array" ref="Q204">IFERROR(_xlfn.LET(_xlpm.e,E204,_xlpm.g,G204,_xlpm.h,H204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4" s="15" t="str">
        <f t="shared" si="21"/>
        <v>🔴 Lagging</v>
      </c>
      <c r="S204" s="35" cm="1">
        <f t="array" ref="S204">IFERROR(_xlfn.LET(_xlpm.e,E204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2.8</v>
      </c>
      <c r="T204" s="36">
        <f t="shared" si="22"/>
        <v>64.283418449341085</v>
      </c>
      <c r="U204" s="15">
        <f t="shared" si="23"/>
        <v>119</v>
      </c>
      <c r="V204" s="16">
        <f t="shared" si="24"/>
        <v>251.29352523124169</v>
      </c>
      <c r="W204" s="16">
        <f t="shared" si="25"/>
        <v>624.92980354275778</v>
      </c>
      <c r="X204" s="37">
        <f t="shared" si="26"/>
        <v>339</v>
      </c>
      <c r="Y204" s="15" t="str">
        <f t="shared" si="27"/>
        <v>🔥 Critical</v>
      </c>
    </row>
    <row r="205" spans="1:25" x14ac:dyDescent="0.2">
      <c r="A205" t="str">
        <f>'5. KPI Baselines'!A190</f>
        <v>Crane Engineering</v>
      </c>
      <c r="B205" t="str">
        <f>'5. KPI Baselines'!B190</f>
        <v>Quality Assurance</v>
      </c>
      <c r="C205" t="str">
        <f>'5. KPI Baselines'!C190</f>
        <v>Documentation Review</v>
      </c>
      <c r="D205" t="str">
        <f>'5. KPI Baselines'!D190</f>
        <v>Submittal Review Cycle Time</v>
      </c>
      <c r="E205" t="str">
        <f>'5. KPI Baselines'!E190</f>
        <v>8 days</v>
      </c>
      <c r="F205" t="str">
        <f>'5. KPI Baselines'!F190</f>
        <v>4 days</v>
      </c>
      <c r="G205" t="str">
        <f>'5. KPI Baselines'!G190</f>
        <v>3 days</v>
      </c>
      <c r="H205" t="str">
        <f>'5. KPI Baselines'!H190</f>
        <v>↓</v>
      </c>
      <c r="I205" t="str">
        <f>'5. KPI Baselines'!I190</f>
        <v>12 months</v>
      </c>
      <c r="J205" t="str">
        <f>'5. KPI Baselines'!J190</f>
        <v>Days from submittal receipt to client delivery with markup</v>
      </c>
      <c r="K205" s="15" t="str">
        <f t="shared" si="19"/>
        <v>8 days → 4 days</v>
      </c>
      <c r="L205" s="34" cm="1">
        <f t="array" ref="L205">IFERROR(_xlfn.LET(_xlpm.e,E205,_xlpm.f,F205,_xlpm.h,H205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0.49999375007812402</v>
      </c>
      <c r="M205" s="15" cm="1">
        <f t="array" ref="M205">IFERROR(_xlfn.LET(_xlpm.e,E205,_xlpm.f,F205,_xlpm.h,H205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4.5999999999999996</v>
      </c>
      <c r="N205" s="15" cm="1">
        <f t="array" ref="N205">IFERROR(_xlfn.LET(_xlpm.e,E205,_xlpm.f,F205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05" s="15" t="str">
        <f t="shared" si="20"/>
        <v>3 days → 4 days</v>
      </c>
      <c r="P205" s="34" cm="1">
        <f t="array" ref="P205">IFERROR(_xlfn.LET(_xlpm.g,G205,_xlpm.f,F205,_xlpm.h,H205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-0.33332222259258021</v>
      </c>
      <c r="Q205" s="15" t="str" cm="1">
        <f t="array" ref="Q205">IFERROR(_xlfn.LET(_xlpm.e,E205,_xlpm.g,G205,_xlpm.h,H205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5" s="15" t="str">
        <f t="shared" si="21"/>
        <v>🔴 Lagging</v>
      </c>
      <c r="S205" s="35" cm="1">
        <f t="array" ref="S205">IFERROR(_xlfn.LET(_xlpm.e,E205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205" s="36">
        <f t="shared" si="22"/>
        <v>49.999375007812404</v>
      </c>
      <c r="U205" s="15">
        <f t="shared" si="23"/>
        <v>239</v>
      </c>
      <c r="V205" s="16">
        <f t="shared" si="24"/>
        <v>558.44301946225664</v>
      </c>
      <c r="W205" s="16">
        <f t="shared" si="25"/>
        <v>1388.7651348009549</v>
      </c>
      <c r="X205" s="37">
        <f t="shared" si="26"/>
        <v>155</v>
      </c>
      <c r="Y205" s="15" t="str">
        <f t="shared" si="27"/>
        <v>⚠️ High</v>
      </c>
    </row>
    <row r="206" spans="1:25" x14ac:dyDescent="0.2">
      <c r="A206" t="str">
        <f>'5. KPI Baselines'!A191</f>
        <v>Crane Engineering</v>
      </c>
      <c r="B206" t="str">
        <f>'5. KPI Baselines'!B191</f>
        <v>Operations</v>
      </c>
      <c r="C206" t="str">
        <f>'5. KPI Baselines'!C191</f>
        <v>Inventory Planning</v>
      </c>
      <c r="D206" t="str">
        <f>'5. KPI Baselines'!D191</f>
        <v>Stock-Out Rate on Standard Items</v>
      </c>
      <c r="E206" t="str">
        <f>'5. KPI Baselines'!E191</f>
        <v>7.2%</v>
      </c>
      <c r="F206" t="str">
        <f>'5. KPI Baselines'!F191</f>
        <v>4.5%</v>
      </c>
      <c r="G206" t="str">
        <f>'5. KPI Baselines'!G191</f>
        <v>3.5%</v>
      </c>
      <c r="H206" t="str">
        <f>'5. KPI Baselines'!H191</f>
        <v>↓</v>
      </c>
      <c r="I206" t="str">
        <f>'5. KPI Baselines'!I191</f>
        <v>18 months</v>
      </c>
      <c r="J206" t="str">
        <f>'5. KPI Baselines'!J191</f>
        <v>Orders delayed due to inventory divided by total standard item orders</v>
      </c>
      <c r="K206" s="15" t="str">
        <f t="shared" si="19"/>
        <v>7.2% → 4.5%</v>
      </c>
      <c r="L206" s="34" cm="1">
        <f t="array" ref="L206">IFERROR(_xlfn.LET(_xlpm.e,E206,_xlpm.f,F206,_xlpm.h,H206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0.37499479173900363</v>
      </c>
      <c r="M206" s="15" cm="1">
        <f t="array" ref="M206">IFERROR(_xlfn.LET(_xlpm.e,E206,_xlpm.f,F206,_xlpm.h,H206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4.9000000000000004</v>
      </c>
      <c r="N206" s="15" cm="1">
        <f t="array" ref="N206">IFERROR(_xlfn.LET(_xlpm.e,E206,_xlpm.f,F206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206" s="15" t="str">
        <f t="shared" si="20"/>
        <v>3.5% → 4.5%</v>
      </c>
      <c r="P206" s="34" cm="1">
        <f t="array" ref="P206">IFERROR(_xlfn.LET(_xlpm.g,G206,_xlpm.f,F206,_xlpm.h,H206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-0.28570612268220907</v>
      </c>
      <c r="Q206" s="15" t="str" cm="1">
        <f t="array" ref="Q206">IFERROR(_xlfn.LET(_xlpm.e,E206,_xlpm.g,G206,_xlpm.h,H206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6" s="15" t="str">
        <f t="shared" si="21"/>
        <v>🔴 Lagging</v>
      </c>
      <c r="S206" s="35" cm="1">
        <f t="array" ref="S206">IFERROR(_xlfn.LET(_xlpm.e,E206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7.2</v>
      </c>
      <c r="T206" s="36">
        <f t="shared" si="22"/>
        <v>37.499479173900362</v>
      </c>
      <c r="U206" s="15">
        <f t="shared" si="23"/>
        <v>335</v>
      </c>
      <c r="V206" s="16">
        <f t="shared" si="24"/>
        <v>376.94851460396387</v>
      </c>
      <c r="W206" s="16">
        <f t="shared" si="25"/>
        <v>937.41516404141362</v>
      </c>
      <c r="X206" s="37">
        <f t="shared" si="26"/>
        <v>228</v>
      </c>
      <c r="Y206" s="15" t="str">
        <f t="shared" si="27"/>
        <v>⚠️ High</v>
      </c>
    </row>
    <row r="207" spans="1:25" x14ac:dyDescent="0.2">
      <c r="A207" t="str">
        <f>'5. KPI Baselines'!A192</f>
        <v>Dana Safety Supply</v>
      </c>
      <c r="B207" t="str">
        <f>'5. KPI Baselines'!B192</f>
        <v>Product Management</v>
      </c>
      <c r="C207" t="str">
        <f>'5. KPI Baselines'!C192</f>
        <v>Catalog Operations</v>
      </c>
      <c r="D207" t="str">
        <f>'5. KPI Baselines'!D192</f>
        <v>New Product Onboarding Cycle Time</v>
      </c>
      <c r="E207" t="str">
        <f>'5. KPI Baselines'!E192</f>
        <v>19 days</v>
      </c>
      <c r="F207" t="str">
        <f>'5. KPI Baselines'!F192</f>
        <v>6 days</v>
      </c>
      <c r="G207" t="str">
        <f>'5. KPI Baselines'!G192</f>
        <v>5 days</v>
      </c>
      <c r="H207" t="str">
        <f>'5. KPI Baselines'!H192</f>
        <v>↓</v>
      </c>
      <c r="I207" t="str">
        <f>'5. KPI Baselines'!I192</f>
        <v>12 months</v>
      </c>
      <c r="J207" t="str">
        <f>'5. KPI Baselines'!J192</f>
        <v>Days from supplier submission to catalog publication</v>
      </c>
      <c r="K207" s="15" t="str">
        <f t="shared" si="19"/>
        <v>19 days → 6 days</v>
      </c>
      <c r="L207" s="34" cm="1">
        <f t="array" ref="L207">IFERROR(_xlfn.LET(_xlpm.e,E207,_xlpm.f,F207,_xlpm.h,H207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0.68420692522670934</v>
      </c>
      <c r="M207" s="15" cm="1">
        <f t="array" ref="M207">IFERROR(_xlfn.LET(_xlpm.e,E207,_xlpm.f,F207,_xlpm.h,H207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</v>
      </c>
      <c r="N207" s="15" cm="1">
        <f t="array" ref="N207">IFERROR(_xlfn.LET(_xlpm.e,E207,_xlpm.f,F207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207" s="15" t="str">
        <f t="shared" si="20"/>
        <v>5 days → 6 days</v>
      </c>
      <c r="P207" s="34" cm="1">
        <f t="array" ref="P207">IFERROR(_xlfn.LET(_xlpm.g,G207,_xlpm.f,F207,_xlpm.h,H207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-0.1999960000799984</v>
      </c>
      <c r="Q207" s="15" t="str" cm="1">
        <f t="array" ref="Q207">IFERROR(_xlfn.LET(_xlpm.e,E207,_xlpm.g,G207,_xlpm.h,H207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7" s="15" t="str">
        <f t="shared" si="21"/>
        <v>🔴 Lagging</v>
      </c>
      <c r="S207" s="35" cm="1">
        <f t="array" ref="S207">IFERROR(_xlfn.LET(_xlpm.e,E207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207" s="36">
        <f t="shared" si="22"/>
        <v>68.420692522670933</v>
      </c>
      <c r="U207" s="15">
        <f t="shared" si="23"/>
        <v>87</v>
      </c>
      <c r="V207" s="16">
        <f t="shared" si="24"/>
        <v>1814.9529476160649</v>
      </c>
      <c r="W207" s="16">
        <f t="shared" si="25"/>
        <v>4513.5193513216973</v>
      </c>
      <c r="X207" s="37">
        <f t="shared" si="26"/>
        <v>48</v>
      </c>
      <c r="Y207" s="15" t="str">
        <f t="shared" si="27"/>
        <v>🔥 Critical</v>
      </c>
    </row>
    <row r="208" spans="1:25" x14ac:dyDescent="0.2">
      <c r="A208" t="str">
        <f>'5. KPI Baselines'!A193</f>
        <v>Dana Safety Supply</v>
      </c>
      <c r="B208" t="str">
        <f>'5. KPI Baselines'!B193</f>
        <v>Product Management</v>
      </c>
      <c r="C208" t="str">
        <f>'5. KPI Baselines'!C193</f>
        <v>Data Quality</v>
      </c>
      <c r="D208" t="str">
        <f>'5. KPI Baselines'!D193</f>
        <v>Product Specification Accuracy Rate</v>
      </c>
      <c r="E208" t="str">
        <f>'5. KPI Baselines'!E193</f>
        <v>91%</v>
      </c>
      <c r="F208" t="str">
        <f>'5. KPI Baselines'!F193</f>
        <v>97%</v>
      </c>
      <c r="G208" t="str">
        <f>'5. KPI Baselines'!G193</f>
        <v>98%</v>
      </c>
      <c r="H208" t="str">
        <f>'5. KPI Baselines'!H193</f>
        <v>↑</v>
      </c>
      <c r="I208" t="str">
        <f>'5. KPI Baselines'!I193</f>
        <v>18 months</v>
      </c>
      <c r="J208" t="str">
        <f>'5. KPI Baselines'!J193</f>
        <v>Percentage of SKUs with complete, validated technical specifications</v>
      </c>
      <c r="K208" s="15" t="str">
        <f t="shared" si="19"/>
        <v>97% - 91%</v>
      </c>
      <c r="L208" s="34" cm="1">
        <f t="array" ref="L208">IFERROR(_xlfn.LET(_xlpm.e,E208,_xlpm.f,F208,_xlpm.h,H208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6.5933993479128039E-2</v>
      </c>
      <c r="M208" s="15" cm="1">
        <f t="array" ref="M208">IFERROR(_xlfn.LET(_xlpm.e,E208,_xlpm.f,F208,_xlpm.h,H208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96.1</v>
      </c>
      <c r="N208" s="15" cm="1">
        <f t="array" ref="N208">IFERROR(_xlfn.LET(_xlpm.e,E208,_xlpm.f,F208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208" s="15" t="str">
        <f t="shared" si="20"/>
        <v>97% - 98%</v>
      </c>
      <c r="P208" s="34" cm="1">
        <f t="array" ref="P208">IFERROR(_xlfn.LET(_xlpm.g,G208,_xlpm.f,F208,_xlpm.h,H208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-1.020407122033549E-2</v>
      </c>
      <c r="Q208" s="15" t="str" cm="1">
        <f t="array" ref="Q208">IFERROR(_xlfn.LET(_xlpm.e,E208,_xlpm.g,G208,_xlpm.h,H208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8" s="15" t="str">
        <f t="shared" si="21"/>
        <v>🔴 Lagging</v>
      </c>
      <c r="S208" s="35" cm="1">
        <f t="array" ref="S208">IFERROR(_xlfn.LET(_xlpm.e,E208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</v>
      </c>
      <c r="T208" s="36">
        <f t="shared" si="22"/>
        <v>6.5933993479128041</v>
      </c>
      <c r="U208" s="15">
        <f t="shared" si="23"/>
        <v>539</v>
      </c>
      <c r="V208" s="16">
        <f t="shared" si="24"/>
        <v>837.67407947903348</v>
      </c>
      <c r="W208" s="16">
        <f t="shared" si="25"/>
        <v>2083.171452348312</v>
      </c>
      <c r="X208" s="37">
        <f t="shared" si="26"/>
        <v>104</v>
      </c>
      <c r="Y208" s="15" t="str">
        <f t="shared" si="27"/>
        <v>📉 Low</v>
      </c>
    </row>
    <row r="209" spans="1:25" x14ac:dyDescent="0.2">
      <c r="A209" t="str">
        <f>'5. KPI Baselines'!A194</f>
        <v>Dana Safety Supply</v>
      </c>
      <c r="B209" t="str">
        <f>'5. KPI Baselines'!B194</f>
        <v>Supply Chain</v>
      </c>
      <c r="C209" t="str">
        <f>'5. KPI Baselines'!C194</f>
        <v>Inventory Management</v>
      </c>
      <c r="D209" t="str">
        <f>'5. KPI Baselines'!D194</f>
        <v>Inventory Turnover Ratio</v>
      </c>
      <c r="E209" t="str">
        <f>'5. KPI Baselines'!E194</f>
        <v>4.8x annually</v>
      </c>
      <c r="F209" t="str">
        <f>'5. KPI Baselines'!F194</f>
        <v>5.9x annually</v>
      </c>
      <c r="G209" t="str">
        <f>'5. KPI Baselines'!G194</f>
        <v>6.2x annually</v>
      </c>
      <c r="H209" t="str">
        <f>'5. KPI Baselines'!H194</f>
        <v>↑</v>
      </c>
      <c r="I209" t="str">
        <f>'5. KPI Baselines'!I194</f>
        <v>24 months</v>
      </c>
      <c r="J209" t="str">
        <f>'5. KPI Baselines'!J194</f>
        <v>Cost of goods sold divided by average inventory value</v>
      </c>
      <c r="K209" s="15" t="str">
        <f t="shared" si="19"/>
        <v>5.9x annually - 4.8x annually</v>
      </c>
      <c r="L209" s="34" cm="1">
        <f t="array" ref="L209">IFERROR(_xlfn.LET(_xlpm.e,E209,_xlpm.f,F209,_xlpm.h,H209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0.22916189246057386</v>
      </c>
      <c r="M209" s="15" cm="1">
        <f t="array" ref="M209">IFERROR(_xlfn.LET(_xlpm.e,E209,_xlpm.f,F209,_xlpm.h,H209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5.7</v>
      </c>
      <c r="N209" s="15" cm="1">
        <f t="array" ref="N209">IFERROR(_xlfn.LET(_xlpm.e,E209,_xlpm.f,F209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0.84</v>
      </c>
      <c r="O209" s="15" t="str">
        <f t="shared" si="20"/>
        <v>5.9x annually - 6.2x annually</v>
      </c>
      <c r="P209" s="34" cm="1">
        <f t="array" ref="P209">IFERROR(_xlfn.LET(_xlpm.g,G209,_xlpm.f,F209,_xlpm.h,H209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-4.8386316349736266E-2</v>
      </c>
      <c r="Q209" s="15" t="str" cm="1">
        <f t="array" ref="Q209">IFERROR(_xlfn.LET(_xlpm.e,E209,_xlpm.g,G209,_xlpm.h,H209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09" s="15" t="str">
        <f t="shared" si="21"/>
        <v>🔴 Lagging</v>
      </c>
      <c r="S209" s="35" cm="1">
        <f t="array" ref="S209">IFERROR(_xlfn.LET(_xlpm.e,E209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4.8</v>
      </c>
      <c r="T209" s="36">
        <f t="shared" si="22"/>
        <v>22.916189246057385</v>
      </c>
      <c r="U209" s="15">
        <f t="shared" si="23"/>
        <v>439</v>
      </c>
      <c r="V209" s="16">
        <f t="shared" si="24"/>
        <v>153.57055061352895</v>
      </c>
      <c r="W209" s="16">
        <f t="shared" si="25"/>
        <v>381.9072295497981</v>
      </c>
      <c r="X209" s="37">
        <f t="shared" si="26"/>
        <v>545</v>
      </c>
      <c r="Y209" s="15" t="str">
        <f t="shared" si="27"/>
        <v>📊 Medium</v>
      </c>
    </row>
    <row r="210" spans="1:25" x14ac:dyDescent="0.2">
      <c r="A210" t="str">
        <f>'5. KPI Baselines'!A195</f>
        <v>Dana Safety Supply</v>
      </c>
      <c r="B210" t="str">
        <f>'5. KPI Baselines'!B195</f>
        <v>Supply Chain</v>
      </c>
      <c r="C210" t="str">
        <f>'5. KPI Baselines'!C195</f>
        <v>Demand Forecasting</v>
      </c>
      <c r="D210" t="str">
        <f>'5. KPI Baselines'!D195</f>
        <v>Forecast Accuracy (MAPE)</v>
      </c>
      <c r="E210" t="str">
        <f>'5. KPI Baselines'!E195</f>
        <v>34% error</v>
      </c>
      <c r="F210" t="str">
        <f>'5. KPI Baselines'!F195</f>
        <v>22% error</v>
      </c>
      <c r="G210" t="str">
        <f>'5. KPI Baselines'!G195</f>
        <v>18% error</v>
      </c>
      <c r="H210" t="str">
        <f>'5. KPI Baselines'!H195</f>
        <v>↓</v>
      </c>
      <c r="I210" t="str">
        <f>'5. KPI Baselines'!I195</f>
        <v>18 months</v>
      </c>
      <c r="J210" t="str">
        <f>'5. KPI Baselines'!J195</f>
        <v>Mean Absolute Percentage Error on 90-day rolling forecast</v>
      </c>
      <c r="K210" s="15" t="str">
        <f t="shared" ref="K210:K273" si="28">IFERROR(IF(OR(E210="",F210=""),"-",IF(H210="↓",E210&amp;" → "&amp;F210,F210&amp;" - "&amp;E210)),"-")</f>
        <v>34% error → 22% error</v>
      </c>
      <c r="L210" s="34" t="str" cm="1">
        <f t="array" ref="L210">IFERROR(_xlfn.LET(_xlpm.e,E210,_xlpm.f,F210,_xlpm.h,H210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10" s="15" t="str" cm="1">
        <f t="array" ref="M210">IFERROR(_xlfn.LET(_xlpm.e,E210,_xlpm.f,F210,_xlpm.h,H210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10" s="15" t="str" cm="1">
        <f t="array" ref="N210">IFERROR(_xlfn.LET(_xlpm.e,E210,_xlpm.f,F210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10" s="15" t="str">
        <f t="shared" ref="O210:O273" si="29">IFERROR(IF(OR(G210="",G210="Not Available",F210=""),"-",IF(H210="↓",G210&amp;" → "&amp;F210,F210&amp;" - "&amp;G210)),"-")</f>
        <v>18% error → 22% error</v>
      </c>
      <c r="P210" s="34" t="str" cm="1">
        <f t="array" ref="P210">IFERROR(_xlfn.LET(_xlpm.g,G210,_xlpm.f,F210,_xlpm.h,H210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10" s="15" t="str" cm="1">
        <f t="array" ref="Q210">IFERROR(_xlfn.LET(_xlpm.e,E210,_xlpm.g,G210,_xlpm.h,H210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10" s="15" t="str">
        <f t="shared" ref="R210:R273" si="30">IFERROR(IF(Q210="Below Industry","🔴 Lagging",IF(Q210="Above Industry","🟢 Leading","⚪ N/A")),"⚪ N/A")</f>
        <v>⚪ N/A</v>
      </c>
      <c r="S210" s="35" cm="1">
        <f t="array" ref="S210">IFERROR(_xlfn.LET(_xlpm.e,E210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10" s="36">
        <f t="shared" ref="T210:T273" si="31">IFERROR(IF(L210="-",0,ABS(L210)*100),0)</f>
        <v>0</v>
      </c>
      <c r="U210" s="15">
        <f t="shared" ref="U210:U273" si="32">IFERROR(RANK(T210,$T$17:$T$662,0),"-")</f>
        <v>554</v>
      </c>
      <c r="V210" s="16">
        <f t="shared" ref="V210:V273" si="33">IFERROR(IF(OR(L210="-",S210=0),0,S210*ABS(L210)*$F$9*$B$5*$B$7),0)</f>
        <v>0</v>
      </c>
      <c r="W210" s="16">
        <f t="shared" ref="W210:W273" si="34">IFERROR(IF(V210=0,0,V210*(1-(1/(1+$B$11)^$B$10))/$B$11),0)</f>
        <v>0</v>
      </c>
      <c r="X210" s="37" t="str">
        <f t="shared" ref="X210:X273" si="35">IFERROR(IF(V210=0,"-",ROUND(12/(V210/($F$9*40)+0.001),0)),"-")</f>
        <v>-</v>
      </c>
      <c r="Y210" s="15" t="str">
        <f t="shared" ref="Y210:Y273" si="36">IF(T210&gt;=50,"🔥 Critical",IF(T210&gt;=25,"⚠️ High",IF(T210&gt;=10,"📊 Medium","📉 Low")))</f>
        <v>📉 Low</v>
      </c>
    </row>
    <row r="211" spans="1:25" x14ac:dyDescent="0.2">
      <c r="A211" t="str">
        <f>'5. KPI Baselines'!A196</f>
        <v>Dana Safety Supply</v>
      </c>
      <c r="B211" t="str">
        <f>'5. KPI Baselines'!B196</f>
        <v>Customer Service</v>
      </c>
      <c r="C211" t="str">
        <f>'5. KPI Baselines'!C196</f>
        <v>Contact Center</v>
      </c>
      <c r="D211" t="str">
        <f>'5. KPI Baselines'!D196</f>
        <v>First Contact Resolution Rate</v>
      </c>
      <c r="E211" t="str">
        <f>'5. KPI Baselines'!E196</f>
        <v>71%</v>
      </c>
      <c r="F211" t="str">
        <f>'5. KPI Baselines'!F196</f>
        <v>82%</v>
      </c>
      <c r="G211" t="str">
        <f>'5. KPI Baselines'!G196</f>
        <v>84%</v>
      </c>
      <c r="H211" t="str">
        <f>'5. KPI Baselines'!H196</f>
        <v>↑</v>
      </c>
      <c r="I211" t="str">
        <f>'5. KPI Baselines'!I196</f>
        <v>12 months</v>
      </c>
      <c r="J211" t="str">
        <f>'5. KPI Baselines'!J196</f>
        <v>Percentage of inquiries resolved without follow-up contact</v>
      </c>
      <c r="K211" s="15" t="str">
        <f t="shared" si="28"/>
        <v>82% - 71%</v>
      </c>
      <c r="L211" s="34" cm="1">
        <f t="array" ref="L211">IFERROR(_xlfn.LET(_xlpm.e,E211,_xlpm.f,F211,_xlpm.h,H211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0.15492935925442358</v>
      </c>
      <c r="M211" s="15" cm="1">
        <f t="array" ref="M211">IFERROR(_xlfn.LET(_xlpm.e,E211,_xlpm.f,F211,_xlpm.h,H211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80.400000000000006</v>
      </c>
      <c r="N211" s="15" cm="1">
        <f t="array" ref="N211">IFERROR(_xlfn.LET(_xlpm.e,E211,_xlpm.f,F211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211" s="15" t="str">
        <f t="shared" si="29"/>
        <v>82% - 84%</v>
      </c>
      <c r="P211" s="34" cm="1">
        <f t="array" ref="P211">IFERROR(_xlfn.LET(_xlpm.g,G211,_xlpm.f,F211,_xlpm.h,H211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-2.3809495464886352E-2</v>
      </c>
      <c r="Q211" s="15" t="str" cm="1">
        <f t="array" ref="Q211">IFERROR(_xlfn.LET(_xlpm.e,E211,_xlpm.g,G211,_xlpm.h,H211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1" s="15" t="str">
        <f t="shared" si="30"/>
        <v>🔴 Lagging</v>
      </c>
      <c r="S211" s="35" cm="1">
        <f t="array" ref="S211">IFERROR(_xlfn.LET(_xlpm.e,E211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71</v>
      </c>
      <c r="T211" s="36">
        <f t="shared" si="31"/>
        <v>15.492935925442358</v>
      </c>
      <c r="U211" s="15">
        <f t="shared" si="32"/>
        <v>497</v>
      </c>
      <c r="V211" s="16">
        <f t="shared" si="33"/>
        <v>1535.7353369924831</v>
      </c>
      <c r="W211" s="16">
        <f t="shared" si="34"/>
        <v>3819.1464804245857</v>
      </c>
      <c r="X211" s="37">
        <f t="shared" si="35"/>
        <v>57</v>
      </c>
      <c r="Y211" s="15" t="str">
        <f t="shared" si="36"/>
        <v>📊 Medium</v>
      </c>
    </row>
    <row r="212" spans="1:25" x14ac:dyDescent="0.2">
      <c r="A212" t="str">
        <f>'5. KPI Baselines'!A197</f>
        <v>Dana Safety Supply</v>
      </c>
      <c r="B212" t="str">
        <f>'5. KPI Baselines'!B197</f>
        <v>Customer Service</v>
      </c>
      <c r="C212" t="str">
        <f>'5. KPI Baselines'!C197</f>
        <v>Self-Service</v>
      </c>
      <c r="D212" t="str">
        <f>'5. KPI Baselines'!D197</f>
        <v>Digital Deflection Rate</v>
      </c>
      <c r="E212" t="str">
        <f>'5. KPI Baselines'!E197</f>
        <v>28%</v>
      </c>
      <c r="F212" t="str">
        <f>'5. KPI Baselines'!F197</f>
        <v>48%</v>
      </c>
      <c r="G212" t="str">
        <f>'5. KPI Baselines'!G197</f>
        <v>52%</v>
      </c>
      <c r="H212" t="str">
        <f>'5. KPI Baselines'!H197</f>
        <v>↑</v>
      </c>
      <c r="I212" t="str">
        <f>'5. KPI Baselines'!I197</f>
        <v>18 months</v>
      </c>
      <c r="J212" t="str">
        <f>'5. KPI Baselines'!J197</f>
        <v>Percentage of customer inquiries resolved via digital channels without agent contact</v>
      </c>
      <c r="K212" s="15" t="str">
        <f t="shared" si="28"/>
        <v>48% - 28%</v>
      </c>
      <c r="L212" s="34" cm="1">
        <f t="array" ref="L212">IFERROR(_xlfn.LET(_xlpm.e,E212,_xlpm.f,F212,_xlpm.h,H212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0.71428316327441688</v>
      </c>
      <c r="M212" s="15" cm="1">
        <f t="array" ref="M212">IFERROR(_xlfn.LET(_xlpm.e,E212,_xlpm.f,F212,_xlpm.h,H212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</v>
      </c>
      <c r="N212" s="15" cm="1">
        <f t="array" ref="N212">IFERROR(_xlfn.LET(_xlpm.e,E212,_xlpm.f,F212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15.3</v>
      </c>
      <c r="O212" s="15" t="str">
        <f t="shared" si="29"/>
        <v>48% - 52%</v>
      </c>
      <c r="P212" s="34" cm="1">
        <f t="array" ref="P212">IFERROR(_xlfn.LET(_xlpm.g,G212,_xlpm.f,F212,_xlpm.h,H212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-7.6922928994367312E-2</v>
      </c>
      <c r="Q212" s="15" t="str" cm="1">
        <f t="array" ref="Q212">IFERROR(_xlfn.LET(_xlpm.e,E212,_xlpm.g,G212,_xlpm.h,H212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2" s="15" t="str">
        <f t="shared" si="30"/>
        <v>🔴 Lagging</v>
      </c>
      <c r="S212" s="35" cm="1">
        <f t="array" ref="S212">IFERROR(_xlfn.LET(_xlpm.e,E212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212" s="36">
        <f t="shared" si="31"/>
        <v>71.428316327441692</v>
      </c>
      <c r="U212" s="15">
        <f t="shared" si="32"/>
        <v>74</v>
      </c>
      <c r="V212" s="16">
        <f t="shared" si="33"/>
        <v>2792.2400277141865</v>
      </c>
      <c r="W212" s="16">
        <f t="shared" si="34"/>
        <v>6943.8876722268706</v>
      </c>
      <c r="X212" s="37">
        <f t="shared" si="35"/>
        <v>31</v>
      </c>
      <c r="Y212" s="15" t="str">
        <f t="shared" si="36"/>
        <v>🔥 Critical</v>
      </c>
    </row>
    <row r="213" spans="1:25" x14ac:dyDescent="0.2">
      <c r="A213" t="str">
        <f>'5. KPI Baselines'!A198</f>
        <v>Dana Safety Supply</v>
      </c>
      <c r="B213" t="str">
        <f>'5. KPI Baselines'!B198</f>
        <v>Sales</v>
      </c>
      <c r="C213" t="str">
        <f>'5. KPI Baselines'!C198</f>
        <v>Field Sales</v>
      </c>
      <c r="D213" t="str">
        <f>'5. KPI Baselines'!D198</f>
        <v>Time Spent Selling</v>
      </c>
      <c r="E213" t="str">
        <f>'5. KPI Baselines'!E198</f>
        <v>58%</v>
      </c>
      <c r="F213" t="str">
        <f>'5. KPI Baselines'!F198</f>
        <v>68%</v>
      </c>
      <c r="G213" t="str">
        <f>'5. KPI Baselines'!G198</f>
        <v>72%</v>
      </c>
      <c r="H213" t="str">
        <f>'5. KPI Baselines'!H198</f>
        <v>↑</v>
      </c>
      <c r="I213" t="str">
        <f>'5. KPI Baselines'!I198</f>
        <v>12 months</v>
      </c>
      <c r="J213" t="str">
        <f>'5. KPI Baselines'!J198</f>
        <v>Percentage of work hours on customer-facing revenue activities</v>
      </c>
      <c r="K213" s="15" t="str">
        <f t="shared" si="28"/>
        <v>68% - 58%</v>
      </c>
      <c r="L213" s="34" cm="1">
        <f t="array" ref="L213">IFERROR(_xlfn.LET(_xlpm.e,E213,_xlpm.f,F213,_xlpm.h,H213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0.17241349583880028</v>
      </c>
      <c r="M213" s="15" cm="1">
        <f t="array" ref="M213">IFERROR(_xlfn.LET(_xlpm.e,E213,_xlpm.f,F213,_xlpm.h,H213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66.5</v>
      </c>
      <c r="N213" s="15" cm="1">
        <f t="array" ref="N213">IFERROR(_xlfn.LET(_xlpm.e,E213,_xlpm.f,F213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213" s="15" t="str">
        <f t="shared" si="29"/>
        <v>68% - 72%</v>
      </c>
      <c r="P213" s="34" cm="1">
        <f t="array" ref="P213">IFERROR(_xlfn.LET(_xlpm.g,G213,_xlpm.f,F213,_xlpm.h,H213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-5.5555478395168896E-2</v>
      </c>
      <c r="Q213" s="15" t="str" cm="1">
        <f t="array" ref="Q213">IFERROR(_xlfn.LET(_xlpm.e,E213,_xlpm.g,G213,_xlpm.h,H213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3" s="15" t="str">
        <f t="shared" si="30"/>
        <v>🔴 Lagging</v>
      </c>
      <c r="S213" s="35" cm="1">
        <f t="array" ref="S213">IFERROR(_xlfn.LET(_xlpm.e,E213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213" s="36">
        <f t="shared" si="31"/>
        <v>17.241349583880027</v>
      </c>
      <c r="U213" s="15">
        <f t="shared" si="32"/>
        <v>489</v>
      </c>
      <c r="V213" s="16">
        <f t="shared" si="33"/>
        <v>1396.1225928920815</v>
      </c>
      <c r="W213" s="16">
        <f t="shared" si="34"/>
        <v>3471.9502497917306</v>
      </c>
      <c r="X213" s="37">
        <f t="shared" si="35"/>
        <v>62</v>
      </c>
      <c r="Y213" s="15" t="str">
        <f t="shared" si="36"/>
        <v>📊 Medium</v>
      </c>
    </row>
    <row r="214" spans="1:25" x14ac:dyDescent="0.2">
      <c r="A214" t="str">
        <f>'5. KPI Baselines'!A199</f>
        <v>Dana Safety Supply</v>
      </c>
      <c r="B214" t="str">
        <f>'5. KPI Baselines'!B199</f>
        <v>Sales</v>
      </c>
      <c r="C214" t="str">
        <f>'5. KPI Baselines'!C199</f>
        <v>Pipeline Management</v>
      </c>
      <c r="D214" t="str">
        <f>'5. KPI Baselines'!D199</f>
        <v>Win Rate</v>
      </c>
      <c r="E214" t="str">
        <f>'5. KPI Baselines'!E199</f>
        <v>23%</v>
      </c>
      <c r="F214" t="str">
        <f>'5. KPI Baselines'!F199</f>
        <v>28%</v>
      </c>
      <c r="G214" t="str">
        <f>'5. KPI Baselines'!G199</f>
        <v>29%</v>
      </c>
      <c r="H214" t="str">
        <f>'5. KPI Baselines'!H199</f>
        <v>↑</v>
      </c>
      <c r="I214" t="str">
        <f>'5. KPI Baselines'!I199</f>
        <v>24 months</v>
      </c>
      <c r="J214" t="str">
        <f>'5. KPI Baselines'!J199</f>
        <v>Percentage of qualified opportunities converted to closed-won</v>
      </c>
      <c r="K214" s="15" t="str">
        <f t="shared" si="28"/>
        <v>28% - 23%</v>
      </c>
      <c r="L214" s="34" cm="1">
        <f t="array" ref="L214">IFERROR(_xlfn.LET(_xlpm.e,E214,_xlpm.f,F214,_xlpm.h,H214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0.21739035917235142</v>
      </c>
      <c r="M214" s="15" cm="1">
        <f t="array" ref="M214">IFERROR(_xlfn.LET(_xlpm.e,E214,_xlpm.f,F214,_xlpm.h,H214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27.3</v>
      </c>
      <c r="N214" s="15" cm="1">
        <f t="array" ref="N214">IFERROR(_xlfn.LET(_xlpm.e,E214,_xlpm.f,F214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214" s="15" t="str">
        <f t="shared" si="29"/>
        <v>28% - 29%</v>
      </c>
      <c r="P214" s="34" cm="1">
        <f t="array" ref="P214">IFERROR(_xlfn.LET(_xlpm.g,G214,_xlpm.f,F214,_xlpm.h,H214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-3.4482639715035464E-2</v>
      </c>
      <c r="Q214" s="15" t="str" cm="1">
        <f t="array" ref="Q214">IFERROR(_xlfn.LET(_xlpm.e,E214,_xlpm.g,G214,_xlpm.h,H214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4" s="15" t="str">
        <f t="shared" si="30"/>
        <v>🔴 Lagging</v>
      </c>
      <c r="S214" s="35" cm="1">
        <f t="array" ref="S214">IFERROR(_xlfn.LET(_xlpm.e,E214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214" s="36">
        <f t="shared" si="31"/>
        <v>21.739035917235142</v>
      </c>
      <c r="U214" s="15">
        <f t="shared" si="32"/>
        <v>454</v>
      </c>
      <c r="V214" s="16">
        <f t="shared" si="33"/>
        <v>698.05946495884803</v>
      </c>
      <c r="W214" s="16">
        <f t="shared" si="34"/>
        <v>1735.9705702582937</v>
      </c>
      <c r="X214" s="37">
        <f t="shared" si="35"/>
        <v>124</v>
      </c>
      <c r="Y214" s="15" t="str">
        <f t="shared" si="36"/>
        <v>📊 Medium</v>
      </c>
    </row>
    <row r="215" spans="1:25" x14ac:dyDescent="0.2">
      <c r="A215" t="str">
        <f>'5. KPI Baselines'!A200</f>
        <v>Dana Safety Supply</v>
      </c>
      <c r="B215" t="str">
        <f>'5. KPI Baselines'!B200</f>
        <v>Compliance</v>
      </c>
      <c r="C215" t="str">
        <f>'5. KPI Baselines'!C200</f>
        <v>Regulatory Monitoring</v>
      </c>
      <c r="D215" t="str">
        <f>'5. KPI Baselines'!D200</f>
        <v>Certification Validation Cycle Time</v>
      </c>
      <c r="E215" t="str">
        <f>'5. KPI Baselines'!E200</f>
        <v>12 days</v>
      </c>
      <c r="F215" t="str">
        <f>'5. KPI Baselines'!F200</f>
        <v>4 days</v>
      </c>
      <c r="G215" t="str">
        <f>'5. KPI Baselines'!G200</f>
        <v>3 days</v>
      </c>
      <c r="H215" t="str">
        <f>'5. KPI Baselines'!H200</f>
        <v>↓</v>
      </c>
      <c r="I215" t="str">
        <f>'5. KPI Baselines'!I200</f>
        <v>12 months</v>
      </c>
      <c r="J215" t="str">
        <f>'5. KPI Baselines'!J200</f>
        <v>Days from certification update to catalog reflection</v>
      </c>
      <c r="K215" s="15" t="str">
        <f t="shared" si="28"/>
        <v>12 days → 4 days</v>
      </c>
      <c r="L215" s="34" cm="1">
        <f t="array" ref="L215">IFERROR(_xlfn.LET(_xlpm.e,E215,_xlpm.f,F215,_xlpm.h,H215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0.666661111157407</v>
      </c>
      <c r="M215" s="15" cm="1">
        <f t="array" ref="M215">IFERROR(_xlfn.LET(_xlpm.e,E215,_xlpm.f,F215,_xlpm.h,H215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5.2</v>
      </c>
      <c r="N215" s="15" cm="1">
        <f t="array" ref="N215">IFERROR(_xlfn.LET(_xlpm.e,E215,_xlpm.f,F215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215" s="15" t="str">
        <f t="shared" si="29"/>
        <v>3 days → 4 days</v>
      </c>
      <c r="P215" s="34" cm="1">
        <f t="array" ref="P215">IFERROR(_xlfn.LET(_xlpm.g,G215,_xlpm.f,F215,_xlpm.h,H215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-0.33332222259258021</v>
      </c>
      <c r="Q215" s="15" t="str" cm="1">
        <f t="array" ref="Q215">IFERROR(_xlfn.LET(_xlpm.e,E215,_xlpm.g,G215,_xlpm.h,H215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5" s="15" t="str">
        <f t="shared" si="30"/>
        <v>🔴 Lagging</v>
      </c>
      <c r="S215" s="35" cm="1">
        <f t="array" ref="S215">IFERROR(_xlfn.LET(_xlpm.e,E215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15" s="36">
        <f t="shared" si="31"/>
        <v>66.666111115740705</v>
      </c>
      <c r="U215" s="15">
        <f t="shared" si="32"/>
        <v>97</v>
      </c>
      <c r="V215" s="16">
        <f t="shared" si="33"/>
        <v>1116.8906925775618</v>
      </c>
      <c r="W215" s="16">
        <f t="shared" si="34"/>
        <v>2777.541842548259</v>
      </c>
      <c r="X215" s="37">
        <f t="shared" si="35"/>
        <v>78</v>
      </c>
      <c r="Y215" s="15" t="str">
        <f t="shared" si="36"/>
        <v>🔥 Critical</v>
      </c>
    </row>
    <row r="216" spans="1:25" x14ac:dyDescent="0.2">
      <c r="A216" t="str">
        <f>'5. KPI Baselines'!A201</f>
        <v>Dana Safety Supply</v>
      </c>
      <c r="B216" t="str">
        <f>'5. KPI Baselines'!B201</f>
        <v>Finance</v>
      </c>
      <c r="C216" t="str">
        <f>'5. KPI Baselines'!C201</f>
        <v>Accounts Receivable</v>
      </c>
      <c r="D216" t="str">
        <f>'5. KPI Baselines'!D201</f>
        <v>Days Sales Outstanding</v>
      </c>
      <c r="E216" t="str">
        <f>'5. KPI Baselines'!E201</f>
        <v>47 days</v>
      </c>
      <c r="F216" t="str">
        <f>'5. KPI Baselines'!F201</f>
        <v>41 days</v>
      </c>
      <c r="G216" t="str">
        <f>'5. KPI Baselines'!G201</f>
        <v>38 days</v>
      </c>
      <c r="H216" t="str">
        <f>'5. KPI Baselines'!H201</f>
        <v>↓</v>
      </c>
      <c r="I216" t="str">
        <f>'5. KPI Baselines'!I201</f>
        <v>18 months</v>
      </c>
      <c r="J216" t="str">
        <f>'5. KPI Baselines'!J201</f>
        <v>Average days to collect payment from invoice date</v>
      </c>
      <c r="K216" s="15" t="str">
        <f t="shared" si="28"/>
        <v>47 days → 41 days</v>
      </c>
      <c r="L216" s="34" cm="1">
        <f t="array" ref="L216">IFERROR(_xlfn.LET(_xlpm.e,E216,_xlpm.f,F216,_xlpm.h,H216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0.12765930285254712</v>
      </c>
      <c r="M216" s="15" cm="1">
        <f t="array" ref="M216">IFERROR(_xlfn.LET(_xlpm.e,E216,_xlpm.f,F216,_xlpm.h,H216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41.9</v>
      </c>
      <c r="N216" s="15" cm="1">
        <f t="array" ref="N216">IFERROR(_xlfn.LET(_xlpm.e,E216,_xlpm.f,F216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216" s="15" t="str">
        <f t="shared" si="29"/>
        <v>38 days → 41 days</v>
      </c>
      <c r="P216" s="34" cm="1">
        <f t="array" ref="P216">IFERROR(_xlfn.LET(_xlpm.g,G216,_xlpm.f,F216,_xlpm.h,H216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-7.8947160665366667E-2</v>
      </c>
      <c r="Q216" s="15" t="str" cm="1">
        <f t="array" ref="Q216">IFERROR(_xlfn.LET(_xlpm.e,E216,_xlpm.g,G216,_xlpm.h,H216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6" s="15" t="str">
        <f t="shared" si="30"/>
        <v>🔴 Lagging</v>
      </c>
      <c r="S216" s="35" cm="1">
        <f t="array" ref="S216">IFERROR(_xlfn.LET(_xlpm.e,E216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216" s="36">
        <f t="shared" si="31"/>
        <v>12.765930285254711</v>
      </c>
      <c r="U216" s="15">
        <f t="shared" si="32"/>
        <v>506</v>
      </c>
      <c r="V216" s="16">
        <f t="shared" si="33"/>
        <v>837.67321771655804</v>
      </c>
      <c r="W216" s="16">
        <f t="shared" si="34"/>
        <v>2083.1693092725841</v>
      </c>
      <c r="X216" s="37">
        <f t="shared" si="35"/>
        <v>104</v>
      </c>
      <c r="Y216" s="15" t="str">
        <f t="shared" si="36"/>
        <v>📊 Medium</v>
      </c>
    </row>
    <row r="217" spans="1:25" x14ac:dyDescent="0.2">
      <c r="A217" t="str">
        <f>'5. KPI Baselines'!A202</f>
        <v>Dana Safety Supply</v>
      </c>
      <c r="B217" t="str">
        <f>'5. KPI Baselines'!B202</f>
        <v>Procurement</v>
      </c>
      <c r="C217" t="str">
        <f>'5. KPI Baselines'!C202</f>
        <v>Supplier Onboarding</v>
      </c>
      <c r="D217" t="str">
        <f>'5. KPI Baselines'!D202</f>
        <v>Supplier Activation Time</v>
      </c>
      <c r="E217" t="str">
        <f>'5. KPI Baselines'!E202</f>
        <v>34 days</v>
      </c>
      <c r="F217" t="str">
        <f>'5. KPI Baselines'!F202</f>
        <v>21 days</v>
      </c>
      <c r="G217" t="str">
        <f>'5. KPI Baselines'!G202</f>
        <v>18 days</v>
      </c>
      <c r="H217" t="str">
        <f>'5. KPI Baselines'!H202</f>
        <v>↓</v>
      </c>
      <c r="I217" t="str">
        <f>'5. KPI Baselines'!I202</f>
        <v>12 months</v>
      </c>
      <c r="J217" t="str">
        <f>'5. KPI Baselines'!J202</f>
        <v>Days from contract signature to first purchase order</v>
      </c>
      <c r="K217" s="15" t="str">
        <f t="shared" si="28"/>
        <v>34 days → 21 days</v>
      </c>
      <c r="L217" s="34" cm="1">
        <f t="array" ref="L217">IFERROR(_xlfn.LET(_xlpm.e,E217,_xlpm.f,F217,_xlpm.h,H217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0.38235181661230405</v>
      </c>
      <c r="M217" s="15" cm="1">
        <f t="array" ref="M217">IFERROR(_xlfn.LET(_xlpm.e,E217,_xlpm.f,F217,_xlpm.h,H217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</v>
      </c>
      <c r="N217" s="15" cm="1">
        <f t="array" ref="N217">IFERROR(_xlfn.LET(_xlpm.e,E217,_xlpm.f,F217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217" s="15" t="str">
        <f t="shared" si="29"/>
        <v>18 days → 21 days</v>
      </c>
      <c r="P217" s="34" cm="1">
        <f t="array" ref="P217">IFERROR(_xlfn.LET(_xlpm.g,G217,_xlpm.f,F217,_xlpm.h,H217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-0.16666574074588475</v>
      </c>
      <c r="Q217" s="15" t="str" cm="1">
        <f t="array" ref="Q217">IFERROR(_xlfn.LET(_xlpm.e,E217,_xlpm.g,G217,_xlpm.h,H217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17" s="15" t="str">
        <f t="shared" si="30"/>
        <v>🔴 Lagging</v>
      </c>
      <c r="S217" s="35" cm="1">
        <f t="array" ref="S217">IFERROR(_xlfn.LET(_xlpm.e,E217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217" s="36">
        <f t="shared" si="31"/>
        <v>38.235181661230406</v>
      </c>
      <c r="U217" s="15">
        <f t="shared" si="32"/>
        <v>322</v>
      </c>
      <c r="V217" s="16">
        <f t="shared" si="33"/>
        <v>1814.9571618907</v>
      </c>
      <c r="W217" s="16">
        <f t="shared" si="34"/>
        <v>4513.5298315989648</v>
      </c>
      <c r="X217" s="37">
        <f t="shared" si="35"/>
        <v>48</v>
      </c>
      <c r="Y217" s="15" t="str">
        <f t="shared" si="36"/>
        <v>⚠️ High</v>
      </c>
    </row>
    <row r="218" spans="1:25" x14ac:dyDescent="0.2">
      <c r="A218" t="str">
        <f>'5. KPI Baselines'!A203</f>
        <v>Dana Safety Supply</v>
      </c>
      <c r="B218" t="str">
        <f>'5. KPI Baselines'!B203</f>
        <v>Marketing</v>
      </c>
      <c r="C218" t="str">
        <f>'5. KPI Baselines'!C203</f>
        <v>Content Production</v>
      </c>
      <c r="D218" t="str">
        <f>'5. KPI Baselines'!D203</f>
        <v>Safety Bulletin Production Rate</v>
      </c>
      <c r="E218" t="str">
        <f>'5. KPI Baselines'!E203</f>
        <v>18 bulletins/month</v>
      </c>
      <c r="F218" t="str">
        <f>'5. KPI Baselines'!F203</f>
        <v>28 bulletins/month</v>
      </c>
      <c r="G218" t="str">
        <f>'5. KPI Baselines'!G203</f>
        <v>32 bulletins/month</v>
      </c>
      <c r="H218" t="str">
        <f>'5. KPI Baselines'!H203</f>
        <v>↑</v>
      </c>
      <c r="I218" t="str">
        <f>'5. KPI Baselines'!I203</f>
        <v>12 months</v>
      </c>
      <c r="J218" t="str">
        <f>'5. KPI Baselines'!J203</f>
        <v>Number of industry-specific safety guidance documents published monthly</v>
      </c>
      <c r="K218" s="15" t="str">
        <f t="shared" si="28"/>
        <v>28 bulletins/month - 18 bulletins/month</v>
      </c>
      <c r="L218" s="34" t="str" cm="1">
        <f t="array" ref="L218">IFERROR(_xlfn.LET(_xlpm.e,E218,_xlpm.f,F218,_xlpm.h,H218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18" s="15" t="str" cm="1">
        <f t="array" ref="M218">IFERROR(_xlfn.LET(_xlpm.e,E218,_xlpm.f,F218,_xlpm.h,H218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18" s="15" t="str" cm="1">
        <f t="array" ref="N218">IFERROR(_xlfn.LET(_xlpm.e,E218,_xlpm.f,F218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18" s="15" t="str">
        <f t="shared" si="29"/>
        <v>28 bulletins/month - 32 bulletins/month</v>
      </c>
      <c r="P218" s="34" t="str" cm="1">
        <f t="array" ref="P218">IFERROR(_xlfn.LET(_xlpm.g,G218,_xlpm.f,F218,_xlpm.h,H218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18" s="15" t="str" cm="1">
        <f t="array" ref="Q218">IFERROR(_xlfn.LET(_xlpm.e,E218,_xlpm.g,G218,_xlpm.h,H218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18" s="15" t="str">
        <f t="shared" si="30"/>
        <v>⚪ N/A</v>
      </c>
      <c r="S218" s="35" cm="1">
        <f t="array" ref="S218">IFERROR(_xlfn.LET(_xlpm.e,E218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18" s="36">
        <f t="shared" si="31"/>
        <v>0</v>
      </c>
      <c r="U218" s="15">
        <f t="shared" si="32"/>
        <v>554</v>
      </c>
      <c r="V218" s="16">
        <f t="shared" si="33"/>
        <v>0</v>
      </c>
      <c r="W218" s="16">
        <f t="shared" si="34"/>
        <v>0</v>
      </c>
      <c r="X218" s="37" t="str">
        <f t="shared" si="35"/>
        <v>-</v>
      </c>
      <c r="Y218" s="15" t="str">
        <f t="shared" si="36"/>
        <v>📉 Low</v>
      </c>
    </row>
    <row r="219" spans="1:25" x14ac:dyDescent="0.2">
      <c r="A219" t="str">
        <f>'5. KPI Baselines'!A204</f>
        <v>EZ Texting</v>
      </c>
      <c r="B219" t="str">
        <f>'5. KPI Baselines'!B204</f>
        <v>Customer Success</v>
      </c>
      <c r="C219" t="str">
        <f>'5. KPI Baselines'!C204</f>
        <v>Onboarding</v>
      </c>
      <c r="D219" t="str">
        <f>'5. KPI Baselines'!D204</f>
        <v>Time-to-First-Campaign</v>
      </c>
      <c r="E219" t="str">
        <f>'5. KPI Baselines'!E204</f>
        <v>7 days</v>
      </c>
      <c r="F219" t="str">
        <f>'5. KPI Baselines'!F204</f>
        <v>2 days</v>
      </c>
      <c r="G219" t="str">
        <f>'5. KPI Baselines'!G204</f>
        <v>3-5 days</v>
      </c>
      <c r="H219" t="str">
        <f>'5. KPI Baselines'!H204</f>
        <v>↓</v>
      </c>
      <c r="I219" t="str">
        <f>'5. KPI Baselines'!I204</f>
        <v>12 months</v>
      </c>
      <c r="J219" t="str">
        <f>'5. KPI Baselines'!J204</f>
        <v>Account creation to first campaign send timestamp</v>
      </c>
      <c r="K219" s="15" t="str">
        <f t="shared" si="28"/>
        <v>7 days → 2 days</v>
      </c>
      <c r="L219" s="34" cm="1">
        <f t="array" ref="L219">IFERROR(_xlfn.LET(_xlpm.e,E219,_xlpm.f,F219,_xlpm.h,H219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0.71427551034985215</v>
      </c>
      <c r="M219" s="15" cm="1">
        <f t="array" ref="M219">IFERROR(_xlfn.LET(_xlpm.e,E219,_xlpm.f,F219,_xlpm.h,H219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2.8</v>
      </c>
      <c r="N219" s="15" cm="1">
        <f t="array" ref="N219">IFERROR(_xlfn.LET(_xlpm.e,E219,_xlpm.f,F219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219" s="15" t="str">
        <f t="shared" si="29"/>
        <v>3-5 days → 2 days</v>
      </c>
      <c r="P219" s="34" cm="1">
        <f t="array" ref="P219">IFERROR(_xlfn.LET(_xlpm.g,G219,_xlpm.f,F219,_xlpm.h,H219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0.99995660070312764</v>
      </c>
      <c r="Q219" s="15" t="str" cm="1">
        <f t="array" ref="Q219">IFERROR(_xlfn.LET(_xlpm.e,E219,_xlpm.g,G219,_xlpm.h,H219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219" s="15" t="str">
        <f t="shared" si="30"/>
        <v>🟢 Leading</v>
      </c>
      <c r="S219" s="35" cm="1">
        <f t="array" ref="S219">IFERROR(_xlfn.LET(_xlpm.e,E219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</v>
      </c>
      <c r="T219" s="36">
        <f t="shared" si="31"/>
        <v>71.427551034985214</v>
      </c>
      <c r="U219" s="15">
        <f t="shared" si="32"/>
        <v>77</v>
      </c>
      <c r="V219" s="16">
        <f t="shared" si="33"/>
        <v>698.05252782103116</v>
      </c>
      <c r="W219" s="16">
        <f t="shared" si="34"/>
        <v>1735.9533186233023</v>
      </c>
      <c r="X219" s="37">
        <f t="shared" si="35"/>
        <v>124</v>
      </c>
      <c r="Y219" s="15" t="str">
        <f t="shared" si="36"/>
        <v>🔥 Critical</v>
      </c>
    </row>
    <row r="220" spans="1:25" x14ac:dyDescent="0.2">
      <c r="A220" t="str">
        <f>'5. KPI Baselines'!A205</f>
        <v>EZ Texting</v>
      </c>
      <c r="B220" t="str">
        <f>'5. KPI Baselines'!B205</f>
        <v>Customer Success</v>
      </c>
      <c r="C220" t="str">
        <f>'5. KPI Baselines'!C205</f>
        <v>Account Management</v>
      </c>
      <c r="D220" t="str">
        <f>'5. KPI Baselines'!D205</f>
        <v>Accounts per CSM</v>
      </c>
      <c r="E220" t="str">
        <f>'5. KPI Baselines'!E205</f>
        <v>85</v>
      </c>
      <c r="F220" t="str">
        <f>'5. KPI Baselines'!F205</f>
        <v>140</v>
      </c>
      <c r="G220" t="str">
        <f>'5. KPI Baselines'!G205</f>
        <v>120-150</v>
      </c>
      <c r="H220" t="str">
        <f>'5. KPI Baselines'!H205</f>
        <v>↑</v>
      </c>
      <c r="I220" t="str">
        <f>'5. KPI Baselines'!I205</f>
        <v>18 months</v>
      </c>
      <c r="J220" t="str">
        <f>'5. KPI Baselines'!J205</f>
        <v>Active customer accounts divided by CSM headcount</v>
      </c>
      <c r="K220" s="15" t="str">
        <f t="shared" si="28"/>
        <v>140 - 85</v>
      </c>
      <c r="L220" s="34" cm="1">
        <f t="array" ref="L220">IFERROR(_xlfn.LET(_xlpm.e,E220,_xlpm.f,F220,_xlpm.h,H220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0.64705806228463258</v>
      </c>
      <c r="M220" s="15" cm="1">
        <f t="array" ref="M220">IFERROR(_xlfn.LET(_xlpm.e,E220,_xlpm.f,F220,_xlpm.h,H220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131.80000000000001</v>
      </c>
      <c r="N220" s="15" cm="1">
        <f t="array" ref="N220">IFERROR(_xlfn.LET(_xlpm.e,E220,_xlpm.f,F220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42.08</v>
      </c>
      <c r="O220" s="15" t="str">
        <f t="shared" si="29"/>
        <v>140 - 120-150</v>
      </c>
      <c r="P220" s="34" t="str" cm="1">
        <f t="array" ref="P220">IFERROR(_xlfn.LET(_xlpm.g,G220,_xlpm.f,F220,_xlpm.h,H220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0" s="15" t="str" cm="1">
        <f t="array" ref="Q220">IFERROR(_xlfn.LET(_xlpm.e,E220,_xlpm.g,G220,_xlpm.h,H220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0" s="15" t="str">
        <f t="shared" si="30"/>
        <v>⚪ N/A</v>
      </c>
      <c r="S220" s="35" cm="1">
        <f t="array" ref="S220">IFERROR(_xlfn.LET(_xlpm.e,E220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85</v>
      </c>
      <c r="T220" s="36">
        <f t="shared" si="31"/>
        <v>64.70580622846326</v>
      </c>
      <c r="U220" s="15">
        <f t="shared" si="32"/>
        <v>113</v>
      </c>
      <c r="V220" s="16">
        <f t="shared" si="33"/>
        <v>7678.6784662606278</v>
      </c>
      <c r="W220" s="16">
        <f t="shared" si="34"/>
        <v>19095.736831947932</v>
      </c>
      <c r="X220" s="37">
        <f t="shared" si="35"/>
        <v>11</v>
      </c>
      <c r="Y220" s="15" t="str">
        <f t="shared" si="36"/>
        <v>🔥 Critical</v>
      </c>
    </row>
    <row r="221" spans="1:25" x14ac:dyDescent="0.2">
      <c r="A221" t="str">
        <f>'5. KPI Baselines'!A206</f>
        <v>EZ Texting</v>
      </c>
      <c r="B221" t="str">
        <f>'5. KPI Baselines'!B206</f>
        <v>Customer Success</v>
      </c>
      <c r="C221" t="str">
        <f>'5. KPI Baselines'!C206</f>
        <v>Retention</v>
      </c>
      <c r="D221" t="str">
        <f>'5. KPI Baselines'!D206</f>
        <v>Annual Customer Retention Rate</v>
      </c>
      <c r="E221" t="str">
        <f>'5. KPI Baselines'!E206</f>
        <v>78%</v>
      </c>
      <c r="F221" t="str">
        <f>'5. KPI Baselines'!F206</f>
        <v>85%</v>
      </c>
      <c r="G221" t="str">
        <f>'5. KPI Baselines'!G206</f>
        <v>82-88%</v>
      </c>
      <c r="H221" t="str">
        <f>'5. KPI Baselines'!H206</f>
        <v>↑</v>
      </c>
      <c r="I221" t="str">
        <f>'5. KPI Baselines'!I206</f>
        <v>18 months</v>
      </c>
      <c r="J221" t="str">
        <f>'5. KPI Baselines'!J206</f>
        <v>Customers retained 12 months / total customers at start</v>
      </c>
      <c r="K221" s="15" t="str">
        <f t="shared" si="28"/>
        <v>85% - 78%</v>
      </c>
      <c r="L221" s="34" cm="1">
        <f t="array" ref="L221">IFERROR(_xlfn.LET(_xlpm.e,E221,_xlpm.f,F221,_xlpm.h,H221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8.9743474687852959E-2</v>
      </c>
      <c r="M221" s="15" cm="1">
        <f t="array" ref="M221">IFERROR(_xlfn.LET(_xlpm.e,E221,_xlpm.f,F221,_xlpm.h,H221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84</v>
      </c>
      <c r="N221" s="15" cm="1">
        <f t="array" ref="N221">IFERROR(_xlfn.LET(_xlpm.e,E221,_xlpm.f,F221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21" s="15" t="str">
        <f t="shared" si="29"/>
        <v>85% - 82-88%</v>
      </c>
      <c r="P221" s="34" t="str" cm="1">
        <f t="array" ref="P221">IFERROR(_xlfn.LET(_xlpm.g,G221,_xlpm.f,F221,_xlpm.h,H221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1" s="15" t="str" cm="1">
        <f t="array" ref="Q221">IFERROR(_xlfn.LET(_xlpm.e,E221,_xlpm.g,G221,_xlpm.h,H221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1" s="15" t="str">
        <f t="shared" si="30"/>
        <v>⚪ N/A</v>
      </c>
      <c r="S221" s="35" cm="1">
        <f t="array" ref="S221">IFERROR(_xlfn.LET(_xlpm.e,E221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221" s="36">
        <f t="shared" si="31"/>
        <v>8.9743474687852967</v>
      </c>
      <c r="U221" s="15">
        <f t="shared" si="32"/>
        <v>525</v>
      </c>
      <c r="V221" s="16">
        <f t="shared" si="33"/>
        <v>977.28624706891401</v>
      </c>
      <c r="W221" s="16">
        <f t="shared" si="34"/>
        <v>2430.3662492848293</v>
      </c>
      <c r="X221" s="37">
        <f t="shared" si="35"/>
        <v>89</v>
      </c>
      <c r="Y221" s="15" t="str">
        <f t="shared" si="36"/>
        <v>📉 Low</v>
      </c>
    </row>
    <row r="222" spans="1:25" x14ac:dyDescent="0.2">
      <c r="A222" t="str">
        <f>'5. KPI Baselines'!A207</f>
        <v>EZ Texting</v>
      </c>
      <c r="B222" t="str">
        <f>'5. KPI Baselines'!B207</f>
        <v>Product Management</v>
      </c>
      <c r="C222" t="str">
        <f>'5. KPI Baselines'!C207</f>
        <v>Compliance</v>
      </c>
      <c r="D222" t="str">
        <f>'5. KPI Baselines'!D207</f>
        <v>Policy-to-Feature Deployment Time</v>
      </c>
      <c r="E222" t="str">
        <f>'5. KPI Baselines'!E207</f>
        <v>45 days</v>
      </c>
      <c r="F222" t="str">
        <f>'5. KPI Baselines'!F207</f>
        <v>10 days</v>
      </c>
      <c r="G222" t="str">
        <f>'5. KPI Baselines'!G207</f>
        <v>15-20 days</v>
      </c>
      <c r="H222" t="str">
        <f>'5. KPI Baselines'!H207</f>
        <v>↓</v>
      </c>
      <c r="I222" t="str">
        <f>'5. KPI Baselines'!I207</f>
        <v>12 months</v>
      </c>
      <c r="J222" t="str">
        <f>'5. KPI Baselines'!J207</f>
        <v>Carrier policy publication to production feature deployment</v>
      </c>
      <c r="K222" s="15" t="str">
        <f t="shared" si="28"/>
        <v>45 days → 10 days</v>
      </c>
      <c r="L222" s="34" cm="1">
        <f t="array" ref="L222">IFERROR(_xlfn.LET(_xlpm.e,E222,_xlpm.f,F222,_xlpm.h,H222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0.77777604938655687</v>
      </c>
      <c r="M222" s="15" cm="1">
        <f t="array" ref="M222">IFERROR(_xlfn.LET(_xlpm.e,E222,_xlpm.f,F222,_xlpm.h,H222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15.3</v>
      </c>
      <c r="N222" s="15" cm="1">
        <f t="array" ref="N222">IFERROR(_xlfn.LET(_xlpm.e,E222,_xlpm.f,F222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26.78</v>
      </c>
      <c r="O222" s="15" t="str">
        <f t="shared" si="29"/>
        <v>15-20 days → 10 days</v>
      </c>
      <c r="P222" s="34" t="str" cm="1">
        <f t="array" ref="P222">IFERROR(_xlfn.LET(_xlpm.g,G222,_xlpm.f,F222,_xlpm.h,H222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2" s="15" t="str" cm="1">
        <f t="array" ref="Q222">IFERROR(_xlfn.LET(_xlpm.e,E222,_xlpm.g,G222,_xlpm.h,H222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2" s="15" t="str">
        <f t="shared" si="30"/>
        <v>⚪ N/A</v>
      </c>
      <c r="S222" s="35" cm="1">
        <f t="array" ref="S222">IFERROR(_xlfn.LET(_xlpm.e,E222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222" s="36">
        <f t="shared" si="31"/>
        <v>77.777604938655685</v>
      </c>
      <c r="U222" s="15">
        <f t="shared" si="32"/>
        <v>44</v>
      </c>
      <c r="V222" s="16">
        <f t="shared" si="33"/>
        <v>4886.4266412741299</v>
      </c>
      <c r="W222" s="16">
        <f t="shared" si="34"/>
        <v>12151.819821650926</v>
      </c>
      <c r="X222" s="37">
        <f t="shared" si="35"/>
        <v>18</v>
      </c>
      <c r="Y222" s="15" t="str">
        <f t="shared" si="36"/>
        <v>🔥 Critical</v>
      </c>
    </row>
    <row r="223" spans="1:25" x14ac:dyDescent="0.2">
      <c r="A223" t="str">
        <f>'5. KPI Baselines'!A208</f>
        <v>EZ Texting</v>
      </c>
      <c r="B223" t="str">
        <f>'5. KPI Baselines'!B208</f>
        <v>Product Management</v>
      </c>
      <c r="C223" t="str">
        <f>'5. KPI Baselines'!C208</f>
        <v>Feature Development</v>
      </c>
      <c r="D223" t="str">
        <f>'5. KPI Baselines'!D208</f>
        <v>Feature Delivery Velocity</v>
      </c>
      <c r="E223" t="str">
        <f>'5. KPI Baselines'!E208</f>
        <v>8.5 features/quarter</v>
      </c>
      <c r="F223" t="str">
        <f>'5. KPI Baselines'!F208</f>
        <v>13 features/quarter</v>
      </c>
      <c r="G223" t="str">
        <f>'5. KPI Baselines'!G208</f>
        <v>12-15 features/quarter</v>
      </c>
      <c r="H223" t="str">
        <f>'5. KPI Baselines'!H208</f>
        <v>↑</v>
      </c>
      <c r="I223" t="str">
        <f>'5. KPI Baselines'!I208</f>
        <v>12 months</v>
      </c>
      <c r="J223" t="str">
        <f>'5. KPI Baselines'!J208</f>
        <v>Production features released per quarter</v>
      </c>
      <c r="K223" s="15" t="str">
        <f t="shared" si="28"/>
        <v>13 features/quarter - 8.5 features/quarter</v>
      </c>
      <c r="L223" s="34" t="str" cm="1">
        <f t="array" ref="L223">IFERROR(_xlfn.LET(_xlpm.e,E223,_xlpm.f,F223,_xlpm.h,H223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23" s="15" t="str" cm="1">
        <f t="array" ref="M223">IFERROR(_xlfn.LET(_xlpm.e,E223,_xlpm.f,F223,_xlpm.h,H223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23" s="15" t="str" cm="1">
        <f t="array" ref="N223">IFERROR(_xlfn.LET(_xlpm.e,E223,_xlpm.f,F223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23" s="15" t="str">
        <f t="shared" si="29"/>
        <v>13 features/quarter - 12-15 features/quarter</v>
      </c>
      <c r="P223" s="34" t="str" cm="1">
        <f t="array" ref="P223">IFERROR(_xlfn.LET(_xlpm.g,G223,_xlpm.f,F223,_xlpm.h,H223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3" s="15" t="str" cm="1">
        <f t="array" ref="Q223">IFERROR(_xlfn.LET(_xlpm.e,E223,_xlpm.g,G223,_xlpm.h,H223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3" s="15" t="str">
        <f t="shared" si="30"/>
        <v>⚪ N/A</v>
      </c>
      <c r="S223" s="35" cm="1">
        <f t="array" ref="S223">IFERROR(_xlfn.LET(_xlpm.e,E223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23" s="36">
        <f t="shared" si="31"/>
        <v>0</v>
      </c>
      <c r="U223" s="15">
        <f t="shared" si="32"/>
        <v>554</v>
      </c>
      <c r="V223" s="16">
        <f t="shared" si="33"/>
        <v>0</v>
      </c>
      <c r="W223" s="16">
        <f t="shared" si="34"/>
        <v>0</v>
      </c>
      <c r="X223" s="37" t="str">
        <f t="shared" si="35"/>
        <v>-</v>
      </c>
      <c r="Y223" s="15" t="str">
        <f t="shared" si="36"/>
        <v>📉 Low</v>
      </c>
    </row>
    <row r="224" spans="1:25" x14ac:dyDescent="0.2">
      <c r="A224" t="str">
        <f>'5. KPI Baselines'!A209</f>
        <v>EZ Texting</v>
      </c>
      <c r="B224" t="str">
        <f>'5. KPI Baselines'!B209</f>
        <v>Sales</v>
      </c>
      <c r="C224" t="str">
        <f>'5. KPI Baselines'!C209</f>
        <v>Lead Conversion</v>
      </c>
      <c r="D224" t="str">
        <f>'5. KPI Baselines'!D209</f>
        <v>Demo-to-Customer Conversion Rate</v>
      </c>
      <c r="E224" t="str">
        <f>'5. KPI Baselines'!E209</f>
        <v>18%</v>
      </c>
      <c r="F224" t="str">
        <f>'5. KPI Baselines'!F209</f>
        <v>27%</v>
      </c>
      <c r="G224" t="str">
        <f>'5. KPI Baselines'!G209</f>
        <v>22-28%</v>
      </c>
      <c r="H224" t="str">
        <f>'5. KPI Baselines'!H209</f>
        <v>↑</v>
      </c>
      <c r="I224" t="str">
        <f>'5. KPI Baselines'!I209</f>
        <v>12 months</v>
      </c>
      <c r="J224" t="str">
        <f>'5. KPI Baselines'!J209</f>
        <v>Customers acquired / product demos delivered</v>
      </c>
      <c r="K224" s="15" t="str">
        <f t="shared" si="28"/>
        <v>27% - 18%</v>
      </c>
      <c r="L224" s="34" cm="1">
        <f t="array" ref="L224">IFERROR(_xlfn.LET(_xlpm.e,E224,_xlpm.f,F224,_xlpm.h,H224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0.49999722223765425</v>
      </c>
      <c r="M224" s="15" cm="1">
        <f t="array" ref="M224">IFERROR(_xlfn.LET(_xlpm.e,E224,_xlpm.f,F224,_xlpm.h,H224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25.7</v>
      </c>
      <c r="N224" s="15" cm="1">
        <f t="array" ref="N224">IFERROR(_xlfn.LET(_xlpm.e,E224,_xlpm.f,F224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24" s="15" t="str">
        <f t="shared" si="29"/>
        <v>27% - 22-28%</v>
      </c>
      <c r="P224" s="34" t="str" cm="1">
        <f t="array" ref="P224">IFERROR(_xlfn.LET(_xlpm.g,G224,_xlpm.f,F224,_xlpm.h,H224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4" s="15" t="str" cm="1">
        <f t="array" ref="Q224">IFERROR(_xlfn.LET(_xlpm.e,E224,_xlpm.g,G224,_xlpm.h,H224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4" s="15" t="str">
        <f t="shared" si="30"/>
        <v>⚪ N/A</v>
      </c>
      <c r="S224" s="35" cm="1">
        <f t="array" ref="S224">IFERROR(_xlfn.LET(_xlpm.e,E224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24" s="36">
        <f t="shared" si="31"/>
        <v>49.999722223765424</v>
      </c>
      <c r="U224" s="15">
        <f t="shared" si="32"/>
        <v>226</v>
      </c>
      <c r="V224" s="16">
        <f t="shared" si="33"/>
        <v>1256.505519413781</v>
      </c>
      <c r="W224" s="16">
        <f t="shared" si="34"/>
        <v>3124.7432526368289</v>
      </c>
      <c r="X224" s="37">
        <f t="shared" si="35"/>
        <v>69</v>
      </c>
      <c r="Y224" s="15" t="str">
        <f t="shared" si="36"/>
        <v>⚠️ High</v>
      </c>
    </row>
    <row r="225" spans="1:25" x14ac:dyDescent="0.2">
      <c r="A225" t="str">
        <f>'5. KPI Baselines'!A210</f>
        <v>EZ Texting</v>
      </c>
      <c r="B225" t="str">
        <f>'5. KPI Baselines'!B210</f>
        <v>Sales</v>
      </c>
      <c r="C225" t="str">
        <f>'5. KPI Baselines'!C210</f>
        <v>Pipeline Management</v>
      </c>
      <c r="D225" t="str">
        <f>'5. KPI Baselines'!D210</f>
        <v>Sales Cycle Length</v>
      </c>
      <c r="E225" t="str">
        <f>'5. KPI Baselines'!E210</f>
        <v>12 days</v>
      </c>
      <c r="F225" t="str">
        <f>'5. KPI Baselines'!F210</f>
        <v>8 days</v>
      </c>
      <c r="G225" t="str">
        <f>'5. KPI Baselines'!G210</f>
        <v>8-10 days</v>
      </c>
      <c r="H225" t="str">
        <f>'5. KPI Baselines'!H210</f>
        <v>↓</v>
      </c>
      <c r="I225" t="str">
        <f>'5. KPI Baselines'!I210</f>
        <v>9 months</v>
      </c>
      <c r="J225" t="str">
        <f>'5. KPI Baselines'!J210</f>
        <v>First demo to contract signature timestamp</v>
      </c>
      <c r="K225" s="15" t="str">
        <f t="shared" si="28"/>
        <v>12 days → 8 days</v>
      </c>
      <c r="L225" s="34" cm="1">
        <f t="array" ref="L225">IFERROR(_xlfn.LET(_xlpm.e,E225,_xlpm.f,F225,_xlpm.h,H225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0.3333305555787035</v>
      </c>
      <c r="M225" s="15" cm="1">
        <f t="array" ref="M225">IFERROR(_xlfn.LET(_xlpm.e,E225,_xlpm.f,F225,_xlpm.h,H225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8.6</v>
      </c>
      <c r="N225" s="15" cm="1">
        <f t="array" ref="N225">IFERROR(_xlfn.LET(_xlpm.e,E225,_xlpm.f,F225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25" s="15" t="str">
        <f t="shared" si="29"/>
        <v>8-10 days → 8 days</v>
      </c>
      <c r="P225" s="34" cm="1">
        <f t="array" ref="P225">IFERROR(_xlfn.LET(_xlpm.g,G225,_xlpm.f,F225,_xlpm.h,H225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0.99982700242230993</v>
      </c>
      <c r="Q225" s="15" t="str" cm="1">
        <f t="array" ref="Q225">IFERROR(_xlfn.LET(_xlpm.e,E225,_xlpm.g,G225,_xlpm.h,H225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225" s="15" t="str">
        <f t="shared" si="30"/>
        <v>🟢 Leading</v>
      </c>
      <c r="S225" s="35" cm="1">
        <f t="array" ref="S225">IFERROR(_xlfn.LET(_xlpm.e,E225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25" s="36">
        <f t="shared" si="31"/>
        <v>33.333055557870352</v>
      </c>
      <c r="U225" s="15">
        <f t="shared" si="32"/>
        <v>369</v>
      </c>
      <c r="V225" s="16">
        <f t="shared" si="33"/>
        <v>558.44534628878091</v>
      </c>
      <c r="W225" s="16">
        <f t="shared" si="34"/>
        <v>1388.7709212741295</v>
      </c>
      <c r="X225" s="37">
        <f t="shared" si="35"/>
        <v>155</v>
      </c>
      <c r="Y225" s="15" t="str">
        <f t="shared" si="36"/>
        <v>⚠️ High</v>
      </c>
    </row>
    <row r="226" spans="1:25" x14ac:dyDescent="0.2">
      <c r="A226" t="str">
        <f>'5. KPI Baselines'!A211</f>
        <v>EZ Texting</v>
      </c>
      <c r="B226" t="str">
        <f>'5. KPI Baselines'!B211</f>
        <v>Customer Support</v>
      </c>
      <c r="C226" t="str">
        <f>'5. KPI Baselines'!C211</f>
        <v>Ticket Resolution</v>
      </c>
      <c r="D226" t="str">
        <f>'5. KPI Baselines'!D211</f>
        <v>Average Resolution Time</v>
      </c>
      <c r="E226" t="str">
        <f>'5. KPI Baselines'!E211</f>
        <v>4.2 hours</v>
      </c>
      <c r="F226" t="str">
        <f>'5. KPI Baselines'!F211</f>
        <v>2.8 hours</v>
      </c>
      <c r="G226" t="str">
        <f>'5. KPI Baselines'!G211</f>
        <v>2.5-3.5 hours</v>
      </c>
      <c r="H226" t="str">
        <f>'5. KPI Baselines'!H211</f>
        <v>↓</v>
      </c>
      <c r="I226" t="str">
        <f>'5. KPI Baselines'!I211</f>
        <v>12 months</v>
      </c>
      <c r="J226" t="str">
        <f>'5. KPI Baselines'!J211</f>
        <v>Ticket creation to closure timestamp average</v>
      </c>
      <c r="K226" s="15" t="str">
        <f t="shared" si="28"/>
        <v>4.2 hours → 2.8 hours</v>
      </c>
      <c r="L226" s="34" cm="1">
        <f t="array" ref="L226">IFERROR(_xlfn.LET(_xlpm.e,E226,_xlpm.f,F226,_xlpm.h,H226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0.33332539701435687</v>
      </c>
      <c r="M226" s="15" cm="1">
        <f t="array" ref="M226">IFERROR(_xlfn.LET(_xlpm.e,E226,_xlpm.f,F226,_xlpm.h,H226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</v>
      </c>
      <c r="N226" s="15" cm="1">
        <f t="array" ref="N226">IFERROR(_xlfn.LET(_xlpm.e,E226,_xlpm.f,F226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226" s="15" t="str">
        <f t="shared" si="29"/>
        <v>2.5-3.5 hours → 2.8 hours</v>
      </c>
      <c r="P226" s="34" t="str" cm="1">
        <f t="array" ref="P226">IFERROR(_xlfn.LET(_xlpm.g,G226,_xlpm.f,F226,_xlpm.h,H226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6" s="15" t="str" cm="1">
        <f t="array" ref="Q226">IFERROR(_xlfn.LET(_xlpm.e,E226,_xlpm.g,G226,_xlpm.h,H226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6" s="15" t="str">
        <f t="shared" si="30"/>
        <v>⚪ N/A</v>
      </c>
      <c r="S226" s="35" cm="1">
        <f t="array" ref="S226">IFERROR(_xlfn.LET(_xlpm.e,E226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226" s="36">
        <f t="shared" si="31"/>
        <v>33.332539701435685</v>
      </c>
      <c r="U226" s="15">
        <f t="shared" si="32"/>
        <v>374</v>
      </c>
      <c r="V226" s="16">
        <f t="shared" si="33"/>
        <v>195.45284636080098</v>
      </c>
      <c r="W226" s="16">
        <f t="shared" si="34"/>
        <v>486.06230011589167</v>
      </c>
      <c r="X226" s="37">
        <f t="shared" si="35"/>
        <v>432</v>
      </c>
      <c r="Y226" s="15" t="str">
        <f t="shared" si="36"/>
        <v>⚠️ High</v>
      </c>
    </row>
    <row r="227" spans="1:25" x14ac:dyDescent="0.2">
      <c r="A227" t="str">
        <f>'5. KPI Baselines'!A212</f>
        <v>EZ Texting</v>
      </c>
      <c r="B227" t="str">
        <f>'5. KPI Baselines'!B212</f>
        <v>Customer Support</v>
      </c>
      <c r="C227" t="str">
        <f>'5. KPI Baselines'!C212</f>
        <v>Self-Service</v>
      </c>
      <c r="D227" t="str">
        <f>'5. KPI Baselines'!D212</f>
        <v>First-Contact Resolution Rate</v>
      </c>
      <c r="E227" t="str">
        <f>'5. KPI Baselines'!E212</f>
        <v>68%</v>
      </c>
      <c r="F227" t="str">
        <f>'5. KPI Baselines'!F212</f>
        <v>82%</v>
      </c>
      <c r="G227" t="str">
        <f>'5. KPI Baselines'!G212</f>
        <v>75-85%</v>
      </c>
      <c r="H227" t="str">
        <f>'5. KPI Baselines'!H212</f>
        <v>↑</v>
      </c>
      <c r="I227" t="str">
        <f>'5. KPI Baselines'!I212</f>
        <v>12 months</v>
      </c>
      <c r="J227" t="str">
        <f>'5. KPI Baselines'!J212</f>
        <v>Tickets resolved without escalation / total tickets</v>
      </c>
      <c r="K227" s="15" t="str">
        <f t="shared" si="28"/>
        <v>82% - 68%</v>
      </c>
      <c r="L227" s="34" cm="1">
        <f t="array" ref="L227">IFERROR(_xlfn.LET(_xlpm.e,E227,_xlpm.f,F227,_xlpm.h,H227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0.20588205017345562</v>
      </c>
      <c r="M227" s="15" cm="1">
        <f t="array" ref="M227">IFERROR(_xlfn.LET(_xlpm.e,E227,_xlpm.f,F227,_xlpm.h,H227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79.900000000000006</v>
      </c>
      <c r="N227" s="15" cm="1">
        <f t="array" ref="N227">IFERROR(_xlfn.LET(_xlpm.e,E227,_xlpm.f,F227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27" s="15" t="str">
        <f t="shared" si="29"/>
        <v>82% - 75-85%</v>
      </c>
      <c r="P227" s="34" t="str" cm="1">
        <f t="array" ref="P227">IFERROR(_xlfn.LET(_xlpm.g,G227,_xlpm.f,F227,_xlpm.h,H227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7" s="15" t="str" cm="1">
        <f t="array" ref="Q227">IFERROR(_xlfn.LET(_xlpm.e,E227,_xlpm.g,G227,_xlpm.h,H227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7" s="15" t="str">
        <f t="shared" si="30"/>
        <v>⚪ N/A</v>
      </c>
      <c r="S227" s="35" cm="1">
        <f t="array" ref="S227">IFERROR(_xlfn.LET(_xlpm.e,E227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227" s="36">
        <f t="shared" si="31"/>
        <v>20.588205017345562</v>
      </c>
      <c r="U227" s="15">
        <f t="shared" si="32"/>
        <v>462</v>
      </c>
      <c r="V227" s="16">
        <f t="shared" si="33"/>
        <v>1954.5721256292268</v>
      </c>
      <c r="W227" s="16">
        <f t="shared" si="34"/>
        <v>4860.7315821433103</v>
      </c>
      <c r="X227" s="37">
        <f t="shared" si="35"/>
        <v>45</v>
      </c>
      <c r="Y227" s="15" t="str">
        <f t="shared" si="36"/>
        <v>📊 Medium</v>
      </c>
    </row>
    <row r="228" spans="1:25" x14ac:dyDescent="0.2">
      <c r="A228" t="str">
        <f>'5. KPI Baselines'!A213</f>
        <v>EZ Texting</v>
      </c>
      <c r="B228" t="str">
        <f>'5. KPI Baselines'!B213</f>
        <v>Finance</v>
      </c>
      <c r="C228" t="str">
        <f>'5. KPI Baselines'!C213</f>
        <v>Revenue Operations</v>
      </c>
      <c r="D228" t="str">
        <f>'5. KPI Baselines'!D213</f>
        <v>Monthly Recurring Revenue Growth Rate</v>
      </c>
      <c r="E228" t="str">
        <f>'5. KPI Baselines'!E213</f>
        <v>2.8%</v>
      </c>
      <c r="F228" t="str">
        <f>'5. KPI Baselines'!F213</f>
        <v>4.2%</v>
      </c>
      <c r="G228" t="str">
        <f>'5. KPI Baselines'!G213</f>
        <v>3.5-5%</v>
      </c>
      <c r="H228" t="str">
        <f>'5. KPI Baselines'!H213</f>
        <v>↑</v>
      </c>
      <c r="I228" t="str">
        <f>'5. KPI Baselines'!I213</f>
        <v>18 months</v>
      </c>
      <c r="J228" t="str">
        <f>'5. KPI Baselines'!J213</f>
        <v>Month-over-month MRR percentage change</v>
      </c>
      <c r="K228" s="15" t="str">
        <f t="shared" si="28"/>
        <v>4.2% - 2.8%</v>
      </c>
      <c r="L228" s="34" cm="1">
        <f t="array" ref="L228">IFERROR(_xlfn.LET(_xlpm.e,E228,_xlpm.f,F228,_xlpm.h,H228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0.4999821434948753</v>
      </c>
      <c r="M228" s="15" cm="1">
        <f t="array" ref="M228">IFERROR(_xlfn.LET(_xlpm.e,E228,_xlpm.f,F228,_xlpm.h,H228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</v>
      </c>
      <c r="N228" s="15" cm="1">
        <f t="array" ref="N228">IFERROR(_xlfn.LET(_xlpm.e,E228,_xlpm.f,F228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228" s="15" t="str">
        <f t="shared" si="29"/>
        <v>4.2% - 3.5-5%</v>
      </c>
      <c r="P228" s="34" t="str" cm="1">
        <f t="array" ref="P228">IFERROR(_xlfn.LET(_xlpm.g,G228,_xlpm.f,F228,_xlpm.h,H228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8" s="15" t="str" cm="1">
        <f t="array" ref="Q228">IFERROR(_xlfn.LET(_xlpm.e,E228,_xlpm.g,G228,_xlpm.h,H228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8" s="15" t="str">
        <f t="shared" si="30"/>
        <v>⚪ N/A</v>
      </c>
      <c r="S228" s="35" cm="1">
        <f t="array" ref="S228">IFERROR(_xlfn.LET(_xlpm.e,E228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2.8</v>
      </c>
      <c r="T228" s="36">
        <f t="shared" si="31"/>
        <v>49.998214349487533</v>
      </c>
      <c r="U228" s="15">
        <f t="shared" si="32"/>
        <v>244</v>
      </c>
      <c r="V228" s="16">
        <f t="shared" si="33"/>
        <v>195.45051962429918</v>
      </c>
      <c r="W228" s="16">
        <f t="shared" si="34"/>
        <v>486.05651386658968</v>
      </c>
      <c r="X228" s="37">
        <f t="shared" si="35"/>
        <v>432</v>
      </c>
      <c r="Y228" s="15" t="str">
        <f t="shared" si="36"/>
        <v>⚠️ High</v>
      </c>
    </row>
    <row r="229" spans="1:25" x14ac:dyDescent="0.2">
      <c r="A229" t="str">
        <f>'5. KPI Baselines'!A214</f>
        <v>EZ Texting</v>
      </c>
      <c r="B229" t="str">
        <f>'5. KPI Baselines'!B214</f>
        <v>Marketing</v>
      </c>
      <c r="C229" t="str">
        <f>'5. KPI Baselines'!C214</f>
        <v>Content Production</v>
      </c>
      <c r="D229" t="str">
        <f>'5. KPI Baselines'!D214</f>
        <v>Educational Content Output</v>
      </c>
      <c r="E229" t="str">
        <f>'5. KPI Baselines'!E214</f>
        <v>32 pieces/quarter</v>
      </c>
      <c r="F229" t="str">
        <f>'5. KPI Baselines'!F214</f>
        <v>65 pieces/quarter</v>
      </c>
      <c r="G229" t="str">
        <f>'5. KPI Baselines'!G214</f>
        <v>50-70 pieces/quarter</v>
      </c>
      <c r="H229" t="str">
        <f>'5. KPI Baselines'!H214</f>
        <v>↑</v>
      </c>
      <c r="I229" t="str">
        <f>'5. KPI Baselines'!I214</f>
        <v>12 months</v>
      </c>
      <c r="J229" t="str">
        <f>'5. KPI Baselines'!J214</f>
        <v>Published blog posts, guides, templates per quarter</v>
      </c>
      <c r="K229" s="15" t="str">
        <f t="shared" si="28"/>
        <v>65 pieces/quarter - 32 pieces/quarter</v>
      </c>
      <c r="L229" s="34" t="str" cm="1">
        <f t="array" ref="L229">IFERROR(_xlfn.LET(_xlpm.e,E229,_xlpm.f,F229,_xlpm.h,H229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29" s="15" t="str" cm="1">
        <f t="array" ref="M229">IFERROR(_xlfn.LET(_xlpm.e,E229,_xlpm.f,F229,_xlpm.h,H229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29" s="15" t="str" cm="1">
        <f t="array" ref="N229">IFERROR(_xlfn.LET(_xlpm.e,E229,_xlpm.f,F229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29" s="15" t="str">
        <f t="shared" si="29"/>
        <v>65 pieces/quarter - 50-70 pieces/quarter</v>
      </c>
      <c r="P229" s="34" t="str" cm="1">
        <f t="array" ref="P229">IFERROR(_xlfn.LET(_xlpm.g,G229,_xlpm.f,F229,_xlpm.h,H229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29" s="15" t="str" cm="1">
        <f t="array" ref="Q229">IFERROR(_xlfn.LET(_xlpm.e,E229,_xlpm.g,G229,_xlpm.h,H229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29" s="15" t="str">
        <f t="shared" si="30"/>
        <v>⚪ N/A</v>
      </c>
      <c r="S229" s="35" cm="1">
        <f t="array" ref="S229">IFERROR(_xlfn.LET(_xlpm.e,E229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29" s="36">
        <f t="shared" si="31"/>
        <v>0</v>
      </c>
      <c r="U229" s="15">
        <f t="shared" si="32"/>
        <v>554</v>
      </c>
      <c r="V229" s="16">
        <f t="shared" si="33"/>
        <v>0</v>
      </c>
      <c r="W229" s="16">
        <f t="shared" si="34"/>
        <v>0</v>
      </c>
      <c r="X229" s="37" t="str">
        <f t="shared" si="35"/>
        <v>-</v>
      </c>
      <c r="Y229" s="15" t="str">
        <f t="shared" si="36"/>
        <v>📉 Low</v>
      </c>
    </row>
    <row r="230" spans="1:25" x14ac:dyDescent="0.2">
      <c r="A230" t="str">
        <f>'5. KPI Baselines'!A215</f>
        <v>EZ Texting</v>
      </c>
      <c r="B230" t="str">
        <f>'5. KPI Baselines'!B215</f>
        <v>Engineering</v>
      </c>
      <c r="C230" t="str">
        <f>'5. KPI Baselines'!C215</f>
        <v>Platform Operations</v>
      </c>
      <c r="D230" t="str">
        <f>'5. KPI Baselines'!D215</f>
        <v>API Documentation Coverage</v>
      </c>
      <c r="E230" t="str">
        <f>'5. KPI Baselines'!E215</f>
        <v>62%</v>
      </c>
      <c r="F230" t="str">
        <f>'5. KPI Baselines'!F215</f>
        <v>90%</v>
      </c>
      <c r="G230" t="str">
        <f>'5. KPI Baselines'!G215</f>
        <v>85-95%</v>
      </c>
      <c r="H230" t="str">
        <f>'5. KPI Baselines'!H215</f>
        <v>↑</v>
      </c>
      <c r="I230" t="str">
        <f>'5. KPI Baselines'!I215</f>
        <v>12 months</v>
      </c>
      <c r="J230" t="str">
        <f>'5. KPI Baselines'!J215</f>
        <v>Documented endpoints / total API endpoints</v>
      </c>
      <c r="K230" s="15" t="str">
        <f t="shared" si="28"/>
        <v>90% - 62%</v>
      </c>
      <c r="L230" s="34" cm="1">
        <f t="array" ref="L230">IFERROR(_xlfn.LET(_xlpm.e,E230,_xlpm.f,F230,_xlpm.h,H230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0.45161217481907284</v>
      </c>
      <c r="M230" s="15" cm="1">
        <f t="array" ref="M230">IFERROR(_xlfn.LET(_xlpm.e,E230,_xlpm.f,F230,_xlpm.h,H230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85.8</v>
      </c>
      <c r="N230" s="15" cm="1">
        <f t="array" ref="N230">IFERROR(_xlfn.LET(_xlpm.e,E230,_xlpm.f,F230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21.42</v>
      </c>
      <c r="O230" s="15" t="str">
        <f t="shared" si="29"/>
        <v>90% - 85-95%</v>
      </c>
      <c r="P230" s="34" t="str" cm="1">
        <f t="array" ref="P230">IFERROR(_xlfn.LET(_xlpm.g,G230,_xlpm.f,F230,_xlpm.h,H230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30" s="15" t="str" cm="1">
        <f t="array" ref="Q230">IFERROR(_xlfn.LET(_xlpm.e,E230,_xlpm.g,G230,_xlpm.h,H230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30" s="15" t="str">
        <f t="shared" si="30"/>
        <v>⚪ N/A</v>
      </c>
      <c r="S230" s="35" cm="1">
        <f t="array" ref="S230">IFERROR(_xlfn.LET(_xlpm.e,E230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62</v>
      </c>
      <c r="T230" s="36">
        <f t="shared" si="31"/>
        <v>45.161217481907286</v>
      </c>
      <c r="U230" s="15">
        <f t="shared" si="32"/>
        <v>265</v>
      </c>
      <c r="V230" s="16">
        <f t="shared" si="33"/>
        <v>3909.1436949295235</v>
      </c>
      <c r="W230" s="16">
        <f t="shared" si="34"/>
        <v>9721.4617807789127</v>
      </c>
      <c r="X230" s="37">
        <f t="shared" si="35"/>
        <v>22</v>
      </c>
      <c r="Y230" s="15" t="str">
        <f t="shared" si="36"/>
        <v>⚠️ High</v>
      </c>
    </row>
    <row r="231" spans="1:25" x14ac:dyDescent="0.2">
      <c r="A231" t="str">
        <f>'5. KPI Baselines'!A216</f>
        <v>Excelitas Technologies</v>
      </c>
      <c r="B231" t="str">
        <f>'5. KPI Baselines'!B216</f>
        <v>Engineering</v>
      </c>
      <c r="C231" t="str">
        <f>'5. KPI Baselines'!C216</f>
        <v>Product Development</v>
      </c>
      <c r="D231" t="str">
        <f>'5. KPI Baselines'!D216</f>
        <v>Design Cycle Time</v>
      </c>
      <c r="E231" t="str">
        <f>'5. KPI Baselines'!E216</f>
        <v>187 days</v>
      </c>
      <c r="F231" t="str">
        <f>'5. KPI Baselines'!F216</f>
        <v>156 days</v>
      </c>
      <c r="G231" t="str">
        <f>'5. KPI Baselines'!G216</f>
        <v>145 days</v>
      </c>
      <c r="H231" t="str">
        <f>'5. KPI Baselines'!H216</f>
        <v>↓</v>
      </c>
      <c r="I231" t="str">
        <f>'5. KPI Baselines'!I216</f>
        <v>18 months</v>
      </c>
      <c r="J231" t="str">
        <f>'5. KPI Baselines'!J216</f>
        <v>Concept approval to design release milestone</v>
      </c>
      <c r="K231" s="15" t="str">
        <f t="shared" si="28"/>
        <v>187 days → 156 days</v>
      </c>
      <c r="L231" s="34" cm="1">
        <f t="array" ref="L231">IFERROR(_xlfn.LET(_xlpm.e,E231,_xlpm.f,F231,_xlpm.h,H231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0.16577531241961901</v>
      </c>
      <c r="M231" s="15" cm="1">
        <f t="array" ref="M231">IFERROR(_xlfn.LET(_xlpm.e,E231,_xlpm.f,F231,_xlpm.h,H231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160.69999999999999</v>
      </c>
      <c r="N231" s="15" cm="1">
        <f t="array" ref="N231">IFERROR(_xlfn.LET(_xlpm.e,E231,_xlpm.f,F231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23.72</v>
      </c>
      <c r="O231" s="15" t="str">
        <f t="shared" si="29"/>
        <v>145 days → 156 days</v>
      </c>
      <c r="P231" s="34" cm="1">
        <f t="array" ref="P231">IFERROR(_xlfn.LET(_xlpm.g,G231,_xlpm.f,F231,_xlpm.h,H231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-7.5862016646885064E-2</v>
      </c>
      <c r="Q231" s="15" t="str" cm="1">
        <f t="array" ref="Q231">IFERROR(_xlfn.LET(_xlpm.e,E231,_xlpm.g,G231,_xlpm.h,H231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1" s="15" t="str">
        <f t="shared" si="30"/>
        <v>🔴 Lagging</v>
      </c>
      <c r="S231" s="35" cm="1">
        <f t="array" ref="S231">IFERROR(_xlfn.LET(_xlpm.e,E231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187</v>
      </c>
      <c r="T231" s="36">
        <f t="shared" si="31"/>
        <v>16.5775312419619</v>
      </c>
      <c r="U231" s="15">
        <f t="shared" si="32"/>
        <v>492</v>
      </c>
      <c r="V231" s="16">
        <f t="shared" si="33"/>
        <v>4327.9851855694187</v>
      </c>
      <c r="W231" s="16">
        <f t="shared" si="34"/>
        <v>10763.058575683537</v>
      </c>
      <c r="X231" s="37">
        <f t="shared" si="35"/>
        <v>20</v>
      </c>
      <c r="Y231" s="15" t="str">
        <f t="shared" si="36"/>
        <v>📊 Medium</v>
      </c>
    </row>
    <row r="232" spans="1:25" x14ac:dyDescent="0.2">
      <c r="A232" t="str">
        <f>'5. KPI Baselines'!A217</f>
        <v>Excelitas Technologies</v>
      </c>
      <c r="B232" t="str">
        <f>'5. KPI Baselines'!B217</f>
        <v>Engineering</v>
      </c>
      <c r="C232" t="str">
        <f>'5. KPI Baselines'!C217</f>
        <v>Technical Documentation</v>
      </c>
      <c r="D232" t="str">
        <f>'5. KPI Baselines'!D217</f>
        <v>Documentation Search Time</v>
      </c>
      <c r="E232" t="str">
        <f>'5. KPI Baselines'!E217</f>
        <v>47 minutes per query</v>
      </c>
      <c r="F232" t="str">
        <f>'5. KPI Baselines'!F217</f>
        <v>12 minutes per query</v>
      </c>
      <c r="G232" t="str">
        <f>'5. KPI Baselines'!G217</f>
        <v>22 minutes per query</v>
      </c>
      <c r="H232" t="str">
        <f>'5. KPI Baselines'!H217</f>
        <v>↓</v>
      </c>
      <c r="I232" t="str">
        <f>'5. KPI Baselines'!I217</f>
        <v>12 months</v>
      </c>
      <c r="J232" t="str">
        <f>'5. KPI Baselines'!J217</f>
        <v>Average time from search initiation to document retrieval</v>
      </c>
      <c r="K232" s="15" t="str">
        <f t="shared" si="28"/>
        <v>47 minutes per query → 12 minutes per query</v>
      </c>
      <c r="L232" s="34" t="str" cm="1">
        <f t="array" ref="L232">IFERROR(_xlfn.LET(_xlpm.e,E232,_xlpm.f,F232,_xlpm.h,H232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32" s="15" t="str" cm="1">
        <f t="array" ref="M232">IFERROR(_xlfn.LET(_xlpm.e,E232,_xlpm.f,F232,_xlpm.h,H232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32" s="15" t="str" cm="1">
        <f t="array" ref="N232">IFERROR(_xlfn.LET(_xlpm.e,E232,_xlpm.f,F232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32" s="15" t="str">
        <f t="shared" si="29"/>
        <v>22 minutes per query → 12 minutes per query</v>
      </c>
      <c r="P232" s="34" t="str" cm="1">
        <f t="array" ref="P232">IFERROR(_xlfn.LET(_xlpm.g,G232,_xlpm.f,F232,_xlpm.h,H232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32" s="15" t="str" cm="1">
        <f t="array" ref="Q232">IFERROR(_xlfn.LET(_xlpm.e,E232,_xlpm.g,G232,_xlpm.h,H232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32" s="15" t="str">
        <f t="shared" si="30"/>
        <v>⚪ N/A</v>
      </c>
      <c r="S232" s="35" cm="1">
        <f t="array" ref="S232">IFERROR(_xlfn.LET(_xlpm.e,E232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32" s="36">
        <f t="shared" si="31"/>
        <v>0</v>
      </c>
      <c r="U232" s="15">
        <f t="shared" si="32"/>
        <v>554</v>
      </c>
      <c r="V232" s="16">
        <f t="shared" si="33"/>
        <v>0</v>
      </c>
      <c r="W232" s="16">
        <f t="shared" si="34"/>
        <v>0</v>
      </c>
      <c r="X232" s="37" t="str">
        <f t="shared" si="35"/>
        <v>-</v>
      </c>
      <c r="Y232" s="15" t="str">
        <f t="shared" si="36"/>
        <v>📉 Low</v>
      </c>
    </row>
    <row r="233" spans="1:25" x14ac:dyDescent="0.2">
      <c r="A233" t="str">
        <f>'5. KPI Baselines'!A218</f>
        <v>Excelitas Technologies</v>
      </c>
      <c r="B233" t="str">
        <f>'5. KPI Baselines'!B218</f>
        <v>Quality Assurance</v>
      </c>
      <c r="C233" t="str">
        <f>'5. KPI Baselines'!C218</f>
        <v>Inspection</v>
      </c>
      <c r="D233" t="str">
        <f>'5. KPI Baselines'!D218</f>
        <v>Defect Detection Rate</v>
      </c>
      <c r="E233" t="str">
        <f>'5. KPI Baselines'!E218</f>
        <v>94%</v>
      </c>
      <c r="F233" t="str">
        <f>'5. KPI Baselines'!F218</f>
        <v>98%</v>
      </c>
      <c r="G233" t="str">
        <f>'5. KPI Baselines'!G218</f>
        <v>96%</v>
      </c>
      <c r="H233" t="str">
        <f>'5. KPI Baselines'!H218</f>
        <v>↑</v>
      </c>
      <c r="I233" t="str">
        <f>'5. KPI Baselines'!I218</f>
        <v>15 months</v>
      </c>
      <c r="J233" t="str">
        <f>'5. KPI Baselines'!J218</f>
        <v>Detected defects divided by total defects in sample audits</v>
      </c>
      <c r="K233" s="15" t="str">
        <f t="shared" si="28"/>
        <v>98% - 94%</v>
      </c>
      <c r="L233" s="34" cm="1">
        <f t="array" ref="L233">IFERROR(_xlfn.LET(_xlpm.e,E233,_xlpm.f,F233,_xlpm.h,H233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4.2553146220057209E-2</v>
      </c>
      <c r="M233" s="15" cm="1">
        <f t="array" ref="M233">IFERROR(_xlfn.LET(_xlpm.e,E233,_xlpm.f,F233,_xlpm.h,H233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97.4</v>
      </c>
      <c r="N233" s="15" cm="1">
        <f t="array" ref="N233">IFERROR(_xlfn.LET(_xlpm.e,E233,_xlpm.f,F233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33" s="15" t="str">
        <f t="shared" si="29"/>
        <v>98% - 96%</v>
      </c>
      <c r="P233" s="34" cm="1">
        <f t="array" ref="P233">IFERROR(_xlfn.LET(_xlpm.g,G233,_xlpm.f,F233,_xlpm.h,H233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2.0833311631967048E-2</v>
      </c>
      <c r="Q233" s="15" t="str" cm="1">
        <f t="array" ref="Q233">IFERROR(_xlfn.LET(_xlpm.e,E233,_xlpm.g,G233,_xlpm.h,H233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3" s="15" t="str">
        <f t="shared" si="30"/>
        <v>🔴 Lagging</v>
      </c>
      <c r="S233" s="35" cm="1">
        <f t="array" ref="S233">IFERROR(_xlfn.LET(_xlpm.e,E233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94</v>
      </c>
      <c r="T233" s="36">
        <f t="shared" si="31"/>
        <v>4.255314622005721</v>
      </c>
      <c r="U233" s="15">
        <f t="shared" si="32"/>
        <v>548</v>
      </c>
      <c r="V233" s="16">
        <f t="shared" si="33"/>
        <v>558.44940590488727</v>
      </c>
      <c r="W233" s="16">
        <f t="shared" si="34"/>
        <v>1388.7810169385264</v>
      </c>
      <c r="X233" s="37">
        <f t="shared" si="35"/>
        <v>155</v>
      </c>
      <c r="Y233" s="15" t="str">
        <f t="shared" si="36"/>
        <v>📉 Low</v>
      </c>
    </row>
    <row r="234" spans="1:25" x14ac:dyDescent="0.2">
      <c r="A234" t="str">
        <f>'5. KPI Baselines'!A219</f>
        <v>Excelitas Technologies</v>
      </c>
      <c r="B234" t="str">
        <f>'5. KPI Baselines'!B219</f>
        <v>Quality Assurance</v>
      </c>
      <c r="C234" t="str">
        <f>'5. KPI Baselines'!C219</f>
        <v>Inspection</v>
      </c>
      <c r="D234" t="str">
        <f>'5. KPI Baselines'!D219</f>
        <v>Inspection Hours per Unit</v>
      </c>
      <c r="E234" t="str">
        <f>'5. KPI Baselines'!E219</f>
        <v>6.0 minutes</v>
      </c>
      <c r="F234" t="str">
        <f>'5. KPI Baselines'!F219</f>
        <v>3.8 minutes</v>
      </c>
      <c r="G234" t="str">
        <f>'5. KPI Baselines'!G219</f>
        <v>4.2 minutes</v>
      </c>
      <c r="H234" t="str">
        <f>'5. KPI Baselines'!H219</f>
        <v>↓</v>
      </c>
      <c r="I234" t="str">
        <f>'5. KPI Baselines'!I219</f>
        <v>15 months</v>
      </c>
      <c r="J234" t="str">
        <f>'5. KPI Baselines'!J219</f>
        <v>Total inspection hours divided by units inspected</v>
      </c>
      <c r="K234" s="15" t="str">
        <f t="shared" si="28"/>
        <v>6.0 minutes → 3.8 minutes</v>
      </c>
      <c r="L234" s="34" cm="1">
        <f t="array" ref="L234">IFERROR(_xlfn.LET(_xlpm.e,E234,_xlpm.f,F234,_xlpm.h,H234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0.36666055565740574</v>
      </c>
      <c r="M234" s="15" cm="1">
        <f t="array" ref="M234">IFERROR(_xlfn.LET(_xlpm.e,E234,_xlpm.f,F234,_xlpm.h,H234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4.0999999999999996</v>
      </c>
      <c r="N234" s="15" cm="1">
        <f t="array" ref="N234">IFERROR(_xlfn.LET(_xlpm.e,E234,_xlpm.f,F234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1.68</v>
      </c>
      <c r="O234" s="15" t="str">
        <f t="shared" si="29"/>
        <v>4.2 minutes → 3.8 minutes</v>
      </c>
      <c r="P234" s="34" cm="1">
        <f t="array" ref="P234">IFERROR(_xlfn.LET(_xlpm.g,G234,_xlpm.f,F234,_xlpm.h,H234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9.5235827718387747E-2</v>
      </c>
      <c r="Q234" s="15" t="str" cm="1">
        <f t="array" ref="Q234">IFERROR(_xlfn.LET(_xlpm.e,E234,_xlpm.g,G234,_xlpm.h,H234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4" s="15" t="str">
        <f t="shared" si="30"/>
        <v>🔴 Lagging</v>
      </c>
      <c r="S234" s="35" cm="1">
        <f t="array" ref="S234">IFERROR(_xlfn.LET(_xlpm.e,E234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234" s="36">
        <f t="shared" si="31"/>
        <v>36.666055565740571</v>
      </c>
      <c r="U234" s="15">
        <f t="shared" si="32"/>
        <v>346</v>
      </c>
      <c r="V234" s="16">
        <f t="shared" si="33"/>
        <v>307.14238096031733</v>
      </c>
      <c r="W234" s="16">
        <f t="shared" si="34"/>
        <v>763.81764160680029</v>
      </c>
      <c r="X234" s="37">
        <f t="shared" si="35"/>
        <v>279</v>
      </c>
      <c r="Y234" s="15" t="str">
        <f t="shared" si="36"/>
        <v>⚠️ High</v>
      </c>
    </row>
    <row r="235" spans="1:25" x14ac:dyDescent="0.2">
      <c r="A235" t="str">
        <f>'5. KPI Baselines'!A220</f>
        <v>Excelitas Technologies</v>
      </c>
      <c r="B235" t="str">
        <f>'5. KPI Baselines'!B220</f>
        <v>Customer Support</v>
      </c>
      <c r="C235" t="str">
        <f>'5. KPI Baselines'!C220</f>
        <v>Technical Support</v>
      </c>
      <c r="D235" t="str">
        <f>'5. KPI Baselines'!D220</f>
        <v>First-Contact Resolution Rate</v>
      </c>
      <c r="E235" t="str">
        <f>'5. KPI Baselines'!E220</f>
        <v>58%</v>
      </c>
      <c r="F235" t="str">
        <f>'5. KPI Baselines'!F220</f>
        <v>76%</v>
      </c>
      <c r="G235" t="str">
        <f>'5. KPI Baselines'!G220</f>
        <v>71%</v>
      </c>
      <c r="H235" t="str">
        <f>'5. KPI Baselines'!H220</f>
        <v>↑</v>
      </c>
      <c r="I235" t="str">
        <f>'5. KPI Baselines'!I220</f>
        <v>10 months</v>
      </c>
      <c r="J235" t="str">
        <f>'5. KPI Baselines'!J220</f>
        <v>Issues resolved in initial contact divided by total inquiries</v>
      </c>
      <c r="K235" s="15" t="str">
        <f t="shared" si="28"/>
        <v>76% - 58%</v>
      </c>
      <c r="L235" s="34" cm="1">
        <f t="array" ref="L235">IFERROR(_xlfn.LET(_xlpm.e,E235,_xlpm.f,F235,_xlpm.h,H235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0.31034429250984047</v>
      </c>
      <c r="M235" s="15" cm="1">
        <f t="array" ref="M235">IFERROR(_xlfn.LET(_xlpm.e,E235,_xlpm.f,F235,_xlpm.h,H235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73.3</v>
      </c>
      <c r="N235" s="15" cm="1">
        <f t="array" ref="N235">IFERROR(_xlfn.LET(_xlpm.e,E235,_xlpm.f,F235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235" s="15" t="str">
        <f t="shared" si="29"/>
        <v>76% - 71%</v>
      </c>
      <c r="P235" s="34" cm="1">
        <f t="array" ref="P235">IFERROR(_xlfn.LET(_xlpm.g,G235,_xlpm.f,F235,_xlpm.h,H235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7.0422436024737994E-2</v>
      </c>
      <c r="Q235" s="15" t="str" cm="1">
        <f t="array" ref="Q235">IFERROR(_xlfn.LET(_xlpm.e,E235,_xlpm.g,G235,_xlpm.h,H235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5" s="15" t="str">
        <f t="shared" si="30"/>
        <v>🔴 Lagging</v>
      </c>
      <c r="S235" s="35" cm="1">
        <f t="array" ref="S235">IFERROR(_xlfn.LET(_xlpm.e,E235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235" s="36">
        <f t="shared" si="31"/>
        <v>31.034429250984047</v>
      </c>
      <c r="U235" s="15">
        <f t="shared" si="32"/>
        <v>387</v>
      </c>
      <c r="V235" s="16">
        <f t="shared" si="33"/>
        <v>2513.0206672057457</v>
      </c>
      <c r="W235" s="16">
        <f t="shared" si="34"/>
        <v>6249.5104496251133</v>
      </c>
      <c r="X235" s="37">
        <f t="shared" si="35"/>
        <v>35</v>
      </c>
      <c r="Y235" s="15" t="str">
        <f t="shared" si="36"/>
        <v>⚠️ High</v>
      </c>
    </row>
    <row r="236" spans="1:25" x14ac:dyDescent="0.2">
      <c r="A236" t="str">
        <f>'5. KPI Baselines'!A221</f>
        <v>Excelitas Technologies</v>
      </c>
      <c r="B236" t="str">
        <f>'5. KPI Baselines'!B221</f>
        <v>Customer Support</v>
      </c>
      <c r="C236" t="str">
        <f>'5. KPI Baselines'!C221</f>
        <v>Technical Support</v>
      </c>
      <c r="D236" t="str">
        <f>'5. KPI Baselines'!D221</f>
        <v>Average Handling Time</v>
      </c>
      <c r="E236" t="str">
        <f>'5. KPI Baselines'!E221</f>
        <v>108 minutes</v>
      </c>
      <c r="F236" t="str">
        <f>'5. KPI Baselines'!F221</f>
        <v>72 minutes</v>
      </c>
      <c r="G236" t="str">
        <f>'5. KPI Baselines'!G221</f>
        <v>82 minutes</v>
      </c>
      <c r="H236" t="str">
        <f>'5. KPI Baselines'!H221</f>
        <v>↓</v>
      </c>
      <c r="I236" t="str">
        <f>'5. KPI Baselines'!I221</f>
        <v>10 months</v>
      </c>
      <c r="J236" t="str">
        <f>'5. KPI Baselines'!J221</f>
        <v>Total support time divided by number of inquiries</v>
      </c>
      <c r="K236" s="15" t="str">
        <f t="shared" si="28"/>
        <v>108 minutes → 72 minutes</v>
      </c>
      <c r="L236" s="34" cm="1">
        <f t="array" ref="L236">IFERROR(_xlfn.LET(_xlpm.e,E236,_xlpm.f,F236,_xlpm.h,H236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0.33333302469164378</v>
      </c>
      <c r="M236" s="15" cm="1">
        <f t="array" ref="M236">IFERROR(_xlfn.LET(_xlpm.e,E236,_xlpm.f,F236,_xlpm.h,H236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77.400000000000006</v>
      </c>
      <c r="N236" s="15" cm="1">
        <f t="array" ref="N236">IFERROR(_xlfn.LET(_xlpm.e,E236,_xlpm.f,F236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27.54</v>
      </c>
      <c r="O236" s="15" t="str">
        <f t="shared" si="29"/>
        <v>82 minutes → 72 minutes</v>
      </c>
      <c r="P236" s="34" cm="1">
        <f t="array" ref="P236">IFERROR(_xlfn.LET(_xlpm.g,G236,_xlpm.f,F236,_xlpm.h,H236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0.12195107079137708</v>
      </c>
      <c r="Q236" s="15" t="str" cm="1">
        <f t="array" ref="Q236">IFERROR(_xlfn.LET(_xlpm.e,E236,_xlpm.g,G236,_xlpm.h,H236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6" s="15" t="str">
        <f t="shared" si="30"/>
        <v>🔴 Lagging</v>
      </c>
      <c r="S236" s="35" cm="1">
        <f t="array" ref="S236">IFERROR(_xlfn.LET(_xlpm.e,E236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108</v>
      </c>
      <c r="T236" s="36">
        <f t="shared" si="31"/>
        <v>33.33330246916438</v>
      </c>
      <c r="U236" s="15">
        <f t="shared" si="32"/>
        <v>360</v>
      </c>
      <c r="V236" s="16">
        <f t="shared" si="33"/>
        <v>5026.0453462543073</v>
      </c>
      <c r="W236" s="16">
        <f t="shared" si="34"/>
        <v>12499.03087610952</v>
      </c>
      <c r="X236" s="37">
        <f t="shared" si="35"/>
        <v>17</v>
      </c>
      <c r="Y236" s="15" t="str">
        <f t="shared" si="36"/>
        <v>⚠️ High</v>
      </c>
    </row>
    <row r="237" spans="1:25" x14ac:dyDescent="0.2">
      <c r="A237" t="str">
        <f>'5. KPI Baselines'!A222</f>
        <v>Excelitas Technologies</v>
      </c>
      <c r="B237" t="str">
        <f>'5. KPI Baselines'!B222</f>
        <v>Sales</v>
      </c>
      <c r="C237" t="str">
        <f>'5. KPI Baselines'!C222</f>
        <v>Business Development</v>
      </c>
      <c r="D237" t="str">
        <f>'5. KPI Baselines'!D222</f>
        <v>RFP Response Cycle Time</v>
      </c>
      <c r="E237" t="str">
        <f>'5. KPI Baselines'!E222</f>
        <v>42 days</v>
      </c>
      <c r="F237" t="str">
        <f>'5. KPI Baselines'!F222</f>
        <v>28 days</v>
      </c>
      <c r="G237" t="str">
        <f>'5. KPI Baselines'!G222</f>
        <v>31 days</v>
      </c>
      <c r="H237" t="str">
        <f>'5. KPI Baselines'!H222</f>
        <v>↓</v>
      </c>
      <c r="I237" t="str">
        <f>'5. KPI Baselines'!I222</f>
        <v>12 months</v>
      </c>
      <c r="J237" t="str">
        <f>'5. KPI Baselines'!J222</f>
        <v>RFP receipt to proposal submission</v>
      </c>
      <c r="K237" s="15" t="str">
        <f t="shared" si="28"/>
        <v>42 days → 28 days</v>
      </c>
      <c r="L237" s="34" cm="1">
        <f t="array" ref="L237">IFERROR(_xlfn.LET(_xlpm.e,E237,_xlpm.f,F237,_xlpm.h,H237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0.33333253968442927</v>
      </c>
      <c r="M237" s="15" cm="1">
        <f t="array" ref="M237">IFERROR(_xlfn.LET(_xlpm.e,E237,_xlpm.f,F237,_xlpm.h,H237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30.1</v>
      </c>
      <c r="N237" s="15" cm="1">
        <f t="array" ref="N237">IFERROR(_xlfn.LET(_xlpm.e,E237,_xlpm.f,F237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37" s="15" t="str">
        <f t="shared" si="29"/>
        <v>31 days → 28 days</v>
      </c>
      <c r="P237" s="34" cm="1">
        <f t="array" ref="P237">IFERROR(_xlfn.LET(_xlpm.g,G237,_xlpm.f,F237,_xlpm.h,H237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9.6773881374576209E-2</v>
      </c>
      <c r="Q237" s="15" t="str" cm="1">
        <f t="array" ref="Q237">IFERROR(_xlfn.LET(_xlpm.e,E237,_xlpm.g,G237,_xlpm.h,H237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7" s="15" t="str">
        <f t="shared" si="30"/>
        <v>🔴 Lagging</v>
      </c>
      <c r="S237" s="35" cm="1">
        <f t="array" ref="S237">IFERROR(_xlfn.LET(_xlpm.e,E237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237" s="36">
        <f t="shared" si="31"/>
        <v>33.333253968442925</v>
      </c>
      <c r="U237" s="15">
        <f t="shared" si="32"/>
        <v>364</v>
      </c>
      <c r="V237" s="16">
        <f t="shared" si="33"/>
        <v>1954.5703462610802</v>
      </c>
      <c r="W237" s="16">
        <f t="shared" si="34"/>
        <v>4860.7271571180927</v>
      </c>
      <c r="X237" s="37">
        <f t="shared" si="35"/>
        <v>45</v>
      </c>
      <c r="Y237" s="15" t="str">
        <f t="shared" si="36"/>
        <v>⚠️ High</v>
      </c>
    </row>
    <row r="238" spans="1:25" x14ac:dyDescent="0.2">
      <c r="A238" t="str">
        <f>'5. KPI Baselines'!A223</f>
        <v>Excelitas Technologies</v>
      </c>
      <c r="B238" t="str">
        <f>'5. KPI Baselines'!B223</f>
        <v>Sales</v>
      </c>
      <c r="C238" t="str">
        <f>'5. KPI Baselines'!C223</f>
        <v>Business Development</v>
      </c>
      <c r="D238" t="str">
        <f>'5. KPI Baselines'!D223</f>
        <v>Competitive Win Rate</v>
      </c>
      <c r="E238" t="str">
        <f>'5. KPI Baselines'!E223</f>
        <v>38%</v>
      </c>
      <c r="F238" t="str">
        <f>'5. KPI Baselines'!F223</f>
        <v>45%</v>
      </c>
      <c r="G238" t="str">
        <f>'5. KPI Baselines'!G223</f>
        <v>44%</v>
      </c>
      <c r="H238" t="str">
        <f>'5. KPI Baselines'!H223</f>
        <v>↑</v>
      </c>
      <c r="I238" t="str">
        <f>'5. KPI Baselines'!I223</f>
        <v>18 months</v>
      </c>
      <c r="J238" t="str">
        <f>'5. KPI Baselines'!J223</f>
        <v>Contracts won divided by competitive opportunities pursued</v>
      </c>
      <c r="K238" s="15" t="str">
        <f t="shared" si="28"/>
        <v>45% - 38%</v>
      </c>
      <c r="L238" s="34" cm="1">
        <f t="array" ref="L238">IFERROR(_xlfn.LET(_xlpm.e,E238,_xlpm.f,F238,_xlpm.h,H238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0.18421004155252221</v>
      </c>
      <c r="M238" s="15" cm="1">
        <f t="array" ref="M238">IFERROR(_xlfn.LET(_xlpm.e,E238,_xlpm.f,F238,_xlpm.h,H238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44</v>
      </c>
      <c r="N238" s="15" cm="1">
        <f t="array" ref="N238">IFERROR(_xlfn.LET(_xlpm.e,E238,_xlpm.f,F238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38" s="15" t="str">
        <f t="shared" si="29"/>
        <v>45% - 44%</v>
      </c>
      <c r="P238" s="34" cm="1">
        <f t="array" ref="P238">IFERROR(_xlfn.LET(_xlpm.g,G238,_xlpm.f,F238,_xlpm.h,H238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2.2727221074497556E-2</v>
      </c>
      <c r="Q238" s="15" t="str" cm="1">
        <f t="array" ref="Q238">IFERROR(_xlfn.LET(_xlpm.e,E238,_xlpm.g,G238,_xlpm.h,H238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8" s="15" t="str">
        <f t="shared" si="30"/>
        <v>🔴 Lagging</v>
      </c>
      <c r="S238" s="35" cm="1">
        <f t="array" ref="S238">IFERROR(_xlfn.LET(_xlpm.e,E238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238" s="36">
        <f t="shared" si="31"/>
        <v>18.42100415525222</v>
      </c>
      <c r="U238" s="15">
        <f t="shared" si="32"/>
        <v>480</v>
      </c>
      <c r="V238" s="16">
        <f t="shared" si="33"/>
        <v>977.28492819755741</v>
      </c>
      <c r="W238" s="16">
        <f t="shared" si="34"/>
        <v>2430.3629694469705</v>
      </c>
      <c r="X238" s="37">
        <f t="shared" si="35"/>
        <v>89</v>
      </c>
      <c r="Y238" s="15" t="str">
        <f t="shared" si="36"/>
        <v>📊 Medium</v>
      </c>
    </row>
    <row r="239" spans="1:25" x14ac:dyDescent="0.2">
      <c r="A239" t="str">
        <f>'5. KPI Baselines'!A224</f>
        <v>Excelitas Technologies</v>
      </c>
      <c r="B239" t="str">
        <f>'5. KPI Baselines'!B224</f>
        <v>Supply Chain</v>
      </c>
      <c r="C239" t="str">
        <f>'5. KPI Baselines'!C224</f>
        <v>Procurement</v>
      </c>
      <c r="D239" t="str">
        <f>'5. KPI Baselines'!D224</f>
        <v>Supplier On-Time Delivery</v>
      </c>
      <c r="E239" t="str">
        <f>'5. KPI Baselines'!E224</f>
        <v>88%</v>
      </c>
      <c r="F239" t="str">
        <f>'5. KPI Baselines'!F224</f>
        <v>94%</v>
      </c>
      <c r="G239" t="str">
        <f>'5. KPI Baselines'!G224</f>
        <v>92%</v>
      </c>
      <c r="H239" t="str">
        <f>'5. KPI Baselines'!H224</f>
        <v>↑</v>
      </c>
      <c r="I239" t="str">
        <f>'5. KPI Baselines'!I224</f>
        <v>12 months</v>
      </c>
      <c r="J239" t="str">
        <f>'5. KPI Baselines'!J224</f>
        <v>Deliveries within committed window divided by total orders</v>
      </c>
      <c r="K239" s="15" t="str">
        <f t="shared" si="28"/>
        <v>94% - 88%</v>
      </c>
      <c r="L239" s="34" cm="1">
        <f t="array" ref="L239">IFERROR(_xlfn.LET(_xlpm.e,E239,_xlpm.f,F239,_xlpm.h,H239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6.8181740702567384E-2</v>
      </c>
      <c r="M239" s="15" cm="1">
        <f t="array" ref="M239">IFERROR(_xlfn.LET(_xlpm.e,E239,_xlpm.f,F239,_xlpm.h,H239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93.1</v>
      </c>
      <c r="N239" s="15" cm="1">
        <f t="array" ref="N239">IFERROR(_xlfn.LET(_xlpm.e,E239,_xlpm.f,F239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239" s="15" t="str">
        <f t="shared" si="29"/>
        <v>94% - 92%</v>
      </c>
      <c r="P239" s="34" cm="1">
        <f t="array" ref="P239">IFERROR(_xlfn.LET(_xlpm.g,G239,_xlpm.f,F239,_xlpm.h,H239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2.1739106805318688E-2</v>
      </c>
      <c r="Q239" s="15" t="str" cm="1">
        <f t="array" ref="Q239">IFERROR(_xlfn.LET(_xlpm.e,E239,_xlpm.g,G239,_xlpm.h,H239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39" s="15" t="str">
        <f t="shared" si="30"/>
        <v>🔴 Lagging</v>
      </c>
      <c r="S239" s="35" cm="1">
        <f t="array" ref="S239">IFERROR(_xlfn.LET(_xlpm.e,E239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88</v>
      </c>
      <c r="T239" s="36">
        <f t="shared" si="31"/>
        <v>6.8181740702567382</v>
      </c>
      <c r="U239" s="15">
        <f t="shared" si="32"/>
        <v>538</v>
      </c>
      <c r="V239" s="16">
        <f t="shared" si="33"/>
        <v>837.67404809767265</v>
      </c>
      <c r="W239" s="16">
        <f t="shared" si="34"/>
        <v>2083.1713743075125</v>
      </c>
      <c r="X239" s="37">
        <f t="shared" si="35"/>
        <v>104</v>
      </c>
      <c r="Y239" s="15" t="str">
        <f t="shared" si="36"/>
        <v>📉 Low</v>
      </c>
    </row>
    <row r="240" spans="1:25" x14ac:dyDescent="0.2">
      <c r="A240" t="str">
        <f>'5. KPI Baselines'!A225</f>
        <v>Excelitas Technologies</v>
      </c>
      <c r="B240" t="str">
        <f>'5. KPI Baselines'!B225</f>
        <v>Supply Chain</v>
      </c>
      <c r="C240" t="str">
        <f>'5. KPI Baselines'!C225</f>
        <v>Inventory Management</v>
      </c>
      <c r="D240" t="str">
        <f>'5. KPI Baselines'!D225</f>
        <v>Inventory Turns</v>
      </c>
      <c r="E240" t="str">
        <f>'5. KPI Baselines'!E225</f>
        <v>4.2 per year</v>
      </c>
      <c r="F240" t="str">
        <f>'5. KPI Baselines'!F225</f>
        <v>5.4 per year</v>
      </c>
      <c r="G240" t="str">
        <f>'5. KPI Baselines'!G225</f>
        <v>5.8 per year</v>
      </c>
      <c r="H240" t="str">
        <f>'5. KPI Baselines'!H225</f>
        <v>↑</v>
      </c>
      <c r="I240" t="str">
        <f>'5. KPI Baselines'!I225</f>
        <v>15 months</v>
      </c>
      <c r="J240" t="str">
        <f>'5. KPI Baselines'!J225</f>
        <v>Cost of goods sold divided by average inventory value</v>
      </c>
      <c r="K240" s="15" t="str">
        <f t="shared" si="28"/>
        <v>5.4 per year - 4.2 per year</v>
      </c>
      <c r="L240" s="34" t="str" cm="1">
        <f t="array" ref="L240">IFERROR(_xlfn.LET(_xlpm.e,E240,_xlpm.f,F240,_xlpm.h,H240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40" s="15" t="str" cm="1">
        <f t="array" ref="M240">IFERROR(_xlfn.LET(_xlpm.e,E240,_xlpm.f,F240,_xlpm.h,H240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40" s="15" t="str" cm="1">
        <f t="array" ref="N240">IFERROR(_xlfn.LET(_xlpm.e,E240,_xlpm.f,F240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40" s="15" t="str">
        <f t="shared" si="29"/>
        <v>5.4 per year - 5.8 per year</v>
      </c>
      <c r="P240" s="34" t="str" cm="1">
        <f t="array" ref="P240">IFERROR(_xlfn.LET(_xlpm.g,G240,_xlpm.f,F240,_xlpm.h,H240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40" s="15" t="str" cm="1">
        <f t="array" ref="Q240">IFERROR(_xlfn.LET(_xlpm.e,E240,_xlpm.g,G240,_xlpm.h,H240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40" s="15" t="str">
        <f t="shared" si="30"/>
        <v>⚪ N/A</v>
      </c>
      <c r="S240" s="35" cm="1">
        <f t="array" ref="S240">IFERROR(_xlfn.LET(_xlpm.e,E240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40" s="36">
        <f t="shared" si="31"/>
        <v>0</v>
      </c>
      <c r="U240" s="15">
        <f t="shared" si="32"/>
        <v>554</v>
      </c>
      <c r="V240" s="16">
        <f t="shared" si="33"/>
        <v>0</v>
      </c>
      <c r="W240" s="16">
        <f t="shared" si="34"/>
        <v>0</v>
      </c>
      <c r="X240" s="37" t="str">
        <f t="shared" si="35"/>
        <v>-</v>
      </c>
      <c r="Y240" s="15" t="str">
        <f t="shared" si="36"/>
        <v>📉 Low</v>
      </c>
    </row>
    <row r="241" spans="1:25" x14ac:dyDescent="0.2">
      <c r="A241" t="str">
        <f>'5. KPI Baselines'!A226</f>
        <v>Excelitas Technologies</v>
      </c>
      <c r="B241" t="str">
        <f>'5. KPI Baselines'!B226</f>
        <v>Compliance</v>
      </c>
      <c r="C241" t="str">
        <f>'5. KPI Baselines'!C226</f>
        <v>Regulatory Affairs</v>
      </c>
      <c r="D241" t="str">
        <f>'5. KPI Baselines'!D226</f>
        <v>Certification Maintenance Cycle</v>
      </c>
      <c r="E241" t="str">
        <f>'5. KPI Baselines'!E226</f>
        <v>23 days per certification</v>
      </c>
      <c r="F241" t="str">
        <f>'5. KPI Baselines'!F226</f>
        <v>14 days per certification</v>
      </c>
      <c r="G241" t="str">
        <f>'5. KPI Baselines'!G226</f>
        <v>16 days per certification</v>
      </c>
      <c r="H241" t="str">
        <f>'5. KPI Baselines'!H226</f>
        <v>↓</v>
      </c>
      <c r="I241" t="str">
        <f>'5. KPI Baselines'!I226</f>
        <v>12 months</v>
      </c>
      <c r="J241" t="str">
        <f>'5. KPI Baselines'!J226</f>
        <v>Audit request to submission of renewal documentation</v>
      </c>
      <c r="K241" s="15" t="str">
        <f t="shared" si="28"/>
        <v>23 days per certification → 14 days per certification</v>
      </c>
      <c r="L241" s="34" cm="1">
        <f t="array" ref="L241">IFERROR(_xlfn.LET(_xlpm.e,E241,_xlpm.f,F241,_xlpm.h,H241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0.39130264651023255</v>
      </c>
      <c r="M241" s="15" cm="1">
        <f t="array" ref="M241">IFERROR(_xlfn.LET(_xlpm.e,E241,_xlpm.f,F241,_xlpm.h,H241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15.4</v>
      </c>
      <c r="N241" s="15" cm="1">
        <f t="array" ref="N241">IFERROR(_xlfn.LET(_xlpm.e,E241,_xlpm.f,F241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41" s="15" t="str">
        <f t="shared" si="29"/>
        <v>16 days per certification → 14 days per certification</v>
      </c>
      <c r="P241" s="34" cm="1">
        <f t="array" ref="P241">IFERROR(_xlfn.LET(_xlpm.g,G241,_xlpm.f,F241,_xlpm.h,H241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0.12499921875488279</v>
      </c>
      <c r="Q241" s="15" t="str" cm="1">
        <f t="array" ref="Q241">IFERROR(_xlfn.LET(_xlpm.e,E241,_xlpm.g,G241,_xlpm.h,H241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1" s="15" t="str">
        <f t="shared" si="30"/>
        <v>🔴 Lagging</v>
      </c>
      <c r="S241" s="35" cm="1">
        <f t="array" ref="S241">IFERROR(_xlfn.LET(_xlpm.e,E241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241" s="36">
        <f t="shared" si="31"/>
        <v>39.130264651023253</v>
      </c>
      <c r="U241" s="15">
        <f t="shared" si="32"/>
        <v>315</v>
      </c>
      <c r="V241" s="16">
        <f t="shared" si="33"/>
        <v>1256.5070369259263</v>
      </c>
      <c r="W241" s="16">
        <f t="shared" si="34"/>
        <v>3124.7470264649282</v>
      </c>
      <c r="X241" s="37">
        <f t="shared" si="35"/>
        <v>69</v>
      </c>
      <c r="Y241" s="15" t="str">
        <f t="shared" si="36"/>
        <v>⚠️ High</v>
      </c>
    </row>
    <row r="242" spans="1:25" x14ac:dyDescent="0.2">
      <c r="A242" t="str">
        <f>'5. KPI Baselines'!A227</f>
        <v>Excelitas Technologies</v>
      </c>
      <c r="B242" t="str">
        <f>'5. KPI Baselines'!B227</f>
        <v>Manufacturing</v>
      </c>
      <c r="C242" t="str">
        <f>'5. KPI Baselines'!C227</f>
        <v>Production Planning</v>
      </c>
      <c r="D242" t="str">
        <f>'5. KPI Baselines'!D227</f>
        <v>Schedule Adherence</v>
      </c>
      <c r="E242" t="str">
        <f>'5. KPI Baselines'!E227</f>
        <v>82%</v>
      </c>
      <c r="F242" t="str">
        <f>'5. KPI Baselines'!F227</f>
        <v>91%</v>
      </c>
      <c r="G242" t="str">
        <f>'5. KPI Baselines'!G227</f>
        <v>89%</v>
      </c>
      <c r="H242" t="str">
        <f>'5. KPI Baselines'!H227</f>
        <v>↑</v>
      </c>
      <c r="I242" t="str">
        <f>'5. KPI Baselines'!I227</f>
        <v>12 months</v>
      </c>
      <c r="J242" t="str">
        <f>'5. KPI Baselines'!J227</f>
        <v>Production runs completed on original schedule divided by total runs</v>
      </c>
      <c r="K242" s="15" t="str">
        <f t="shared" si="28"/>
        <v>91% - 82%</v>
      </c>
      <c r="L242" s="34" cm="1">
        <f t="array" ref="L242">IFERROR(_xlfn.LET(_xlpm.e,E242,_xlpm.f,F242,_xlpm.h,H242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0.10975596371223938</v>
      </c>
      <c r="M242" s="15" cm="1">
        <f t="array" ref="M242">IFERROR(_xlfn.LET(_xlpm.e,E242,_xlpm.f,F242,_xlpm.h,H242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89.7</v>
      </c>
      <c r="N242" s="15" cm="1">
        <f t="array" ref="N242">IFERROR(_xlfn.LET(_xlpm.e,E242,_xlpm.f,F242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42" s="15" t="str">
        <f t="shared" si="29"/>
        <v>91% - 89%</v>
      </c>
      <c r="P242" s="34" cm="1">
        <f t="array" ref="P242">IFERROR(_xlfn.LET(_xlpm.g,G242,_xlpm.f,F242,_xlpm.h,H242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2.2471884863050715E-2</v>
      </c>
      <c r="Q242" s="15" t="str" cm="1">
        <f t="array" ref="Q242">IFERROR(_xlfn.LET(_xlpm.e,E242,_xlpm.g,G242,_xlpm.h,H242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2" s="15" t="str">
        <f t="shared" si="30"/>
        <v>🔴 Lagging</v>
      </c>
      <c r="S242" s="35" cm="1">
        <f t="array" ref="S242">IFERROR(_xlfn.LET(_xlpm.e,E242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82</v>
      </c>
      <c r="T242" s="36">
        <f t="shared" si="31"/>
        <v>10.975596371223938</v>
      </c>
      <c r="U242" s="15">
        <f t="shared" si="32"/>
        <v>515</v>
      </c>
      <c r="V242" s="16">
        <f t="shared" si="33"/>
        <v>1256.5109676695515</v>
      </c>
      <c r="W242" s="16">
        <f t="shared" si="34"/>
        <v>3124.7568016425389</v>
      </c>
      <c r="X242" s="37">
        <f t="shared" si="35"/>
        <v>69</v>
      </c>
      <c r="Y242" s="15" t="str">
        <f t="shared" si="36"/>
        <v>📊 Medium</v>
      </c>
    </row>
    <row r="243" spans="1:25" x14ac:dyDescent="0.2">
      <c r="A243" t="str">
        <f>'5. KPI Baselines'!A228</f>
        <v>Hero Digital</v>
      </c>
      <c r="B243" t="str">
        <f>'5. KPI Baselines'!B228</f>
        <v>Business Development</v>
      </c>
      <c r="C243" t="str">
        <f>'5. KPI Baselines'!C228</f>
        <v>Proposal Development</v>
      </c>
      <c r="D243" t="str">
        <f>'5. KPI Baselines'!D228</f>
        <v>Proposal Response Time</v>
      </c>
      <c r="E243" t="str">
        <f>'5. KPI Baselines'!E228</f>
        <v>21 days</v>
      </c>
      <c r="F243" t="str">
        <f>'5. KPI Baselines'!F228</f>
        <v>9 days</v>
      </c>
      <c r="G243" t="str">
        <f>'5. KPI Baselines'!G228</f>
        <v>14 days (RSW/US)</v>
      </c>
      <c r="H243" t="str">
        <f>'5. KPI Baselines'!H228</f>
        <v>↓</v>
      </c>
      <c r="I243" t="str">
        <f>'5. KPI Baselines'!I228</f>
        <v>12 months</v>
      </c>
      <c r="J243" t="str">
        <f>'5. KPI Baselines'!J228</f>
        <v>Average calendar days from RFP receipt to submission</v>
      </c>
      <c r="K243" s="15" t="str">
        <f t="shared" si="28"/>
        <v>21 days → 9 days</v>
      </c>
      <c r="L243" s="34" cm="1">
        <f t="array" ref="L243">IFERROR(_xlfn.LET(_xlpm.e,E243,_xlpm.f,F243,_xlpm.h,H243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0.57142585035309357</v>
      </c>
      <c r="M243" s="15" cm="1">
        <f t="array" ref="M243">IFERROR(_xlfn.LET(_xlpm.e,E243,_xlpm.f,F243,_xlpm.h,H243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10.8</v>
      </c>
      <c r="N243" s="15" cm="1">
        <f t="array" ref="N243">IFERROR(_xlfn.LET(_xlpm.e,E243,_xlpm.f,F243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243" s="15" t="str">
        <f t="shared" si="29"/>
        <v>14 days (RSW/US) → 9 days</v>
      </c>
      <c r="P243" s="34" cm="1">
        <f t="array" ref="P243">IFERROR(_xlfn.LET(_xlpm.g,G243,_xlpm.f,F243,_xlpm.h,H243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0.35714030614067044</v>
      </c>
      <c r="Q243" s="15" t="str" cm="1">
        <f t="array" ref="Q243">IFERROR(_xlfn.LET(_xlpm.e,E243,_xlpm.g,G243,_xlpm.h,H243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3" s="15" t="str">
        <f t="shared" si="30"/>
        <v>🔴 Lagging</v>
      </c>
      <c r="S243" s="35" cm="1">
        <f t="array" ref="S243">IFERROR(_xlfn.LET(_xlpm.e,E243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21</v>
      </c>
      <c r="T243" s="36">
        <f t="shared" si="31"/>
        <v>57.142585035309359</v>
      </c>
      <c r="U243" s="15">
        <f t="shared" si="32"/>
        <v>172</v>
      </c>
      <c r="V243" s="16">
        <f t="shared" si="33"/>
        <v>1675.3420221808467</v>
      </c>
      <c r="W243" s="16">
        <f t="shared" si="34"/>
        <v>4166.327643439975</v>
      </c>
      <c r="X243" s="37">
        <f t="shared" si="35"/>
        <v>52</v>
      </c>
      <c r="Y243" s="15" t="str">
        <f t="shared" si="36"/>
        <v>🔥 Critical</v>
      </c>
    </row>
    <row r="244" spans="1:25" x14ac:dyDescent="0.2">
      <c r="A244" t="str">
        <f>'5. KPI Baselines'!A229</f>
        <v>Hero Digital</v>
      </c>
      <c r="B244" t="str">
        <f>'5. KPI Baselines'!B229</f>
        <v>Business Development</v>
      </c>
      <c r="C244" t="str">
        <f>'5. KPI Baselines'!C229</f>
        <v>Sales Pipeline</v>
      </c>
      <c r="D244" t="str">
        <f>'5. KPI Baselines'!D229</f>
        <v>Quarterly Pursuit Capacity</v>
      </c>
      <c r="E244" t="str">
        <f>'5. KPI Baselines'!E229</f>
        <v>45 opportunities</v>
      </c>
      <c r="F244" t="str">
        <f>'5. KPI Baselines'!F229</f>
        <v>75 opportunities</v>
      </c>
      <c r="G244" t="str">
        <f>'5. KPI Baselines'!G229</f>
        <v>60 opportunities (Hinge)</v>
      </c>
      <c r="H244" t="str">
        <f>'5. KPI Baselines'!H229</f>
        <v>↑</v>
      </c>
      <c r="I244" t="str">
        <f>'5. KPI Baselines'!I229</f>
        <v>12 months</v>
      </c>
      <c r="J244" t="str">
        <f>'5. KPI Baselines'!J229</f>
        <v>Count of qualified RFPs responded to per quarter</v>
      </c>
      <c r="K244" s="15" t="str">
        <f t="shared" si="28"/>
        <v>75 opportunities - 45 opportunities</v>
      </c>
      <c r="L244" s="34" t="str" cm="1">
        <f t="array" ref="L244">IFERROR(_xlfn.LET(_xlpm.e,E244,_xlpm.f,F244,_xlpm.h,H244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44" s="15" t="str" cm="1">
        <f t="array" ref="M244">IFERROR(_xlfn.LET(_xlpm.e,E244,_xlpm.f,F244,_xlpm.h,H244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44" s="15" t="str" cm="1">
        <f t="array" ref="N244">IFERROR(_xlfn.LET(_xlpm.e,E244,_xlpm.f,F244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44" s="15" t="str">
        <f t="shared" si="29"/>
        <v>75 opportunities - 60 opportunities (Hinge)</v>
      </c>
      <c r="P244" s="34" t="str" cm="1">
        <f t="array" ref="P244">IFERROR(_xlfn.LET(_xlpm.g,G244,_xlpm.f,F244,_xlpm.h,H244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44" s="15" t="str" cm="1">
        <f t="array" ref="Q244">IFERROR(_xlfn.LET(_xlpm.e,E244,_xlpm.g,G244,_xlpm.h,H244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44" s="15" t="str">
        <f t="shared" si="30"/>
        <v>⚪ N/A</v>
      </c>
      <c r="S244" s="35" cm="1">
        <f t="array" ref="S244">IFERROR(_xlfn.LET(_xlpm.e,E244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44" s="36">
        <f t="shared" si="31"/>
        <v>0</v>
      </c>
      <c r="U244" s="15">
        <f t="shared" si="32"/>
        <v>554</v>
      </c>
      <c r="V244" s="16">
        <f t="shared" si="33"/>
        <v>0</v>
      </c>
      <c r="W244" s="16">
        <f t="shared" si="34"/>
        <v>0</v>
      </c>
      <c r="X244" s="37" t="str">
        <f t="shared" si="35"/>
        <v>-</v>
      </c>
      <c r="Y244" s="15" t="str">
        <f t="shared" si="36"/>
        <v>📉 Low</v>
      </c>
    </row>
    <row r="245" spans="1:25" x14ac:dyDescent="0.2">
      <c r="A245" t="str">
        <f>'5. KPI Baselines'!A230</f>
        <v>Hero Digital</v>
      </c>
      <c r="B245" t="str">
        <f>'5. KPI Baselines'!B230</f>
        <v>Business Development</v>
      </c>
      <c r="C245" t="str">
        <f>'5. KPI Baselines'!C230</f>
        <v>Sales Conversion</v>
      </c>
      <c r="D245" t="str">
        <f>'5. KPI Baselines'!D230</f>
        <v>Win Rate</v>
      </c>
      <c r="E245" t="str">
        <f>'5. KPI Baselines'!E230</f>
        <v>18%</v>
      </c>
      <c r="F245" t="str">
        <f>'5. KPI Baselines'!F230</f>
        <v>24%</v>
      </c>
      <c r="G245" t="str">
        <f>'5. KPI Baselines'!G230</f>
        <v>22% (RSW/US)</v>
      </c>
      <c r="H245" t="str">
        <f>'5. KPI Baselines'!H230</f>
        <v>↑</v>
      </c>
      <c r="I245" t="str">
        <f>'5. KPI Baselines'!I230</f>
        <v>18 months</v>
      </c>
      <c r="J245" t="str">
        <f>'5. KPI Baselines'!J230</f>
        <v>Percentage of proposals resulting in signed contracts</v>
      </c>
      <c r="K245" s="15" t="str">
        <f t="shared" si="28"/>
        <v>24% - 18%</v>
      </c>
      <c r="L245" s="34" cm="1">
        <f t="array" ref="L245">IFERROR(_xlfn.LET(_xlpm.e,E245,_xlpm.f,F245,_xlpm.h,H245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0.3333314814917695</v>
      </c>
      <c r="M245" s="15" cm="1">
        <f t="array" ref="M245">IFERROR(_xlfn.LET(_xlpm.e,E245,_xlpm.f,F245,_xlpm.h,H245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23.1</v>
      </c>
      <c r="N245" s="15" cm="1">
        <f t="array" ref="N245">IFERROR(_xlfn.LET(_xlpm.e,E245,_xlpm.f,F245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245" s="15" t="str">
        <f t="shared" si="29"/>
        <v>24% - 22% (RSW/US)</v>
      </c>
      <c r="P245" s="34" cm="1">
        <f t="array" ref="P245">IFERROR(_xlfn.LET(_xlpm.g,G245,_xlpm.f,F245,_xlpm.h,H245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9.090867768782869E-2</v>
      </c>
      <c r="Q245" s="15" t="str" cm="1">
        <f t="array" ref="Q245">IFERROR(_xlfn.LET(_xlpm.e,E245,_xlpm.g,G245,_xlpm.h,H245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5" s="15" t="str">
        <f t="shared" si="30"/>
        <v>🔴 Lagging</v>
      </c>
      <c r="S245" s="35" cm="1">
        <f t="array" ref="S245">IFERROR(_xlfn.LET(_xlpm.e,E245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45" s="36">
        <f t="shared" si="31"/>
        <v>33.333148149176949</v>
      </c>
      <c r="U245" s="15">
        <f t="shared" si="32"/>
        <v>365</v>
      </c>
      <c r="V245" s="16">
        <f t="shared" si="33"/>
        <v>837.67034627585406</v>
      </c>
      <c r="W245" s="16">
        <f t="shared" si="34"/>
        <v>2083.1621684245524</v>
      </c>
      <c r="X245" s="37">
        <f t="shared" si="35"/>
        <v>104</v>
      </c>
      <c r="Y245" s="15" t="str">
        <f t="shared" si="36"/>
        <v>⚠️ High</v>
      </c>
    </row>
    <row r="246" spans="1:25" x14ac:dyDescent="0.2">
      <c r="A246" t="str">
        <f>'5. KPI Baselines'!A231</f>
        <v>Hero Digital</v>
      </c>
      <c r="B246" t="str">
        <f>'5. KPI Baselines'!B231</f>
        <v>Strategy Consulting</v>
      </c>
      <c r="C246" t="str">
        <f>'5. KPI Baselines'!C231</f>
        <v>Research &amp; Analysis</v>
      </c>
      <c r="D246" t="str">
        <f>'5. KPI Baselines'!D231</f>
        <v>Research Hours per Engagement</v>
      </c>
      <c r="E246" t="str">
        <f>'5. KPI Baselines'!E231</f>
        <v>50 hours</v>
      </c>
      <c r="F246" t="str">
        <f>'5. KPI Baselines'!F231</f>
        <v>18 hours</v>
      </c>
      <c r="G246" t="str">
        <f>'5. KPI Baselines'!G231</f>
        <v>35 hours (Hinge)</v>
      </c>
      <c r="H246" t="str">
        <f>'5. KPI Baselines'!H231</f>
        <v>↓</v>
      </c>
      <c r="I246" t="str">
        <f>'5. KPI Baselines'!I231</f>
        <v>12 months</v>
      </c>
      <c r="J246" t="str">
        <f>'5. KPI Baselines'!J231</f>
        <v>Average consultant hours on research synthesis per strategic engagement</v>
      </c>
      <c r="K246" s="15" t="str">
        <f t="shared" si="28"/>
        <v>50 hours → 18 hours</v>
      </c>
      <c r="L246" s="34" cm="1">
        <f t="array" ref="L246">IFERROR(_xlfn.LET(_xlpm.e,E246,_xlpm.f,F246,_xlpm.h,H246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0.63999872000255997</v>
      </c>
      <c r="M246" s="15" cm="1">
        <f t="array" ref="M246">IFERROR(_xlfn.LET(_xlpm.e,E246,_xlpm.f,F246,_xlpm.h,H246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22.8</v>
      </c>
      <c r="N246" s="15" cm="1">
        <f t="array" ref="N246">IFERROR(_xlfn.LET(_xlpm.e,E246,_xlpm.f,F246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24.48</v>
      </c>
      <c r="O246" s="15" t="str">
        <f t="shared" si="29"/>
        <v>35 hours (Hinge) → 18 hours</v>
      </c>
      <c r="P246" s="34" cm="1">
        <f t="array" ref="P246">IFERROR(_xlfn.LET(_xlpm.g,G246,_xlpm.f,F246,_xlpm.h,H246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0.48571289796314865</v>
      </c>
      <c r="Q246" s="15" t="str" cm="1">
        <f t="array" ref="Q246">IFERROR(_xlfn.LET(_xlpm.e,E246,_xlpm.g,G246,_xlpm.h,H246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6" s="15" t="str">
        <f t="shared" si="30"/>
        <v>🔴 Lagging</v>
      </c>
      <c r="S246" s="35" cm="1">
        <f t="array" ref="S246">IFERROR(_xlfn.LET(_xlpm.e,E246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50</v>
      </c>
      <c r="T246" s="36">
        <f t="shared" si="31"/>
        <v>63.999872000255998</v>
      </c>
      <c r="U246" s="15">
        <f t="shared" si="32"/>
        <v>121</v>
      </c>
      <c r="V246" s="16">
        <f t="shared" si="33"/>
        <v>4467.5910648178706</v>
      </c>
      <c r="W246" s="16">
        <f t="shared" si="34"/>
        <v>11110.237734445654</v>
      </c>
      <c r="X246" s="37">
        <f t="shared" si="35"/>
        <v>20</v>
      </c>
      <c r="Y246" s="15" t="str">
        <f t="shared" si="36"/>
        <v>🔥 Critical</v>
      </c>
    </row>
    <row r="247" spans="1:25" x14ac:dyDescent="0.2">
      <c r="A247" t="str">
        <f>'5. KPI Baselines'!A232</f>
        <v>Hero Digital</v>
      </c>
      <c r="B247" t="str">
        <f>'5. KPI Baselines'!B232</f>
        <v>Strategy Consulting</v>
      </c>
      <c r="C247" t="str">
        <f>'5. KPI Baselines'!C232</f>
        <v>Client Deliverables</v>
      </c>
      <c r="D247" t="str">
        <f>'5. KPI Baselines'!D232</f>
        <v>Strategic Deck Production Time</v>
      </c>
      <c r="E247" t="str">
        <f>'5. KPI Baselines'!E232</f>
        <v>32 hours</v>
      </c>
      <c r="F247" t="str">
        <f>'5. KPI Baselines'!F232</f>
        <v>14 hours</v>
      </c>
      <c r="G247" t="str">
        <f>'5. KPI Baselines'!G232</f>
        <v>24 hours (industry estimate)</v>
      </c>
      <c r="H247" t="str">
        <f>'5. KPI Baselines'!H232</f>
        <v>↓</v>
      </c>
      <c r="I247" t="str">
        <f>'5. KPI Baselines'!I232</f>
        <v>9 months</v>
      </c>
      <c r="J247" t="str">
        <f>'5. KPI Baselines'!J232</f>
        <v>Average hours to produce client-ready strategic presentation</v>
      </c>
      <c r="K247" s="15" t="str">
        <f t="shared" si="28"/>
        <v>32 hours → 14 hours</v>
      </c>
      <c r="L247" s="34" cm="1">
        <f t="array" ref="L247">IFERROR(_xlfn.LET(_xlpm.e,E247,_xlpm.f,F247,_xlpm.h,H247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0.56249824219299305</v>
      </c>
      <c r="M247" s="15" cm="1">
        <f t="array" ref="M247">IFERROR(_xlfn.LET(_xlpm.e,E247,_xlpm.f,F247,_xlpm.h,H247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16.7</v>
      </c>
      <c r="N247" s="15" cm="1">
        <f t="array" ref="N247">IFERROR(_xlfn.LET(_xlpm.e,E247,_xlpm.f,F247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247" s="15" t="str">
        <f t="shared" si="29"/>
        <v>24 hours (industry estimate) → 14 hours</v>
      </c>
      <c r="P247" s="34" cm="1">
        <f t="array" ref="P247">IFERROR(_xlfn.LET(_xlpm.g,G247,_xlpm.f,F247,_xlpm.h,H247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0.4166649305627893</v>
      </c>
      <c r="Q247" s="15" t="str" cm="1">
        <f t="array" ref="Q247">IFERROR(_xlfn.LET(_xlpm.e,E247,_xlpm.g,G247,_xlpm.h,H247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7" s="15" t="str">
        <f t="shared" si="30"/>
        <v>🔴 Lagging</v>
      </c>
      <c r="S247" s="35" cm="1">
        <f t="array" ref="S247">IFERROR(_xlfn.LET(_xlpm.e,E247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32</v>
      </c>
      <c r="T247" s="36">
        <f t="shared" si="31"/>
        <v>56.249824219299306</v>
      </c>
      <c r="U247" s="15">
        <f t="shared" si="32"/>
        <v>180</v>
      </c>
      <c r="V247" s="16">
        <f t="shared" si="33"/>
        <v>2513.0171468214157</v>
      </c>
      <c r="W247" s="16">
        <f t="shared" si="34"/>
        <v>6249.5016949503324</v>
      </c>
      <c r="X247" s="37">
        <f t="shared" si="35"/>
        <v>35</v>
      </c>
      <c r="Y247" s="15" t="str">
        <f t="shared" si="36"/>
        <v>🔥 Critical</v>
      </c>
    </row>
    <row r="248" spans="1:25" x14ac:dyDescent="0.2">
      <c r="A248" t="str">
        <f>'5. KPI Baselines'!A233</f>
        <v>Hero Digital</v>
      </c>
      <c r="B248" t="str">
        <f>'5. KPI Baselines'!B233</f>
        <v>Content Production</v>
      </c>
      <c r="C248" t="str">
        <f>'5. KPI Baselines'!C233</f>
        <v>Content Development</v>
      </c>
      <c r="D248" t="str">
        <f>'5. KPI Baselines'!D233</f>
        <v>Revision Rounds per Deliverable</v>
      </c>
      <c r="E248" t="str">
        <f>'5. KPI Baselines'!E233</f>
        <v>5 rounds</v>
      </c>
      <c r="F248" t="str">
        <f>'5. KPI Baselines'!F233</f>
        <v>2 rounds</v>
      </c>
      <c r="G248" t="str">
        <f>'5. KPI Baselines'!G233</f>
        <v>3 rounds (Content Marketing Institute)</v>
      </c>
      <c r="H248" t="str">
        <f>'5. KPI Baselines'!H233</f>
        <v>↓</v>
      </c>
      <c r="I248" t="str">
        <f>'5. KPI Baselines'!I233</f>
        <v>12 months</v>
      </c>
      <c r="J248" t="str">
        <f>'5. KPI Baselines'!J233</f>
        <v>Average number of client feedback cycles before approval</v>
      </c>
      <c r="K248" s="15" t="str">
        <f t="shared" si="28"/>
        <v>5 rounds → 2 rounds</v>
      </c>
      <c r="L248" s="34" t="str" cm="1">
        <f t="array" ref="L248">IFERROR(_xlfn.LET(_xlpm.e,E248,_xlpm.f,F248,_xlpm.h,H248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48" s="15" t="str" cm="1">
        <f t="array" ref="M248">IFERROR(_xlfn.LET(_xlpm.e,E248,_xlpm.f,F248,_xlpm.h,H248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48" s="15" t="str" cm="1">
        <f t="array" ref="N248">IFERROR(_xlfn.LET(_xlpm.e,E248,_xlpm.f,F248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48" s="15" t="str">
        <f t="shared" si="29"/>
        <v>3 rounds (Content Marketing Institute) → 2 rounds</v>
      </c>
      <c r="P248" s="34" t="str" cm="1">
        <f t="array" ref="P248">IFERROR(_xlfn.LET(_xlpm.g,G248,_xlpm.f,F248,_xlpm.h,H248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48" s="15" t="str" cm="1">
        <f t="array" ref="Q248">IFERROR(_xlfn.LET(_xlpm.e,E248,_xlpm.g,G248,_xlpm.h,H248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48" s="15" t="str">
        <f t="shared" si="30"/>
        <v>⚪ N/A</v>
      </c>
      <c r="S248" s="35" cm="1">
        <f t="array" ref="S248">IFERROR(_xlfn.LET(_xlpm.e,E248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48" s="36">
        <f t="shared" si="31"/>
        <v>0</v>
      </c>
      <c r="U248" s="15">
        <f t="shared" si="32"/>
        <v>554</v>
      </c>
      <c r="V248" s="16">
        <f t="shared" si="33"/>
        <v>0</v>
      </c>
      <c r="W248" s="16">
        <f t="shared" si="34"/>
        <v>0</v>
      </c>
      <c r="X248" s="37" t="str">
        <f t="shared" si="35"/>
        <v>-</v>
      </c>
      <c r="Y248" s="15" t="str">
        <f t="shared" si="36"/>
        <v>📉 Low</v>
      </c>
    </row>
    <row r="249" spans="1:25" x14ac:dyDescent="0.2">
      <c r="A249" t="str">
        <f>'5. KPI Baselines'!A234</f>
        <v>Hero Digital</v>
      </c>
      <c r="B249" t="str">
        <f>'5. KPI Baselines'!B234</f>
        <v>Content Production</v>
      </c>
      <c r="C249" t="str">
        <f>'5. KPI Baselines'!C234</f>
        <v>Quality Assurance</v>
      </c>
      <c r="D249" t="str">
        <f>'5. KPI Baselines'!D234</f>
        <v>First-Time Quality Rate</v>
      </c>
      <c r="E249" t="str">
        <f>'5. KPI Baselines'!E234</f>
        <v>72%</v>
      </c>
      <c r="F249" t="str">
        <f>'5. KPI Baselines'!F234</f>
        <v>88%</v>
      </c>
      <c r="G249" t="str">
        <f>'5. KPI Baselines'!G234</f>
        <v>82% (CMI)</v>
      </c>
      <c r="H249" t="str">
        <f>'5. KPI Baselines'!H234</f>
        <v>↑</v>
      </c>
      <c r="I249" t="str">
        <f>'5. KPI Baselines'!I234</f>
        <v>15 months</v>
      </c>
      <c r="J249" t="str">
        <f>'5. KPI Baselines'!J234</f>
        <v>Percentage of deliverables approved with 0-1 minor revisions</v>
      </c>
      <c r="K249" s="15" t="str">
        <f t="shared" si="28"/>
        <v>88% - 72%</v>
      </c>
      <c r="L249" s="34" cm="1">
        <f t="array" ref="L249">IFERROR(_xlfn.LET(_xlpm.e,E249,_xlpm.f,F249,_xlpm.h,H249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0.22222191358067558</v>
      </c>
      <c r="M249" s="15" cm="1">
        <f t="array" ref="M249">IFERROR(_xlfn.LET(_xlpm.e,E249,_xlpm.f,F249,_xlpm.h,H249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85.6</v>
      </c>
      <c r="N249" s="15" cm="1">
        <f t="array" ref="N249">IFERROR(_xlfn.LET(_xlpm.e,E249,_xlpm.f,F249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249" s="15" t="str">
        <f t="shared" si="29"/>
        <v>88% - 82% (CMI)</v>
      </c>
      <c r="P249" s="34" cm="1">
        <f t="array" ref="P249">IFERROR(_xlfn.LET(_xlpm.g,G249,_xlpm.f,F249,_xlpm.h,H249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7.3170642474826242E-2</v>
      </c>
      <c r="Q249" s="15" t="str" cm="1">
        <f t="array" ref="Q249">IFERROR(_xlfn.LET(_xlpm.e,E249,_xlpm.g,G249,_xlpm.h,H249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49" s="15" t="str">
        <f t="shared" si="30"/>
        <v>🔴 Lagging</v>
      </c>
      <c r="S249" s="35" cm="1">
        <f t="array" ref="S249">IFERROR(_xlfn.LET(_xlpm.e,E249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72</v>
      </c>
      <c r="T249" s="36">
        <f t="shared" si="31"/>
        <v>22.222191358067558</v>
      </c>
      <c r="U249" s="15">
        <f t="shared" si="32"/>
        <v>448</v>
      </c>
      <c r="V249" s="16">
        <f t="shared" si="33"/>
        <v>2233.7968975043091</v>
      </c>
      <c r="W249" s="16">
        <f t="shared" si="34"/>
        <v>5555.1222620129747</v>
      </c>
      <c r="X249" s="37">
        <f t="shared" si="35"/>
        <v>39</v>
      </c>
      <c r="Y249" s="15" t="str">
        <f t="shared" si="36"/>
        <v>📊 Medium</v>
      </c>
    </row>
    <row r="250" spans="1:25" x14ac:dyDescent="0.2">
      <c r="A250" t="str">
        <f>'5. KPI Baselines'!A235</f>
        <v>Hero Digital</v>
      </c>
      <c r="B250" t="str">
        <f>'5. KPI Baselines'!B235</f>
        <v>Client Management</v>
      </c>
      <c r="C250" t="str">
        <f>'5. KPI Baselines'!C235</f>
        <v>Project Onboarding</v>
      </c>
      <c r="D250" t="str">
        <f>'5. KPI Baselines'!D235</f>
        <v>Onboarding Duration</v>
      </c>
      <c r="E250" t="str">
        <f>'5. KPI Baselines'!E235</f>
        <v>18 days</v>
      </c>
      <c r="F250" t="str">
        <f>'5. KPI Baselines'!F235</f>
        <v>7 days</v>
      </c>
      <c r="G250" t="str">
        <f>'5. KPI Baselines'!G235</f>
        <v>12 days (industry estimate)</v>
      </c>
      <c r="H250" t="str">
        <f>'5. KPI Baselines'!H235</f>
        <v>↓</v>
      </c>
      <c r="I250" t="str">
        <f>'5. KPI Baselines'!I235</f>
        <v>9 months</v>
      </c>
      <c r="J250" t="str">
        <f>'5. KPI Baselines'!J235</f>
        <v>Calendar days from contract signature to project kickoff meeting</v>
      </c>
      <c r="K250" s="15" t="str">
        <f t="shared" si="28"/>
        <v>18 days → 7 days</v>
      </c>
      <c r="L250" s="34" cm="1">
        <f t="array" ref="L250">IFERROR(_xlfn.LET(_xlpm.e,E250,_xlpm.f,F250,_xlpm.h,H250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0.6111077160682441</v>
      </c>
      <c r="M250" s="15" cm="1">
        <f t="array" ref="M250">IFERROR(_xlfn.LET(_xlpm.e,E250,_xlpm.f,F250,_xlpm.h,H250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8.6999999999999993</v>
      </c>
      <c r="N250" s="15" cm="1">
        <f t="array" ref="N250">IFERROR(_xlfn.LET(_xlpm.e,E250,_xlpm.f,F250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250" s="15" t="str">
        <f t="shared" si="29"/>
        <v>12 days (industry estimate) → 7 days</v>
      </c>
      <c r="P250" s="34" cm="1">
        <f t="array" ref="P250">IFERROR(_xlfn.LET(_xlpm.g,G250,_xlpm.f,F250,_xlpm.h,H250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0.41666319447337941</v>
      </c>
      <c r="Q250" s="15" t="str" cm="1">
        <f t="array" ref="Q250">IFERROR(_xlfn.LET(_xlpm.e,E250,_xlpm.g,G250,_xlpm.h,H250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50" s="15" t="str">
        <f t="shared" si="30"/>
        <v>🔴 Lagging</v>
      </c>
      <c r="S250" s="35" cm="1">
        <f t="array" ref="S250">IFERROR(_xlfn.LET(_xlpm.e,E250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50" s="36">
        <f t="shared" si="31"/>
        <v>61.110771606824407</v>
      </c>
      <c r="U250" s="15">
        <f t="shared" si="32"/>
        <v>146</v>
      </c>
      <c r="V250" s="16">
        <f t="shared" si="33"/>
        <v>1535.7289681723992</v>
      </c>
      <c r="W250" s="16">
        <f t="shared" si="34"/>
        <v>3819.1306421116797</v>
      </c>
      <c r="X250" s="37">
        <f t="shared" si="35"/>
        <v>57</v>
      </c>
      <c r="Y250" s="15" t="str">
        <f t="shared" si="36"/>
        <v>🔥 Critical</v>
      </c>
    </row>
    <row r="251" spans="1:25" x14ac:dyDescent="0.2">
      <c r="A251" t="str">
        <f>'5. KPI Baselines'!A236</f>
        <v>Hero Digital</v>
      </c>
      <c r="B251" t="str">
        <f>'5. KPI Baselines'!B236</f>
        <v>Client Management</v>
      </c>
      <c r="C251" t="str">
        <f>'5. KPI Baselines'!C236</f>
        <v>Account Management</v>
      </c>
      <c r="D251" t="str">
        <f>'5. KPI Baselines'!D236</f>
        <v>Client Retention Rate</v>
      </c>
      <c r="E251" t="str">
        <f>'5. KPI Baselines'!E236</f>
        <v>78%</v>
      </c>
      <c r="F251" t="str">
        <f>'5. KPI Baselines'!F236</f>
        <v>87%</v>
      </c>
      <c r="G251" t="str">
        <f>'5. KPI Baselines'!G236</f>
        <v>84% (Hinge)</v>
      </c>
      <c r="H251" t="str">
        <f>'5. KPI Baselines'!H236</f>
        <v>↑</v>
      </c>
      <c r="I251" t="str">
        <f>'5. KPI Baselines'!I236</f>
        <v>24 months</v>
      </c>
      <c r="J251" t="str">
        <f>'5. KPI Baselines'!J236</f>
        <v>Percentage of clients with repeat engagements within 18 months</v>
      </c>
      <c r="K251" s="15" t="str">
        <f t="shared" si="28"/>
        <v>87% - 78%</v>
      </c>
      <c r="L251" s="34" cm="1">
        <f t="array" ref="L251">IFERROR(_xlfn.LET(_xlpm.e,E251,_xlpm.f,F251,_xlpm.h,H251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0.11538446745581095</v>
      </c>
      <c r="M251" s="15" cm="1">
        <f t="array" ref="M251">IFERROR(_xlfn.LET(_xlpm.e,E251,_xlpm.f,F251,_xlpm.h,H251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85.7</v>
      </c>
      <c r="N251" s="15" cm="1">
        <f t="array" ref="N251">IFERROR(_xlfn.LET(_xlpm.e,E251,_xlpm.f,F251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51" s="15" t="str">
        <f t="shared" si="29"/>
        <v>87% - 84% (Hinge)</v>
      </c>
      <c r="P251" s="34" cm="1">
        <f t="array" ref="P251">IFERROR(_xlfn.LET(_xlpm.g,G251,_xlpm.f,F251,_xlpm.h,H251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3.5714243197329527E-2</v>
      </c>
      <c r="Q251" s="15" t="str" cm="1">
        <f t="array" ref="Q251">IFERROR(_xlfn.LET(_xlpm.e,E251,_xlpm.g,G251,_xlpm.h,H251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51" s="15" t="str">
        <f t="shared" si="30"/>
        <v>🔴 Lagging</v>
      </c>
      <c r="S251" s="35" cm="1">
        <f t="array" ref="S251">IFERROR(_xlfn.LET(_xlpm.e,E251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251" s="36">
        <f t="shared" si="31"/>
        <v>11.538446745581094</v>
      </c>
      <c r="U251" s="15">
        <f t="shared" si="32"/>
        <v>512</v>
      </c>
      <c r="V251" s="16">
        <f t="shared" si="33"/>
        <v>1256.5108890886038</v>
      </c>
      <c r="W251" s="16">
        <f t="shared" si="34"/>
        <v>3124.7566062233527</v>
      </c>
      <c r="X251" s="37">
        <f t="shared" si="35"/>
        <v>69</v>
      </c>
      <c r="Y251" s="15" t="str">
        <f t="shared" si="36"/>
        <v>📊 Medium</v>
      </c>
    </row>
    <row r="252" spans="1:25" x14ac:dyDescent="0.2">
      <c r="A252" t="str">
        <f>'5. KPI Baselines'!A237</f>
        <v>Hero Digital</v>
      </c>
      <c r="B252" t="str">
        <f>'5. KPI Baselines'!B237</f>
        <v>Operations</v>
      </c>
      <c r="C252" t="str">
        <f>'5. KPI Baselines'!C237</f>
        <v>Resource Utilization</v>
      </c>
      <c r="D252" t="str">
        <f>'5. KPI Baselines'!D237</f>
        <v>Consultant Utilization Rate</v>
      </c>
      <c r="E252" t="str">
        <f>'5. KPI Baselines'!E237</f>
        <v>65%</v>
      </c>
      <c r="F252" t="str">
        <f>'5. KPI Baselines'!F237</f>
        <v>80%</v>
      </c>
      <c r="G252" t="str">
        <f>'5. KPI Baselines'!G237</f>
        <v>72% (SPI)</v>
      </c>
      <c r="H252" t="str">
        <f>'5. KPI Baselines'!H237</f>
        <v>↑</v>
      </c>
      <c r="I252" t="str">
        <f>'5. KPI Baselines'!I237</f>
        <v>18 months</v>
      </c>
      <c r="J252" t="str">
        <f>'5. KPI Baselines'!J237</f>
        <v>Billable hours as percentage of available hours</v>
      </c>
      <c r="K252" s="15" t="str">
        <f t="shared" si="28"/>
        <v>80% - 65%</v>
      </c>
      <c r="L252" s="34" cm="1">
        <f t="array" ref="L252">IFERROR(_xlfn.LET(_xlpm.e,E252,_xlpm.f,F252,_xlpm.h,H252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0.23076887574019117</v>
      </c>
      <c r="M252" s="15" cm="1">
        <f t="array" ref="M252">IFERROR(_xlfn.LET(_xlpm.e,E252,_xlpm.f,F252,_xlpm.h,H252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77.8</v>
      </c>
      <c r="N252" s="15" cm="1">
        <f t="array" ref="N252">IFERROR(_xlfn.LET(_xlpm.e,E252,_xlpm.f,F252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252" s="15" t="str">
        <f t="shared" si="29"/>
        <v>80% - 72% (SPI)</v>
      </c>
      <c r="P252" s="34" cm="1">
        <f t="array" ref="P252">IFERROR(_xlfn.LET(_xlpm.g,G252,_xlpm.f,F252,_xlpm.h,H252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0.11111095679033779</v>
      </c>
      <c r="Q252" s="15" t="str" cm="1">
        <f t="array" ref="Q252">IFERROR(_xlfn.LET(_xlpm.e,E252,_xlpm.g,G252,_xlpm.h,H252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52" s="15" t="str">
        <f t="shared" si="30"/>
        <v>🔴 Lagging</v>
      </c>
      <c r="S252" s="35" cm="1">
        <f t="array" ref="S252">IFERROR(_xlfn.LET(_xlpm.e,E252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65</v>
      </c>
      <c r="T252" s="36">
        <f t="shared" si="31"/>
        <v>23.076887574019118</v>
      </c>
      <c r="U252" s="15">
        <f t="shared" si="32"/>
        <v>437</v>
      </c>
      <c r="V252" s="16">
        <f t="shared" si="33"/>
        <v>2094.1842781780338</v>
      </c>
      <c r="W252" s="16">
        <f t="shared" si="34"/>
        <v>5207.9263416749036</v>
      </c>
      <c r="X252" s="37">
        <f t="shared" si="35"/>
        <v>42</v>
      </c>
      <c r="Y252" s="15" t="str">
        <f t="shared" si="36"/>
        <v>📊 Medium</v>
      </c>
    </row>
    <row r="253" spans="1:25" x14ac:dyDescent="0.2">
      <c r="A253" t="str">
        <f>'5. KPI Baselines'!A238</f>
        <v>Hero Digital</v>
      </c>
      <c r="B253" t="str">
        <f>'5. KPI Baselines'!B238</f>
        <v>Operations</v>
      </c>
      <c r="C253" t="str">
        <f>'5. KPI Baselines'!C238</f>
        <v>Knowledge Management</v>
      </c>
      <c r="D253" t="str">
        <f>'5. KPI Baselines'!D238</f>
        <v>Content Reuse Rate</v>
      </c>
      <c r="E253" t="str">
        <f>'5. KPI Baselines'!E238</f>
        <v>35%</v>
      </c>
      <c r="F253" t="str">
        <f>'5. KPI Baselines'!F238</f>
        <v>68%</v>
      </c>
      <c r="G253" t="str">
        <f>'5. KPI Baselines'!G238</f>
        <v>55% (industry estimate)</v>
      </c>
      <c r="H253" t="str">
        <f>'5. KPI Baselines'!H238</f>
        <v>↑</v>
      </c>
      <c r="I253" t="str">
        <f>'5. KPI Baselines'!I238</f>
        <v>12 months</v>
      </c>
      <c r="J253" t="str">
        <f>'5. KPI Baselines'!J238</f>
        <v>Percentage of proposal/deliverable content sourced from knowledge repository</v>
      </c>
      <c r="K253" s="15" t="str">
        <f t="shared" si="28"/>
        <v>68% - 35%</v>
      </c>
      <c r="L253" s="34" cm="1">
        <f t="array" ref="L253">IFERROR(_xlfn.LET(_xlpm.e,E253,_xlpm.f,F253,_xlpm.h,H253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0.94285444898728854</v>
      </c>
      <c r="M253" s="15" cm="1">
        <f t="array" ref="M253">IFERROR(_xlfn.LET(_xlpm.e,E253,_xlpm.f,F253,_xlpm.h,H253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63.1</v>
      </c>
      <c r="N253" s="15" cm="1">
        <f t="array" ref="N253">IFERROR(_xlfn.LET(_xlpm.e,E253,_xlpm.f,F253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25.25</v>
      </c>
      <c r="O253" s="15" t="str">
        <f t="shared" si="29"/>
        <v>68% - 55% (industry estimate)</v>
      </c>
      <c r="P253" s="34" cm="1">
        <f t="array" ref="P253">IFERROR(_xlfn.LET(_xlpm.g,G253,_xlpm.f,F253,_xlpm.h,H253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0.23636320661235161</v>
      </c>
      <c r="Q253" s="15" t="str" cm="1">
        <f t="array" ref="Q253">IFERROR(_xlfn.LET(_xlpm.e,E253,_xlpm.g,G253,_xlpm.h,H253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53" s="15" t="str">
        <f t="shared" si="30"/>
        <v>🔴 Lagging</v>
      </c>
      <c r="S253" s="35" cm="1">
        <f t="array" ref="S253">IFERROR(_xlfn.LET(_xlpm.e,E253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35</v>
      </c>
      <c r="T253" s="36">
        <f t="shared" si="31"/>
        <v>94.285444898728855</v>
      </c>
      <c r="U253" s="15">
        <f t="shared" si="32"/>
        <v>13</v>
      </c>
      <c r="V253" s="16">
        <f t="shared" si="33"/>
        <v>4607.1993365733233</v>
      </c>
      <c r="W253" s="16">
        <f t="shared" si="34"/>
        <v>11457.422843018567</v>
      </c>
      <c r="X253" s="37">
        <f t="shared" si="35"/>
        <v>19</v>
      </c>
      <c r="Y253" s="15" t="str">
        <f t="shared" si="36"/>
        <v>🔥 Critical</v>
      </c>
    </row>
    <row r="254" spans="1:25" x14ac:dyDescent="0.2">
      <c r="A254" t="str">
        <f>'5. KPI Baselines'!A239</f>
        <v>Hero Digital</v>
      </c>
      <c r="B254" t="str">
        <f>'5. KPI Baselines'!B239</f>
        <v>Finance</v>
      </c>
      <c r="C254" t="str">
        <f>'5. KPI Baselines'!C239</f>
        <v>Revenue Operations</v>
      </c>
      <c r="D254" t="str">
        <f>'5. KPI Baselines'!D239</f>
        <v>Days Sales Outstanding</v>
      </c>
      <c r="E254" t="str">
        <f>'5. KPI Baselines'!E239</f>
        <v>52 days</v>
      </c>
      <c r="F254" t="str">
        <f>'5. KPI Baselines'!F239</f>
        <v>38 days</v>
      </c>
      <c r="G254" t="str">
        <f>'5. KPI Baselines'!G239</f>
        <v>45 days (SPI)</v>
      </c>
      <c r="H254" t="str">
        <f>'5. KPI Baselines'!H239</f>
        <v>↓</v>
      </c>
      <c r="I254" t="str">
        <f>'5. KPI Baselines'!I239</f>
        <v>15 months</v>
      </c>
      <c r="J254" t="str">
        <f>'5. KPI Baselines'!J239</f>
        <v>Average days between invoice date and payment receipt</v>
      </c>
      <c r="K254" s="15" t="str">
        <f t="shared" si="28"/>
        <v>52 days → 38 days</v>
      </c>
      <c r="L254" s="34" cm="1">
        <f t="array" ref="L254">IFERROR(_xlfn.LET(_xlpm.e,E254,_xlpm.f,F254,_xlpm.h,H254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0.26923025148028562</v>
      </c>
      <c r="M254" s="15" cm="1">
        <f t="array" ref="M254">IFERROR(_xlfn.LET(_xlpm.e,E254,_xlpm.f,F254,_xlpm.h,H254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40.1</v>
      </c>
      <c r="N254" s="15" cm="1">
        <f t="array" ref="N254">IFERROR(_xlfn.LET(_xlpm.e,E254,_xlpm.f,F254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54" s="15" t="str">
        <f t="shared" si="29"/>
        <v>45 days (SPI) → 38 days</v>
      </c>
      <c r="P254" s="34" cm="1">
        <f t="array" ref="P254">IFERROR(_xlfn.LET(_xlpm.g,G254,_xlpm.f,F254,_xlpm.h,H254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0.15555520987731136</v>
      </c>
      <c r="Q254" s="15" t="str" cm="1">
        <f t="array" ref="Q254">IFERROR(_xlfn.LET(_xlpm.e,E254,_xlpm.g,G254,_xlpm.h,H254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54" s="15" t="str">
        <f t="shared" si="30"/>
        <v>🔴 Lagging</v>
      </c>
      <c r="S254" s="35" cm="1">
        <f t="array" ref="S254">IFERROR(_xlfn.LET(_xlpm.e,E254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254" s="36">
        <f t="shared" si="31"/>
        <v>26.923025148028561</v>
      </c>
      <c r="U254" s="15">
        <f t="shared" si="32"/>
        <v>410</v>
      </c>
      <c r="V254" s="16">
        <f t="shared" si="33"/>
        <v>1954.5712412091514</v>
      </c>
      <c r="W254" s="16">
        <f t="shared" si="34"/>
        <v>4860.7293827214853</v>
      </c>
      <c r="X254" s="37">
        <f t="shared" si="35"/>
        <v>45</v>
      </c>
      <c r="Y254" s="15" t="str">
        <f t="shared" si="36"/>
        <v>⚠️ High</v>
      </c>
    </row>
    <row r="255" spans="1:25" x14ac:dyDescent="0.2">
      <c r="A255" t="str">
        <f>'5. KPI Baselines'!A240</f>
        <v>Huge</v>
      </c>
      <c r="B255" t="str">
        <f>'5. KPI Baselines'!B240</f>
        <v>Business Development</v>
      </c>
      <c r="C255" t="str">
        <f>'5. KPI Baselines'!C240</f>
        <v>Pitch Preparation</v>
      </c>
      <c r="D255" t="str">
        <f>'5. KPI Baselines'!D240</f>
        <v>RFP Response Time</v>
      </c>
      <c r="E255" t="str">
        <f>'5. KPI Baselines'!E240</f>
        <v>19 days</v>
      </c>
      <c r="F255" t="str">
        <f>'5. KPI Baselines'!F240</f>
        <v>12 days</v>
      </c>
      <c r="G255" t="str">
        <f>'5. KPI Baselines'!G240</f>
        <v>14 days [ESTIMATED]</v>
      </c>
      <c r="H255" t="str">
        <f>'5. KPI Baselines'!H240</f>
        <v>↓</v>
      </c>
      <c r="I255" t="str">
        <f>'5. KPI Baselines'!I240</f>
        <v>12 months</v>
      </c>
      <c r="J255" t="str">
        <f>'5. KPI Baselines'!J240</f>
        <v>Average days from RFP receipt to submission</v>
      </c>
      <c r="K255" s="15" t="str">
        <f t="shared" si="28"/>
        <v>19 days → 12 days</v>
      </c>
      <c r="L255" s="34" cm="1">
        <f t="array" ref="L255">IFERROR(_xlfn.LET(_xlpm.e,E255,_xlpm.f,F255,_xlpm.h,H255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0.36841911358361273</v>
      </c>
      <c r="M255" s="15" cm="1">
        <f t="array" ref="M255">IFERROR(_xlfn.LET(_xlpm.e,E255,_xlpm.f,F255,_xlpm.h,H255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13.1</v>
      </c>
      <c r="N255" s="15" cm="1">
        <f t="array" ref="N255">IFERROR(_xlfn.LET(_xlpm.e,E255,_xlpm.f,F255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55" s="15" t="str">
        <f t="shared" si="29"/>
        <v>14 days [ESTIMATED] → 12 days</v>
      </c>
      <c r="P255" s="34" t="str" cm="1">
        <f t="array" ref="P255">IFERROR(_xlfn.LET(_xlpm.g,G255,_xlpm.f,F255,_xlpm.h,H255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5" s="15" t="str" cm="1">
        <f t="array" ref="Q255">IFERROR(_xlfn.LET(_xlpm.e,E255,_xlpm.g,G255,_xlpm.h,H255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5" s="15" t="str">
        <f t="shared" si="30"/>
        <v>⚪ N/A</v>
      </c>
      <c r="S255" s="35" cm="1">
        <f t="array" ref="S255">IFERROR(_xlfn.LET(_xlpm.e,E255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255" s="36">
        <f t="shared" si="31"/>
        <v>36.841911358361273</v>
      </c>
      <c r="U255" s="15">
        <f t="shared" si="32"/>
        <v>343</v>
      </c>
      <c r="V255" s="16">
        <f t="shared" si="33"/>
        <v>977.28235640865057</v>
      </c>
      <c r="W255" s="16">
        <f t="shared" si="34"/>
        <v>2430.356573788607</v>
      </c>
      <c r="X255" s="37">
        <f t="shared" si="35"/>
        <v>89</v>
      </c>
      <c r="Y255" s="15" t="str">
        <f t="shared" si="36"/>
        <v>⚠️ High</v>
      </c>
    </row>
    <row r="256" spans="1:25" x14ac:dyDescent="0.2">
      <c r="A256" t="str">
        <f>'5. KPI Baselines'!A241</f>
        <v>Huge</v>
      </c>
      <c r="B256" t="str">
        <f>'5. KPI Baselines'!B241</f>
        <v>Business Development</v>
      </c>
      <c r="C256" t="str">
        <f>'5. KPI Baselines'!C241</f>
        <v>Win Rate</v>
      </c>
      <c r="D256" t="str">
        <f>'5. KPI Baselines'!D241</f>
        <v>Pitch Win Rate</v>
      </c>
      <c r="E256" t="str">
        <f>'5. KPI Baselines'!E241</f>
        <v>28%</v>
      </c>
      <c r="F256" t="str">
        <f>'5. KPI Baselines'!F241</f>
        <v>35%</v>
      </c>
      <c r="G256" t="str">
        <f>'5. KPI Baselines'!G241</f>
        <v>32% [ESTIMATED]</v>
      </c>
      <c r="H256" t="str">
        <f>'5. KPI Baselines'!H241</f>
        <v>↑</v>
      </c>
      <c r="I256" t="str">
        <f>'5. KPI Baselines'!I241</f>
        <v>18 months</v>
      </c>
      <c r="J256" t="str">
        <f>'5. KPI Baselines'!J241</f>
        <v>Won pitches divided by total qualified opportunities</v>
      </c>
      <c r="K256" s="15" t="str">
        <f t="shared" si="28"/>
        <v>35% - 28%</v>
      </c>
      <c r="L256" s="34" cm="1">
        <f t="array" ref="L256">IFERROR(_xlfn.LET(_xlpm.e,E256,_xlpm.f,F256,_xlpm.h,H256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0.2499991071460459</v>
      </c>
      <c r="M256" s="15" cm="1">
        <f t="array" ref="M256">IFERROR(_xlfn.LET(_xlpm.e,E256,_xlpm.f,F256,_xlpm.h,H256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</v>
      </c>
      <c r="N256" s="15" cm="1">
        <f t="array" ref="N256">IFERROR(_xlfn.LET(_xlpm.e,E256,_xlpm.f,F256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56" s="15" t="str">
        <f t="shared" si="29"/>
        <v>35% - 32% [ESTIMATED]</v>
      </c>
      <c r="P256" s="34" t="str" cm="1">
        <f t="array" ref="P256">IFERROR(_xlfn.LET(_xlpm.g,G256,_xlpm.f,F256,_xlpm.h,H256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6" s="15" t="str" cm="1">
        <f t="array" ref="Q256">IFERROR(_xlfn.LET(_xlpm.e,E256,_xlpm.g,G256,_xlpm.h,H256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6" s="15" t="str">
        <f t="shared" si="30"/>
        <v>⚪ N/A</v>
      </c>
      <c r="S256" s="35" cm="1">
        <f t="array" ref="S256">IFERROR(_xlfn.LET(_xlpm.e,E256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256" s="36">
        <f t="shared" si="31"/>
        <v>24.999910714604589</v>
      </c>
      <c r="U256" s="15">
        <f t="shared" si="32"/>
        <v>421</v>
      </c>
      <c r="V256" s="16">
        <f t="shared" si="33"/>
        <v>977.28400969996517</v>
      </c>
      <c r="W256" s="16">
        <f t="shared" si="34"/>
        <v>2430.3606852794046</v>
      </c>
      <c r="X256" s="37">
        <f t="shared" si="35"/>
        <v>89</v>
      </c>
      <c r="Y256" s="15" t="str">
        <f t="shared" si="36"/>
        <v>📊 Medium</v>
      </c>
    </row>
    <row r="257" spans="1:25" x14ac:dyDescent="0.2">
      <c r="A257" t="str">
        <f>'5. KPI Baselines'!A242</f>
        <v>Huge</v>
      </c>
      <c r="B257" t="str">
        <f>'5. KPI Baselines'!B242</f>
        <v>Creative Services</v>
      </c>
      <c r="C257" t="str">
        <f>'5. KPI Baselines'!C242</f>
        <v>Asset Production</v>
      </c>
      <c r="D257" t="str">
        <f>'5. KPI Baselines'!D242</f>
        <v>Campaign Launch Cycle Time</v>
      </c>
      <c r="E257" t="str">
        <f>'5. KPI Baselines'!E242</f>
        <v>47 days</v>
      </c>
      <c r="F257" t="str">
        <f>'5. KPI Baselines'!F242</f>
        <v>33 days</v>
      </c>
      <c r="G257" t="str">
        <f>'5. KPI Baselines'!G242</f>
        <v>38 days [ESTIMATED]</v>
      </c>
      <c r="H257" t="str">
        <f>'5. KPI Baselines'!H242</f>
        <v>↓</v>
      </c>
      <c r="I257" t="str">
        <f>'5. KPI Baselines'!I242</f>
        <v>12 months</v>
      </c>
      <c r="J257" t="str">
        <f>'5. KPI Baselines'!J242</f>
        <v>Days from creative brief approval to campaign launch</v>
      </c>
      <c r="K257" s="15" t="str">
        <f t="shared" si="28"/>
        <v>47 days → 33 days</v>
      </c>
      <c r="L257" s="34" cm="1">
        <f t="array" ref="L257">IFERROR(_xlfn.LET(_xlpm.e,E257,_xlpm.f,F257,_xlpm.h,H257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0.29787170665594326</v>
      </c>
      <c r="M257" s="15" cm="1">
        <f t="array" ref="M257">IFERROR(_xlfn.LET(_xlpm.e,E257,_xlpm.f,F257,_xlpm.h,H257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35.1</v>
      </c>
      <c r="N257" s="15" cm="1">
        <f t="array" ref="N257">IFERROR(_xlfn.LET(_xlpm.e,E257,_xlpm.f,F257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57" s="15" t="str">
        <f t="shared" si="29"/>
        <v>38 days [ESTIMATED] → 33 days</v>
      </c>
      <c r="P257" s="34" t="str" cm="1">
        <f t="array" ref="P257">IFERROR(_xlfn.LET(_xlpm.g,G257,_xlpm.f,F257,_xlpm.h,H257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7" s="15" t="str" cm="1">
        <f t="array" ref="Q257">IFERROR(_xlfn.LET(_xlpm.e,E257,_xlpm.g,G257,_xlpm.h,H257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7" s="15" t="str">
        <f t="shared" si="30"/>
        <v>⚪ N/A</v>
      </c>
      <c r="S257" s="35" cm="1">
        <f t="array" ref="S257">IFERROR(_xlfn.LET(_xlpm.e,E257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257" s="36">
        <f t="shared" si="31"/>
        <v>29.787170665594324</v>
      </c>
      <c r="U257" s="15">
        <f t="shared" si="32"/>
        <v>392</v>
      </c>
      <c r="V257" s="16">
        <f t="shared" si="33"/>
        <v>1954.5708413386353</v>
      </c>
      <c r="W257" s="16">
        <f t="shared" si="34"/>
        <v>4860.7283883026957</v>
      </c>
      <c r="X257" s="37">
        <f t="shared" si="35"/>
        <v>45</v>
      </c>
      <c r="Y257" s="15" t="str">
        <f t="shared" si="36"/>
        <v>⚠️ High</v>
      </c>
    </row>
    <row r="258" spans="1:25" x14ac:dyDescent="0.2">
      <c r="A258" t="str">
        <f>'5. KPI Baselines'!A243</f>
        <v>Huge</v>
      </c>
      <c r="B258" t="str">
        <f>'5. KPI Baselines'!B243</f>
        <v>Creative Services</v>
      </c>
      <c r="C258" t="str">
        <f>'5. KPI Baselines'!C243</f>
        <v>Content Operations</v>
      </c>
      <c r="D258" t="str">
        <f>'5. KPI Baselines'!D243</f>
        <v>Asset Versioning Efficiency</v>
      </c>
      <c r="E258" t="str">
        <f>'5. KPI Baselines'!E243</f>
        <v>2.3 hours per platform variant</v>
      </c>
      <c r="F258" t="str">
        <f>'5. KPI Baselines'!F243</f>
        <v>0.9 hours</v>
      </c>
      <c r="G258" t="str">
        <f>'5. KPI Baselines'!G243</f>
        <v>1.8 hours [ESTIMATED]</v>
      </c>
      <c r="H258" t="str">
        <f>'5. KPI Baselines'!H243</f>
        <v>↓</v>
      </c>
      <c r="I258" t="str">
        <f>'5. KPI Baselines'!I243</f>
        <v>9 months</v>
      </c>
      <c r="J258" t="str">
        <f>'5. KPI Baselines'!J243</f>
        <v>Average hours to produce platform-specific asset variant</v>
      </c>
      <c r="K258" s="15" t="str">
        <f t="shared" si="28"/>
        <v>2.3 hours per platform variant → 0.9 hours</v>
      </c>
      <c r="L258" s="34" t="str" cm="1">
        <f t="array" ref="L258">IFERROR(_xlfn.LET(_xlpm.e,E258,_xlpm.f,F258,_xlpm.h,H258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58" s="15" t="str" cm="1">
        <f t="array" ref="M258">IFERROR(_xlfn.LET(_xlpm.e,E258,_xlpm.f,F258,_xlpm.h,H258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58" s="15" t="str" cm="1">
        <f t="array" ref="N258">IFERROR(_xlfn.LET(_xlpm.e,E258,_xlpm.f,F258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58" s="15" t="str">
        <f t="shared" si="29"/>
        <v>1.8 hours [ESTIMATED] → 0.9 hours</v>
      </c>
      <c r="P258" s="34" t="str" cm="1">
        <f t="array" ref="P258">IFERROR(_xlfn.LET(_xlpm.g,G258,_xlpm.f,F258,_xlpm.h,H258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8" s="15" t="str" cm="1">
        <f t="array" ref="Q258">IFERROR(_xlfn.LET(_xlpm.e,E258,_xlpm.g,G258,_xlpm.h,H258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8" s="15" t="str">
        <f t="shared" si="30"/>
        <v>⚪ N/A</v>
      </c>
      <c r="S258" s="35" cm="1">
        <f t="array" ref="S258">IFERROR(_xlfn.LET(_xlpm.e,E258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58" s="36">
        <f t="shared" si="31"/>
        <v>0</v>
      </c>
      <c r="U258" s="15">
        <f t="shared" si="32"/>
        <v>554</v>
      </c>
      <c r="V258" s="16">
        <f t="shared" si="33"/>
        <v>0</v>
      </c>
      <c r="W258" s="16">
        <f t="shared" si="34"/>
        <v>0</v>
      </c>
      <c r="X258" s="37" t="str">
        <f t="shared" si="35"/>
        <v>-</v>
      </c>
      <c r="Y258" s="15" t="str">
        <f t="shared" si="36"/>
        <v>📉 Low</v>
      </c>
    </row>
    <row r="259" spans="1:25" x14ac:dyDescent="0.2">
      <c r="A259" t="str">
        <f>'5. KPI Baselines'!A244</f>
        <v>Huge</v>
      </c>
      <c r="B259" t="str">
        <f>'5. KPI Baselines'!B244</f>
        <v>Project Management</v>
      </c>
      <c r="C259" t="str">
        <f>'5. KPI Baselines'!C244</f>
        <v>Scope Management</v>
      </c>
      <c r="D259" t="str">
        <f>'5. KPI Baselines'!D244</f>
        <v>Change Order Processing Time</v>
      </c>
      <c r="E259" t="str">
        <f>'5. KPI Baselines'!E244</f>
        <v>12 days</v>
      </c>
      <c r="F259" t="str">
        <f>'5. KPI Baselines'!F244</f>
        <v>5 days</v>
      </c>
      <c r="G259" t="str">
        <f>'5. KPI Baselines'!G244</f>
        <v>8 days [ESTIMATED]</v>
      </c>
      <c r="H259" t="str">
        <f>'5. KPI Baselines'!H244</f>
        <v>↓</v>
      </c>
      <c r="I259" t="str">
        <f>'5. KPI Baselines'!I244</f>
        <v>6 months</v>
      </c>
      <c r="J259" t="str">
        <f>'5. KPI Baselines'!J244</f>
        <v>Average days from scope change request to client approval</v>
      </c>
      <c r="K259" s="15" t="str">
        <f t="shared" si="28"/>
        <v>12 days → 5 days</v>
      </c>
      <c r="L259" s="34" cm="1">
        <f t="array" ref="L259">IFERROR(_xlfn.LET(_xlpm.e,E259,_xlpm.f,F259,_xlpm.h,H259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259" s="15" cm="1">
        <f t="array" ref="M259">IFERROR(_xlfn.LET(_xlpm.e,E259,_xlpm.f,F259,_xlpm.h,H259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259" s="15" cm="1">
        <f t="array" ref="N259">IFERROR(_xlfn.LET(_xlpm.e,E259,_xlpm.f,F259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59" s="15" t="str">
        <f t="shared" si="29"/>
        <v>8 days [ESTIMATED] → 5 days</v>
      </c>
      <c r="P259" s="34" t="str" cm="1">
        <f t="array" ref="P259">IFERROR(_xlfn.LET(_xlpm.g,G259,_xlpm.f,F259,_xlpm.h,H259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59" s="15" t="str" cm="1">
        <f t="array" ref="Q259">IFERROR(_xlfn.LET(_xlpm.e,E259,_xlpm.g,G259,_xlpm.h,H259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59" s="15" t="str">
        <f t="shared" si="30"/>
        <v>⚪ N/A</v>
      </c>
      <c r="S259" s="35" cm="1">
        <f t="array" ref="S259">IFERROR(_xlfn.LET(_xlpm.e,E259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59" s="36">
        <f t="shared" si="31"/>
        <v>58.33284722627311</v>
      </c>
      <c r="U259" s="15">
        <f t="shared" si="32"/>
        <v>160</v>
      </c>
      <c r="V259" s="16">
        <f t="shared" si="33"/>
        <v>977.27935600536659</v>
      </c>
      <c r="W259" s="16">
        <f t="shared" si="34"/>
        <v>2430.3491122297269</v>
      </c>
      <c r="X259" s="37">
        <f t="shared" si="35"/>
        <v>89</v>
      </c>
      <c r="Y259" s="15" t="str">
        <f t="shared" si="36"/>
        <v>🔥 Critical</v>
      </c>
    </row>
    <row r="260" spans="1:25" x14ac:dyDescent="0.2">
      <c r="A260" t="str">
        <f>'5. KPI Baselines'!A245</f>
        <v>Huge</v>
      </c>
      <c r="B260" t="str">
        <f>'5. KPI Baselines'!B245</f>
        <v>Project Management</v>
      </c>
      <c r="C260" t="str">
        <f>'5. KPI Baselines'!C245</f>
        <v>Budget Variance</v>
      </c>
      <c r="D260" t="str">
        <f>'5. KPI Baselines'!D245</f>
        <v>Project Margin Accuracy</v>
      </c>
      <c r="E260" t="str">
        <f>'5. KPI Baselines'!E245</f>
        <v>73% of projects within 10% of forecasted margin</v>
      </c>
      <c r="F260" t="str">
        <f>'5. KPI Baselines'!F245</f>
        <v>88%</v>
      </c>
      <c r="G260" t="str">
        <f>'5. KPI Baselines'!G245</f>
        <v>82% [ESTIMATED]</v>
      </c>
      <c r="H260" t="str">
        <f>'5. KPI Baselines'!H245</f>
        <v>↑</v>
      </c>
      <c r="I260" t="str">
        <f>'5. KPI Baselines'!I245</f>
        <v>12 months</v>
      </c>
      <c r="J260" t="str">
        <f>'5. KPI Baselines'!J245</f>
        <v>Percentage of projects delivering within margin tolerance</v>
      </c>
      <c r="K260" s="15" t="str">
        <f t="shared" si="28"/>
        <v>88% - 73% of projects within 10% of forecasted margin</v>
      </c>
      <c r="L260" s="34" t="str" cm="1">
        <f t="array" ref="L260">IFERROR(_xlfn.LET(_xlpm.e,E260,_xlpm.f,F260,_xlpm.h,H260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60" s="15" t="str" cm="1">
        <f t="array" ref="M260">IFERROR(_xlfn.LET(_xlpm.e,E260,_xlpm.f,F260,_xlpm.h,H260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60" s="15" t="str" cm="1">
        <f t="array" ref="N260">IFERROR(_xlfn.LET(_xlpm.e,E260,_xlpm.f,F260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60" s="15" t="str">
        <f t="shared" si="29"/>
        <v>88% - 82% [ESTIMATED]</v>
      </c>
      <c r="P260" s="34" t="str" cm="1">
        <f t="array" ref="P260">IFERROR(_xlfn.LET(_xlpm.g,G260,_xlpm.f,F260,_xlpm.h,H260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0" s="15" t="str" cm="1">
        <f t="array" ref="Q260">IFERROR(_xlfn.LET(_xlpm.e,E260,_xlpm.g,G260,_xlpm.h,H260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0" s="15" t="str">
        <f t="shared" si="30"/>
        <v>⚪ N/A</v>
      </c>
      <c r="S260" s="35" cm="1">
        <f t="array" ref="S260">IFERROR(_xlfn.LET(_xlpm.e,E260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60" s="36">
        <f t="shared" si="31"/>
        <v>0</v>
      </c>
      <c r="U260" s="15">
        <f t="shared" si="32"/>
        <v>554</v>
      </c>
      <c r="V260" s="16">
        <f t="shared" si="33"/>
        <v>0</v>
      </c>
      <c r="W260" s="16">
        <f t="shared" si="34"/>
        <v>0</v>
      </c>
      <c r="X260" s="37" t="str">
        <f t="shared" si="35"/>
        <v>-</v>
      </c>
      <c r="Y260" s="15" t="str">
        <f t="shared" si="36"/>
        <v>📉 Low</v>
      </c>
    </row>
    <row r="261" spans="1:25" x14ac:dyDescent="0.2">
      <c r="A261" t="str">
        <f>'5. KPI Baselines'!A246</f>
        <v>Huge</v>
      </c>
      <c r="B261" t="str">
        <f>'5. KPI Baselines'!B246</f>
        <v>Strategy &amp; Planning</v>
      </c>
      <c r="C261" t="str">
        <f>'5. KPI Baselines'!C246</f>
        <v>Market Research</v>
      </c>
      <c r="D261" t="str">
        <f>'5. KPI Baselines'!D246</f>
        <v>Research Synthesis Time</v>
      </c>
      <c r="E261" t="str">
        <f>'5. KPI Baselines'!E246</f>
        <v>34 hours per client industry analysis</v>
      </c>
      <c r="F261" t="str">
        <f>'5. KPI Baselines'!F246</f>
        <v>14 hours</v>
      </c>
      <c r="G261" t="str">
        <f>'5. KPI Baselines'!G246</f>
        <v>26 hours [ESTIMATED]</v>
      </c>
      <c r="H261" t="str">
        <f>'5. KPI Baselines'!H246</f>
        <v>↓</v>
      </c>
      <c r="I261" t="str">
        <f>'5. KPI Baselines'!I246</f>
        <v>9 months</v>
      </c>
      <c r="J261" t="str">
        <f>'5. KPI Baselines'!J246</f>
        <v>Average analyst hours for comprehensive industry research deliverable</v>
      </c>
      <c r="K261" s="15" t="str">
        <f t="shared" si="28"/>
        <v>34 hours per client industry analysis → 14 hours</v>
      </c>
      <c r="L261" s="34" t="str" cm="1">
        <f t="array" ref="L261">IFERROR(_xlfn.LET(_xlpm.e,E261,_xlpm.f,F261,_xlpm.h,H261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61" s="15" t="str" cm="1">
        <f t="array" ref="M261">IFERROR(_xlfn.LET(_xlpm.e,E261,_xlpm.f,F261,_xlpm.h,H261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61" s="15" t="str" cm="1">
        <f t="array" ref="N261">IFERROR(_xlfn.LET(_xlpm.e,E261,_xlpm.f,F261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61" s="15" t="str">
        <f t="shared" si="29"/>
        <v>26 hours [ESTIMATED] → 14 hours</v>
      </c>
      <c r="P261" s="34" t="str" cm="1">
        <f t="array" ref="P261">IFERROR(_xlfn.LET(_xlpm.g,G261,_xlpm.f,F261,_xlpm.h,H261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1" s="15" t="str" cm="1">
        <f t="array" ref="Q261">IFERROR(_xlfn.LET(_xlpm.e,E261,_xlpm.g,G261,_xlpm.h,H261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1" s="15" t="str">
        <f t="shared" si="30"/>
        <v>⚪ N/A</v>
      </c>
      <c r="S261" s="35" cm="1">
        <f t="array" ref="S261">IFERROR(_xlfn.LET(_xlpm.e,E261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61" s="36">
        <f t="shared" si="31"/>
        <v>0</v>
      </c>
      <c r="U261" s="15">
        <f t="shared" si="32"/>
        <v>554</v>
      </c>
      <c r="V261" s="16">
        <f t="shared" si="33"/>
        <v>0</v>
      </c>
      <c r="W261" s="16">
        <f t="shared" si="34"/>
        <v>0</v>
      </c>
      <c r="X261" s="37" t="str">
        <f t="shared" si="35"/>
        <v>-</v>
      </c>
      <c r="Y261" s="15" t="str">
        <f t="shared" si="36"/>
        <v>📉 Low</v>
      </c>
    </row>
    <row r="262" spans="1:25" x14ac:dyDescent="0.2">
      <c r="A262" t="str">
        <f>'5. KPI Baselines'!A247</f>
        <v>Huge</v>
      </c>
      <c r="B262" t="str">
        <f>'5. KPI Baselines'!B247</f>
        <v>Client Services</v>
      </c>
      <c r="C262" t="str">
        <f>'5. KPI Baselines'!C247</f>
        <v>Account Management</v>
      </c>
      <c r="D262" t="str">
        <f>'5. KPI Baselines'!D247</f>
        <v>Client Retention Rate</v>
      </c>
      <c r="E262" t="str">
        <f>'5. KPI Baselines'!E247</f>
        <v>78%</v>
      </c>
      <c r="F262" t="str">
        <f>'5. KPI Baselines'!F247</f>
        <v>85%</v>
      </c>
      <c r="G262" t="str">
        <f>'5. KPI Baselines'!G247</f>
        <v>81% [ESTIMATED]</v>
      </c>
      <c r="H262" t="str">
        <f>'5. KPI Baselines'!H247</f>
        <v>↑</v>
      </c>
      <c r="I262" t="str">
        <f>'5. KPI Baselines'!I247</f>
        <v>18 months</v>
      </c>
      <c r="J262" t="str">
        <f>'5. KPI Baselines'!J247</f>
        <v>Annual revenue retention from existing clients</v>
      </c>
      <c r="K262" s="15" t="str">
        <f t="shared" si="28"/>
        <v>85% - 78%</v>
      </c>
      <c r="L262" s="34" cm="1">
        <f t="array" ref="L262">IFERROR(_xlfn.LET(_xlpm.e,E262,_xlpm.f,F262,_xlpm.h,H262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8.9743474687852959E-2</v>
      </c>
      <c r="M262" s="15" cm="1">
        <f t="array" ref="M262">IFERROR(_xlfn.LET(_xlpm.e,E262,_xlpm.f,F262,_xlpm.h,H262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84</v>
      </c>
      <c r="N262" s="15" cm="1">
        <f t="array" ref="N262">IFERROR(_xlfn.LET(_xlpm.e,E262,_xlpm.f,F262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62" s="15" t="str">
        <f t="shared" si="29"/>
        <v>85% - 81% [ESTIMATED]</v>
      </c>
      <c r="P262" s="34" t="str" cm="1">
        <f t="array" ref="P262">IFERROR(_xlfn.LET(_xlpm.g,G262,_xlpm.f,F262,_xlpm.h,H262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2" s="15" t="str" cm="1">
        <f t="array" ref="Q262">IFERROR(_xlfn.LET(_xlpm.e,E262,_xlpm.g,G262,_xlpm.h,H262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2" s="15" t="str">
        <f t="shared" si="30"/>
        <v>⚪ N/A</v>
      </c>
      <c r="S262" s="35" cm="1">
        <f t="array" ref="S262">IFERROR(_xlfn.LET(_xlpm.e,E262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262" s="36">
        <f t="shared" si="31"/>
        <v>8.9743474687852967</v>
      </c>
      <c r="U262" s="15">
        <f t="shared" si="32"/>
        <v>525</v>
      </c>
      <c r="V262" s="16">
        <f t="shared" si="33"/>
        <v>977.28624706891401</v>
      </c>
      <c r="W262" s="16">
        <f t="shared" si="34"/>
        <v>2430.3662492848293</v>
      </c>
      <c r="X262" s="37">
        <f t="shared" si="35"/>
        <v>89</v>
      </c>
      <c r="Y262" s="15" t="str">
        <f t="shared" si="36"/>
        <v>📉 Low</v>
      </c>
    </row>
    <row r="263" spans="1:25" x14ac:dyDescent="0.2">
      <c r="A263" t="str">
        <f>'5. KPI Baselines'!A248</f>
        <v>Huge</v>
      </c>
      <c r="B263" t="str">
        <f>'5. KPI Baselines'!B248</f>
        <v>Talent Development</v>
      </c>
      <c r="C263" t="str">
        <f>'5. KPI Baselines'!C248</f>
        <v>Onboarding</v>
      </c>
      <c r="D263" t="str">
        <f>'5. KPI Baselines'!D248</f>
        <v>Time to Productivity</v>
      </c>
      <c r="E263" t="str">
        <f>'5. KPI Baselines'!E248</f>
        <v>90 days</v>
      </c>
      <c r="F263" t="str">
        <f>'5. KPI Baselines'!F248</f>
        <v>45 days</v>
      </c>
      <c r="G263" t="str">
        <f>'5. KPI Baselines'!G248</f>
        <v>75 days [ESTIMATED]</v>
      </c>
      <c r="H263" t="str">
        <f>'5. KPI Baselines'!H248</f>
        <v>↓</v>
      </c>
      <c r="I263" t="str">
        <f>'5. KPI Baselines'!I248</f>
        <v>12 months</v>
      </c>
      <c r="J263" t="str">
        <f>'5. KPI Baselines'!J248</f>
        <v>Days until new hire reaches 70% billable utilization</v>
      </c>
      <c r="K263" s="15" t="str">
        <f t="shared" si="28"/>
        <v>90 days → 45 days</v>
      </c>
      <c r="L263" s="34" cm="1">
        <f t="array" ref="L263">IFERROR(_xlfn.LET(_xlpm.e,E263,_xlpm.f,F263,_xlpm.h,H263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0.49999944444506172</v>
      </c>
      <c r="M263" s="15" cm="1">
        <f t="array" ref="M263">IFERROR(_xlfn.LET(_xlpm.e,E263,_xlpm.f,F263,_xlpm.h,H263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51.8</v>
      </c>
      <c r="N263" s="15" cm="1">
        <f t="array" ref="N263">IFERROR(_xlfn.LET(_xlpm.e,E263,_xlpm.f,F263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34.43</v>
      </c>
      <c r="O263" s="15" t="str">
        <f t="shared" si="29"/>
        <v>75 days [ESTIMATED] → 45 days</v>
      </c>
      <c r="P263" s="34" t="str" cm="1">
        <f t="array" ref="P263">IFERROR(_xlfn.LET(_xlpm.g,G263,_xlpm.f,F263,_xlpm.h,H263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3" s="15" t="str" cm="1">
        <f t="array" ref="Q263">IFERROR(_xlfn.LET(_xlpm.e,E263,_xlpm.g,G263,_xlpm.h,H263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3" s="15" t="str">
        <f t="shared" si="30"/>
        <v>⚪ N/A</v>
      </c>
      <c r="S263" s="35" cm="1">
        <f t="array" ref="S263">IFERROR(_xlfn.LET(_xlpm.e,E263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90</v>
      </c>
      <c r="T263" s="36">
        <f t="shared" si="31"/>
        <v>49.99994444450617</v>
      </c>
      <c r="U263" s="15">
        <f t="shared" si="32"/>
        <v>220</v>
      </c>
      <c r="V263" s="16">
        <f t="shared" si="33"/>
        <v>6282.5555193827558</v>
      </c>
      <c r="W263" s="16">
        <f t="shared" si="34"/>
        <v>15623.785701845936</v>
      </c>
      <c r="X263" s="37">
        <f t="shared" si="35"/>
        <v>14</v>
      </c>
      <c r="Y263" s="15" t="str">
        <f t="shared" si="36"/>
        <v>⚠️ High</v>
      </c>
    </row>
    <row r="264" spans="1:25" x14ac:dyDescent="0.2">
      <c r="A264" t="str">
        <f>'5. KPI Baselines'!A249</f>
        <v>Huge</v>
      </c>
      <c r="B264" t="str">
        <f>'5. KPI Baselines'!B249</f>
        <v>Technology Delivery</v>
      </c>
      <c r="C264" t="str">
        <f>'5. KPI Baselines'!C249</f>
        <v>Code Quality</v>
      </c>
      <c r="D264" t="str">
        <f>'5. KPI Baselines'!D249</f>
        <v>Production Defect Rate</v>
      </c>
      <c r="E264" t="str">
        <f>'5. KPI Baselines'!E249</f>
        <v>4.7 defects per 1000 lines of code</v>
      </c>
      <c r="F264" t="str">
        <f>'5. KPI Baselines'!F249</f>
        <v>2.1 defects</v>
      </c>
      <c r="G264" t="str">
        <f>'5. KPI Baselines'!G249</f>
        <v>3.2 defects [ESTIMATED]</v>
      </c>
      <c r="H264" t="str">
        <f>'5. KPI Baselines'!H249</f>
        <v>↓</v>
      </c>
      <c r="I264" t="str">
        <f>'5. KPI Baselines'!I249</f>
        <v>12 months</v>
      </c>
      <c r="J264" t="str">
        <f>'5. KPI Baselines'!J249</f>
        <v>Post-launch defects per thousand lines delivered</v>
      </c>
      <c r="K264" s="15" t="str">
        <f t="shared" si="28"/>
        <v>4.7 defects per 1000 lines of code → 2.1 defects</v>
      </c>
      <c r="L264" s="34" t="str" cm="1">
        <f t="array" ref="L264">IFERROR(_xlfn.LET(_xlpm.e,E264,_xlpm.f,F264,_xlpm.h,H264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64" s="15" t="str" cm="1">
        <f t="array" ref="M264">IFERROR(_xlfn.LET(_xlpm.e,E264,_xlpm.f,F264,_xlpm.h,H264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64" s="15" t="str" cm="1">
        <f t="array" ref="N264">IFERROR(_xlfn.LET(_xlpm.e,E264,_xlpm.f,F264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64" s="15" t="str">
        <f t="shared" si="29"/>
        <v>3.2 defects [ESTIMATED] → 2.1 defects</v>
      </c>
      <c r="P264" s="34" t="str" cm="1">
        <f t="array" ref="P264">IFERROR(_xlfn.LET(_xlpm.g,G264,_xlpm.f,F264,_xlpm.h,H264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4" s="15" t="str" cm="1">
        <f t="array" ref="Q264">IFERROR(_xlfn.LET(_xlpm.e,E264,_xlpm.g,G264,_xlpm.h,H264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4" s="15" t="str">
        <f t="shared" si="30"/>
        <v>⚪ N/A</v>
      </c>
      <c r="S264" s="35" cm="1">
        <f t="array" ref="S264">IFERROR(_xlfn.LET(_xlpm.e,E264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64" s="36">
        <f t="shared" si="31"/>
        <v>0</v>
      </c>
      <c r="U264" s="15">
        <f t="shared" si="32"/>
        <v>554</v>
      </c>
      <c r="V264" s="16">
        <f t="shared" si="33"/>
        <v>0</v>
      </c>
      <c r="W264" s="16">
        <f t="shared" si="34"/>
        <v>0</v>
      </c>
      <c r="X264" s="37" t="str">
        <f t="shared" si="35"/>
        <v>-</v>
      </c>
      <c r="Y264" s="15" t="str">
        <f t="shared" si="36"/>
        <v>📉 Low</v>
      </c>
    </row>
    <row r="265" spans="1:25" x14ac:dyDescent="0.2">
      <c r="A265" t="str">
        <f>'5. KPI Baselines'!A250</f>
        <v>Huge</v>
      </c>
      <c r="B265" t="str">
        <f>'5. KPI Baselines'!B250</f>
        <v>Knowledge Management</v>
      </c>
      <c r="C265" t="str">
        <f>'5. KPI Baselines'!C250</f>
        <v>Asset Retrieval</v>
      </c>
      <c r="D265" t="str">
        <f>'5. KPI Baselines'!D250</f>
        <v>Creative Asset Discovery Time</v>
      </c>
      <c r="E265" t="str">
        <f>'5. KPI Baselines'!E250</f>
        <v>23 minutes average search time</v>
      </c>
      <c r="F265" t="str">
        <f>'5. KPI Baselines'!F250</f>
        <v>6 minutes</v>
      </c>
      <c r="G265" t="str">
        <f>'5. KPI Baselines'!G250</f>
        <v>16 minutes [ESTIMATED]</v>
      </c>
      <c r="H265" t="str">
        <f>'5. KPI Baselines'!H250</f>
        <v>↓</v>
      </c>
      <c r="I265" t="str">
        <f>'5. KPI Baselines'!I250</f>
        <v>6 months</v>
      </c>
      <c r="J265" t="str">
        <f>'5. KPI Baselines'!J250</f>
        <v>Average time to locate and retrieve relevant past work samples</v>
      </c>
      <c r="K265" s="15" t="str">
        <f t="shared" si="28"/>
        <v>23 minutes average search time → 6 minutes</v>
      </c>
      <c r="L265" s="34" t="str" cm="1">
        <f t="array" ref="L265">IFERROR(_xlfn.LET(_xlpm.e,E265,_xlpm.f,F265,_xlpm.h,H265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65" s="15" t="str" cm="1">
        <f t="array" ref="M265">IFERROR(_xlfn.LET(_xlpm.e,E265,_xlpm.f,F265,_xlpm.h,H265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65" s="15" t="str" cm="1">
        <f t="array" ref="N265">IFERROR(_xlfn.LET(_xlpm.e,E265,_xlpm.f,F265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65" s="15" t="str">
        <f t="shared" si="29"/>
        <v>16 minutes [ESTIMATED] → 6 minutes</v>
      </c>
      <c r="P265" s="34" t="str" cm="1">
        <f t="array" ref="P265">IFERROR(_xlfn.LET(_xlpm.g,G265,_xlpm.f,F265,_xlpm.h,H265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5" s="15" t="str" cm="1">
        <f t="array" ref="Q265">IFERROR(_xlfn.LET(_xlpm.e,E265,_xlpm.g,G265,_xlpm.h,H265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5" s="15" t="str">
        <f t="shared" si="30"/>
        <v>⚪ N/A</v>
      </c>
      <c r="S265" s="35" cm="1">
        <f t="array" ref="S265">IFERROR(_xlfn.LET(_xlpm.e,E265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65" s="36">
        <f t="shared" si="31"/>
        <v>0</v>
      </c>
      <c r="U265" s="15">
        <f t="shared" si="32"/>
        <v>554</v>
      </c>
      <c r="V265" s="16">
        <f t="shared" si="33"/>
        <v>0</v>
      </c>
      <c r="W265" s="16">
        <f t="shared" si="34"/>
        <v>0</v>
      </c>
      <c r="X265" s="37" t="str">
        <f t="shared" si="35"/>
        <v>-</v>
      </c>
      <c r="Y265" s="15" t="str">
        <f t="shared" si="36"/>
        <v>📉 Low</v>
      </c>
    </row>
    <row r="266" spans="1:25" x14ac:dyDescent="0.2">
      <c r="A266" t="str">
        <f>'5. KPI Baselines'!A251</f>
        <v>Huge</v>
      </c>
      <c r="B266" t="str">
        <f>'5. KPI Baselines'!B251</f>
        <v>Legal &amp; Compliance</v>
      </c>
      <c r="C266" t="str">
        <f>'5. KPI Baselines'!C251</f>
        <v>Contract Management</v>
      </c>
      <c r="D266" t="str">
        <f>'5. KPI Baselines'!D251</f>
        <v>Contract Review Cycle Time</v>
      </c>
      <c r="E266" t="str">
        <f>'5. KPI Baselines'!E251</f>
        <v>8 days</v>
      </c>
      <c r="F266" t="str">
        <f>'5. KPI Baselines'!F251</f>
        <v>3 days</v>
      </c>
      <c r="G266" t="str">
        <f>'5. KPI Baselines'!G251</f>
        <v>6 days [ESTIMATED]</v>
      </c>
      <c r="H266" t="str">
        <f>'5. KPI Baselines'!H251</f>
        <v>↓</v>
      </c>
      <c r="I266" t="str">
        <f>'5. KPI Baselines'!I251</f>
        <v>9 months</v>
      </c>
      <c r="J266" t="str">
        <f>'5. KPI Baselines'!J251</f>
        <v>Average days from MSA draft to legal approval</v>
      </c>
      <c r="K266" s="15" t="str">
        <f t="shared" si="28"/>
        <v>8 days → 3 days</v>
      </c>
      <c r="L266" s="34" cm="1">
        <f t="array" ref="L266">IFERROR(_xlfn.LET(_xlpm.e,E266,_xlpm.f,F266,_xlpm.h,H266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266" s="15" cm="1">
        <f t="array" ref="M266">IFERROR(_xlfn.LET(_xlpm.e,E266,_xlpm.f,F266,_xlpm.h,H266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266" s="15" cm="1">
        <f t="array" ref="N266">IFERROR(_xlfn.LET(_xlpm.e,E266,_xlpm.f,F266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266" s="15" t="str">
        <f t="shared" si="29"/>
        <v>6 days [ESTIMATED] → 3 days</v>
      </c>
      <c r="P266" s="34" t="str" cm="1">
        <f t="array" ref="P266">IFERROR(_xlfn.LET(_xlpm.g,G266,_xlpm.f,F266,_xlpm.h,H266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66" s="15" t="str" cm="1">
        <f t="array" ref="Q266">IFERROR(_xlfn.LET(_xlpm.e,E266,_xlpm.g,G266,_xlpm.h,H266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66" s="15" t="str">
        <f t="shared" si="30"/>
        <v>⚪ N/A</v>
      </c>
      <c r="S266" s="35" cm="1">
        <f t="array" ref="S266">IFERROR(_xlfn.LET(_xlpm.e,E266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266" s="36">
        <f t="shared" si="31"/>
        <v>62.499218759765505</v>
      </c>
      <c r="U266" s="15">
        <f t="shared" si="32"/>
        <v>130</v>
      </c>
      <c r="V266" s="16">
        <f t="shared" si="33"/>
        <v>698.05377432782097</v>
      </c>
      <c r="W266" s="16">
        <f t="shared" si="34"/>
        <v>1735.9564185011941</v>
      </c>
      <c r="X266" s="37">
        <f t="shared" si="35"/>
        <v>124</v>
      </c>
      <c r="Y266" s="15" t="str">
        <f t="shared" si="36"/>
        <v>🔥 Critical</v>
      </c>
    </row>
    <row r="267" spans="1:25" x14ac:dyDescent="0.2">
      <c r="A267" t="str">
        <f>'5. KPI Baselines'!A252</f>
        <v>Impetus Wellness</v>
      </c>
      <c r="B267" t="str">
        <f>'5. KPI Baselines'!B252</f>
        <v>Clinical Operations</v>
      </c>
      <c r="C267" t="str">
        <f>'5. KPI Baselines'!C252</f>
        <v>Biometric Data Processing</v>
      </c>
      <c r="D267" t="str">
        <f>'5. KPI Baselines'!D252</f>
        <v>Data Reconciliation Hours per 1000 Screenings</v>
      </c>
      <c r="E267" t="str">
        <f>'5. KPI Baselines'!E252</f>
        <v>54 hours</v>
      </c>
      <c r="F267" t="str">
        <f>'5. KPI Baselines'!F252</f>
        <v>15 hours</v>
      </c>
      <c r="G267" t="str">
        <f>'5. KPI Baselines'!G252</f>
        <v>18 hours (AI-enabled platforms)</v>
      </c>
      <c r="H267" t="str">
        <f>'5. KPI Baselines'!H252</f>
        <v>↓</v>
      </c>
      <c r="I267" t="str">
        <f>'5. KPI Baselines'!I252</f>
        <v>18 months</v>
      </c>
      <c r="J267" t="str">
        <f>'5. KPI Baselines'!J252</f>
        <v>Time tracking system aggregated monthly; normalized per 1000 screening events</v>
      </c>
      <c r="K267" s="15" t="str">
        <f t="shared" si="28"/>
        <v>54 hours → 15 hours</v>
      </c>
      <c r="L267" s="34" cm="1">
        <f t="array" ref="L267">IFERROR(_xlfn.LET(_xlpm.e,E267,_xlpm.f,F267,_xlpm.h,H267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0.72222088477613922</v>
      </c>
      <c r="M267" s="15" cm="1">
        <f t="array" ref="M267">IFERROR(_xlfn.LET(_xlpm.e,E267,_xlpm.f,F267,_xlpm.h,H267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20.9</v>
      </c>
      <c r="N267" s="15" cm="1">
        <f t="array" ref="N267">IFERROR(_xlfn.LET(_xlpm.e,E267,_xlpm.f,F267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29.84</v>
      </c>
      <c r="O267" s="15" t="str">
        <f t="shared" si="29"/>
        <v>18 hours (AI-enabled platforms) → 15 hours</v>
      </c>
      <c r="P267" s="34" cm="1">
        <f t="array" ref="P267">IFERROR(_xlfn.LET(_xlpm.g,G267,_xlpm.f,F267,_xlpm.h,H267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0.16666574074588475</v>
      </c>
      <c r="Q267" s="15" t="str" cm="1">
        <f t="array" ref="Q267">IFERROR(_xlfn.LET(_xlpm.e,E267,_xlpm.g,G267,_xlpm.h,H267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67" s="15" t="str">
        <f t="shared" si="30"/>
        <v>🔴 Lagging</v>
      </c>
      <c r="S267" s="35" cm="1">
        <f t="array" ref="S267">IFERROR(_xlfn.LET(_xlpm.e,E267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54</v>
      </c>
      <c r="T267" s="36">
        <f t="shared" si="31"/>
        <v>72.222088477613923</v>
      </c>
      <c r="U267" s="15">
        <f t="shared" si="32"/>
        <v>71</v>
      </c>
      <c r="V267" s="16">
        <f t="shared" si="33"/>
        <v>5444.8774168936716</v>
      </c>
      <c r="W267" s="16">
        <f t="shared" si="34"/>
        <v>13540.604244867069</v>
      </c>
      <c r="X267" s="37">
        <f t="shared" si="35"/>
        <v>16</v>
      </c>
      <c r="Y267" s="15" t="str">
        <f t="shared" si="36"/>
        <v>🔥 Critical</v>
      </c>
    </row>
    <row r="268" spans="1:25" x14ac:dyDescent="0.2">
      <c r="A268" t="str">
        <f>'5. KPI Baselines'!A253</f>
        <v>Impetus Wellness</v>
      </c>
      <c r="B268" t="str">
        <f>'5. KPI Baselines'!B253</f>
        <v>Clinical Operations</v>
      </c>
      <c r="C268" t="str">
        <f>'5. KPI Baselines'!C253</f>
        <v>Health Risk Assessment</v>
      </c>
      <c r="D268" t="str">
        <f>'5. KPI Baselines'!D253</f>
        <v>Days from Screening to Member Insights</v>
      </c>
      <c r="E268" t="str">
        <f>'5. KPI Baselines'!E253</f>
        <v>45 days</v>
      </c>
      <c r="F268" t="str">
        <f>'5. KPI Baselines'!F253</f>
        <v>7 days</v>
      </c>
      <c r="G268" t="str">
        <f>'5. KPI Baselines'!G253</f>
        <v>7 days (AI-enabled platforms)</v>
      </c>
      <c r="H268" t="str">
        <f>'5. KPI Baselines'!H253</f>
        <v>↓</v>
      </c>
      <c r="I268" t="str">
        <f>'5. KPI Baselines'!I253</f>
        <v>12 months</v>
      </c>
      <c r="J268" t="str">
        <f>'5. KPI Baselines'!J253</f>
        <v>Median time between biometric event completion and insight report delivery; measured monthly</v>
      </c>
      <c r="K268" s="15" t="str">
        <f t="shared" si="28"/>
        <v>45 days → 7 days</v>
      </c>
      <c r="L268" s="34" cm="1">
        <f t="array" ref="L268">IFERROR(_xlfn.LET(_xlpm.e,E268,_xlpm.f,F268,_xlpm.h,H268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0.84444256790540462</v>
      </c>
      <c r="M268" s="15" cm="1">
        <f t="array" ref="M268">IFERROR(_xlfn.LET(_xlpm.e,E268,_xlpm.f,F268,_xlpm.h,H268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12.7</v>
      </c>
      <c r="N268" s="15" cm="1">
        <f t="array" ref="N268">IFERROR(_xlfn.LET(_xlpm.e,E268,_xlpm.f,F268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29.07</v>
      </c>
      <c r="O268" s="15" t="str">
        <f t="shared" si="29"/>
        <v>7 days (AI-enabled platforms) → 7 days</v>
      </c>
      <c r="P268" s="34" cm="1">
        <f t="array" ref="P268">IFERROR(_xlfn.LET(_xlpm.g,G268,_xlpm.f,F268,_xlpm.h,H268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268" s="15" t="str" cm="1">
        <f t="array" ref="Q268">IFERROR(_xlfn.LET(_xlpm.e,E268,_xlpm.g,G268,_xlpm.h,H268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68" s="15" t="str">
        <f t="shared" si="30"/>
        <v>🔴 Lagging</v>
      </c>
      <c r="S268" s="35" cm="1">
        <f t="array" ref="S268">IFERROR(_xlfn.LET(_xlpm.e,E268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268" s="36">
        <f t="shared" si="31"/>
        <v>84.444256790540464</v>
      </c>
      <c r="U268" s="15">
        <f t="shared" si="32"/>
        <v>24</v>
      </c>
      <c r="V268" s="16">
        <f t="shared" si="33"/>
        <v>5305.2632105261982</v>
      </c>
      <c r="W268" s="16">
        <f t="shared" si="34"/>
        <v>13193.404377792434</v>
      </c>
      <c r="X268" s="37">
        <f t="shared" si="35"/>
        <v>16</v>
      </c>
      <c r="Y268" s="15" t="str">
        <f t="shared" si="36"/>
        <v>🔥 Critical</v>
      </c>
    </row>
    <row r="269" spans="1:25" x14ac:dyDescent="0.2">
      <c r="A269" t="str">
        <f>'5. KPI Baselines'!A254</f>
        <v>Impetus Wellness</v>
      </c>
      <c r="B269" t="str">
        <f>'5. KPI Baselines'!B254</f>
        <v>Member Engagement</v>
      </c>
      <c r="C269" t="str">
        <f>'5. KPI Baselines'!C254</f>
        <v>Program Participation</v>
      </c>
      <c r="D269" t="str">
        <f>'5. KPI Baselines'!D254</f>
        <v>Active Engagement Rate</v>
      </c>
      <c r="E269" t="str">
        <f>'5. KPI Baselines'!E254</f>
        <v>34%</v>
      </c>
      <c r="F269" t="str">
        <f>'5. KPI Baselines'!F254</f>
        <v>48%</v>
      </c>
      <c r="G269" t="str">
        <f>'5. KPI Baselines'!G254</f>
        <v>52% (personalization leaders)</v>
      </c>
      <c r="H269" t="str">
        <f>'5. KPI Baselines'!H254</f>
        <v>↑</v>
      </c>
      <c r="I269" t="str">
        <f>'5. KPI Baselines'!I254</f>
        <v>24 months</v>
      </c>
      <c r="J269" t="str">
        <f>'5. KPI Baselines'!J254</f>
        <v>Percentage of eligible members with 3+ platform interactions per quarter; calculated quarterly</v>
      </c>
      <c r="K269" s="15" t="str">
        <f t="shared" si="28"/>
        <v>48% - 34%</v>
      </c>
      <c r="L269" s="34" cm="1">
        <f t="array" ref="L269">IFERROR(_xlfn.LET(_xlpm.e,E269,_xlpm.f,F269,_xlpm.h,H269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0.41176349481325053</v>
      </c>
      <c r="M269" s="15" cm="1">
        <f t="array" ref="M269">IFERROR(_xlfn.LET(_xlpm.e,E269,_xlpm.f,F269,_xlpm.h,H269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45.9</v>
      </c>
      <c r="N269" s="15" cm="1">
        <f t="array" ref="N269">IFERROR(_xlfn.LET(_xlpm.e,E269,_xlpm.f,F269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69" s="15" t="str">
        <f t="shared" si="29"/>
        <v>48% - 52% (personalization leaders)</v>
      </c>
      <c r="P269" s="34" cm="1">
        <f t="array" ref="P269">IFERROR(_xlfn.LET(_xlpm.g,G269,_xlpm.f,F269,_xlpm.h,H269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-7.6922928994367312E-2</v>
      </c>
      <c r="Q269" s="15" t="str" cm="1">
        <f t="array" ref="Q269">IFERROR(_xlfn.LET(_xlpm.e,E269,_xlpm.g,G269,_xlpm.h,H269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69" s="15" t="str">
        <f t="shared" si="30"/>
        <v>🔴 Lagging</v>
      </c>
      <c r="S269" s="35" cm="1">
        <f t="array" ref="S269">IFERROR(_xlfn.LET(_xlpm.e,E269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269" s="36">
        <f t="shared" si="31"/>
        <v>41.176349481325055</v>
      </c>
      <c r="U269" s="15">
        <f t="shared" si="32"/>
        <v>303</v>
      </c>
      <c r="V269" s="16">
        <f t="shared" si="33"/>
        <v>1954.5692512669082</v>
      </c>
      <c r="W269" s="16">
        <f t="shared" si="34"/>
        <v>4860.7244340296556</v>
      </c>
      <c r="X269" s="37">
        <f t="shared" si="35"/>
        <v>45</v>
      </c>
      <c r="Y269" s="15" t="str">
        <f t="shared" si="36"/>
        <v>⚠️ High</v>
      </c>
    </row>
    <row r="270" spans="1:25" x14ac:dyDescent="0.2">
      <c r="A270" t="str">
        <f>'5. KPI Baselines'!A255</f>
        <v>Impetus Wellness</v>
      </c>
      <c r="B270" t="str">
        <f>'5. KPI Baselines'!B255</f>
        <v>Member Engagement</v>
      </c>
      <c r="C270" t="str">
        <f>'5. KPI Baselines'!C255</f>
        <v>Coaching Effectiveness</v>
      </c>
      <c r="D270" t="str">
        <f>'5. KPI Baselines'!D255</f>
        <v>Health Goal Completion Rate</v>
      </c>
      <c r="E270" t="str">
        <f>'5. KPI Baselines'!E255</f>
        <v>41%</v>
      </c>
      <c r="F270" t="str">
        <f>'5. KPI Baselines'!F255</f>
        <v>54%</v>
      </c>
      <c r="G270" t="str">
        <f>'5. KPI Baselines'!G255</f>
        <v>58% (AI-assisted coaching)</v>
      </c>
      <c r="H270" t="str">
        <f>'5. KPI Baselines'!H255</f>
        <v>↑</v>
      </c>
      <c r="I270" t="str">
        <f>'5. KPI Baselines'!I255</f>
        <v>18 months</v>
      </c>
      <c r="J270" t="str">
        <f>'5. KPI Baselines'!J255</f>
        <v>Percentage of members completing self-defined health goals within 90 days; tracked quarterly</v>
      </c>
      <c r="K270" s="15" t="str">
        <f t="shared" si="28"/>
        <v>54% - 41%</v>
      </c>
      <c r="L270" s="34" cm="1">
        <f t="array" ref="L270">IFERROR(_xlfn.LET(_xlpm.e,E270,_xlpm.f,F270,_xlpm.h,H270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0.31707239738439658</v>
      </c>
      <c r="M270" s="15" cm="1">
        <f t="array" ref="M270">IFERROR(_xlfn.LET(_xlpm.e,E270,_xlpm.f,F270,_xlpm.h,H270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52.1</v>
      </c>
      <c r="N270" s="15" cm="1">
        <f t="array" ref="N270">IFERROR(_xlfn.LET(_xlpm.e,E270,_xlpm.f,F270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270" s="15" t="str">
        <f t="shared" si="29"/>
        <v>54% - 58% (AI-assisted coaching)</v>
      </c>
      <c r="P270" s="34" cm="1">
        <f t="array" ref="P270">IFERROR(_xlfn.LET(_xlpm.g,G270,_xlpm.f,F270,_xlpm.h,H270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-6.8965398335520109E-2</v>
      </c>
      <c r="Q270" s="15" t="str" cm="1">
        <f t="array" ref="Q270">IFERROR(_xlfn.LET(_xlpm.e,E270,_xlpm.g,G270,_xlpm.h,H270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0" s="15" t="str">
        <f t="shared" si="30"/>
        <v>🔴 Lagging</v>
      </c>
      <c r="S270" s="35" cm="1">
        <f t="array" ref="S270">IFERROR(_xlfn.LET(_xlpm.e,E270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41</v>
      </c>
      <c r="T270" s="36">
        <f t="shared" si="31"/>
        <v>31.707239738439657</v>
      </c>
      <c r="U270" s="15">
        <f t="shared" si="32"/>
        <v>386</v>
      </c>
      <c r="V270" s="16">
        <f t="shared" si="33"/>
        <v>1814.9580732729919</v>
      </c>
      <c r="W270" s="16">
        <f t="shared" si="34"/>
        <v>4513.5320980718316</v>
      </c>
      <c r="X270" s="37">
        <f t="shared" si="35"/>
        <v>48</v>
      </c>
      <c r="Y270" s="15" t="str">
        <f t="shared" si="36"/>
        <v>⚠️ High</v>
      </c>
    </row>
    <row r="271" spans="1:25" x14ac:dyDescent="0.2">
      <c r="A271" t="str">
        <f>'5. KPI Baselines'!A256</f>
        <v>Impetus Wellness</v>
      </c>
      <c r="B271" t="str">
        <f>'5. KPI Baselines'!B256</f>
        <v>Customer Support</v>
      </c>
      <c r="C271" t="str">
        <f>'5. KPI Baselines'!C256</f>
        <v>Contact Center Operations</v>
      </c>
      <c r="D271" t="str">
        <f>'5. KPI Baselines'!D256</f>
        <v>First Contact Resolution Rate</v>
      </c>
      <c r="E271" t="str">
        <f>'5. KPI Baselines'!E256</f>
        <v>71%</v>
      </c>
      <c r="F271" t="str">
        <f>'5. KPI Baselines'!F256</f>
        <v>85%</v>
      </c>
      <c r="G271" t="str">
        <f>'5. KPI Baselines'!G256</f>
        <v>82% (wellness industry median)</v>
      </c>
      <c r="H271" t="str">
        <f>'5. KPI Baselines'!H256</f>
        <v>↑</v>
      </c>
      <c r="I271" t="str">
        <f>'5. KPI Baselines'!I256</f>
        <v>12 months</v>
      </c>
      <c r="J271" t="str">
        <f>'5. KPI Baselines'!J256</f>
        <v>Percentage of inquiries resolved without follow-up contact within 72 hours; measured weekly</v>
      </c>
      <c r="K271" s="15" t="str">
        <f t="shared" si="28"/>
        <v>85% - 71%</v>
      </c>
      <c r="L271" s="34" cm="1">
        <f t="array" ref="L271">IFERROR(_xlfn.LET(_xlpm.e,E271,_xlpm.f,F271,_xlpm.h,H271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0.19718282086926636</v>
      </c>
      <c r="M271" s="15" cm="1">
        <f t="array" ref="M271">IFERROR(_xlfn.LET(_xlpm.e,E271,_xlpm.f,F271,_xlpm.h,H271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82.9</v>
      </c>
      <c r="N271" s="15" cm="1">
        <f t="array" ref="N271">IFERROR(_xlfn.LET(_xlpm.e,E271,_xlpm.f,F271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271" s="15" t="str">
        <f t="shared" si="29"/>
        <v>85% - 82% (wellness industry median)</v>
      </c>
      <c r="P271" s="34" cm="1">
        <f t="array" ref="P271">IFERROR(_xlfn.LET(_xlpm.g,G271,_xlpm.f,F271,_xlpm.h,H271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3.6585321237413121E-2</v>
      </c>
      <c r="Q271" s="15" t="str" cm="1">
        <f t="array" ref="Q271">IFERROR(_xlfn.LET(_xlpm.e,E271,_xlpm.g,G271,_xlpm.h,H271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1" s="15" t="str">
        <f t="shared" si="30"/>
        <v>🔴 Lagging</v>
      </c>
      <c r="S271" s="35" cm="1">
        <f t="array" ref="S271">IFERROR(_xlfn.LET(_xlpm.e,E271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71</v>
      </c>
      <c r="T271" s="36">
        <f t="shared" si="31"/>
        <v>19.718282086926635</v>
      </c>
      <c r="U271" s="15">
        <f t="shared" si="32"/>
        <v>469</v>
      </c>
      <c r="V271" s="16">
        <f t="shared" si="33"/>
        <v>1954.5722470813421</v>
      </c>
      <c r="W271" s="16">
        <f t="shared" si="34"/>
        <v>4860.7318841767456</v>
      </c>
      <c r="X271" s="37">
        <f t="shared" si="35"/>
        <v>45</v>
      </c>
      <c r="Y271" s="15" t="str">
        <f t="shared" si="36"/>
        <v>📊 Medium</v>
      </c>
    </row>
    <row r="272" spans="1:25" x14ac:dyDescent="0.2">
      <c r="A272" t="str">
        <f>'5. KPI Baselines'!A257</f>
        <v>Impetus Wellness</v>
      </c>
      <c r="B272" t="str">
        <f>'5. KPI Baselines'!B257</f>
        <v>Customer Support</v>
      </c>
      <c r="C272" t="str">
        <f>'5. KPI Baselines'!C257</f>
        <v>Contact Center Operations</v>
      </c>
      <c r="D272" t="str">
        <f>'5. KPI Baselines'!D257</f>
        <v>Average Handle Time</v>
      </c>
      <c r="E272" t="str">
        <f>'5. KPI Baselines'!E257</f>
        <v>8.4 minutes</v>
      </c>
      <c r="F272" t="str">
        <f>'5. KPI Baselines'!F257</f>
        <v>6.8 minutes</v>
      </c>
      <c r="G272" t="str">
        <f>'5. KPI Baselines'!G257</f>
        <v>6.2 minutes (AI-deflection enabled)</v>
      </c>
      <c r="H272" t="str">
        <f>'5. KPI Baselines'!H257</f>
        <v>↓</v>
      </c>
      <c r="I272" t="str">
        <f>'5. KPI Baselines'!I257</f>
        <v>12 months</v>
      </c>
      <c r="J272" t="str">
        <f>'5. KPI Baselines'!J257</f>
        <v>Mean duration from contact initiation to case closure; calculated daily across all channels</v>
      </c>
      <c r="K272" s="15" t="str">
        <f t="shared" si="28"/>
        <v>8.4 minutes → 6.8 minutes</v>
      </c>
      <c r="L272" s="34" cm="1">
        <f t="array" ref="L272">IFERROR(_xlfn.LET(_xlpm.e,E272,_xlpm.f,F272,_xlpm.h,H272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0.190473922929489</v>
      </c>
      <c r="M272" s="15" cm="1">
        <f t="array" ref="M272">IFERROR(_xlfn.LET(_xlpm.e,E272,_xlpm.f,F272,_xlpm.h,H272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</v>
      </c>
      <c r="N272" s="15" cm="1">
        <f t="array" ref="N272">IFERROR(_xlfn.LET(_xlpm.e,E272,_xlpm.f,F272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1.22</v>
      </c>
      <c r="O272" s="15" t="str">
        <f t="shared" si="29"/>
        <v>6.2 minutes (AI-deflection enabled) → 6.8 minutes</v>
      </c>
      <c r="P272" s="34" cm="1">
        <f t="array" ref="P272">IFERROR(_xlfn.LET(_xlpm.g,G272,_xlpm.f,F272,_xlpm.h,H272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-9.6772632699472533E-2</v>
      </c>
      <c r="Q272" s="15" t="str" cm="1">
        <f t="array" ref="Q272">IFERROR(_xlfn.LET(_xlpm.e,E272,_xlpm.g,G272,_xlpm.h,H272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2" s="15" t="str">
        <f t="shared" si="30"/>
        <v>🔴 Lagging</v>
      </c>
      <c r="S272" s="35" cm="1">
        <f t="array" ref="S272">IFERROR(_xlfn.LET(_xlpm.e,E272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8.4</v>
      </c>
      <c r="T272" s="36">
        <f t="shared" si="31"/>
        <v>19.047392292948899</v>
      </c>
      <c r="U272" s="15">
        <f t="shared" si="32"/>
        <v>476</v>
      </c>
      <c r="V272" s="16">
        <f t="shared" si="33"/>
        <v>223.3773407459436</v>
      </c>
      <c r="W272" s="16">
        <f t="shared" si="34"/>
        <v>555.50638457481136</v>
      </c>
      <c r="X272" s="37">
        <f t="shared" si="35"/>
        <v>380</v>
      </c>
      <c r="Y272" s="15" t="str">
        <f t="shared" si="36"/>
        <v>📊 Medium</v>
      </c>
    </row>
    <row r="273" spans="1:25" x14ac:dyDescent="0.2">
      <c r="A273" t="str">
        <f>'5. KPI Baselines'!A258</f>
        <v>Impetus Wellness</v>
      </c>
      <c r="B273" t="str">
        <f>'5. KPI Baselines'!B258</f>
        <v>Sales Operations</v>
      </c>
      <c r="C273" t="str">
        <f>'5. KPI Baselines'!C258</f>
        <v>Proposal Development</v>
      </c>
      <c r="D273" t="str">
        <f>'5. KPI Baselines'!D258</f>
        <v>Days from RFP to Proposal Submission</v>
      </c>
      <c r="E273" t="str">
        <f>'5. KPI Baselines'!E258</f>
        <v>42 days</v>
      </c>
      <c r="F273" t="str">
        <f>'5. KPI Baselines'!F258</f>
        <v>24 days</v>
      </c>
      <c r="G273" t="str">
        <f>'5. KPI Baselines'!G258</f>
        <v>21 days (proposal automation)</v>
      </c>
      <c r="H273" t="str">
        <f>'5. KPI Baselines'!H258</f>
        <v>↓</v>
      </c>
      <c r="I273" t="str">
        <f>'5. KPI Baselines'!I258</f>
        <v>9 months</v>
      </c>
      <c r="J273" t="str">
        <f>'5. KPI Baselines'!J258</f>
        <v>Median days between RFP receipt and final proposal delivery; tracked per opportunity</v>
      </c>
      <c r="K273" s="15" t="str">
        <f t="shared" si="28"/>
        <v>42 days → 24 days</v>
      </c>
      <c r="L273" s="34" cm="1">
        <f t="array" ref="L273">IFERROR(_xlfn.LET(_xlpm.e,E273,_xlpm.f,F273,_xlpm.h,H273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0.42857040816569481</v>
      </c>
      <c r="M273" s="15" cm="1">
        <f t="array" ref="M273">IFERROR(_xlfn.LET(_xlpm.e,E273,_xlpm.f,F273,_xlpm.h,H273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26.7</v>
      </c>
      <c r="N273" s="15" cm="1">
        <f t="array" ref="N273">IFERROR(_xlfn.LET(_xlpm.e,E273,_xlpm.f,F273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273" s="15" t="str">
        <f t="shared" si="29"/>
        <v>21 days (proposal automation) → 24 days</v>
      </c>
      <c r="P273" s="34" cm="1">
        <f t="array" ref="P273">IFERROR(_xlfn.LET(_xlpm.g,G273,_xlpm.f,F273,_xlpm.h,H273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-0.14285646258827339</v>
      </c>
      <c r="Q273" s="15" t="str" cm="1">
        <f t="array" ref="Q273">IFERROR(_xlfn.LET(_xlpm.e,E273,_xlpm.g,G273,_xlpm.h,H273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3" s="15" t="str">
        <f t="shared" si="30"/>
        <v>🔴 Lagging</v>
      </c>
      <c r="S273" s="35" cm="1">
        <f t="array" ref="S273">IFERROR(_xlfn.LET(_xlpm.e,E273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273" s="36">
        <f t="shared" si="31"/>
        <v>42.85704081656948</v>
      </c>
      <c r="U273" s="15">
        <f t="shared" si="32"/>
        <v>280</v>
      </c>
      <c r="V273" s="16">
        <f t="shared" si="33"/>
        <v>2513.0190166213888</v>
      </c>
      <c r="W273" s="16">
        <f t="shared" si="34"/>
        <v>6249.5063448661185</v>
      </c>
      <c r="X273" s="37">
        <f t="shared" si="35"/>
        <v>35</v>
      </c>
      <c r="Y273" s="15" t="str">
        <f t="shared" si="36"/>
        <v>⚠️ High</v>
      </c>
    </row>
    <row r="274" spans="1:25" x14ac:dyDescent="0.2">
      <c r="A274" t="str">
        <f>'5. KPI Baselines'!A259</f>
        <v>Impetus Wellness</v>
      </c>
      <c r="B274" t="str">
        <f>'5. KPI Baselines'!B259</f>
        <v>Sales Operations</v>
      </c>
      <c r="C274" t="str">
        <f>'5. KPI Baselines'!C259</f>
        <v>Contract Execution</v>
      </c>
      <c r="D274" t="str">
        <f>'5. KPI Baselines'!D259</f>
        <v>Total Sales Cycle Length</v>
      </c>
      <c r="E274" t="str">
        <f>'5. KPI Baselines'!E259</f>
        <v>127 days</v>
      </c>
      <c r="F274" t="str">
        <f>'5. KPI Baselines'!F259</f>
        <v>90 days</v>
      </c>
      <c r="G274" t="str">
        <f>'5. KPI Baselines'!G259</f>
        <v>89 days (mid-market wellness)</v>
      </c>
      <c r="H274" t="str">
        <f>'5. KPI Baselines'!H259</f>
        <v>↓</v>
      </c>
      <c r="I274" t="str">
        <f>'5. KPI Baselines'!I259</f>
        <v>15 months</v>
      </c>
      <c r="J274" t="str">
        <f>'5. KPI Baselines'!J259</f>
        <v>Days from initial qualified lead to signed contract; calculated monthly across closed deals</v>
      </c>
      <c r="K274" s="15" t="str">
        <f t="shared" ref="K274:K337" si="37">IFERROR(IF(OR(E274="",F274=""),"-",IF(H274="↓",E274&amp;" → "&amp;F274,F274&amp;" - "&amp;E274)),"-")</f>
        <v>127 days → 90 days</v>
      </c>
      <c r="L274" s="34" cm="1">
        <f t="array" ref="L274">IFERROR(_xlfn.LET(_xlpm.e,E274,_xlpm.f,F274,_xlpm.h,H274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0.29133835327688717</v>
      </c>
      <c r="M274" s="15" cm="1">
        <f t="array" ref="M274">IFERROR(_xlfn.LET(_xlpm.e,E274,_xlpm.f,F274,_xlpm.h,H274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95.6</v>
      </c>
      <c r="N274" s="15" cm="1">
        <f t="array" ref="N274">IFERROR(_xlfn.LET(_xlpm.e,E274,_xlpm.f,F274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28.31</v>
      </c>
      <c r="O274" s="15" t="str">
        <f t="shared" ref="O274:O337" si="38">IFERROR(IF(OR(G274="",G274="Not Available",F274=""),"-",IF(H274="↓",G274&amp;" → "&amp;F274,F274&amp;" - "&amp;G274)),"-")</f>
        <v>89 days (mid-market wellness) → 90 days</v>
      </c>
      <c r="P274" s="34" cm="1">
        <f t="array" ref="P274">IFERROR(_xlfn.LET(_xlpm.g,G274,_xlpm.f,F274,_xlpm.h,H274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-1.1235942431525358E-2</v>
      </c>
      <c r="Q274" s="15" t="str" cm="1">
        <f t="array" ref="Q274">IFERROR(_xlfn.LET(_xlpm.e,E274,_xlpm.g,G274,_xlpm.h,H274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4" s="15" t="str">
        <f t="shared" ref="R274:R337" si="39">IFERROR(IF(Q274="Below Industry","🔴 Lagging",IF(Q274="Above Industry","🟢 Leading","⚪ N/A")),"⚪ N/A")</f>
        <v>🔴 Lagging</v>
      </c>
      <c r="S274" s="35" cm="1">
        <f t="array" ref="S274">IFERROR(_xlfn.LET(_xlpm.e,E274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127</v>
      </c>
      <c r="T274" s="36">
        <f t="shared" ref="T274:T337" si="40">IFERROR(IF(L274="-",0,ABS(L274)*100),0)</f>
        <v>29.133835327688718</v>
      </c>
      <c r="U274" s="15">
        <f t="shared" ref="U274:U337" si="41">IFERROR(RANK(T274,$T$17:$T$662,0),"-")</f>
        <v>398</v>
      </c>
      <c r="V274" s="16">
        <f t="shared" ref="V274:V337" si="42">IFERROR(IF(OR(L274="-",S274=0),0,S274*ABS(L274)*$F$9*$B$5*$B$7),0)</f>
        <v>5165.6584325524154</v>
      </c>
      <c r="W274" s="16">
        <f t="shared" ref="W274:W337" si="43">IFERROR(IF(V274=0,0,V274*(1-(1/(1+$B$11)^$B$10))/$B$11),0)</f>
        <v>12846.227957737423</v>
      </c>
      <c r="X274" s="37">
        <f t="shared" ref="X274:X337" si="44">IFERROR(IF(V274=0,"-",ROUND(12/(V274/($F$9*40)+0.001),0)),"-")</f>
        <v>17</v>
      </c>
      <c r="Y274" s="15" t="str">
        <f t="shared" ref="Y274:Y337" si="45">IF(T274&gt;=50,"🔥 Critical",IF(T274&gt;=25,"⚠️ High",IF(T274&gt;=10,"📊 Medium","📉 Low")))</f>
        <v>⚠️ High</v>
      </c>
    </row>
    <row r="275" spans="1:25" x14ac:dyDescent="0.2">
      <c r="A275" t="str">
        <f>'5. KPI Baselines'!A260</f>
        <v>Impetus Wellness</v>
      </c>
      <c r="B275" t="str">
        <f>'5. KPI Baselines'!B260</f>
        <v>Account Management</v>
      </c>
      <c r="C275" t="str">
        <f>'5. KPI Baselines'!C260</f>
        <v>Client Retention</v>
      </c>
      <c r="D275" t="str">
        <f>'5. KPI Baselines'!D260</f>
        <v>Annual Client Retention Rate</v>
      </c>
      <c r="E275" t="str">
        <f>'5. KPI Baselines'!E260</f>
        <v>87%</v>
      </c>
      <c r="F275" t="str">
        <f>'5. KPI Baselines'!F260</f>
        <v>91%</v>
      </c>
      <c r="G275" t="str">
        <f>'5. KPI Baselines'!G260</f>
        <v>92% (wellness platform leaders)</v>
      </c>
      <c r="H275" t="str">
        <f>'5. KPI Baselines'!H260</f>
        <v>↑</v>
      </c>
      <c r="I275" t="str">
        <f>'5. KPI Baselines'!I260</f>
        <v>24 months</v>
      </c>
      <c r="J275" t="str">
        <f>'5. KPI Baselines'!J260</f>
        <v>Percentage of clients renewing contracts annually; measured on rolling 12-month basis</v>
      </c>
      <c r="K275" s="15" t="str">
        <f t="shared" si="37"/>
        <v>91% - 87%</v>
      </c>
      <c r="L275" s="34" cm="1">
        <f t="array" ref="L275">IFERROR(_xlfn.LET(_xlpm.e,E275,_xlpm.f,F275,_xlpm.h,H275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4.5976958647173966E-2</v>
      </c>
      <c r="M275" s="15" cm="1">
        <f t="array" ref="M275">IFERROR(_xlfn.LET(_xlpm.e,E275,_xlpm.f,F275,_xlpm.h,H275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90.4</v>
      </c>
      <c r="N275" s="15" cm="1">
        <f t="array" ref="N275">IFERROR(_xlfn.LET(_xlpm.e,E275,_xlpm.f,F275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75" s="15" t="str">
        <f t="shared" si="38"/>
        <v>91% - 92% (wellness platform leaders)</v>
      </c>
      <c r="P275" s="34" cm="1">
        <f t="array" ref="P275">IFERROR(_xlfn.LET(_xlpm.g,G275,_xlpm.f,F275,_xlpm.h,H275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-1.0869553402659344E-2</v>
      </c>
      <c r="Q275" s="15" t="str" cm="1">
        <f t="array" ref="Q275">IFERROR(_xlfn.LET(_xlpm.e,E275,_xlpm.g,G275,_xlpm.h,H275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5" s="15" t="str">
        <f t="shared" si="39"/>
        <v>🔴 Lagging</v>
      </c>
      <c r="S275" s="35" cm="1">
        <f t="array" ref="S275">IFERROR(_xlfn.LET(_xlpm.e,E275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275" s="36">
        <f t="shared" si="40"/>
        <v>4.5976958647173962</v>
      </c>
      <c r="U275" s="15">
        <f t="shared" si="41"/>
        <v>544</v>
      </c>
      <c r="V275" s="16">
        <f t="shared" si="42"/>
        <v>558.4493581041861</v>
      </c>
      <c r="W275" s="16">
        <f t="shared" si="43"/>
        <v>1388.7808980652574</v>
      </c>
      <c r="X275" s="37">
        <f t="shared" si="44"/>
        <v>155</v>
      </c>
      <c r="Y275" s="15" t="str">
        <f t="shared" si="45"/>
        <v>📉 Low</v>
      </c>
    </row>
    <row r="276" spans="1:25" x14ac:dyDescent="0.2">
      <c r="A276" t="str">
        <f>'5. KPI Baselines'!A261</f>
        <v>Impetus Wellness</v>
      </c>
      <c r="B276" t="str">
        <f>'5. KPI Baselines'!B261</f>
        <v>Account Management</v>
      </c>
      <c r="C276" t="str">
        <f>'5. KPI Baselines'!C261</f>
        <v>Revenue Expansion</v>
      </c>
      <c r="D276" t="str">
        <f>'5. KPI Baselines'!D261</f>
        <v>Upsell Conversion Rate</v>
      </c>
      <c r="E276" t="str">
        <f>'5. KPI Baselines'!E261</f>
        <v>18%</v>
      </c>
      <c r="F276" t="str">
        <f>'5. KPI Baselines'!F261</f>
        <v>25%</v>
      </c>
      <c r="G276" t="str">
        <f>'5. KPI Baselines'!G261</f>
        <v>28% (data-driven account teams)</v>
      </c>
      <c r="H276" t="str">
        <f>'5. KPI Baselines'!H261</f>
        <v>↑</v>
      </c>
      <c r="I276" t="str">
        <f>'5. KPI Baselines'!I261</f>
        <v>18 months</v>
      </c>
      <c r="J276" t="str">
        <f>'5. KPI Baselines'!J261</f>
        <v>Percentage of expansion proposals converting to contracts; tracked quarterly</v>
      </c>
      <c r="K276" s="15" t="str">
        <f t="shared" si="37"/>
        <v>25% - 18%</v>
      </c>
      <c r="L276" s="34" cm="1">
        <f t="array" ref="L276">IFERROR(_xlfn.LET(_xlpm.e,E276,_xlpm.f,F276,_xlpm.h,H276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0.3888867284070644</v>
      </c>
      <c r="M276" s="15" cm="1">
        <f t="array" ref="M276">IFERROR(_xlfn.LET(_xlpm.e,E276,_xlpm.f,F276,_xlpm.h,H276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24</v>
      </c>
      <c r="N276" s="15" cm="1">
        <f t="array" ref="N276">IFERROR(_xlfn.LET(_xlpm.e,E276,_xlpm.f,F276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276" s="15" t="str">
        <f t="shared" si="38"/>
        <v>25% - 28% (data-driven account teams)</v>
      </c>
      <c r="P276" s="34" cm="1">
        <f t="array" ref="P276">IFERROR(_xlfn.LET(_xlpm.g,G276,_xlpm.f,F276,_xlpm.h,H276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-0.10714247449116253</v>
      </c>
      <c r="Q276" s="15" t="str" cm="1">
        <f t="array" ref="Q276">IFERROR(_xlfn.LET(_xlpm.e,E276,_xlpm.g,G276,_xlpm.h,H276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6" s="15" t="str">
        <f t="shared" si="39"/>
        <v>🔴 Lagging</v>
      </c>
      <c r="S276" s="35" cm="1">
        <f t="array" ref="S276">IFERROR(_xlfn.LET(_xlpm.e,E276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276" s="36">
        <f t="shared" si="40"/>
        <v>38.888672840706441</v>
      </c>
      <c r="U276" s="15">
        <f t="shared" si="41"/>
        <v>319</v>
      </c>
      <c r="V276" s="16">
        <f t="shared" si="42"/>
        <v>977.28207065516278</v>
      </c>
      <c r="W276" s="16">
        <f t="shared" si="43"/>
        <v>2430.3558631619771</v>
      </c>
      <c r="X276" s="37">
        <f t="shared" si="44"/>
        <v>89</v>
      </c>
      <c r="Y276" s="15" t="str">
        <f t="shared" si="45"/>
        <v>⚠️ High</v>
      </c>
    </row>
    <row r="277" spans="1:25" x14ac:dyDescent="0.2">
      <c r="A277" t="str">
        <f>'5. KPI Baselines'!A262</f>
        <v>Impetus Wellness</v>
      </c>
      <c r="B277" t="str">
        <f>'5. KPI Baselines'!B262</f>
        <v>Compliance &amp; Legal</v>
      </c>
      <c r="C277" t="str">
        <f>'5. KPI Baselines'!C262</f>
        <v>Regulatory Documentation</v>
      </c>
      <c r="D277" t="str">
        <f>'5. KPI Baselines'!D262</f>
        <v>Hours per HIPAA Audit Response</v>
      </c>
      <c r="E277" t="str">
        <f>'5. KPI Baselines'!E262</f>
        <v>124 hours</v>
      </c>
      <c r="F277" t="str">
        <f>'5. KPI Baselines'!F262</f>
        <v>55 hours</v>
      </c>
      <c r="G277" t="str">
        <f>'5. KPI Baselines'!G262</f>
        <v>45 hours (documentation automation)</v>
      </c>
      <c r="H277" t="str">
        <f>'5. KPI Baselines'!H262</f>
        <v>↓</v>
      </c>
      <c r="I277" t="str">
        <f>'5. KPI Baselines'!I262</f>
        <v>12 months</v>
      </c>
      <c r="J277" t="str">
        <f>'5. KPI Baselines'!J262</f>
        <v>Total staff hours from audit notice to final response submission; measured per audit event</v>
      </c>
      <c r="K277" s="15" t="str">
        <f t="shared" si="37"/>
        <v>124 hours → 55 hours</v>
      </c>
      <c r="L277" s="34" cm="1">
        <f t="array" ref="L277">IFERROR(_xlfn.LET(_xlpm.e,E277,_xlpm.f,F277,_xlpm.h,H277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0.55645116415228701</v>
      </c>
      <c r="M277" s="15" cm="1">
        <f t="array" ref="M277">IFERROR(_xlfn.LET(_xlpm.e,E277,_xlpm.f,F277,_xlpm.h,H277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65.400000000000006</v>
      </c>
      <c r="N277" s="15" cm="1">
        <f t="array" ref="N277">IFERROR(_xlfn.LET(_xlpm.e,E277,_xlpm.f,F277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52.79</v>
      </c>
      <c r="O277" s="15" t="str">
        <f t="shared" si="38"/>
        <v>45 hours (documentation automation) → 55 hours</v>
      </c>
      <c r="P277" s="34" cm="1">
        <f t="array" ref="P277">IFERROR(_xlfn.LET(_xlpm.g,G277,_xlpm.f,F277,_xlpm.h,H277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-0.22222172839615911</v>
      </c>
      <c r="Q277" s="15" t="str" cm="1">
        <f t="array" ref="Q277">IFERROR(_xlfn.LET(_xlpm.e,E277,_xlpm.g,G277,_xlpm.h,H277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7" s="15" t="str">
        <f t="shared" si="39"/>
        <v>🔴 Lagging</v>
      </c>
      <c r="S277" s="35" cm="1">
        <f t="array" ref="S277">IFERROR(_xlfn.LET(_xlpm.e,E277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124</v>
      </c>
      <c r="T277" s="36">
        <f t="shared" si="40"/>
        <v>55.645116415228699</v>
      </c>
      <c r="U277" s="15">
        <f t="shared" si="41"/>
        <v>187</v>
      </c>
      <c r="V277" s="16">
        <f t="shared" si="42"/>
        <v>9633.2547312461866</v>
      </c>
      <c r="W277" s="16">
        <f t="shared" si="43"/>
        <v>23956.478708057777</v>
      </c>
      <c r="X277" s="37">
        <f t="shared" si="44"/>
        <v>9</v>
      </c>
      <c r="Y277" s="15" t="str">
        <f t="shared" si="45"/>
        <v>🔥 Critical</v>
      </c>
    </row>
    <row r="278" spans="1:25" x14ac:dyDescent="0.2">
      <c r="A278" t="str">
        <f>'5. KPI Baselines'!A263</f>
        <v>Impetus Wellness</v>
      </c>
      <c r="B278" t="str">
        <f>'5. KPI Baselines'!B263</f>
        <v>Product Development</v>
      </c>
      <c r="C278" t="str">
        <f>'5. KPI Baselines'!C263</f>
        <v>Feature Delivery</v>
      </c>
      <c r="D278" t="str">
        <f>'5. KPI Baselines'!D263</f>
        <v>Time from Concept to Production</v>
      </c>
      <c r="E278" t="str">
        <f>'5. KPI Baselines'!E263</f>
        <v>156 days</v>
      </c>
      <c r="F278" t="str">
        <f>'5. KPI Baselines'!F263</f>
        <v>110 days</v>
      </c>
      <c r="G278" t="str">
        <f>'5. KPI Baselines'!G263</f>
        <v>98 days (AI-assisted development)</v>
      </c>
      <c r="H278" t="str">
        <f>'5. KPI Baselines'!H263</f>
        <v>↓</v>
      </c>
      <c r="I278" t="str">
        <f>'5. KPI Baselines'!I263</f>
        <v>18 months</v>
      </c>
      <c r="J278" t="str">
        <f>'5. KPI Baselines'!J263</f>
        <v>Median days from feature approval to production deployment; calculated quarterly</v>
      </c>
      <c r="K278" s="15" t="str">
        <f t="shared" si="37"/>
        <v>156 days → 110 days</v>
      </c>
      <c r="L278" s="34" cm="1">
        <f t="array" ref="L278">IFERROR(_xlfn.LET(_xlpm.e,E278,_xlpm.f,F278,_xlpm.h,H278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0.29487160585153471</v>
      </c>
      <c r="M278" s="15" cm="1">
        <f t="array" ref="M278">IFERROR(_xlfn.LET(_xlpm.e,E278,_xlpm.f,F278,_xlpm.h,H278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116.9</v>
      </c>
      <c r="N278" s="15" cm="1">
        <f t="array" ref="N278">IFERROR(_xlfn.LET(_xlpm.e,E278,_xlpm.f,F278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35.19</v>
      </c>
      <c r="O278" s="15" t="str">
        <f t="shared" si="38"/>
        <v>98 days (AI-assisted development) → 110 days</v>
      </c>
      <c r="P278" s="34" cm="1">
        <f t="array" ref="P278">IFERROR(_xlfn.LET(_xlpm.g,G278,_xlpm.f,F278,_xlpm.h,H278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-0.12244885464402587</v>
      </c>
      <c r="Q278" s="15" t="str" cm="1">
        <f t="array" ref="Q278">IFERROR(_xlfn.LET(_xlpm.e,E278,_xlpm.g,G278,_xlpm.h,H278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8" s="15" t="str">
        <f t="shared" si="39"/>
        <v>🔴 Lagging</v>
      </c>
      <c r="S278" s="35" cm="1">
        <f t="array" ref="S278">IFERROR(_xlfn.LET(_xlpm.e,E278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156</v>
      </c>
      <c r="T278" s="36">
        <f t="shared" si="40"/>
        <v>29.487160585153472</v>
      </c>
      <c r="U278" s="15">
        <f t="shared" si="41"/>
        <v>394</v>
      </c>
      <c r="V278" s="16">
        <f t="shared" si="42"/>
        <v>6422.1708832237919</v>
      </c>
      <c r="W278" s="16">
        <f t="shared" si="43"/>
        <v>15970.988447386002</v>
      </c>
      <c r="X278" s="37">
        <f t="shared" si="44"/>
        <v>14</v>
      </c>
      <c r="Y278" s="15" t="str">
        <f t="shared" si="45"/>
        <v>⚠️ High</v>
      </c>
    </row>
    <row r="279" spans="1:25" x14ac:dyDescent="0.2">
      <c r="A279" t="str">
        <f>'5. KPI Baselines'!A264</f>
        <v>Jack's Family Restaurants</v>
      </c>
      <c r="B279" t="str">
        <f>'5. KPI Baselines'!B264</f>
        <v>Supply Chain</v>
      </c>
      <c r="C279" t="str">
        <f>'5. KPI Baselines'!C264</f>
        <v>Inventory Management</v>
      </c>
      <c r="D279" t="str">
        <f>'5. KPI Baselines'!D264</f>
        <v>Food Waste Percentage</v>
      </c>
      <c r="E279" t="str">
        <f>'5. KPI Baselines'!E264</f>
        <v>4.1%</v>
      </c>
      <c r="F279" t="str">
        <f>'5. KPI Baselines'!F264</f>
        <v>2.5%</v>
      </c>
      <c r="G279" t="str">
        <f>'5. KPI Baselines'!G264</f>
        <v>3.2%</v>
      </c>
      <c r="H279" t="str">
        <f>'5. KPI Baselines'!H264</f>
        <v>↓</v>
      </c>
      <c r="I279" t="str">
        <f>'5. KPI Baselines'!I264</f>
        <v>18 months</v>
      </c>
      <c r="J279" t="str">
        <f>'5. KPI Baselines'!J264</f>
        <v>Monthly waste logs aggregated across all locations</v>
      </c>
      <c r="K279" s="15" t="str">
        <f t="shared" si="37"/>
        <v>4.1% → 2.5%</v>
      </c>
      <c r="L279" s="34" cm="1">
        <f t="array" ref="L279">IFERROR(_xlfn.LET(_xlpm.e,E279,_xlpm.f,F279,_xlpm.h,H279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0.3902343845272066</v>
      </c>
      <c r="M279" s="15" cm="1">
        <f t="array" ref="M279">IFERROR(_xlfn.LET(_xlpm.e,E279,_xlpm.f,F279,_xlpm.h,H279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2.7</v>
      </c>
      <c r="N279" s="15" cm="1">
        <f t="array" ref="N279">IFERROR(_xlfn.LET(_xlpm.e,E279,_xlpm.f,F279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1.22</v>
      </c>
      <c r="O279" s="15" t="str">
        <f t="shared" si="38"/>
        <v>3.2% → 2.5%</v>
      </c>
      <c r="P279" s="34" cm="1">
        <f t="array" ref="P279">IFERROR(_xlfn.LET(_xlpm.g,G279,_xlpm.f,F279,_xlpm.h,H279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0.2187431642761164</v>
      </c>
      <c r="Q279" s="15" t="str" cm="1">
        <f t="array" ref="Q279">IFERROR(_xlfn.LET(_xlpm.e,E279,_xlpm.g,G279,_xlpm.h,H279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79" s="15" t="str">
        <f t="shared" si="39"/>
        <v>🔴 Lagging</v>
      </c>
      <c r="S279" s="35" cm="1">
        <f t="array" ref="S279">IFERROR(_xlfn.LET(_xlpm.e,E279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4.0999999999999996</v>
      </c>
      <c r="T279" s="36">
        <f t="shared" si="40"/>
        <v>39.023438452720661</v>
      </c>
      <c r="U279" s="15">
        <f t="shared" si="41"/>
        <v>318</v>
      </c>
      <c r="V279" s="16">
        <f t="shared" si="42"/>
        <v>223.37455184019899</v>
      </c>
      <c r="W279" s="16">
        <f t="shared" si="43"/>
        <v>555.49944897900764</v>
      </c>
      <c r="X279" s="37">
        <f t="shared" si="44"/>
        <v>380</v>
      </c>
      <c r="Y279" s="15" t="str">
        <f t="shared" si="45"/>
        <v>⚠️ High</v>
      </c>
    </row>
    <row r="280" spans="1:25" x14ac:dyDescent="0.2">
      <c r="A280" t="str">
        <f>'5. KPI Baselines'!A265</f>
        <v>Jack's Family Restaurants</v>
      </c>
      <c r="B280" t="str">
        <f>'5. KPI Baselines'!B265</f>
        <v>Supply Chain</v>
      </c>
      <c r="C280" t="str">
        <f>'5. KPI Baselines'!C265</f>
        <v>Procurement</v>
      </c>
      <c r="D280" t="str">
        <f>'5. KPI Baselines'!D265</f>
        <v>Stockout Incidents per Location</v>
      </c>
      <c r="E280" t="str">
        <f>'5. KPI Baselines'!E265</f>
        <v>12.5/month</v>
      </c>
      <c r="F280" t="str">
        <f>'5. KPI Baselines'!F265</f>
        <v>5.2/month</v>
      </c>
      <c r="G280" t="str">
        <f>'5. KPI Baselines'!G265</f>
        <v>6.8/month</v>
      </c>
      <c r="H280" t="str">
        <f>'5. KPI Baselines'!H265</f>
        <v>↓</v>
      </c>
      <c r="I280" t="str">
        <f>'5. KPI Baselines'!I265</f>
        <v>12 months</v>
      </c>
      <c r="J280" t="str">
        <f>'5. KPI Baselines'!J265</f>
        <v>POS system out-of-stock flags during ordering</v>
      </c>
      <c r="K280" s="15" t="str">
        <f t="shared" si="37"/>
        <v>12.5/month → 5.2/month</v>
      </c>
      <c r="L280" s="34" t="str" cm="1">
        <f t="array" ref="L280">IFERROR(_xlfn.LET(_xlpm.e,E280,_xlpm.f,F280,_xlpm.h,H280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80" s="15" t="str" cm="1">
        <f t="array" ref="M280">IFERROR(_xlfn.LET(_xlpm.e,E280,_xlpm.f,F280,_xlpm.h,H280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80" s="15" t="str" cm="1">
        <f t="array" ref="N280">IFERROR(_xlfn.LET(_xlpm.e,E280,_xlpm.f,F280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80" s="15" t="str">
        <f t="shared" si="38"/>
        <v>6.8/month → 5.2/month</v>
      </c>
      <c r="P280" s="34" t="str" cm="1">
        <f t="array" ref="P280">IFERROR(_xlfn.LET(_xlpm.g,G280,_xlpm.f,F280,_xlpm.h,H280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80" s="15" t="str" cm="1">
        <f t="array" ref="Q280">IFERROR(_xlfn.LET(_xlpm.e,E280,_xlpm.g,G280,_xlpm.h,H280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80" s="15" t="str">
        <f t="shared" si="39"/>
        <v>⚪ N/A</v>
      </c>
      <c r="S280" s="35" cm="1">
        <f t="array" ref="S280">IFERROR(_xlfn.LET(_xlpm.e,E280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80" s="36">
        <f t="shared" si="40"/>
        <v>0</v>
      </c>
      <c r="U280" s="15">
        <f t="shared" si="41"/>
        <v>554</v>
      </c>
      <c r="V280" s="16">
        <f t="shared" si="42"/>
        <v>0</v>
      </c>
      <c r="W280" s="16">
        <f t="shared" si="43"/>
        <v>0</v>
      </c>
      <c r="X280" s="37" t="str">
        <f t="shared" si="44"/>
        <v>-</v>
      </c>
      <c r="Y280" s="15" t="str">
        <f t="shared" si="45"/>
        <v>📉 Low</v>
      </c>
    </row>
    <row r="281" spans="1:25" x14ac:dyDescent="0.2">
      <c r="A281" t="str">
        <f>'5. KPI Baselines'!A266</f>
        <v>Jack's Family Restaurants</v>
      </c>
      <c r="B281" t="str">
        <f>'5. KPI Baselines'!B266</f>
        <v>Human Resources</v>
      </c>
      <c r="C281" t="str">
        <f>'5. KPI Baselines'!C266</f>
        <v>Recruiting</v>
      </c>
      <c r="D281" t="str">
        <f>'5. KPI Baselines'!D266</f>
        <v>Annual Hourly Employee Turnover</v>
      </c>
      <c r="E281" t="str">
        <f>'5. KPI Baselines'!E266</f>
        <v>110%</v>
      </c>
      <c r="F281" t="str">
        <f>'5. KPI Baselines'!F266</f>
        <v>85%</v>
      </c>
      <c r="G281" t="str">
        <f>'5. KPI Baselines'!G266</f>
        <v>90%</v>
      </c>
      <c r="H281" t="str">
        <f>'5. KPI Baselines'!H266</f>
        <v>↓</v>
      </c>
      <c r="I281" t="str">
        <f>'5. KPI Baselines'!I266</f>
        <v>24 months</v>
      </c>
      <c r="J281" t="str">
        <f>'5. KPI Baselines'!J266</f>
        <v>HRIS termination records divided by average headcount</v>
      </c>
      <c r="K281" s="15" t="str">
        <f t="shared" si="37"/>
        <v>110% → 85%</v>
      </c>
      <c r="L281" s="34" cm="1">
        <f t="array" ref="L281">IFERROR(_xlfn.LET(_xlpm.e,E281,_xlpm.f,F281,_xlpm.h,H281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0.22727252066134485</v>
      </c>
      <c r="M281" s="15" cm="1">
        <f t="array" ref="M281">IFERROR(_xlfn.LET(_xlpm.e,E281,_xlpm.f,F281,_xlpm.h,H281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88.8</v>
      </c>
      <c r="N281" s="15" cm="1">
        <f t="array" ref="N281">IFERROR(_xlfn.LET(_xlpm.e,E281,_xlpm.f,F281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281" s="15" t="str">
        <f t="shared" si="38"/>
        <v>90% → 85%</v>
      </c>
      <c r="P281" s="34" cm="1">
        <f t="array" ref="P281">IFERROR(_xlfn.LET(_xlpm.g,G281,_xlpm.f,F281,_xlpm.h,H281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5.5555493827229081E-2</v>
      </c>
      <c r="Q281" s="15" t="str" cm="1">
        <f t="array" ref="Q281">IFERROR(_xlfn.LET(_xlpm.e,E281,_xlpm.g,G281,_xlpm.h,H281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1" s="15" t="str">
        <f t="shared" si="39"/>
        <v>🔴 Lagging</v>
      </c>
      <c r="S281" s="35" cm="1">
        <f t="array" ref="S281">IFERROR(_xlfn.LET(_xlpm.e,E281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110</v>
      </c>
      <c r="T281" s="36">
        <f t="shared" si="40"/>
        <v>22.727252066134483</v>
      </c>
      <c r="U281" s="15">
        <f t="shared" si="41"/>
        <v>441</v>
      </c>
      <c r="V281" s="16">
        <f t="shared" si="42"/>
        <v>3490.3093269915207</v>
      </c>
      <c r="W281" s="16">
        <f t="shared" si="43"/>
        <v>8679.8826989796726</v>
      </c>
      <c r="X281" s="37">
        <f t="shared" si="44"/>
        <v>25</v>
      </c>
      <c r="Y281" s="15" t="str">
        <f t="shared" si="45"/>
        <v>📊 Medium</v>
      </c>
    </row>
    <row r="282" spans="1:25" x14ac:dyDescent="0.2">
      <c r="A282" t="str">
        <f>'5. KPI Baselines'!A267</f>
        <v>Jack's Family Restaurants</v>
      </c>
      <c r="B282" t="str">
        <f>'5. KPI Baselines'!B267</f>
        <v>Operations</v>
      </c>
      <c r="C282" t="str">
        <f>'5. KPI Baselines'!C267</f>
        <v>Labor Management</v>
      </c>
      <c r="D282" t="str">
        <f>'5. KPI Baselines'!D267</f>
        <v>Manager Hours on Scheduling</v>
      </c>
      <c r="E282" t="str">
        <f>'5. KPI Baselines'!E267</f>
        <v>15 hrs/week</v>
      </c>
      <c r="F282" t="str">
        <f>'5. KPI Baselines'!F267</f>
        <v>8 hrs/week</v>
      </c>
      <c r="G282" t="str">
        <f>'5. KPI Baselines'!G267</f>
        <v>10 hrs/week</v>
      </c>
      <c r="H282" t="str">
        <f>'5. KPI Baselines'!H267</f>
        <v>↓</v>
      </c>
      <c r="I282" t="str">
        <f>'5. KPI Baselines'!I267</f>
        <v>12 months</v>
      </c>
      <c r="J282" t="str">
        <f>'5. KPI Baselines'!J267</f>
        <v>Time study survey of store managers</v>
      </c>
      <c r="K282" s="15" t="str">
        <f t="shared" si="37"/>
        <v>15 hrs/week → 8 hrs/week</v>
      </c>
      <c r="L282" s="34" t="str" cm="1">
        <f t="array" ref="L282">IFERROR(_xlfn.LET(_xlpm.e,E282,_xlpm.f,F282,_xlpm.h,H282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82" s="15" t="str" cm="1">
        <f t="array" ref="M282">IFERROR(_xlfn.LET(_xlpm.e,E282,_xlpm.f,F282,_xlpm.h,H282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82" s="15" t="str" cm="1">
        <f t="array" ref="N282">IFERROR(_xlfn.LET(_xlpm.e,E282,_xlpm.f,F282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82" s="15" t="str">
        <f t="shared" si="38"/>
        <v>10 hrs/week → 8 hrs/week</v>
      </c>
      <c r="P282" s="34" t="str" cm="1">
        <f t="array" ref="P282">IFERROR(_xlfn.LET(_xlpm.g,G282,_xlpm.f,F282,_xlpm.h,H282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82" s="15" t="str" cm="1">
        <f t="array" ref="Q282">IFERROR(_xlfn.LET(_xlpm.e,E282,_xlpm.g,G282,_xlpm.h,H282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82" s="15" t="str">
        <f t="shared" si="39"/>
        <v>⚪ N/A</v>
      </c>
      <c r="S282" s="35" cm="1">
        <f t="array" ref="S282">IFERROR(_xlfn.LET(_xlpm.e,E282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82" s="36">
        <f t="shared" si="40"/>
        <v>0</v>
      </c>
      <c r="U282" s="15">
        <f t="shared" si="41"/>
        <v>554</v>
      </c>
      <c r="V282" s="16">
        <f t="shared" si="42"/>
        <v>0</v>
      </c>
      <c r="W282" s="16">
        <f t="shared" si="43"/>
        <v>0</v>
      </c>
      <c r="X282" s="37" t="str">
        <f t="shared" si="44"/>
        <v>-</v>
      </c>
      <c r="Y282" s="15" t="str">
        <f t="shared" si="45"/>
        <v>📉 Low</v>
      </c>
    </row>
    <row r="283" spans="1:25" x14ac:dyDescent="0.2">
      <c r="A283" t="str">
        <f>'5. KPI Baselines'!A268</f>
        <v>Jack's Family Restaurants</v>
      </c>
      <c r="B283" t="str">
        <f>'5. KPI Baselines'!B268</f>
        <v>Quality &amp; Compliance</v>
      </c>
      <c r="C283" t="str">
        <f>'5. KPI Baselines'!C268</f>
        <v>Food Safety</v>
      </c>
      <c r="D283" t="str">
        <f>'5. KPI Baselines'!D268</f>
        <v>Safety Incidents per Location per Year</v>
      </c>
      <c r="E283" t="str">
        <f>'5. KPI Baselines'!E268</f>
        <v>2.4</v>
      </c>
      <c r="F283" t="str">
        <f>'5. KPI Baselines'!F268</f>
        <v>1.2</v>
      </c>
      <c r="G283" t="str">
        <f>'5. KPI Baselines'!G268</f>
        <v>1.8</v>
      </c>
      <c r="H283" t="str">
        <f>'5. KPI Baselines'!H268</f>
        <v>↓</v>
      </c>
      <c r="I283" t="str">
        <f>'5. KPI Baselines'!I268</f>
        <v>18 months</v>
      </c>
      <c r="J283" t="str">
        <f>'5. KPI Baselines'!J268</f>
        <v>Health department reports and internal incident logs</v>
      </c>
      <c r="K283" s="15" t="str">
        <f t="shared" si="37"/>
        <v>2.4 → 1.2</v>
      </c>
      <c r="L283" s="34" cm="1">
        <f t="array" ref="L283">IFERROR(_xlfn.LET(_xlpm.e,E283,_xlpm.f,F283,_xlpm.h,H283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0.49997916753468602</v>
      </c>
      <c r="M283" s="15" cm="1">
        <f t="array" ref="M283">IFERROR(_xlfn.LET(_xlpm.e,E283,_xlpm.f,F283,_xlpm.h,H283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1.4</v>
      </c>
      <c r="N283" s="15" cm="1">
        <f t="array" ref="N283">IFERROR(_xlfn.LET(_xlpm.e,E283,_xlpm.f,F283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0.92</v>
      </c>
      <c r="O283" s="15" t="str">
        <f t="shared" si="38"/>
        <v>1.8 → 1.2</v>
      </c>
      <c r="P283" s="34" cm="1">
        <f t="array" ref="P283">IFERROR(_xlfn.LET(_xlpm.g,G283,_xlpm.f,F283,_xlpm.h,H283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0.33331481584356432</v>
      </c>
      <c r="Q283" s="15" t="str" cm="1">
        <f t="array" ref="Q283">IFERROR(_xlfn.LET(_xlpm.e,E283,_xlpm.g,G283,_xlpm.h,H283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3" s="15" t="str">
        <f t="shared" si="39"/>
        <v>🔴 Lagging</v>
      </c>
      <c r="S283" s="35" cm="1">
        <f t="array" ref="S283">IFERROR(_xlfn.LET(_xlpm.e,E283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2.4</v>
      </c>
      <c r="T283" s="36">
        <f t="shared" si="40"/>
        <v>49.997916753468601</v>
      </c>
      <c r="U283" s="15">
        <f t="shared" si="41"/>
        <v>246</v>
      </c>
      <c r="V283" s="16">
        <f t="shared" si="42"/>
        <v>167.52801966584721</v>
      </c>
      <c r="W283" s="16">
        <f t="shared" si="43"/>
        <v>416.6173892516565</v>
      </c>
      <c r="X283" s="37">
        <f t="shared" si="44"/>
        <v>501</v>
      </c>
      <c r="Y283" s="15" t="str">
        <f t="shared" si="45"/>
        <v>⚠️ High</v>
      </c>
    </row>
    <row r="284" spans="1:25" x14ac:dyDescent="0.2">
      <c r="A284" t="str">
        <f>'5. KPI Baselines'!A269</f>
        <v>Jack's Family Restaurants</v>
      </c>
      <c r="B284" t="str">
        <f>'5. KPI Baselines'!B269</f>
        <v>Quality &amp; Compliance</v>
      </c>
      <c r="C284" t="str">
        <f>'5. KPI Baselines'!C269</f>
        <v>Documentation</v>
      </c>
      <c r="D284" t="str">
        <f>'5. KPI Baselines'!D269</f>
        <v>Weekly Compliance Hours per Location</v>
      </c>
      <c r="E284" t="str">
        <f>'5. KPI Baselines'!E269</f>
        <v>6 hours</v>
      </c>
      <c r="F284" t="str">
        <f>'5. KPI Baselines'!F269</f>
        <v>2 hours</v>
      </c>
      <c r="G284" t="str">
        <f>'5. KPI Baselines'!G269</f>
        <v>3.5 hours</v>
      </c>
      <c r="H284" t="str">
        <f>'5. KPI Baselines'!H269</f>
        <v>↓</v>
      </c>
      <c r="I284" t="str">
        <f>'5. KPI Baselines'!I269</f>
        <v>12 months</v>
      </c>
      <c r="J284" t="str">
        <f>'5. KPI Baselines'!J269</f>
        <v>Manager time logs for compliance activities</v>
      </c>
      <c r="K284" s="15" t="str">
        <f t="shared" si="37"/>
        <v>6 hours → 2 hours</v>
      </c>
      <c r="L284" s="34" cm="1">
        <f t="array" ref="L284">IFERROR(_xlfn.LET(_xlpm.e,E284,_xlpm.f,F284,_xlpm.h,H284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0.66665555574073765</v>
      </c>
      <c r="M284" s="15" cm="1">
        <f t="array" ref="M284">IFERROR(_xlfn.LET(_xlpm.e,E284,_xlpm.f,F284,_xlpm.h,H284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284" s="15" cm="1">
        <f t="array" ref="N284">IFERROR(_xlfn.LET(_xlpm.e,E284,_xlpm.f,F284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284" s="15" t="str">
        <f t="shared" si="38"/>
        <v>3.5 hours → 2 hours</v>
      </c>
      <c r="P284" s="34" cm="1">
        <f t="array" ref="P284">IFERROR(_xlfn.LET(_xlpm.g,G284,_xlpm.f,F284,_xlpm.h,H284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0.42855918402331361</v>
      </c>
      <c r="Q284" s="15" t="str" cm="1">
        <f t="array" ref="Q284">IFERROR(_xlfn.LET(_xlpm.e,E284,_xlpm.g,G284,_xlpm.h,H284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4" s="15" t="str">
        <f t="shared" si="39"/>
        <v>🔴 Lagging</v>
      </c>
      <c r="S284" s="35" cm="1">
        <f t="array" ref="S284">IFERROR(_xlfn.LET(_xlpm.e,E284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284" s="36">
        <f t="shared" si="40"/>
        <v>66.665555574073764</v>
      </c>
      <c r="U284" s="15">
        <f t="shared" si="41"/>
        <v>105</v>
      </c>
      <c r="V284" s="16">
        <f t="shared" si="42"/>
        <v>558.44069265512235</v>
      </c>
      <c r="W284" s="16">
        <f t="shared" si="43"/>
        <v>1388.7593483760004</v>
      </c>
      <c r="X284" s="37">
        <f t="shared" si="44"/>
        <v>155</v>
      </c>
      <c r="Y284" s="15" t="str">
        <f t="shared" si="45"/>
        <v>🔥 Critical</v>
      </c>
    </row>
    <row r="285" spans="1:25" x14ac:dyDescent="0.2">
      <c r="A285" t="str">
        <f>'5. KPI Baselines'!A270</f>
        <v>Jack's Family Restaurants</v>
      </c>
      <c r="B285" t="str">
        <f>'5. KPI Baselines'!B270</f>
        <v>Sales &amp; Marketing</v>
      </c>
      <c r="C285" t="str">
        <f>'5. KPI Baselines'!C270</f>
        <v>Revenue Growth</v>
      </c>
      <c r="D285" t="str">
        <f>'5. KPI Baselines'!D270</f>
        <v>Average Transaction Value</v>
      </c>
      <c r="E285" t="str">
        <f>'5. KPI Baselines'!E270</f>
        <v>$8.60</v>
      </c>
      <c r="F285" t="str">
        <f>'5. KPI Baselines'!F270</f>
        <v>$9.20</v>
      </c>
      <c r="G285" t="str">
        <f>'5. KPI Baselines'!G270</f>
        <v>$9.10</v>
      </c>
      <c r="H285" t="str">
        <f>'5. KPI Baselines'!H270</f>
        <v>↑</v>
      </c>
      <c r="I285" t="str">
        <f>'5. KPI Baselines'!I270</f>
        <v>18 months</v>
      </c>
      <c r="J285" t="str">
        <f>'5. KPI Baselines'!J270</f>
        <v>POS daily sales divided by transaction count</v>
      </c>
      <c r="K285" s="15" t="str">
        <f t="shared" si="37"/>
        <v>$9.20 - $8.60</v>
      </c>
      <c r="L285" s="34" cm="1">
        <f t="array" ref="L285">IFERROR(_xlfn.LET(_xlpm.e,E285,_xlpm.f,F285,_xlpm.h,H285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6.9766630620574144E-2</v>
      </c>
      <c r="M285" s="15" cm="1">
        <f t="array" ref="M285">IFERROR(_xlfn.LET(_xlpm.e,E285,_xlpm.f,F285,_xlpm.h,H285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9.1</v>
      </c>
      <c r="N285" s="15" cm="1">
        <f t="array" ref="N285">IFERROR(_xlfn.LET(_xlpm.e,E285,_xlpm.f,F285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0.46</v>
      </c>
      <c r="O285" s="15" t="str">
        <f t="shared" si="38"/>
        <v>$9.20 - $9.10</v>
      </c>
      <c r="P285" s="34" cm="1">
        <f t="array" ref="P285">IFERROR(_xlfn.LET(_xlpm.g,G285,_xlpm.f,F285,_xlpm.h,H285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1.0988890231975435E-2</v>
      </c>
      <c r="Q285" s="15" t="str" cm="1">
        <f t="array" ref="Q285">IFERROR(_xlfn.LET(_xlpm.e,E285,_xlpm.g,G285,_xlpm.h,H285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5" s="15" t="str">
        <f t="shared" si="39"/>
        <v>🔴 Lagging</v>
      </c>
      <c r="S285" s="35" cm="1">
        <f t="array" ref="S285">IFERROR(_xlfn.LET(_xlpm.e,E285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8.6</v>
      </c>
      <c r="T285" s="36">
        <f t="shared" si="40"/>
        <v>6.9766630620574146</v>
      </c>
      <c r="U285" s="15">
        <f t="shared" si="41"/>
        <v>537</v>
      </c>
      <c r="V285" s="16">
        <f t="shared" si="42"/>
        <v>83.766525970628194</v>
      </c>
      <c r="W285" s="16">
        <f t="shared" si="43"/>
        <v>208.3149518878885</v>
      </c>
      <c r="X285" s="37">
        <f t="shared" si="44"/>
        <v>962</v>
      </c>
      <c r="Y285" s="15" t="str">
        <f t="shared" si="45"/>
        <v>📉 Low</v>
      </c>
    </row>
    <row r="286" spans="1:25" x14ac:dyDescent="0.2">
      <c r="A286" t="str">
        <f>'5. KPI Baselines'!A271</f>
        <v>Jack's Family Restaurants</v>
      </c>
      <c r="B286" t="str">
        <f>'5. KPI Baselines'!B271</f>
        <v>Operations</v>
      </c>
      <c r="C286" t="str">
        <f>'5. KPI Baselines'!C271</f>
        <v>Service Delivery</v>
      </c>
      <c r="D286" t="str">
        <f>'5. KPI Baselines'!D271</f>
        <v>Drive-Through Wait Time</v>
      </c>
      <c r="E286" t="str">
        <f>'5. KPI Baselines'!E271</f>
        <v>4.2 minutes</v>
      </c>
      <c r="F286" t="str">
        <f>'5. KPI Baselines'!F271</f>
        <v>3.1 minutes</v>
      </c>
      <c r="G286" t="str">
        <f>'5. KPI Baselines'!G271</f>
        <v>3.5 minutes</v>
      </c>
      <c r="H286" t="str">
        <f>'5. KPI Baselines'!H271</f>
        <v>↓</v>
      </c>
      <c r="I286" t="str">
        <f>'5. KPI Baselines'!I271</f>
        <v>12 months</v>
      </c>
      <c r="J286" t="str">
        <f>'5. KPI Baselines'!J271</f>
        <v>Timer system from order to pickup window</v>
      </c>
      <c r="K286" s="15" t="str">
        <f t="shared" si="37"/>
        <v>4.2 minutes → 3.1 minutes</v>
      </c>
      <c r="L286" s="34" cm="1">
        <f t="array" ref="L286">IFERROR(_xlfn.LET(_xlpm.e,E286,_xlpm.f,F286,_xlpm.h,H286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0.26189852622556609</v>
      </c>
      <c r="M286" s="15" cm="1">
        <f t="array" ref="M286">IFERROR(_xlfn.LET(_xlpm.e,E286,_xlpm.f,F286,_xlpm.h,H286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3.3</v>
      </c>
      <c r="N286" s="15" cm="1">
        <f t="array" ref="N286">IFERROR(_xlfn.LET(_xlpm.e,E286,_xlpm.f,F286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0.84</v>
      </c>
      <c r="O286" s="15" t="str">
        <f t="shared" si="38"/>
        <v>3.5 minutes → 3.1 minutes</v>
      </c>
      <c r="P286" s="34" cm="1">
        <f t="array" ref="P286">IFERROR(_xlfn.LET(_xlpm.g,G286,_xlpm.f,F286,_xlpm.h,H286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0.1142824490728836</v>
      </c>
      <c r="Q286" s="15" t="str" cm="1">
        <f t="array" ref="Q286">IFERROR(_xlfn.LET(_xlpm.e,E286,_xlpm.g,G286,_xlpm.h,H286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6" s="15" t="str">
        <f t="shared" si="39"/>
        <v>🔴 Lagging</v>
      </c>
      <c r="S286" s="35" cm="1">
        <f t="array" ref="S286">IFERROR(_xlfn.LET(_xlpm.e,E286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286" s="36">
        <f t="shared" si="40"/>
        <v>26.189852622556607</v>
      </c>
      <c r="U286" s="15">
        <f t="shared" si="41"/>
        <v>416</v>
      </c>
      <c r="V286" s="16">
        <f t="shared" si="42"/>
        <v>153.57009356920076</v>
      </c>
      <c r="W286" s="16">
        <f t="shared" si="43"/>
        <v>381.90609294820052</v>
      </c>
      <c r="X286" s="37">
        <f t="shared" si="44"/>
        <v>545</v>
      </c>
      <c r="Y286" s="15" t="str">
        <f t="shared" si="45"/>
        <v>⚠️ High</v>
      </c>
    </row>
    <row r="287" spans="1:25" x14ac:dyDescent="0.2">
      <c r="A287" t="str">
        <f>'5. KPI Baselines'!A272</f>
        <v>Jack's Family Restaurants</v>
      </c>
      <c r="B287" t="str">
        <f>'5. KPI Baselines'!B272</f>
        <v>Finance</v>
      </c>
      <c r="C287" t="str">
        <f>'5. KPI Baselines'!C272</f>
        <v>Working Capital</v>
      </c>
      <c r="D287" t="str">
        <f>'5. KPI Baselines'!D272</f>
        <v>Days Inventory Outstanding</v>
      </c>
      <c r="E287" t="str">
        <f>'5. KPI Baselines'!E272</f>
        <v>8.5 days</v>
      </c>
      <c r="F287" t="str">
        <f>'5. KPI Baselines'!F272</f>
        <v>5.8 days</v>
      </c>
      <c r="G287" t="str">
        <f>'5. KPI Baselines'!G272</f>
        <v>6.2 days</v>
      </c>
      <c r="H287" t="str">
        <f>'5. KPI Baselines'!H272</f>
        <v>↓</v>
      </c>
      <c r="I287" t="str">
        <f>'5. KPI Baselines'!I272</f>
        <v>18 months</v>
      </c>
      <c r="J287" t="str">
        <f>'5. KPI Baselines'!J272</f>
        <v>Inventory value divided by daily COGS</v>
      </c>
      <c r="K287" s="15" t="str">
        <f t="shared" si="37"/>
        <v>8.5 days → 5.8 days</v>
      </c>
      <c r="L287" s="34" cm="1">
        <f t="array" ref="L287">IFERROR(_xlfn.LET(_xlpm.e,E287,_xlpm.f,F287,_xlpm.h,H287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0.31764332184327249</v>
      </c>
      <c r="M287" s="15" cm="1">
        <f t="array" ref="M287">IFERROR(_xlfn.LET(_xlpm.e,E287,_xlpm.f,F287,_xlpm.h,H287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6.2</v>
      </c>
      <c r="N287" s="15" cm="1">
        <f t="array" ref="N287">IFERROR(_xlfn.LET(_xlpm.e,E287,_xlpm.f,F287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287" s="15" t="str">
        <f t="shared" si="38"/>
        <v>6.2 days → 5.8 days</v>
      </c>
      <c r="P287" s="34" cm="1">
        <f t="array" ref="P287">IFERROR(_xlfn.LET(_xlpm.g,G287,_xlpm.f,F287,_xlpm.h,H287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6.4515088466315124E-2</v>
      </c>
      <c r="Q287" s="15" t="str" cm="1">
        <f t="array" ref="Q287">IFERROR(_xlfn.LET(_xlpm.e,E287,_xlpm.g,G287,_xlpm.h,H287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7" s="15" t="str">
        <f t="shared" si="39"/>
        <v>🔴 Lagging</v>
      </c>
      <c r="S287" s="35" cm="1">
        <f t="array" ref="S287">IFERROR(_xlfn.LET(_xlpm.e,E287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8.5</v>
      </c>
      <c r="T287" s="36">
        <f t="shared" si="40"/>
        <v>31.764332184327248</v>
      </c>
      <c r="U287" s="15">
        <f t="shared" si="41"/>
        <v>385</v>
      </c>
      <c r="V287" s="16">
        <f t="shared" si="42"/>
        <v>376.94931530217292</v>
      </c>
      <c r="W287" s="16">
        <f t="shared" si="43"/>
        <v>937.41715525934887</v>
      </c>
      <c r="X287" s="37">
        <f t="shared" si="44"/>
        <v>228</v>
      </c>
      <c r="Y287" s="15" t="str">
        <f t="shared" si="45"/>
        <v>⚠️ High</v>
      </c>
    </row>
    <row r="288" spans="1:25" x14ac:dyDescent="0.2">
      <c r="A288" t="str">
        <f>'5. KPI Baselines'!A273</f>
        <v>Jack's Family Restaurants</v>
      </c>
      <c r="B288" t="str">
        <f>'5. KPI Baselines'!B273</f>
        <v>Operations</v>
      </c>
      <c r="C288" t="str">
        <f>'5. KPI Baselines'!C273</f>
        <v>Equipment Maintenance</v>
      </c>
      <c r="D288" t="str">
        <f>'5. KPI Baselines'!D273</f>
        <v>Unplanned Equipment Downtime Hours</v>
      </c>
      <c r="E288" t="str">
        <f>'5. KPI Baselines'!E273</f>
        <v>18 hrs/location/year</v>
      </c>
      <c r="F288" t="str">
        <f>'5. KPI Baselines'!F273</f>
        <v>9 hrs/location/year</v>
      </c>
      <c r="G288" t="str">
        <f>'5. KPI Baselines'!G273</f>
        <v>12 hrs/location/year</v>
      </c>
      <c r="H288" t="str">
        <f>'5. KPI Baselines'!H273</f>
        <v>↓</v>
      </c>
      <c r="I288" t="str">
        <f>'5. KPI Baselines'!I273</f>
        <v>24 months</v>
      </c>
      <c r="J288" t="str">
        <f>'5. KPI Baselines'!J273</f>
        <v>Maintenance logs tracking equipment failures</v>
      </c>
      <c r="K288" s="15" t="str">
        <f t="shared" si="37"/>
        <v>18 hrs/location/year → 9 hrs/location/year</v>
      </c>
      <c r="L288" s="34" t="str" cm="1">
        <f t="array" ref="L288">IFERROR(_xlfn.LET(_xlpm.e,E288,_xlpm.f,F288,_xlpm.h,H288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88" s="15" t="str" cm="1">
        <f t="array" ref="M288">IFERROR(_xlfn.LET(_xlpm.e,E288,_xlpm.f,F288,_xlpm.h,H288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88" s="15" t="str" cm="1">
        <f t="array" ref="N288">IFERROR(_xlfn.LET(_xlpm.e,E288,_xlpm.f,F288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88" s="15" t="str">
        <f t="shared" si="38"/>
        <v>12 hrs/location/year → 9 hrs/location/year</v>
      </c>
      <c r="P288" s="34" t="str" cm="1">
        <f t="array" ref="P288">IFERROR(_xlfn.LET(_xlpm.g,G288,_xlpm.f,F288,_xlpm.h,H288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288" s="15" t="str" cm="1">
        <f t="array" ref="Q288">IFERROR(_xlfn.LET(_xlpm.e,E288,_xlpm.g,G288,_xlpm.h,H288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88" s="15" t="str">
        <f t="shared" si="39"/>
        <v>⚪ N/A</v>
      </c>
      <c r="S288" s="35" cm="1">
        <f t="array" ref="S288">IFERROR(_xlfn.LET(_xlpm.e,E288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88" s="36">
        <f t="shared" si="40"/>
        <v>0</v>
      </c>
      <c r="U288" s="15">
        <f t="shared" si="41"/>
        <v>554</v>
      </c>
      <c r="V288" s="16">
        <f t="shared" si="42"/>
        <v>0</v>
      </c>
      <c r="W288" s="16">
        <f t="shared" si="43"/>
        <v>0</v>
      </c>
      <c r="X288" s="37" t="str">
        <f t="shared" si="44"/>
        <v>-</v>
      </c>
      <c r="Y288" s="15" t="str">
        <f t="shared" si="45"/>
        <v>📉 Low</v>
      </c>
    </row>
    <row r="289" spans="1:25" x14ac:dyDescent="0.2">
      <c r="A289" t="str">
        <f>'5. KPI Baselines'!A274</f>
        <v>Jack's Family Restaurants</v>
      </c>
      <c r="B289" t="str">
        <f>'5. KPI Baselines'!B274</f>
        <v>Customer Experience</v>
      </c>
      <c r="C289" t="str">
        <f>'5. KPI Baselines'!C274</f>
        <v>Order Accuracy</v>
      </c>
      <c r="D289" t="str">
        <f>'5. KPI Baselines'!D274</f>
        <v>Order Error Rate</v>
      </c>
      <c r="E289" t="str">
        <f>'5. KPI Baselines'!E274</f>
        <v>3.8%</v>
      </c>
      <c r="F289" t="str">
        <f>'5. KPI Baselines'!F274</f>
        <v>1.8%</v>
      </c>
      <c r="G289" t="str">
        <f>'5. KPI Baselines'!G274</f>
        <v>2.2%</v>
      </c>
      <c r="H289" t="str">
        <f>'5. KPI Baselines'!H274</f>
        <v>↓</v>
      </c>
      <c r="I289" t="str">
        <f>'5. KPI Baselines'!I274</f>
        <v>12 months</v>
      </c>
      <c r="J289" t="str">
        <f>'5. KPI Baselines'!J274</f>
        <v>Customer complaints and remake tracking</v>
      </c>
      <c r="K289" s="15" t="str">
        <f t="shared" si="37"/>
        <v>3.8% → 1.8%</v>
      </c>
      <c r="L289" s="34" cm="1">
        <f t="array" ref="L289">IFERROR(_xlfn.LET(_xlpm.e,E289,_xlpm.f,F289,_xlpm.h,H289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0.52630193942264669</v>
      </c>
      <c r="M289" s="15" cm="1">
        <f t="array" ref="M289">IFERROR(_xlfn.LET(_xlpm.e,E289,_xlpm.f,F289,_xlpm.h,H289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2.1</v>
      </c>
      <c r="N289" s="15" cm="1">
        <f t="array" ref="N289">IFERROR(_xlfn.LET(_xlpm.e,E289,_xlpm.f,F289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1.53</v>
      </c>
      <c r="O289" s="15" t="str">
        <f t="shared" si="38"/>
        <v>2.2% → 1.8%</v>
      </c>
      <c r="P289" s="34" cm="1">
        <f t="array" ref="P289">IFERROR(_xlfn.LET(_xlpm.g,G289,_xlpm.f,F289,_xlpm.h,H289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0.18180991773101227</v>
      </c>
      <c r="Q289" s="15" t="str" cm="1">
        <f t="array" ref="Q289">IFERROR(_xlfn.LET(_xlpm.e,E289,_xlpm.g,G289,_xlpm.h,H289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89" s="15" t="str">
        <f t="shared" si="39"/>
        <v>🔴 Lagging</v>
      </c>
      <c r="S289" s="35" cm="1">
        <f t="array" ref="S289">IFERROR(_xlfn.LET(_xlpm.e,E289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3.8</v>
      </c>
      <c r="T289" s="36">
        <f t="shared" si="40"/>
        <v>52.630193942264668</v>
      </c>
      <c r="U289" s="15">
        <f t="shared" si="41"/>
        <v>209</v>
      </c>
      <c r="V289" s="16">
        <f t="shared" si="42"/>
        <v>279.21765216704813</v>
      </c>
      <c r="W289" s="16">
        <f t="shared" si="43"/>
        <v>694.3729742095644</v>
      </c>
      <c r="X289" s="37">
        <f t="shared" si="44"/>
        <v>306</v>
      </c>
      <c r="Y289" s="15" t="str">
        <f t="shared" si="45"/>
        <v>🔥 Critical</v>
      </c>
    </row>
    <row r="290" spans="1:25" x14ac:dyDescent="0.2">
      <c r="A290" t="str">
        <f>'5. KPI Baselines'!A275</f>
        <v>Jack's Family Restaurants</v>
      </c>
      <c r="B290" t="str">
        <f>'5. KPI Baselines'!B275</f>
        <v>Human Resources</v>
      </c>
      <c r="C290" t="str">
        <f>'5. KPI Baselines'!C275</f>
        <v>Training</v>
      </c>
      <c r="D290" t="str">
        <f>'5. KPI Baselines'!D275</f>
        <v>New Hire Time to Full Productivity</v>
      </c>
      <c r="E290" t="str">
        <f>'5. KPI Baselines'!E275</f>
        <v>45 days</v>
      </c>
      <c r="F290" t="str">
        <f>'5. KPI Baselines'!F275</f>
        <v>25 days</v>
      </c>
      <c r="G290" t="str">
        <f>'5. KPI Baselines'!G275</f>
        <v>30 days</v>
      </c>
      <c r="H290" t="str">
        <f>'5. KPI Baselines'!H275</f>
        <v>↓</v>
      </c>
      <c r="I290" t="str">
        <f>'5. KPI Baselines'!I275</f>
        <v>18 months</v>
      </c>
      <c r="J290" t="str">
        <f>'5. KPI Baselines'!J275</f>
        <v>Manager assessment of independent task completion</v>
      </c>
      <c r="K290" s="15" t="str">
        <f t="shared" si="37"/>
        <v>45 days → 25 days</v>
      </c>
      <c r="L290" s="34" cm="1">
        <f t="array" ref="L290">IFERROR(_xlfn.LET(_xlpm.e,E290,_xlpm.f,F290,_xlpm.h,H290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0.44444345679231823</v>
      </c>
      <c r="M290" s="15" cm="1">
        <f t="array" ref="M290">IFERROR(_xlfn.LET(_xlpm.e,E290,_xlpm.f,F290,_xlpm.h,H290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28</v>
      </c>
      <c r="N290" s="15" cm="1">
        <f t="array" ref="N290">IFERROR(_xlfn.LET(_xlpm.e,E290,_xlpm.f,F290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15.3</v>
      </c>
      <c r="O290" s="15" t="str">
        <f t="shared" si="38"/>
        <v>30 days → 25 days</v>
      </c>
      <c r="P290" s="34" cm="1">
        <f t="array" ref="P290">IFERROR(_xlfn.LET(_xlpm.g,G290,_xlpm.f,F290,_xlpm.h,H290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0.16666611111296295</v>
      </c>
      <c r="Q290" s="15" t="str" cm="1">
        <f t="array" ref="Q290">IFERROR(_xlfn.LET(_xlpm.e,E290,_xlpm.g,G290,_xlpm.h,H290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0" s="15" t="str">
        <f t="shared" si="39"/>
        <v>🔴 Lagging</v>
      </c>
      <c r="S290" s="35" cm="1">
        <f t="array" ref="S290">IFERROR(_xlfn.LET(_xlpm.e,E290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290" s="36">
        <f t="shared" si="40"/>
        <v>44.444345679231823</v>
      </c>
      <c r="U290" s="15">
        <f t="shared" si="41"/>
        <v>267</v>
      </c>
      <c r="V290" s="16">
        <f t="shared" si="42"/>
        <v>2792.2437950137892</v>
      </c>
      <c r="W290" s="16">
        <f t="shared" si="43"/>
        <v>6943.8970409433887</v>
      </c>
      <c r="X290" s="37">
        <f t="shared" si="44"/>
        <v>31</v>
      </c>
      <c r="Y290" s="15" t="str">
        <f t="shared" si="45"/>
        <v>⚠️ High</v>
      </c>
    </row>
    <row r="291" spans="1:25" x14ac:dyDescent="0.2">
      <c r="A291" t="str">
        <f>'5. KPI Baselines'!A276</f>
        <v>Mark Spain Real Estate</v>
      </c>
      <c r="B291" t="str">
        <f>'5. KPI Baselines'!B276</f>
        <v>Transaction Coordination</v>
      </c>
      <c r="C291" t="str">
        <f>'5. KPI Baselines'!C276</f>
        <v>Contract Management</v>
      </c>
      <c r="D291" t="str">
        <f>'5. KPI Baselines'!D276</f>
        <v>Time to Coordination Start</v>
      </c>
      <c r="E291" t="str">
        <f>'5. KPI Baselines'!E276</f>
        <v>4.2 days</v>
      </c>
      <c r="F291" t="str">
        <f>'5. KPI Baselines'!F276</f>
        <v>0.5 days</v>
      </c>
      <c r="G291" t="str">
        <f>'5. KPI Baselines'!G276</f>
        <v>2.8 days</v>
      </c>
      <c r="H291" t="str">
        <f>'5. KPI Baselines'!H276</f>
        <v>↓</v>
      </c>
      <c r="I291" t="str">
        <f>'5. KPI Baselines'!I276</f>
        <v>12 months</v>
      </c>
      <c r="J291" t="str">
        <f>'5. KPI Baselines'!J276</f>
        <v>Contract timestamp to first coordinator action</v>
      </c>
      <c r="K291" s="15" t="str">
        <f t="shared" si="37"/>
        <v>4.2 days → 0.5 days</v>
      </c>
      <c r="L291" s="34" cm="1">
        <f t="array" ref="L291">IFERROR(_xlfn.LET(_xlpm.e,E291,_xlpm.f,F291,_xlpm.h,H291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0.88093140639508594</v>
      </c>
      <c r="M291" s="15" cm="1">
        <f t="array" ref="M291">IFERROR(_xlfn.LET(_xlpm.e,E291,_xlpm.f,F291,_xlpm.h,H291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1.1000000000000001</v>
      </c>
      <c r="N291" s="15" cm="1">
        <f t="array" ref="N291">IFERROR(_xlfn.LET(_xlpm.e,E291,_xlpm.f,F291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2.83</v>
      </c>
      <c r="O291" s="15" t="str">
        <f t="shared" si="38"/>
        <v>2.8 days → 0.5 days</v>
      </c>
      <c r="P291" s="34" cm="1">
        <f t="array" ref="P291">IFERROR(_xlfn.LET(_xlpm.g,G291,_xlpm.f,F291,_xlpm.h,H291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0.82139923574158058</v>
      </c>
      <c r="Q291" s="15" t="str" cm="1">
        <f t="array" ref="Q291">IFERROR(_xlfn.LET(_xlpm.e,E291,_xlpm.g,G291,_xlpm.h,H291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1" s="15" t="str">
        <f t="shared" si="39"/>
        <v>🔴 Lagging</v>
      </c>
      <c r="S291" s="35" cm="1">
        <f t="array" ref="S291">IFERROR(_xlfn.LET(_xlpm.e,E291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291" s="36">
        <f t="shared" si="40"/>
        <v>88.09314063950859</v>
      </c>
      <c r="U291" s="15">
        <f t="shared" si="41"/>
        <v>19</v>
      </c>
      <c r="V291" s="16">
        <f t="shared" si="42"/>
        <v>516.55395109640256</v>
      </c>
      <c r="W291" s="16">
        <f t="shared" si="43"/>
        <v>1284.5932217348563</v>
      </c>
      <c r="X291" s="37">
        <f t="shared" si="44"/>
        <v>167</v>
      </c>
      <c r="Y291" s="15" t="str">
        <f t="shared" si="45"/>
        <v>🔥 Critical</v>
      </c>
    </row>
    <row r="292" spans="1:25" x14ac:dyDescent="0.2">
      <c r="A292" t="str">
        <f>'5. KPI Baselines'!A277</f>
        <v>Mark Spain Real Estate</v>
      </c>
      <c r="B292" t="str">
        <f>'5. KPI Baselines'!B277</f>
        <v>Transaction Coordination</v>
      </c>
      <c r="C292" t="str">
        <f>'5. KPI Baselines'!C277</f>
        <v>Inspection Scheduling</v>
      </c>
      <c r="D292" t="str">
        <f>'5. KPI Baselines'!D277</f>
        <v>Scheduling Coordination Hours</v>
      </c>
      <c r="E292" t="str">
        <f>'5. KPI Baselines'!E277</f>
        <v>18,500 hours annually</v>
      </c>
      <c r="F292" t="str">
        <f>'5. KPI Baselines'!F277</f>
        <v>7,400 hours</v>
      </c>
      <c r="G292" t="str">
        <f>'5. KPI Baselines'!G277</f>
        <v>12,000 hours (with automation)</v>
      </c>
      <c r="H292" t="str">
        <f>'5. KPI Baselines'!H277</f>
        <v>↓</v>
      </c>
      <c r="I292" t="str">
        <f>'5. KPI Baselines'!I277</f>
        <v>18 months</v>
      </c>
      <c r="J292" t="str">
        <f>'5. KPI Baselines'!J277</f>
        <v>Logged coordinator time on scheduling tasks</v>
      </c>
      <c r="K292" s="15" t="str">
        <f t="shared" si="37"/>
        <v>18,500 hours annually → 7,400 hours</v>
      </c>
      <c r="L292" s="34" cm="1">
        <f t="array" ref="L292">IFERROR(_xlfn.LET(_xlpm.e,E292,_xlpm.f,F292,_xlpm.h,H292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0.59999999675675675</v>
      </c>
      <c r="M292" s="15" cm="1">
        <f t="array" ref="M292">IFERROR(_xlfn.LET(_xlpm.e,E292,_xlpm.f,F292,_xlpm.h,H292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9065</v>
      </c>
      <c r="N292" s="15" cm="1">
        <f t="array" ref="N292">IFERROR(_xlfn.LET(_xlpm.e,E292,_xlpm.f,F292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8491.5</v>
      </c>
      <c r="O292" s="15" t="str">
        <f t="shared" si="38"/>
        <v>12,000 hours (with automation) → 7,400 hours</v>
      </c>
      <c r="P292" s="34" cm="1">
        <f t="array" ref="P292">IFERROR(_xlfn.LET(_xlpm.g,G292,_xlpm.f,F292,_xlpm.h,H292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0.38333333013888893</v>
      </c>
      <c r="Q292" s="15" t="str" cm="1">
        <f t="array" ref="Q292">IFERROR(_xlfn.LET(_xlpm.e,E292,_xlpm.g,G292,_xlpm.h,H292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2" s="15" t="str">
        <f t="shared" si="39"/>
        <v>🔴 Lagging</v>
      </c>
      <c r="S292" s="35" cm="1">
        <f t="array" ref="S292">IFERROR(_xlfn.LET(_xlpm.e,E292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18500</v>
      </c>
      <c r="T292" s="36">
        <f t="shared" si="40"/>
        <v>59.999999675675674</v>
      </c>
      <c r="U292" s="15">
        <f t="shared" si="41"/>
        <v>152</v>
      </c>
      <c r="V292" s="16">
        <f t="shared" si="42"/>
        <v>1549698.7416232501</v>
      </c>
      <c r="W292" s="16">
        <f t="shared" si="43"/>
        <v>3853871.4010315263</v>
      </c>
      <c r="X292" s="37">
        <f t="shared" si="44"/>
        <v>0</v>
      </c>
      <c r="Y292" s="15" t="str">
        <f t="shared" si="45"/>
        <v>🔥 Critical</v>
      </c>
    </row>
    <row r="293" spans="1:25" x14ac:dyDescent="0.2">
      <c r="A293" t="str">
        <f>'5. KPI Baselines'!A278</f>
        <v>Mark Spain Real Estate</v>
      </c>
      <c r="B293" t="str">
        <f>'5. KPI Baselines'!B278</f>
        <v>Agent Development</v>
      </c>
      <c r="C293" t="str">
        <f>'5. KPI Baselines'!C278</f>
        <v>Onboarding</v>
      </c>
      <c r="D293" t="str">
        <f>'5. KPI Baselines'!D278</f>
        <v>Time to Baseline Productivity</v>
      </c>
      <c r="E293" t="str">
        <f>'5. KPI Baselines'!E278</f>
        <v>90 days</v>
      </c>
      <c r="F293" t="str">
        <f>'5. KPI Baselines'!F278</f>
        <v>60 days</v>
      </c>
      <c r="G293" t="str">
        <f>'5. KPI Baselines'!G278</f>
        <v>75 days</v>
      </c>
      <c r="H293" t="str">
        <f>'5. KPI Baselines'!H278</f>
        <v>↓</v>
      </c>
      <c r="I293" t="str">
        <f>'5. KPI Baselines'!I278</f>
        <v>12 months</v>
      </c>
      <c r="J293" t="str">
        <f>'5. KPI Baselines'!J278</f>
        <v>Hire date to first closed transaction</v>
      </c>
      <c r="K293" s="15" t="str">
        <f t="shared" si="37"/>
        <v>90 days → 60 days</v>
      </c>
      <c r="L293" s="34" cm="1">
        <f t="array" ref="L293">IFERROR(_xlfn.LET(_xlpm.e,E293,_xlpm.f,F293,_xlpm.h,H293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0.33333296296337445</v>
      </c>
      <c r="M293" s="15" cm="1">
        <f t="array" ref="M293">IFERROR(_xlfn.LET(_xlpm.e,E293,_xlpm.f,F293,_xlpm.h,H293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64.5</v>
      </c>
      <c r="N293" s="15" cm="1">
        <f t="array" ref="N293">IFERROR(_xlfn.LET(_xlpm.e,E293,_xlpm.f,F293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22.95</v>
      </c>
      <c r="O293" s="15" t="str">
        <f t="shared" si="38"/>
        <v>75 days → 60 days</v>
      </c>
      <c r="P293" s="34" cm="1">
        <f t="array" ref="P293">IFERROR(_xlfn.LET(_xlpm.g,G293,_xlpm.f,F293,_xlpm.h,H293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0.19999973333368887</v>
      </c>
      <c r="Q293" s="15" t="str" cm="1">
        <f t="array" ref="Q293">IFERROR(_xlfn.LET(_xlpm.e,E293,_xlpm.g,G293,_xlpm.h,H293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3" s="15" t="str">
        <f t="shared" si="39"/>
        <v>🔴 Lagging</v>
      </c>
      <c r="S293" s="35" cm="1">
        <f t="array" ref="S293">IFERROR(_xlfn.LET(_xlpm.e,E293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90</v>
      </c>
      <c r="T293" s="36">
        <f t="shared" si="40"/>
        <v>33.333296296337444</v>
      </c>
      <c r="U293" s="15">
        <f t="shared" si="41"/>
        <v>361</v>
      </c>
      <c r="V293" s="16">
        <f t="shared" si="42"/>
        <v>4188.3703462551703</v>
      </c>
      <c r="W293" s="16">
        <f t="shared" si="43"/>
        <v>10415.857134563954</v>
      </c>
      <c r="X293" s="37">
        <f t="shared" si="44"/>
        <v>21</v>
      </c>
      <c r="Y293" s="15" t="str">
        <f t="shared" si="45"/>
        <v>⚠️ High</v>
      </c>
    </row>
    <row r="294" spans="1:25" x14ac:dyDescent="0.2">
      <c r="A294" t="str">
        <f>'5. KPI Baselines'!A279</f>
        <v>Mark Spain Real Estate</v>
      </c>
      <c r="B294" t="str">
        <f>'5. KPI Baselines'!B279</f>
        <v>Agent Development</v>
      </c>
      <c r="C294" t="str">
        <f>'5. KPI Baselines'!C279</f>
        <v>Retention</v>
      </c>
      <c r="D294" t="str">
        <f>'5. KPI Baselines'!D279</f>
        <v>First-Year Agent Attrition</v>
      </c>
      <c r="E294" t="str">
        <f>'5. KPI Baselines'!E279</f>
        <v>23%</v>
      </c>
      <c r="F294" t="str">
        <f>'5. KPI Baselines'!F279</f>
        <v>14%</v>
      </c>
      <c r="G294" t="str">
        <f>'5. KPI Baselines'!G279</f>
        <v>18%</v>
      </c>
      <c r="H294" t="str">
        <f>'5. KPI Baselines'!H279</f>
        <v>↓</v>
      </c>
      <c r="I294" t="str">
        <f>'5. KPI Baselines'!I279</f>
        <v>24 months</v>
      </c>
      <c r="J294" t="str">
        <f>'5. KPI Baselines'!J279</f>
        <v>Agents departing within 12 months of hire</v>
      </c>
      <c r="K294" s="15" t="str">
        <f t="shared" si="37"/>
        <v>23% → 14%</v>
      </c>
      <c r="L294" s="34" cm="1">
        <f t="array" ref="L294">IFERROR(_xlfn.LET(_xlpm.e,E294,_xlpm.f,F294,_xlpm.h,H294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0.39130264651023255</v>
      </c>
      <c r="M294" s="15" cm="1">
        <f t="array" ref="M294">IFERROR(_xlfn.LET(_xlpm.e,E294,_xlpm.f,F294,_xlpm.h,H294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15.4</v>
      </c>
      <c r="N294" s="15" cm="1">
        <f t="array" ref="N294">IFERROR(_xlfn.LET(_xlpm.e,E294,_xlpm.f,F294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94" s="15" t="str">
        <f t="shared" si="38"/>
        <v>18% → 14%</v>
      </c>
      <c r="P294" s="34" cm="1">
        <f t="array" ref="P294">IFERROR(_xlfn.LET(_xlpm.g,G294,_xlpm.f,F294,_xlpm.h,H294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0.22222098766117968</v>
      </c>
      <c r="Q294" s="15" t="str" cm="1">
        <f t="array" ref="Q294">IFERROR(_xlfn.LET(_xlpm.e,E294,_xlpm.g,G294,_xlpm.h,H294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4" s="15" t="str">
        <f t="shared" si="39"/>
        <v>🔴 Lagging</v>
      </c>
      <c r="S294" s="35" cm="1">
        <f t="array" ref="S294">IFERROR(_xlfn.LET(_xlpm.e,E294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294" s="36">
        <f t="shared" si="40"/>
        <v>39.130264651023253</v>
      </c>
      <c r="U294" s="15">
        <f t="shared" si="41"/>
        <v>315</v>
      </c>
      <c r="V294" s="16">
        <f t="shared" si="42"/>
        <v>1256.5070369259263</v>
      </c>
      <c r="W294" s="16">
        <f t="shared" si="43"/>
        <v>3124.7470264649282</v>
      </c>
      <c r="X294" s="37">
        <f t="shared" si="44"/>
        <v>69</v>
      </c>
      <c r="Y294" s="15" t="str">
        <f t="shared" si="45"/>
        <v>⚠️ High</v>
      </c>
    </row>
    <row r="295" spans="1:25" x14ac:dyDescent="0.2">
      <c r="A295" t="str">
        <f>'5. KPI Baselines'!A280</f>
        <v>Mark Spain Real Estate</v>
      </c>
      <c r="B295" t="str">
        <f>'5. KPI Baselines'!B280</f>
        <v>Marketing Operations</v>
      </c>
      <c r="C295" t="str">
        <f>'5. KPI Baselines'!C280</f>
        <v>Listing Preparation</v>
      </c>
      <c r="D295" t="str">
        <f>'5. KPI Baselines'!D280</f>
        <v>Listing Package Creation Time</v>
      </c>
      <c r="E295" t="str">
        <f>'5. KPI Baselines'!E280</f>
        <v>6.5 hours per listing</v>
      </c>
      <c r="F295" t="str">
        <f>'5. KPI Baselines'!F280</f>
        <v>2.8 hours</v>
      </c>
      <c r="G295" t="str">
        <f>'5. KPI Baselines'!G280</f>
        <v>4.2 hours (with automation)</v>
      </c>
      <c r="H295" t="str">
        <f>'5. KPI Baselines'!H280</f>
        <v>↓</v>
      </c>
      <c r="I295" t="str">
        <f>'5. KPI Baselines'!I280</f>
        <v>12 months</v>
      </c>
      <c r="J295" t="str">
        <f>'5. KPI Baselines'!J280</f>
        <v>Photography to MLS submission timeline</v>
      </c>
      <c r="K295" s="15" t="str">
        <f t="shared" si="37"/>
        <v>6.5 hours per listing → 2.8 hours</v>
      </c>
      <c r="L295" s="34" t="str" cm="1">
        <f t="array" ref="L295">IFERROR(_xlfn.LET(_xlpm.e,E295,_xlpm.f,F295,_xlpm.h,H295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95" s="15" t="str" cm="1">
        <f t="array" ref="M295">IFERROR(_xlfn.LET(_xlpm.e,E295,_xlpm.f,F295,_xlpm.h,H295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95" s="15" t="str" cm="1">
        <f t="array" ref="N295">IFERROR(_xlfn.LET(_xlpm.e,E295,_xlpm.f,F295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95" s="15" t="str">
        <f t="shared" si="38"/>
        <v>4.2 hours (with automation) → 2.8 hours</v>
      </c>
      <c r="P295" s="34" cm="1">
        <f t="array" ref="P295">IFERROR(_xlfn.LET(_xlpm.g,G295,_xlpm.f,F295,_xlpm.h,H295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0.33332539701435687</v>
      </c>
      <c r="Q295" s="15" t="str" cm="1">
        <f t="array" ref="Q295">IFERROR(_xlfn.LET(_xlpm.e,E295,_xlpm.g,G295,_xlpm.h,H295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95" s="15" t="str">
        <f t="shared" si="39"/>
        <v>⚪ N/A</v>
      </c>
      <c r="S295" s="35" cm="1">
        <f t="array" ref="S295">IFERROR(_xlfn.LET(_xlpm.e,E295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95" s="36">
        <f t="shared" si="40"/>
        <v>0</v>
      </c>
      <c r="U295" s="15">
        <f t="shared" si="41"/>
        <v>554</v>
      </c>
      <c r="V295" s="16">
        <f t="shared" si="42"/>
        <v>0</v>
      </c>
      <c r="W295" s="16">
        <f t="shared" si="43"/>
        <v>0</v>
      </c>
      <c r="X295" s="37" t="str">
        <f t="shared" si="44"/>
        <v>-</v>
      </c>
      <c r="Y295" s="15" t="str">
        <f t="shared" si="45"/>
        <v>📉 Low</v>
      </c>
    </row>
    <row r="296" spans="1:25" x14ac:dyDescent="0.2">
      <c r="A296" t="str">
        <f>'5. KPI Baselines'!A281</f>
        <v>Mark Spain Real Estate</v>
      </c>
      <c r="B296" t="str">
        <f>'5. KPI Baselines'!B281</f>
        <v>Marketing Operations</v>
      </c>
      <c r="C296" t="str">
        <f>'5. KPI Baselines'!C281</f>
        <v>Market Analysis</v>
      </c>
      <c r="D296" t="str">
        <f>'5. KPI Baselines'!D281</f>
        <v>CMA Generation Time</v>
      </c>
      <c r="E296" t="str">
        <f>'5. KPI Baselines'!E281</f>
        <v>3.2 hours per analysis</v>
      </c>
      <c r="F296" t="str">
        <f>'5. KPI Baselines'!F281</f>
        <v>0.8 hours</v>
      </c>
      <c r="G296" t="str">
        <f>'5. KPI Baselines'!G281</f>
        <v>1.8 hours</v>
      </c>
      <c r="H296" t="str">
        <f>'5. KPI Baselines'!H281</f>
        <v>↓</v>
      </c>
      <c r="I296" t="str">
        <f>'5. KPI Baselines'!I281</f>
        <v>9 months</v>
      </c>
      <c r="J296" t="str">
        <f>'5. KPI Baselines'!J281</f>
        <v>Request to delivery of formatted CMA</v>
      </c>
      <c r="K296" s="15" t="str">
        <f t="shared" si="37"/>
        <v>3.2 hours per analysis → 0.8 hours</v>
      </c>
      <c r="L296" s="34" t="str" cm="1">
        <f t="array" ref="L296">IFERROR(_xlfn.LET(_xlpm.e,E296,_xlpm.f,F296,_xlpm.h,H296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96" s="15" t="str" cm="1">
        <f t="array" ref="M296">IFERROR(_xlfn.LET(_xlpm.e,E296,_xlpm.f,F296,_xlpm.h,H296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96" s="15" t="str" cm="1">
        <f t="array" ref="N296">IFERROR(_xlfn.LET(_xlpm.e,E296,_xlpm.f,F296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96" s="15" t="str">
        <f t="shared" si="38"/>
        <v>1.8 hours → 0.8 hours</v>
      </c>
      <c r="P296" s="34" cm="1">
        <f t="array" ref="P296">IFERROR(_xlfn.LET(_xlpm.g,G296,_xlpm.f,F296,_xlpm.h,H296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0.5555246930726071</v>
      </c>
      <c r="Q296" s="15" t="str" cm="1">
        <f t="array" ref="Q296">IFERROR(_xlfn.LET(_xlpm.e,E296,_xlpm.g,G296,_xlpm.h,H296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96" s="15" t="str">
        <f t="shared" si="39"/>
        <v>⚪ N/A</v>
      </c>
      <c r="S296" s="35" cm="1">
        <f t="array" ref="S296">IFERROR(_xlfn.LET(_xlpm.e,E296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96" s="36">
        <f t="shared" si="40"/>
        <v>0</v>
      </c>
      <c r="U296" s="15">
        <f t="shared" si="41"/>
        <v>554</v>
      </c>
      <c r="V296" s="16">
        <f t="shared" si="42"/>
        <v>0</v>
      </c>
      <c r="W296" s="16">
        <f t="shared" si="43"/>
        <v>0</v>
      </c>
      <c r="X296" s="37" t="str">
        <f t="shared" si="44"/>
        <v>-</v>
      </c>
      <c r="Y296" s="15" t="str">
        <f t="shared" si="45"/>
        <v>📉 Low</v>
      </c>
    </row>
    <row r="297" spans="1:25" x14ac:dyDescent="0.2">
      <c r="A297" t="str">
        <f>'5. KPI Baselines'!A282</f>
        <v>Mark Spain Real Estate</v>
      </c>
      <c r="B297" t="str">
        <f>'5. KPI Baselines'!B282</f>
        <v>Compliance</v>
      </c>
      <c r="C297" t="str">
        <f>'5. KPI Baselines'!C282</f>
        <v>Disclosure Management</v>
      </c>
      <c r="D297" t="str">
        <f>'5. KPI Baselines'!D282</f>
        <v>Initial Submission Error Rate</v>
      </c>
      <c r="E297" t="str">
        <f>'5. KPI Baselines'!E282</f>
        <v>12%</v>
      </c>
      <c r="F297" t="str">
        <f>'5. KPI Baselines'!F282</f>
        <v>3%</v>
      </c>
      <c r="G297" t="str">
        <f>'5. KPI Baselines'!G282</f>
        <v>6%</v>
      </c>
      <c r="H297" t="str">
        <f>'5. KPI Baselines'!H282</f>
        <v>↓</v>
      </c>
      <c r="I297" t="str">
        <f>'5. KPI Baselines'!I282</f>
        <v>15 months</v>
      </c>
      <c r="J297" t="str">
        <f>'5. KPI Baselines'!J282</f>
        <v>Filings requiring correction before acceptance</v>
      </c>
      <c r="K297" s="15" t="str">
        <f t="shared" si="37"/>
        <v>12% → 3%</v>
      </c>
      <c r="L297" s="34" cm="1">
        <f t="array" ref="L297">IFERROR(_xlfn.LET(_xlpm.e,E297,_xlpm.f,F297,_xlpm.h,H297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297" s="15" cm="1">
        <f t="array" ref="M297">IFERROR(_xlfn.LET(_xlpm.e,E297,_xlpm.f,F297,_xlpm.h,H297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297" s="15" cm="1">
        <f t="array" ref="N297">IFERROR(_xlfn.LET(_xlpm.e,E297,_xlpm.f,F297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297" s="15" t="str">
        <f t="shared" si="38"/>
        <v>6% → 3%</v>
      </c>
      <c r="P297" s="34" cm="1">
        <f t="array" ref="P297">IFERROR(_xlfn.LET(_xlpm.g,G297,_xlpm.f,F297,_xlpm.h,H297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0.49999166680555324</v>
      </c>
      <c r="Q297" s="15" t="str" cm="1">
        <f t="array" ref="Q297">IFERROR(_xlfn.LET(_xlpm.e,E297,_xlpm.g,G297,_xlpm.h,H297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7" s="15" t="str">
        <f t="shared" si="39"/>
        <v>🔴 Lagging</v>
      </c>
      <c r="S297" s="35" cm="1">
        <f t="array" ref="S297">IFERROR(_xlfn.LET(_xlpm.e,E297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297" s="36">
        <f t="shared" si="40"/>
        <v>74.999375005208293</v>
      </c>
      <c r="U297" s="15">
        <f t="shared" si="41"/>
        <v>53</v>
      </c>
      <c r="V297" s="16">
        <f t="shared" si="42"/>
        <v>1256.5020291497572</v>
      </c>
      <c r="W297" s="16">
        <f t="shared" si="43"/>
        <v>3124.734572866792</v>
      </c>
      <c r="X297" s="37">
        <f t="shared" si="44"/>
        <v>69</v>
      </c>
      <c r="Y297" s="15" t="str">
        <f t="shared" si="45"/>
        <v>🔥 Critical</v>
      </c>
    </row>
    <row r="298" spans="1:25" x14ac:dyDescent="0.2">
      <c r="A298" t="str">
        <f>'5. KPI Baselines'!A283</f>
        <v>Mark Spain Real Estate</v>
      </c>
      <c r="B298" t="str">
        <f>'5. KPI Baselines'!B283</f>
        <v>Compliance</v>
      </c>
      <c r="C298" t="str">
        <f>'5. KPI Baselines'!C283</f>
        <v>Training Documentation</v>
      </c>
      <c r="D298" t="str">
        <f>'5. KPI Baselines'!D283</f>
        <v>Compliance Training Hours</v>
      </c>
      <c r="E298" t="str">
        <f>'5. KPI Baselines'!E283</f>
        <v>85 hours per agent annually</v>
      </c>
      <c r="F298" t="str">
        <f>'5. KPI Baselines'!F283</f>
        <v>45 hours</v>
      </c>
      <c r="G298" t="str">
        <f>'5. KPI Baselines'!G283</f>
        <v>65 hours</v>
      </c>
      <c r="H298" t="str">
        <f>'5. KPI Baselines'!H283</f>
        <v>↓</v>
      </c>
      <c r="I298" t="str">
        <f>'5. KPI Baselines'!I283</f>
        <v>18 months</v>
      </c>
      <c r="J298" t="str">
        <f>'5. KPI Baselines'!J283</f>
        <v>Required training completion time</v>
      </c>
      <c r="K298" s="15" t="str">
        <f t="shared" si="37"/>
        <v>85 hours per agent annually → 45 hours</v>
      </c>
      <c r="L298" s="34" t="str" cm="1">
        <f t="array" ref="L298">IFERROR(_xlfn.LET(_xlpm.e,E298,_xlpm.f,F298,_xlpm.h,H298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298" s="15" t="str" cm="1">
        <f t="array" ref="M298">IFERROR(_xlfn.LET(_xlpm.e,E298,_xlpm.f,F298,_xlpm.h,H298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298" s="15" t="str" cm="1">
        <f t="array" ref="N298">IFERROR(_xlfn.LET(_xlpm.e,E298,_xlpm.f,F298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298" s="15" t="str">
        <f t="shared" si="38"/>
        <v>65 hours → 45 hours</v>
      </c>
      <c r="P298" s="34" cm="1">
        <f t="array" ref="P298">IFERROR(_xlfn.LET(_xlpm.g,G298,_xlpm.f,F298,_xlpm.h,H298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0.30769183432025488</v>
      </c>
      <c r="Q298" s="15" t="str" cm="1">
        <f t="array" ref="Q298">IFERROR(_xlfn.LET(_xlpm.e,E298,_xlpm.g,G298,_xlpm.h,H298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298" s="15" t="str">
        <f t="shared" si="39"/>
        <v>⚪ N/A</v>
      </c>
      <c r="S298" s="35" cm="1">
        <f t="array" ref="S298">IFERROR(_xlfn.LET(_xlpm.e,E298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298" s="36">
        <f t="shared" si="40"/>
        <v>0</v>
      </c>
      <c r="U298" s="15">
        <f t="shared" si="41"/>
        <v>554</v>
      </c>
      <c r="V298" s="16">
        <f t="shared" si="42"/>
        <v>0</v>
      </c>
      <c r="W298" s="16">
        <f t="shared" si="43"/>
        <v>0</v>
      </c>
      <c r="X298" s="37" t="str">
        <f t="shared" si="44"/>
        <v>-</v>
      </c>
      <c r="Y298" s="15" t="str">
        <f t="shared" si="45"/>
        <v>📉 Low</v>
      </c>
    </row>
    <row r="299" spans="1:25" x14ac:dyDescent="0.2">
      <c r="A299" t="str">
        <f>'5. KPI Baselines'!A284</f>
        <v>Mark Spain Real Estate</v>
      </c>
      <c r="B299" t="str">
        <f>'5. KPI Baselines'!B284</f>
        <v>Client Services</v>
      </c>
      <c r="C299" t="str">
        <f>'5. KPI Baselines'!C284</f>
        <v>Communication</v>
      </c>
      <c r="D299" t="str">
        <f>'5. KPI Baselines'!D284</f>
        <v>Response Time to Inquiries</v>
      </c>
      <c r="E299" t="str">
        <f>'5. KPI Baselines'!E284</f>
        <v>8.4 hours average</v>
      </c>
      <c r="F299" t="str">
        <f>'5. KPI Baselines'!F284</f>
        <v>2.1 hours</v>
      </c>
      <c r="G299" t="str">
        <f>'5. KPI Baselines'!G284</f>
        <v>4.2 hours</v>
      </c>
      <c r="H299" t="str">
        <f>'5. KPI Baselines'!H284</f>
        <v>↓</v>
      </c>
      <c r="I299" t="str">
        <f>'5. KPI Baselines'!I284</f>
        <v>12 months</v>
      </c>
      <c r="J299" t="str">
        <f>'5. KPI Baselines'!J284</f>
        <v>Inquiry timestamp to first substantive response</v>
      </c>
      <c r="K299" s="15" t="str">
        <f t="shared" si="37"/>
        <v>8.4 hours average → 2.1 hours</v>
      </c>
      <c r="L299" s="34" cm="1">
        <f t="array" ref="L299">IFERROR(_xlfn.LET(_xlpm.e,E299,_xlpm.f,F299,_xlpm.h,H299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0.74999107153486277</v>
      </c>
      <c r="M299" s="15" cm="1">
        <f t="array" ref="M299">IFERROR(_xlfn.LET(_xlpm.e,E299,_xlpm.f,F299,_xlpm.h,H299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</v>
      </c>
      <c r="N299" s="15" cm="1">
        <f t="array" ref="N299">IFERROR(_xlfn.LET(_xlpm.e,E299,_xlpm.f,F299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4.82</v>
      </c>
      <c r="O299" s="15" t="str">
        <f t="shared" si="38"/>
        <v>4.2 hours → 2.1 hours</v>
      </c>
      <c r="P299" s="34" cm="1">
        <f t="array" ref="P299">IFERROR(_xlfn.LET(_xlpm.g,G299,_xlpm.f,F299,_xlpm.h,H299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0.49998809552153523</v>
      </c>
      <c r="Q299" s="15" t="str" cm="1">
        <f t="array" ref="Q299">IFERROR(_xlfn.LET(_xlpm.e,E299,_xlpm.g,G299,_xlpm.h,H299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299" s="15" t="str">
        <f t="shared" si="39"/>
        <v>🔴 Lagging</v>
      </c>
      <c r="S299" s="35" cm="1">
        <f t="array" ref="S299">IFERROR(_xlfn.LET(_xlpm.e,E299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8.4</v>
      </c>
      <c r="T299" s="36">
        <f t="shared" si="40"/>
        <v>74.999107153486278</v>
      </c>
      <c r="U299" s="15">
        <f t="shared" si="41"/>
        <v>59</v>
      </c>
      <c r="V299" s="16">
        <f t="shared" si="42"/>
        <v>879.54827918715273</v>
      </c>
      <c r="W299" s="16">
        <f t="shared" si="43"/>
        <v>2187.3063892633195</v>
      </c>
      <c r="X299" s="37">
        <f t="shared" si="44"/>
        <v>99</v>
      </c>
      <c r="Y299" s="15" t="str">
        <f t="shared" si="45"/>
        <v>🔥 Critical</v>
      </c>
    </row>
    <row r="300" spans="1:25" x14ac:dyDescent="0.2">
      <c r="A300" t="str">
        <f>'5. KPI Baselines'!A285</f>
        <v>Mark Spain Real Estate</v>
      </c>
      <c r="B300" t="str">
        <f>'5. KPI Baselines'!B285</f>
        <v>Client Services</v>
      </c>
      <c r="C300" t="str">
        <f>'5. KPI Baselines'!C285</f>
        <v>Relationship Management</v>
      </c>
      <c r="D300" t="str">
        <f>'5. KPI Baselines'!D285</f>
        <v>Repeat and Referral Rate</v>
      </c>
      <c r="E300" t="str">
        <f>'5. KPI Baselines'!E285</f>
        <v>73%</v>
      </c>
      <c r="F300" t="str">
        <f>'5. KPI Baselines'!F285</f>
        <v>82%</v>
      </c>
      <c r="G300" t="str">
        <f>'5. KPI Baselines'!G285</f>
        <v>78%</v>
      </c>
      <c r="H300" t="str">
        <f>'5. KPI Baselines'!H285</f>
        <v>↑</v>
      </c>
      <c r="I300" t="str">
        <f>'5. KPI Baselines'!I285</f>
        <v>24 months</v>
      </c>
      <c r="J300" t="str">
        <f>'5. KPI Baselines'!J285</f>
        <v>Transactions from prior clients or referrals</v>
      </c>
      <c r="K300" s="15" t="str">
        <f t="shared" si="37"/>
        <v>82% - 73%</v>
      </c>
      <c r="L300" s="34" cm="1">
        <f t="array" ref="L300">IFERROR(_xlfn.LET(_xlpm.e,E300,_xlpm.f,F300,_xlpm.h,H300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0.12328750234588719</v>
      </c>
      <c r="M300" s="15" cm="1">
        <f t="array" ref="M300">IFERROR(_xlfn.LET(_xlpm.e,E300,_xlpm.f,F300,_xlpm.h,H300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80.7</v>
      </c>
      <c r="N300" s="15" cm="1">
        <f t="array" ref="N300">IFERROR(_xlfn.LET(_xlpm.e,E300,_xlpm.f,F300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300" s="15" t="str">
        <f t="shared" si="38"/>
        <v>82% - 78%</v>
      </c>
      <c r="P300" s="34" cm="1">
        <f t="array" ref="P300">IFERROR(_xlfn.LET(_xlpm.g,G300,_xlpm.f,F300,_xlpm.h,H300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5.128198553591598E-2</v>
      </c>
      <c r="Q300" s="15" t="str" cm="1">
        <f t="array" ref="Q300">IFERROR(_xlfn.LET(_xlpm.e,E300,_xlpm.g,G300,_xlpm.h,H300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0" s="15" t="str">
        <f t="shared" si="39"/>
        <v>🔴 Lagging</v>
      </c>
      <c r="S300" s="35" cm="1">
        <f t="array" ref="S300">IFERROR(_xlfn.LET(_xlpm.e,E300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300" s="36">
        <f t="shared" si="40"/>
        <v>12.328750234588719</v>
      </c>
      <c r="U300" s="15">
        <f t="shared" si="41"/>
        <v>508</v>
      </c>
      <c r="V300" s="16">
        <f t="shared" si="42"/>
        <v>1256.5107787523577</v>
      </c>
      <c r="W300" s="16">
        <f t="shared" si="43"/>
        <v>3124.7563318334392</v>
      </c>
      <c r="X300" s="37">
        <f t="shared" si="44"/>
        <v>69</v>
      </c>
      <c r="Y300" s="15" t="str">
        <f t="shared" si="45"/>
        <v>📊 Medium</v>
      </c>
    </row>
    <row r="301" spans="1:25" x14ac:dyDescent="0.2">
      <c r="A301" t="str">
        <f>'5. KPI Baselines'!A286</f>
        <v>Mark Spain Real Estate</v>
      </c>
      <c r="B301" t="str">
        <f>'5. KPI Baselines'!B286</f>
        <v>Revenue Operations</v>
      </c>
      <c r="C301" t="str">
        <f>'5. KPI Baselines'!C286</f>
        <v>Pricing Strategy</v>
      </c>
      <c r="D301" t="str">
        <f>'5. KPI Baselines'!D286</f>
        <v>Average Sales Price</v>
      </c>
      <c r="E301" t="str">
        <f>'5. KPI Baselines'!E286</f>
        <v>$385K</v>
      </c>
      <c r="F301" t="str">
        <f>'5. KPI Baselines'!F286</f>
        <v>$416K</v>
      </c>
      <c r="G301" t="str">
        <f>'5. KPI Baselines'!G286</f>
        <v>$385K</v>
      </c>
      <c r="H301" t="str">
        <f>'5. KPI Baselines'!H286</f>
        <v>↑</v>
      </c>
      <c r="I301" t="str">
        <f>'5. KPI Baselines'!I286</f>
        <v>18 months</v>
      </c>
      <c r="J301" t="str">
        <f>'5. KPI Baselines'!J286</f>
        <v>Median closed sales price across all transactions</v>
      </c>
      <c r="K301" s="15" t="str">
        <f t="shared" si="37"/>
        <v>$416K - $385K</v>
      </c>
      <c r="L301" s="34" t="str" cm="1">
        <f t="array" ref="L301">IFERROR(_xlfn.LET(_xlpm.e,E301,_xlpm.f,F301,_xlpm.h,H301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01" s="15" t="str" cm="1">
        <f t="array" ref="M301">IFERROR(_xlfn.LET(_xlpm.e,E301,_xlpm.f,F301,_xlpm.h,H301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01" s="15" t="str" cm="1">
        <f t="array" ref="N301">IFERROR(_xlfn.LET(_xlpm.e,E301,_xlpm.f,F301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01" s="15" t="str">
        <f t="shared" si="38"/>
        <v>$416K - $385K</v>
      </c>
      <c r="P301" s="34" t="str" cm="1">
        <f t="array" ref="P301">IFERROR(_xlfn.LET(_xlpm.g,G301,_xlpm.f,F301,_xlpm.h,H301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01" s="15" t="str" cm="1">
        <f t="array" ref="Q301">IFERROR(_xlfn.LET(_xlpm.e,E301,_xlpm.g,G301,_xlpm.h,H301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01" s="15" t="str">
        <f t="shared" si="39"/>
        <v>⚪ N/A</v>
      </c>
      <c r="S301" s="35" cm="1">
        <f t="array" ref="S301">IFERROR(_xlfn.LET(_xlpm.e,E301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01" s="36">
        <f t="shared" si="40"/>
        <v>0</v>
      </c>
      <c r="U301" s="15">
        <f t="shared" si="41"/>
        <v>554</v>
      </c>
      <c r="V301" s="16">
        <f t="shared" si="42"/>
        <v>0</v>
      </c>
      <c r="W301" s="16">
        <f t="shared" si="43"/>
        <v>0</v>
      </c>
      <c r="X301" s="37" t="str">
        <f t="shared" si="44"/>
        <v>-</v>
      </c>
      <c r="Y301" s="15" t="str">
        <f t="shared" si="45"/>
        <v>📉 Low</v>
      </c>
    </row>
    <row r="302" spans="1:25" x14ac:dyDescent="0.2">
      <c r="A302" t="str">
        <f>'5. KPI Baselines'!A287</f>
        <v>Mark Spain Real Estate</v>
      </c>
      <c r="B302" t="str">
        <f>'5. KPI Baselines'!B287</f>
        <v>Revenue Operations</v>
      </c>
      <c r="C302" t="str">
        <f>'5. KPI Baselines'!C287</f>
        <v>Agent Productivity</v>
      </c>
      <c r="D302" t="str">
        <f>'5. KPI Baselines'!D287</f>
        <v>Transactions per Agent</v>
      </c>
      <c r="E302" t="str">
        <f>'5. KPI Baselines'!E287</f>
        <v>22 annually</v>
      </c>
      <c r="F302" t="str">
        <f>'5. KPI Baselines'!F287</f>
        <v>26 annually</v>
      </c>
      <c r="G302" t="str">
        <f>'5. KPI Baselines'!G287</f>
        <v>24 annually</v>
      </c>
      <c r="H302" t="str">
        <f>'5. KPI Baselines'!H287</f>
        <v>↑</v>
      </c>
      <c r="I302" t="str">
        <f>'5. KPI Baselines'!I287</f>
        <v>24 months</v>
      </c>
      <c r="J302" t="str">
        <f>'5. KPI Baselines'!J287</f>
        <v>Closed transactions divided by active agent count</v>
      </c>
      <c r="K302" s="15" t="str">
        <f t="shared" si="37"/>
        <v>26 annually - 22 annually</v>
      </c>
      <c r="L302" s="34" cm="1">
        <f t="array" ref="L302">IFERROR(_xlfn.LET(_xlpm.e,E302,_xlpm.f,F302,_xlpm.h,H302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0.18181735537565738</v>
      </c>
      <c r="M302" s="15" cm="1">
        <f t="array" ref="M302">IFERROR(_xlfn.LET(_xlpm.e,E302,_xlpm.f,F302,_xlpm.h,H302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25.4</v>
      </c>
      <c r="N302" s="15" cm="1">
        <f t="array" ref="N302">IFERROR(_xlfn.LET(_xlpm.e,E302,_xlpm.f,F302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302" s="15" t="str">
        <f t="shared" si="38"/>
        <v>26 annually - 24 annually</v>
      </c>
      <c r="P302" s="34" cm="1">
        <f t="array" ref="P302">IFERROR(_xlfn.LET(_xlpm.g,G302,_xlpm.f,F302,_xlpm.h,H302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8.3332986112557864E-2</v>
      </c>
      <c r="Q302" s="15" t="str" cm="1">
        <f t="array" ref="Q302">IFERROR(_xlfn.LET(_xlpm.e,E302,_xlpm.g,G302,_xlpm.h,H302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2" s="15" t="str">
        <f t="shared" si="39"/>
        <v>🔴 Lagging</v>
      </c>
      <c r="S302" s="35" cm="1">
        <f t="array" ref="S302">IFERROR(_xlfn.LET(_xlpm.e,E302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22</v>
      </c>
      <c r="T302" s="36">
        <f t="shared" si="40"/>
        <v>18.181735537565739</v>
      </c>
      <c r="U302" s="15">
        <f t="shared" si="41"/>
        <v>483</v>
      </c>
      <c r="V302" s="16">
        <f t="shared" si="42"/>
        <v>558.44746160244722</v>
      </c>
      <c r="W302" s="16">
        <f t="shared" si="43"/>
        <v>1388.7761817461321</v>
      </c>
      <c r="X302" s="37">
        <f t="shared" si="44"/>
        <v>155</v>
      </c>
      <c r="Y302" s="15" t="str">
        <f t="shared" si="45"/>
        <v>📊 Medium</v>
      </c>
    </row>
    <row r="303" spans="1:25" x14ac:dyDescent="0.2">
      <c r="A303" t="str">
        <f>'5. KPI Baselines'!A288</f>
        <v>Meritus Gas Partners</v>
      </c>
      <c r="B303" t="str">
        <f>'5. KPI Baselines'!B288</f>
        <v>Field Operations</v>
      </c>
      <c r="C303" t="str">
        <f>'5. KPI Baselines'!C288</f>
        <v>Safety Inspections</v>
      </c>
      <c r="D303" t="str">
        <f>'5. KPI Baselines'!D288</f>
        <v>Inspection Completion to Documentation Time</v>
      </c>
      <c r="E303" t="str">
        <f>'5. KPI Baselines'!E288</f>
        <v>15 days</v>
      </c>
      <c r="F303" t="str">
        <f>'5. KPI Baselines'!F288</f>
        <v>4 days</v>
      </c>
      <c r="G303" t="str">
        <f>'5. KPI Baselines'!G288</f>
        <v>3 days</v>
      </c>
      <c r="H303" t="str">
        <f>'5. KPI Baselines'!H288</f>
        <v>↓</v>
      </c>
      <c r="I303" t="str">
        <f>'5. KPI Baselines'!I288</f>
        <v>12 months</v>
      </c>
      <c r="J303" t="str">
        <f>'5. KPI Baselines'!J288</f>
        <v>Average days from field completion timestamp to regulatory filing submission</v>
      </c>
      <c r="K303" s="15" t="str">
        <f t="shared" si="37"/>
        <v>15 days → 4 days</v>
      </c>
      <c r="L303" s="34" cm="1">
        <f t="array" ref="L303">IFERROR(_xlfn.LET(_xlpm.e,E303,_xlpm.f,F303,_xlpm.h,H303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0.73332844447703682</v>
      </c>
      <c r="M303" s="15" cm="1">
        <f t="array" ref="M303">IFERROR(_xlfn.LET(_xlpm.e,E303,_xlpm.f,F303,_xlpm.h,H303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5.7</v>
      </c>
      <c r="N303" s="15" cm="1">
        <f t="array" ref="N303">IFERROR(_xlfn.LET(_xlpm.e,E303,_xlpm.f,F303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03" s="15" t="str">
        <f t="shared" si="38"/>
        <v>3 days → 4 days</v>
      </c>
      <c r="P303" s="34" cm="1">
        <f t="array" ref="P303">IFERROR(_xlfn.LET(_xlpm.g,G303,_xlpm.f,F303,_xlpm.h,H303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-0.33332222259258021</v>
      </c>
      <c r="Q303" s="15" t="str" cm="1">
        <f t="array" ref="Q303">IFERROR(_xlfn.LET(_xlpm.e,E303,_xlpm.g,G303,_xlpm.h,H303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3" s="15" t="str">
        <f t="shared" si="39"/>
        <v>🔴 Lagging</v>
      </c>
      <c r="S303" s="35" cm="1">
        <f t="array" ref="S303">IFERROR(_xlfn.LET(_xlpm.e,E303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15</v>
      </c>
      <c r="T303" s="36">
        <f t="shared" si="40"/>
        <v>73.332844447703678</v>
      </c>
      <c r="U303" s="15">
        <f t="shared" si="41"/>
        <v>70</v>
      </c>
      <c r="V303" s="16">
        <f t="shared" si="42"/>
        <v>1535.7272618182546</v>
      </c>
      <c r="W303" s="16">
        <f t="shared" si="43"/>
        <v>3819.1263986614777</v>
      </c>
      <c r="X303" s="37">
        <f t="shared" si="44"/>
        <v>57</v>
      </c>
      <c r="Y303" s="15" t="str">
        <f t="shared" si="45"/>
        <v>🔥 Critical</v>
      </c>
    </row>
    <row r="304" spans="1:25" x14ac:dyDescent="0.2">
      <c r="A304" t="str">
        <f>'5. KPI Baselines'!A289</f>
        <v>Meritus Gas Partners</v>
      </c>
      <c r="B304" t="str">
        <f>'5. KPI Baselines'!B289</f>
        <v>Field Operations</v>
      </c>
      <c r="C304" t="str">
        <f>'5. KPI Baselines'!C289</f>
        <v>Emergency Response</v>
      </c>
      <c r="D304" t="str">
        <f>'5. KPI Baselines'!D289</f>
        <v>Dispatch to On-Site Arrival Time</v>
      </c>
      <c r="E304" t="str">
        <f>'5. KPI Baselines'!E289</f>
        <v>2.3 hours</v>
      </c>
      <c r="F304" t="str">
        <f>'5. KPI Baselines'!F289</f>
        <v>1.8 hours</v>
      </c>
      <c r="G304" t="str">
        <f>'5. KPI Baselines'!G289</f>
        <v>1.5 hours</v>
      </c>
      <c r="H304" t="str">
        <f>'5. KPI Baselines'!H289</f>
        <v>↓</v>
      </c>
      <c r="I304" t="str">
        <f>'5. KPI Baselines'!I289</f>
        <v>9 months</v>
      </c>
      <c r="J304" t="str">
        <f>'5. KPI Baselines'!J289</f>
        <v>Average hours from emergency call receipt to technician arrival at customer location</v>
      </c>
      <c r="K304" s="15" t="str">
        <f t="shared" si="37"/>
        <v>2.3 hours → 1.8 hours</v>
      </c>
      <c r="L304" s="34" cm="1">
        <f t="array" ref="L304">IFERROR(_xlfn.LET(_xlpm.e,E304,_xlpm.f,F304,_xlpm.h,H304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0.21738185296291457</v>
      </c>
      <c r="M304" s="15" cm="1">
        <f t="array" ref="M304">IFERROR(_xlfn.LET(_xlpm.e,E304,_xlpm.f,F304,_xlpm.h,H304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304" s="15" cm="1">
        <f t="array" ref="N304">IFERROR(_xlfn.LET(_xlpm.e,E304,_xlpm.f,F304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0.38</v>
      </c>
      <c r="O304" s="15" t="str">
        <f t="shared" si="38"/>
        <v>1.5 hours → 1.8 hours</v>
      </c>
      <c r="P304" s="34" cm="1">
        <f t="array" ref="P304">IFERROR(_xlfn.LET(_xlpm.g,G304,_xlpm.f,F304,_xlpm.h,H304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-0.19998666755549632</v>
      </c>
      <c r="Q304" s="15" t="str" cm="1">
        <f t="array" ref="Q304">IFERROR(_xlfn.LET(_xlpm.e,E304,_xlpm.g,G304,_xlpm.h,H304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4" s="15" t="str">
        <f t="shared" si="39"/>
        <v>🔴 Lagging</v>
      </c>
      <c r="S304" s="35" cm="1">
        <f t="array" ref="S304">IFERROR(_xlfn.LET(_xlpm.e,E304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2.2999999999999998</v>
      </c>
      <c r="T304" s="36">
        <f t="shared" si="40"/>
        <v>21.738185296291455</v>
      </c>
      <c r="U304" s="15">
        <f t="shared" si="41"/>
        <v>455</v>
      </c>
      <c r="V304" s="16">
        <f t="shared" si="42"/>
        <v>69.803215077605273</v>
      </c>
      <c r="W304" s="16">
        <f t="shared" si="43"/>
        <v>173.5902643928427</v>
      </c>
      <c r="X304" s="37">
        <f t="shared" si="44"/>
        <v>1136</v>
      </c>
      <c r="Y304" s="15" t="str">
        <f t="shared" si="45"/>
        <v>📊 Medium</v>
      </c>
    </row>
    <row r="305" spans="1:25" x14ac:dyDescent="0.2">
      <c r="A305" t="str">
        <f>'5. KPI Baselines'!A290</f>
        <v>Meritus Gas Partners</v>
      </c>
      <c r="B305" t="str">
        <f>'5. KPI Baselines'!B290</f>
        <v>Customer Service</v>
      </c>
      <c r="C305" t="str">
        <f>'5. KPI Baselines'!C290</f>
        <v>Contact Center</v>
      </c>
      <c r="D305" t="str">
        <f>'5. KPI Baselines'!D290</f>
        <v>First-Call Resolution Rate</v>
      </c>
      <c r="E305" t="str">
        <f>'5. KPI Baselines'!E290</f>
        <v>61%</v>
      </c>
      <c r="F305" t="str">
        <f>'5. KPI Baselines'!F290</f>
        <v>75%</v>
      </c>
      <c r="G305" t="str">
        <f>'5. KPI Baselines'!G290</f>
        <v>78%</v>
      </c>
      <c r="H305" t="str">
        <f>'5. KPI Baselines'!H290</f>
        <v>↑</v>
      </c>
      <c r="I305" t="str">
        <f>'5. KPI Baselines'!I290</f>
        <v>12 months</v>
      </c>
      <c r="J305" t="str">
        <f>'5. KPI Baselines'!J290</f>
        <v>Percentage of calls resolved without escalation or callback within 48 hours</v>
      </c>
      <c r="K305" s="15" t="str">
        <f t="shared" si="37"/>
        <v>75% - 61%</v>
      </c>
      <c r="L305" s="34" cm="1">
        <f t="array" ref="L305">IFERROR(_xlfn.LET(_xlpm.e,E305,_xlpm.f,F305,_xlpm.h,H305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0.2295078204789828</v>
      </c>
      <c r="M305" s="15" cm="1">
        <f t="array" ref="M305">IFERROR(_xlfn.LET(_xlpm.e,E305,_xlpm.f,F305,_xlpm.h,H305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72.900000000000006</v>
      </c>
      <c r="N305" s="15" cm="1">
        <f t="array" ref="N305">IFERROR(_xlfn.LET(_xlpm.e,E305,_xlpm.f,F305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305" s="15" t="str">
        <f t="shared" si="38"/>
        <v>75% - 78%</v>
      </c>
      <c r="P305" s="34" cm="1">
        <f t="array" ref="P305">IFERROR(_xlfn.LET(_xlpm.g,G305,_xlpm.f,F305,_xlpm.h,H305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-3.8461489151936985E-2</v>
      </c>
      <c r="Q305" s="15" t="str" cm="1">
        <f t="array" ref="Q305">IFERROR(_xlfn.LET(_xlpm.e,E305,_xlpm.g,G305,_xlpm.h,H305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5" s="15" t="str">
        <f t="shared" si="39"/>
        <v>🔴 Lagging</v>
      </c>
      <c r="S305" s="35" cm="1">
        <f t="array" ref="S305">IFERROR(_xlfn.LET(_xlpm.e,E305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61</v>
      </c>
      <c r="T305" s="36">
        <f t="shared" si="40"/>
        <v>22.950782047898279</v>
      </c>
      <c r="U305" s="15">
        <f t="shared" si="41"/>
        <v>438</v>
      </c>
      <c r="V305" s="16">
        <f t="shared" si="42"/>
        <v>1954.5717957839408</v>
      </c>
      <c r="W305" s="16">
        <f t="shared" si="43"/>
        <v>4860.7307618669047</v>
      </c>
      <c r="X305" s="37">
        <f t="shared" si="44"/>
        <v>45</v>
      </c>
      <c r="Y305" s="15" t="str">
        <f t="shared" si="45"/>
        <v>📊 Medium</v>
      </c>
    </row>
    <row r="306" spans="1:25" x14ac:dyDescent="0.2">
      <c r="A306" t="str">
        <f>'5. KPI Baselines'!A291</f>
        <v>Meritus Gas Partners</v>
      </c>
      <c r="B306" t="str">
        <f>'5. KPI Baselines'!B291</f>
        <v>Customer Service</v>
      </c>
      <c r="C306" t="str">
        <f>'5. KPI Baselines'!C291</f>
        <v>Contact Center</v>
      </c>
      <c r="D306" t="str">
        <f>'5. KPI Baselines'!D291</f>
        <v>Average Handle Time</v>
      </c>
      <c r="E306" t="str">
        <f>'5. KPI Baselines'!E291</f>
        <v>28 minutes</v>
      </c>
      <c r="F306" t="str">
        <f>'5. KPI Baselines'!F291</f>
        <v>20 minutes</v>
      </c>
      <c r="G306" t="str">
        <f>'5. KPI Baselines'!G291</f>
        <v>19 minutes</v>
      </c>
      <c r="H306" t="str">
        <f>'5. KPI Baselines'!H291</f>
        <v>↓</v>
      </c>
      <c r="I306" t="str">
        <f>'5. KPI Baselines'!I291</f>
        <v>9 months</v>
      </c>
      <c r="J306" t="str">
        <f>'5. KPI Baselines'!J291</f>
        <v>Average minutes from call answer to completion including hold time</v>
      </c>
      <c r="K306" s="15" t="str">
        <f t="shared" si="37"/>
        <v>28 minutes → 20 minutes</v>
      </c>
      <c r="L306" s="34" cm="1">
        <f t="array" ref="L306">IFERROR(_xlfn.LET(_xlpm.e,E306,_xlpm.f,F306,_xlpm.h,H306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0.28571326530976676</v>
      </c>
      <c r="M306" s="15" cm="1">
        <f t="array" ref="M306">IFERROR(_xlfn.LET(_xlpm.e,E306,_xlpm.f,F306,_xlpm.h,H306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21.2</v>
      </c>
      <c r="N306" s="15" cm="1">
        <f t="array" ref="N306">IFERROR(_xlfn.LET(_xlpm.e,E306,_xlpm.f,F306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06" s="15" t="str">
        <f t="shared" si="38"/>
        <v>19 minutes → 20 minutes</v>
      </c>
      <c r="P306" s="34" cm="1">
        <f t="array" ref="P306">IFERROR(_xlfn.LET(_xlpm.g,G306,_xlpm.f,F306,_xlpm.h,H306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-5.2631301940516101E-2</v>
      </c>
      <c r="Q306" s="15" t="str" cm="1">
        <f t="array" ref="Q306">IFERROR(_xlfn.LET(_xlpm.e,E306,_xlpm.g,G306,_xlpm.h,H306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6" s="15" t="str">
        <f t="shared" si="39"/>
        <v>🔴 Lagging</v>
      </c>
      <c r="S306" s="35" cm="1">
        <f t="array" ref="S306">IFERROR(_xlfn.LET(_xlpm.e,E306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306" s="36">
        <f t="shared" si="40"/>
        <v>28.571326530976677</v>
      </c>
      <c r="U306" s="15">
        <f t="shared" si="41"/>
        <v>402</v>
      </c>
      <c r="V306" s="16">
        <f t="shared" si="42"/>
        <v>1116.8960110856749</v>
      </c>
      <c r="W306" s="16">
        <f t="shared" si="43"/>
        <v>2777.5550688907492</v>
      </c>
      <c r="X306" s="37">
        <f t="shared" si="44"/>
        <v>78</v>
      </c>
      <c r="Y306" s="15" t="str">
        <f t="shared" si="45"/>
        <v>⚠️ High</v>
      </c>
    </row>
    <row r="307" spans="1:25" x14ac:dyDescent="0.2">
      <c r="A307" t="str">
        <f>'5. KPI Baselines'!A292</f>
        <v>Meritus Gas Partners</v>
      </c>
      <c r="B307" t="str">
        <f>'5. KPI Baselines'!B292</f>
        <v>Regulatory Compliance</v>
      </c>
      <c r="C307" t="str">
        <f>'5. KPI Baselines'!C292</f>
        <v>Safety Reporting</v>
      </c>
      <c r="D307" t="str">
        <f>'5. KPI Baselines'!D292</f>
        <v>Report Preparation Hours per Inspection</v>
      </c>
      <c r="E307" t="str">
        <f>'5. KPI Baselines'!E292</f>
        <v>0.19 hours</v>
      </c>
      <c r="F307" t="str">
        <f>'5. KPI Baselines'!F292</f>
        <v>0.10 hours</v>
      </c>
      <c r="G307" t="str">
        <f>'5. KPI Baselines'!G292</f>
        <v>0.08 hours</v>
      </c>
      <c r="H307" t="str">
        <f>'5. KPI Baselines'!H292</f>
        <v>↓</v>
      </c>
      <c r="I307" t="str">
        <f>'5. KPI Baselines'!I292</f>
        <v>6 months</v>
      </c>
      <c r="J307" t="str">
        <f>'5. KPI Baselines'!J292</f>
        <v>Total engineering hours divided by number of completed inspection reports</v>
      </c>
      <c r="K307" s="15" t="str">
        <f t="shared" si="37"/>
        <v>0.19 hours → 0.10 hours</v>
      </c>
      <c r="L307" s="34" cm="1">
        <f t="array" ref="L307">IFERROR(_xlfn.LET(_xlpm.e,E307,_xlpm.f,F307,_xlpm.h,H307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0.47343503419253025</v>
      </c>
      <c r="M307" s="15" cm="1">
        <f t="array" ref="M307">IFERROR(_xlfn.LET(_xlpm.e,E307,_xlpm.f,F307,_xlpm.h,H307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0.1</v>
      </c>
      <c r="N307" s="15" cm="1">
        <f t="array" ref="N307">IFERROR(_xlfn.LET(_xlpm.e,E307,_xlpm.f,F307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7.0000000000000007E-2</v>
      </c>
      <c r="O307" s="15" t="str">
        <f t="shared" si="38"/>
        <v>0.08 hours → 0.10 hours</v>
      </c>
      <c r="P307" s="34" cm="1">
        <f t="array" ref="P307">IFERROR(_xlfn.LET(_xlpm.g,G307,_xlpm.f,F307,_xlpm.h,H307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-0.24968789013732837</v>
      </c>
      <c r="Q307" s="15" t="str" cm="1">
        <f t="array" ref="Q307">IFERROR(_xlfn.LET(_xlpm.e,E307,_xlpm.g,G307,_xlpm.h,H307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7" s="15" t="str">
        <f t="shared" si="39"/>
        <v>🔴 Lagging</v>
      </c>
      <c r="S307" s="35" cm="1">
        <f t="array" ref="S307">IFERROR(_xlfn.LET(_xlpm.e,E307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0.19</v>
      </c>
      <c r="T307" s="36">
        <f t="shared" si="40"/>
        <v>47.343503419253025</v>
      </c>
      <c r="U307" s="15">
        <f t="shared" si="41"/>
        <v>257</v>
      </c>
      <c r="V307" s="16">
        <f t="shared" si="42"/>
        <v>12.55851525512888</v>
      </c>
      <c r="W307" s="16">
        <f t="shared" si="43"/>
        <v>31.231168666023009</v>
      </c>
      <c r="X307" s="37">
        <f t="shared" si="44"/>
        <v>4411</v>
      </c>
      <c r="Y307" s="15" t="str">
        <f t="shared" si="45"/>
        <v>⚠️ High</v>
      </c>
    </row>
    <row r="308" spans="1:25" x14ac:dyDescent="0.2">
      <c r="A308" t="str">
        <f>'5. KPI Baselines'!A293</f>
        <v>Meritus Gas Partners</v>
      </c>
      <c r="B308" t="str">
        <f>'5. KPI Baselines'!B293</f>
        <v>Regulatory Compliance</v>
      </c>
      <c r="C308" t="str">
        <f>'5. KPI Baselines'!C293</f>
        <v>Commission Filings</v>
      </c>
      <c r="D308" t="str">
        <f>'5. KPI Baselines'!D293</f>
        <v>Filing Preparation Cost per Submission</v>
      </c>
      <c r="E308" t="str">
        <f>'5. KPI Baselines'!E293</f>
        <v>$4,200</v>
      </c>
      <c r="F308" t="str">
        <f>'5. KPI Baselines'!F293</f>
        <v>$2,500</v>
      </c>
      <c r="G308" t="str">
        <f>'5. KPI Baselines'!G293</f>
        <v>$2,100</v>
      </c>
      <c r="H308" t="str">
        <f>'5. KPI Baselines'!H293</f>
        <v>↓</v>
      </c>
      <c r="I308" t="str">
        <f>'5. KPI Baselines'!I293</f>
        <v>12 months</v>
      </c>
      <c r="J308" t="str">
        <f>'5. KPI Baselines'!J293</f>
        <v>Fully-loaded labor cost for preparing regulatory commission filings</v>
      </c>
      <c r="K308" s="15" t="str">
        <f t="shared" si="37"/>
        <v>$4,200 → $2,500</v>
      </c>
      <c r="L308" s="34" cm="1">
        <f t="array" ref="L308">IFERROR(_xlfn.LET(_xlpm.e,E308,_xlpm.f,F308,_xlpm.h,H308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0.40476189512471678</v>
      </c>
      <c r="M308" s="15" cm="1">
        <f t="array" ref="M308">IFERROR(_xlfn.LET(_xlpm.e,E308,_xlpm.f,F308,_xlpm.h,H308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2755</v>
      </c>
      <c r="N308" s="15" cm="1">
        <f t="array" ref="N308">IFERROR(_xlfn.LET(_xlpm.e,E308,_xlpm.f,F308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1300.5</v>
      </c>
      <c r="O308" s="15" t="str">
        <f t="shared" si="38"/>
        <v>$2,100 → $2,500</v>
      </c>
      <c r="P308" s="34" cm="1">
        <f t="array" ref="P308">IFERROR(_xlfn.LET(_xlpm.g,G308,_xlpm.f,F308,_xlpm.h,H308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-0.19047618140589612</v>
      </c>
      <c r="Q308" s="15" t="str" cm="1">
        <f t="array" ref="Q308">IFERROR(_xlfn.LET(_xlpm.e,E308,_xlpm.g,G308,_xlpm.h,H308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08" s="15" t="str">
        <f t="shared" si="39"/>
        <v>🔴 Lagging</v>
      </c>
      <c r="S308" s="35" cm="1">
        <f t="array" ref="S308">IFERROR(_xlfn.LET(_xlpm.e,E308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4200</v>
      </c>
      <c r="T308" s="36">
        <f t="shared" si="40"/>
        <v>40.476189512471677</v>
      </c>
      <c r="U308" s="15">
        <f t="shared" si="41"/>
        <v>308</v>
      </c>
      <c r="V308" s="16">
        <f t="shared" si="42"/>
        <v>237341.244349018</v>
      </c>
      <c r="W308" s="16">
        <f t="shared" si="43"/>
        <v>590232.54605202877</v>
      </c>
      <c r="X308" s="37">
        <f t="shared" si="44"/>
        <v>0</v>
      </c>
      <c r="Y308" s="15" t="str">
        <f t="shared" si="45"/>
        <v>⚠️ High</v>
      </c>
    </row>
    <row r="309" spans="1:25" x14ac:dyDescent="0.2">
      <c r="A309" t="str">
        <f>'5. KPI Baselines'!A294</f>
        <v>Meritus Gas Partners</v>
      </c>
      <c r="B309" t="str">
        <f>'5. KPI Baselines'!B294</f>
        <v>Asset Management</v>
      </c>
      <c r="C309" t="str">
        <f>'5. KPI Baselines'!C294</f>
        <v>Maintenance Planning</v>
      </c>
      <c r="D309" t="str">
        <f>'5. KPI Baselines'!D294</f>
        <v>Unplanned Outage Frequency</v>
      </c>
      <c r="E309" t="str">
        <f>'5. KPI Baselines'!E294</f>
        <v>340 incidents/year</v>
      </c>
      <c r="F309" t="str">
        <f>'5. KPI Baselines'!F294</f>
        <v>250 incidents/year</v>
      </c>
      <c r="G309" t="str">
        <f>'5. KPI Baselines'!G294</f>
        <v>210 incidents/year</v>
      </c>
      <c r="H309" t="str">
        <f>'5. KPI Baselines'!H294</f>
        <v>↓</v>
      </c>
      <c r="I309" t="str">
        <f>'5. KPI Baselines'!I294</f>
        <v>18 months</v>
      </c>
      <c r="J309" t="str">
        <f>'5. KPI Baselines'!J294</f>
        <v>Annual count of unplanned service interruptions requiring emergency response</v>
      </c>
      <c r="K309" s="15" t="str">
        <f t="shared" si="37"/>
        <v>340 incidents/year → 250 incidents/year</v>
      </c>
      <c r="L309" s="34" t="str" cm="1">
        <f t="array" ref="L309">IFERROR(_xlfn.LET(_xlpm.e,E309,_xlpm.f,F309,_xlpm.h,H309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09" s="15" t="str" cm="1">
        <f t="array" ref="M309">IFERROR(_xlfn.LET(_xlpm.e,E309,_xlpm.f,F309,_xlpm.h,H309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09" s="15" t="str" cm="1">
        <f t="array" ref="N309">IFERROR(_xlfn.LET(_xlpm.e,E309,_xlpm.f,F309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09" s="15" t="str">
        <f t="shared" si="38"/>
        <v>210 incidents/year → 250 incidents/year</v>
      </c>
      <c r="P309" s="34" t="str" cm="1">
        <f t="array" ref="P309">IFERROR(_xlfn.LET(_xlpm.g,G309,_xlpm.f,F309,_xlpm.h,H309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09" s="15" t="str" cm="1">
        <f t="array" ref="Q309">IFERROR(_xlfn.LET(_xlpm.e,E309,_xlpm.g,G309,_xlpm.h,H309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09" s="15" t="str">
        <f t="shared" si="39"/>
        <v>⚪ N/A</v>
      </c>
      <c r="S309" s="35" cm="1">
        <f t="array" ref="S309">IFERROR(_xlfn.LET(_xlpm.e,E309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09" s="36">
        <f t="shared" si="40"/>
        <v>0</v>
      </c>
      <c r="U309" s="15">
        <f t="shared" si="41"/>
        <v>554</v>
      </c>
      <c r="V309" s="16">
        <f t="shared" si="42"/>
        <v>0</v>
      </c>
      <c r="W309" s="16">
        <f t="shared" si="43"/>
        <v>0</v>
      </c>
      <c r="X309" s="37" t="str">
        <f t="shared" si="44"/>
        <v>-</v>
      </c>
      <c r="Y309" s="15" t="str">
        <f t="shared" si="45"/>
        <v>📉 Low</v>
      </c>
    </row>
    <row r="310" spans="1:25" x14ac:dyDescent="0.2">
      <c r="A310" t="str">
        <f>'5. KPI Baselines'!A295</f>
        <v>Meritus Gas Partners</v>
      </c>
      <c r="B310" t="str">
        <f>'5. KPI Baselines'!B295</f>
        <v>Asset Management</v>
      </c>
      <c r="C310" t="str">
        <f>'5. KPI Baselines'!C295</f>
        <v>Incident Analysis</v>
      </c>
      <c r="D310" t="str">
        <f>'5. KPI Baselines'!D295</f>
        <v>Root Cause Analysis Completion Time</v>
      </c>
      <c r="E310" t="str">
        <f>'5. KPI Baselines'!E295</f>
        <v>12 hours</v>
      </c>
      <c r="F310" t="str">
        <f>'5. KPI Baselines'!F295</f>
        <v>6 hours</v>
      </c>
      <c r="G310" t="str">
        <f>'5. KPI Baselines'!G295</f>
        <v>4 hours</v>
      </c>
      <c r="H310" t="str">
        <f>'5. KPI Baselines'!H295</f>
        <v>↓</v>
      </c>
      <c r="I310" t="str">
        <f>'5. KPI Baselines'!I295</f>
        <v>9 months</v>
      </c>
      <c r="J310" t="str">
        <f>'5. KPI Baselines'!J295</f>
        <v>Average engineering hours to complete post-incident analysis and documentation</v>
      </c>
      <c r="K310" s="15" t="str">
        <f t="shared" si="37"/>
        <v>12 hours → 6 hours</v>
      </c>
      <c r="L310" s="34" cm="1">
        <f t="array" ref="L310">IFERROR(_xlfn.LET(_xlpm.e,E310,_xlpm.f,F310,_xlpm.h,H310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310" s="15" cm="1">
        <f t="array" ref="M310">IFERROR(_xlfn.LET(_xlpm.e,E310,_xlpm.f,F310,_xlpm.h,H310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310" s="15" cm="1">
        <f t="array" ref="N310">IFERROR(_xlfn.LET(_xlpm.e,E310,_xlpm.f,F310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10" s="15" t="str">
        <f t="shared" si="38"/>
        <v>4 hours → 6 hours</v>
      </c>
      <c r="P310" s="34" cm="1">
        <f t="array" ref="P310">IFERROR(_xlfn.LET(_xlpm.g,G310,_xlpm.f,F310,_xlpm.h,H310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-0.49998750031249223</v>
      </c>
      <c r="Q310" s="15" t="str" cm="1">
        <f t="array" ref="Q310">IFERROR(_xlfn.LET(_xlpm.e,E310,_xlpm.g,G310,_xlpm.h,H310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0" s="15" t="str">
        <f t="shared" si="39"/>
        <v>🔴 Lagging</v>
      </c>
      <c r="S310" s="35" cm="1">
        <f t="array" ref="S310">IFERROR(_xlfn.LET(_xlpm.e,E310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10" s="36">
        <f t="shared" si="40"/>
        <v>49.999583336805529</v>
      </c>
      <c r="U310" s="15">
        <f t="shared" si="41"/>
        <v>231</v>
      </c>
      <c r="V310" s="16">
        <f t="shared" si="42"/>
        <v>837.66801943317137</v>
      </c>
      <c r="W310" s="16">
        <f t="shared" si="43"/>
        <v>2083.1563819111943</v>
      </c>
      <c r="X310" s="37">
        <f t="shared" si="44"/>
        <v>104</v>
      </c>
      <c r="Y310" s="15" t="str">
        <f t="shared" si="45"/>
        <v>⚠️ High</v>
      </c>
    </row>
    <row r="311" spans="1:25" x14ac:dyDescent="0.2">
      <c r="A311" t="str">
        <f>'5. KPI Baselines'!A296</f>
        <v>Meritus Gas Partners</v>
      </c>
      <c r="B311" t="str">
        <f>'5. KPI Baselines'!B296</f>
        <v>Engineering</v>
      </c>
      <c r="C311" t="str">
        <f>'5. KPI Baselines'!C296</f>
        <v>Capital Planning</v>
      </c>
      <c r="D311" t="str">
        <f>'5. KPI Baselines'!D296</f>
        <v>Asset Replacement Timing Accuracy</v>
      </c>
      <c r="E311" t="str">
        <f>'5. KPI Baselines'!E296</f>
        <v>64%</v>
      </c>
      <c r="F311" t="str">
        <f>'5. KPI Baselines'!F296</f>
        <v>78%</v>
      </c>
      <c r="G311" t="str">
        <f>'5. KPI Baselines'!G296</f>
        <v>82%</v>
      </c>
      <c r="H311" t="str">
        <f>'5. KPI Baselines'!H296</f>
        <v>↑</v>
      </c>
      <c r="I311" t="str">
        <f>'5. KPI Baselines'!I296</f>
        <v>18 months</v>
      </c>
      <c r="J311" t="str">
        <f>'5. KPI Baselines'!J296</f>
        <v>Percentage of replaced assets that avoided unplanned failure within 12 months</v>
      </c>
      <c r="K311" s="15" t="str">
        <f t="shared" si="37"/>
        <v>78% - 64%</v>
      </c>
      <c r="L311" s="34" cm="1">
        <f t="array" ref="L311">IFERROR(_xlfn.LET(_xlpm.e,E311,_xlpm.f,F311,_xlpm.h,H311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0.21874965820365905</v>
      </c>
      <c r="M311" s="15" cm="1">
        <f t="array" ref="M311">IFERROR(_xlfn.LET(_xlpm.e,E311,_xlpm.f,F311,_xlpm.h,H311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75.900000000000006</v>
      </c>
      <c r="N311" s="15" cm="1">
        <f t="array" ref="N311">IFERROR(_xlfn.LET(_xlpm.e,E311,_xlpm.f,F311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311" s="15" t="str">
        <f t="shared" si="38"/>
        <v>78% - 82%</v>
      </c>
      <c r="P311" s="34" cm="1">
        <f t="array" ref="P311">IFERROR(_xlfn.LET(_xlpm.g,G311,_xlpm.f,F311,_xlpm.h,H311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-4.8780428316550835E-2</v>
      </c>
      <c r="Q311" s="15" t="str" cm="1">
        <f t="array" ref="Q311">IFERROR(_xlfn.LET(_xlpm.e,E311,_xlpm.g,G311,_xlpm.h,H311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1" s="15" t="str">
        <f t="shared" si="39"/>
        <v>🔴 Lagging</v>
      </c>
      <c r="S311" s="35" cm="1">
        <f t="array" ref="S311">IFERROR(_xlfn.LET(_xlpm.e,E311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64</v>
      </c>
      <c r="T311" s="36">
        <f t="shared" si="40"/>
        <v>21.874965820365905</v>
      </c>
      <c r="U311" s="15">
        <f t="shared" si="41"/>
        <v>452</v>
      </c>
      <c r="V311" s="16">
        <f t="shared" si="42"/>
        <v>1954.5719459813342</v>
      </c>
      <c r="W311" s="16">
        <f t="shared" si="43"/>
        <v>4860.7311353855912</v>
      </c>
      <c r="X311" s="37">
        <f t="shared" si="44"/>
        <v>45</v>
      </c>
      <c r="Y311" s="15" t="str">
        <f t="shared" si="45"/>
        <v>📊 Medium</v>
      </c>
    </row>
    <row r="312" spans="1:25" x14ac:dyDescent="0.2">
      <c r="A312" t="str">
        <f>'5. KPI Baselines'!A297</f>
        <v>Meritus Gas Partners</v>
      </c>
      <c r="B312" t="str">
        <f>'5. KPI Baselines'!B297</f>
        <v>Engineering</v>
      </c>
      <c r="C312" t="str">
        <f>'5. KPI Baselines'!C297</f>
        <v>Design Review</v>
      </c>
      <c r="D312" t="str">
        <f>'5. KPI Baselines'!D297</f>
        <v>Design Package Review Cycle Time</v>
      </c>
      <c r="E312" t="str">
        <f>'5. KPI Baselines'!E297</f>
        <v>8 days</v>
      </c>
      <c r="F312" t="str">
        <f>'5. KPI Baselines'!F297</f>
        <v>5 days</v>
      </c>
      <c r="G312" t="str">
        <f>'5. KPI Baselines'!G297</f>
        <v>4 days</v>
      </c>
      <c r="H312" t="str">
        <f>'5. KPI Baselines'!H297</f>
        <v>↓</v>
      </c>
      <c r="I312" t="str">
        <f>'5. KPI Baselines'!I297</f>
        <v>9 months</v>
      </c>
      <c r="J312" t="str">
        <f>'5. KPI Baselines'!J297</f>
        <v>Average days from design submission to approval or revision request</v>
      </c>
      <c r="K312" s="15" t="str">
        <f t="shared" si="37"/>
        <v>8 days → 5 days</v>
      </c>
      <c r="L312" s="34" cm="1">
        <f t="array" ref="L312">IFERROR(_xlfn.LET(_xlpm.e,E312,_xlpm.f,F312,_xlpm.h,H312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0.37499531255859303</v>
      </c>
      <c r="M312" s="15" cm="1">
        <f t="array" ref="M312">IFERROR(_xlfn.LET(_xlpm.e,E312,_xlpm.f,F312,_xlpm.h,H312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5.5</v>
      </c>
      <c r="N312" s="15" cm="1">
        <f t="array" ref="N312">IFERROR(_xlfn.LET(_xlpm.e,E312,_xlpm.f,F312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312" s="15" t="str">
        <f t="shared" si="38"/>
        <v>4 days → 5 days</v>
      </c>
      <c r="P312" s="34" cm="1">
        <f t="array" ref="P312">IFERROR(_xlfn.LET(_xlpm.g,G312,_xlpm.f,F312,_xlpm.h,H312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-0.24999375015624611</v>
      </c>
      <c r="Q312" s="15" t="str" cm="1">
        <f t="array" ref="Q312">IFERROR(_xlfn.LET(_xlpm.e,E312,_xlpm.g,G312,_xlpm.h,H312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2" s="15" t="str">
        <f t="shared" si="39"/>
        <v>🔴 Lagging</v>
      </c>
      <c r="S312" s="35" cm="1">
        <f t="array" ref="S312">IFERROR(_xlfn.LET(_xlpm.e,E312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312" s="36">
        <f t="shared" si="40"/>
        <v>37.499531255859303</v>
      </c>
      <c r="U312" s="15">
        <f t="shared" si="41"/>
        <v>332</v>
      </c>
      <c r="V312" s="16">
        <f t="shared" si="42"/>
        <v>418.83226459669248</v>
      </c>
      <c r="W312" s="16">
        <f t="shared" si="43"/>
        <v>1041.5738511007162</v>
      </c>
      <c r="X312" s="37">
        <f t="shared" si="44"/>
        <v>206</v>
      </c>
      <c r="Y312" s="15" t="str">
        <f t="shared" si="45"/>
        <v>⚠️ High</v>
      </c>
    </row>
    <row r="313" spans="1:25" x14ac:dyDescent="0.2">
      <c r="A313" t="str">
        <f>'5. KPI Baselines'!A298</f>
        <v>Meritus Gas Partners</v>
      </c>
      <c r="B313" t="str">
        <f>'5. KPI Baselines'!B298</f>
        <v>Training &amp; Development</v>
      </c>
      <c r="C313" t="str">
        <f>'5. KPI Baselines'!C298</f>
        <v>Field Technician Onboarding</v>
      </c>
      <c r="D313" t="str">
        <f>'5. KPI Baselines'!D298</f>
        <v>Time to Full Productivity</v>
      </c>
      <c r="E313" t="str">
        <f>'5. KPI Baselines'!E298</f>
        <v>180 days</v>
      </c>
      <c r="F313" t="str">
        <f>'5. KPI Baselines'!F298</f>
        <v>140 days</v>
      </c>
      <c r="G313" t="str">
        <f>'5. KPI Baselines'!G298</f>
        <v>120 days</v>
      </c>
      <c r="H313" t="str">
        <f>'5. KPI Baselines'!H298</f>
        <v>↓</v>
      </c>
      <c r="I313" t="str">
        <f>'5. KPI Baselines'!I298</f>
        <v>12 months</v>
      </c>
      <c r="J313" t="str">
        <f>'5. KPI Baselines'!J298</f>
        <v>Days from hire date to independent completion of standard service calls</v>
      </c>
      <c r="K313" s="15" t="str">
        <f t="shared" si="37"/>
        <v>180 days → 140 days</v>
      </c>
      <c r="L313" s="34" cm="1">
        <f t="array" ref="L313">IFERROR(_xlfn.LET(_xlpm.e,E313,_xlpm.f,F313,_xlpm.h,H313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0.22222209876550067</v>
      </c>
      <c r="M313" s="15" cm="1">
        <f t="array" ref="M313">IFERROR(_xlfn.LET(_xlpm.e,E313,_xlpm.f,F313,_xlpm.h,H313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146</v>
      </c>
      <c r="N313" s="15" cm="1">
        <f t="array" ref="N313">IFERROR(_xlfn.LET(_xlpm.e,E313,_xlpm.f,F313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30.6</v>
      </c>
      <c r="O313" s="15" t="str">
        <f t="shared" si="38"/>
        <v>120 days → 140 days</v>
      </c>
      <c r="P313" s="34" cm="1">
        <f t="array" ref="P313">IFERROR(_xlfn.LET(_xlpm.g,G313,_xlpm.f,F313,_xlpm.h,H313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-0.16666652777789351</v>
      </c>
      <c r="Q313" s="15" t="str" cm="1">
        <f t="array" ref="Q313">IFERROR(_xlfn.LET(_xlpm.e,E313,_xlpm.g,G313,_xlpm.h,H313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3" s="15" t="str">
        <f t="shared" si="39"/>
        <v>🔴 Lagging</v>
      </c>
      <c r="S313" s="35" cm="1">
        <f t="array" ref="S313">IFERROR(_xlfn.LET(_xlpm.e,E313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180</v>
      </c>
      <c r="T313" s="36">
        <f t="shared" si="40"/>
        <v>22.222209876550068</v>
      </c>
      <c r="U313" s="15">
        <f t="shared" si="41"/>
        <v>447</v>
      </c>
      <c r="V313" s="16">
        <f t="shared" si="42"/>
        <v>5584.4968975017227</v>
      </c>
      <c r="W313" s="16">
        <f t="shared" si="43"/>
        <v>13887.817228197384</v>
      </c>
      <c r="X313" s="37">
        <f t="shared" si="44"/>
        <v>16</v>
      </c>
      <c r="Y313" s="15" t="str">
        <f t="shared" si="45"/>
        <v>📊 Medium</v>
      </c>
    </row>
    <row r="314" spans="1:25" x14ac:dyDescent="0.2">
      <c r="A314" t="str">
        <f>'5. KPI Baselines'!A299</f>
        <v>Meritus Gas Partners</v>
      </c>
      <c r="B314" t="str">
        <f>'5. KPI Baselines'!B299</f>
        <v>Procurement</v>
      </c>
      <c r="C314" t="str">
        <f>'5. KPI Baselines'!C299</f>
        <v>Vendor Management</v>
      </c>
      <c r="D314" t="str">
        <f>'5. KPI Baselines'!D299</f>
        <v>Contract Review and Approval Time</v>
      </c>
      <c r="E314" t="str">
        <f>'5. KPI Baselines'!E299</f>
        <v>12 days</v>
      </c>
      <c r="F314" t="str">
        <f>'5. KPI Baselines'!F299</f>
        <v>7 days</v>
      </c>
      <c r="G314" t="str">
        <f>'5. KPI Baselines'!G299</f>
        <v>5 days</v>
      </c>
      <c r="H314" t="str">
        <f>'5. KPI Baselines'!H299</f>
        <v>↓</v>
      </c>
      <c r="I314" t="str">
        <f>'5. KPI Baselines'!I299</f>
        <v>6 months</v>
      </c>
      <c r="J314" t="str">
        <f>'5. KPI Baselines'!J299</f>
        <v>Average days from contract submission to legal and procurement approval</v>
      </c>
      <c r="K314" s="15" t="str">
        <f t="shared" si="37"/>
        <v>12 days → 7 days</v>
      </c>
      <c r="L314" s="34" cm="1">
        <f t="array" ref="L314">IFERROR(_xlfn.LET(_xlpm.e,E314,_xlpm.f,F314,_xlpm.h,H314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314" s="15" cm="1">
        <f t="array" ref="M314">IFERROR(_xlfn.LET(_xlpm.e,E314,_xlpm.f,F314,_xlpm.h,H314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314" s="15" cm="1">
        <f t="array" ref="N314">IFERROR(_xlfn.LET(_xlpm.e,E314,_xlpm.f,F314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314" s="15" t="str">
        <f t="shared" si="38"/>
        <v>5 days → 7 days</v>
      </c>
      <c r="P314" s="34" cm="1">
        <f t="array" ref="P314">IFERROR(_xlfn.LET(_xlpm.g,G314,_xlpm.f,F314,_xlpm.h,H314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-0.39999200015999681</v>
      </c>
      <c r="Q314" s="15" t="str" cm="1">
        <f t="array" ref="Q314">IFERROR(_xlfn.LET(_xlpm.e,E314,_xlpm.g,G314,_xlpm.h,H314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4" s="15" t="str">
        <f t="shared" si="39"/>
        <v>🔴 Lagging</v>
      </c>
      <c r="S314" s="35" cm="1">
        <f t="array" ref="S314">IFERROR(_xlfn.LET(_xlpm.e,E314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14" s="36">
        <f t="shared" si="40"/>
        <v>41.666319447337941</v>
      </c>
      <c r="U314" s="15">
        <f t="shared" si="41"/>
        <v>292</v>
      </c>
      <c r="V314" s="16">
        <f t="shared" si="42"/>
        <v>698.05668286097625</v>
      </c>
      <c r="W314" s="16">
        <f t="shared" si="43"/>
        <v>1735.963651592662</v>
      </c>
      <c r="X314" s="37">
        <f t="shared" si="44"/>
        <v>124</v>
      </c>
      <c r="Y314" s="15" t="str">
        <f t="shared" si="45"/>
        <v>⚠️ High</v>
      </c>
    </row>
    <row r="315" spans="1:25" x14ac:dyDescent="0.2">
      <c r="A315" t="str">
        <f>'5. KPI Baselines'!A300</f>
        <v>Monroe Engineering</v>
      </c>
      <c r="B315" t="str">
        <f>'5. KPI Baselines'!B300</f>
        <v>Engineering</v>
      </c>
      <c r="C315" t="str">
        <f>'5. KPI Baselines'!C300</f>
        <v>Design Engineering</v>
      </c>
      <c r="D315" t="str">
        <f>'5. KPI Baselines'!D300</f>
        <v>Engineering Change Order Processing Time</v>
      </c>
      <c r="E315" t="str">
        <f>'5. KPI Baselines'!E300</f>
        <v>19 days average</v>
      </c>
      <c r="F315" t="str">
        <f>'5. KPI Baselines'!F300</f>
        <v>8 days</v>
      </c>
      <c r="G315" t="str">
        <f>'5. KPI Baselines'!G300</f>
        <v>7 days (aerospace sector median)</v>
      </c>
      <c r="H315" t="str">
        <f>'5. KPI Baselines'!H300</f>
        <v>↓</v>
      </c>
      <c r="I315" t="str">
        <f>'5. KPI Baselines'!I300</f>
        <v>12 months</v>
      </c>
      <c r="J315" t="str">
        <f>'5. KPI Baselines'!J300</f>
        <v>ECO submission to manufacturing release timestamp delta</v>
      </c>
      <c r="K315" s="15" t="str">
        <f t="shared" si="37"/>
        <v>19 days average → 8 days</v>
      </c>
      <c r="L315" s="34" cm="1">
        <f t="array" ref="L315">IFERROR(_xlfn.LET(_xlpm.e,E315,_xlpm.f,F315,_xlpm.h,H315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0.57894432134567708</v>
      </c>
      <c r="M315" s="15" cm="1">
        <f t="array" ref="M315">IFERROR(_xlfn.LET(_xlpm.e,E315,_xlpm.f,F315,_xlpm.h,H315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9.6999999999999993</v>
      </c>
      <c r="N315" s="15" cm="1">
        <f t="array" ref="N315">IFERROR(_xlfn.LET(_xlpm.e,E315,_xlpm.f,F315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15" s="15" t="str">
        <f t="shared" si="38"/>
        <v>7 days (aerospace sector median) → 8 days</v>
      </c>
      <c r="P315" s="34" cm="1">
        <f t="array" ref="P315">IFERROR(_xlfn.LET(_xlpm.g,G315,_xlpm.f,F315,_xlpm.h,H315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-0.14285510206997043</v>
      </c>
      <c r="Q315" s="15" t="str" cm="1">
        <f t="array" ref="Q315">IFERROR(_xlfn.LET(_xlpm.e,E315,_xlpm.g,G315,_xlpm.h,H315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5" s="15" t="str">
        <f t="shared" si="39"/>
        <v>🔴 Lagging</v>
      </c>
      <c r="S315" s="35" cm="1">
        <f t="array" ref="S315">IFERROR(_xlfn.LET(_xlpm.e,E315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315" s="36">
        <f t="shared" si="40"/>
        <v>57.894432134567708</v>
      </c>
      <c r="U315" s="15">
        <f t="shared" si="41"/>
        <v>168</v>
      </c>
      <c r="V315" s="16">
        <f t="shared" si="42"/>
        <v>1535.7294172135935</v>
      </c>
      <c r="W315" s="16">
        <f t="shared" si="43"/>
        <v>3819.1317588106676</v>
      </c>
      <c r="X315" s="37">
        <f t="shared" si="44"/>
        <v>57</v>
      </c>
      <c r="Y315" s="15" t="str">
        <f t="shared" si="45"/>
        <v>🔥 Critical</v>
      </c>
    </row>
    <row r="316" spans="1:25" x14ac:dyDescent="0.2">
      <c r="A316" t="str">
        <f>'5. KPI Baselines'!A301</f>
        <v>Monroe Engineering</v>
      </c>
      <c r="B316" t="str">
        <f>'5. KPI Baselines'!B301</f>
        <v>Engineering</v>
      </c>
      <c r="C316" t="str">
        <f>'5. KPI Baselines'!C301</f>
        <v>Technical Documentation</v>
      </c>
      <c r="D316" t="str">
        <f>'5. KPI Baselines'!D301</f>
        <v>Engineering Hours per Drawing Package</v>
      </c>
      <c r="E316" t="str">
        <f>'5. KPI Baselines'!E301</f>
        <v>14.2 hours</v>
      </c>
      <c r="F316" t="str">
        <f>'5. KPI Baselines'!F301</f>
        <v>6.5 hours</v>
      </c>
      <c r="G316" t="str">
        <f>'5. KPI Baselines'!G301</f>
        <v>5.8 hours (with CAD automation)</v>
      </c>
      <c r="H316" t="str">
        <f>'5. KPI Baselines'!H301</f>
        <v>↓</v>
      </c>
      <c r="I316" t="str">
        <f>'5. KPI Baselines'!I301</f>
        <v>18 months</v>
      </c>
      <c r="J316" t="str">
        <f>'5. KPI Baselines'!J301</f>
        <v>Time tracking system aggregation per released package</v>
      </c>
      <c r="K316" s="15" t="str">
        <f t="shared" si="37"/>
        <v>14.2 hours → 6.5 hours</v>
      </c>
      <c r="L316" s="34" cm="1">
        <f t="array" ref="L316">IFERROR(_xlfn.LET(_xlpm.e,E316,_xlpm.f,F316,_xlpm.h,H316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0.54224970246688398</v>
      </c>
      <c r="M316" s="15" cm="1">
        <f t="array" ref="M316">IFERROR(_xlfn.LET(_xlpm.e,E316,_xlpm.f,F316,_xlpm.h,H316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7.7</v>
      </c>
      <c r="N316" s="15" cm="1">
        <f t="array" ref="N316">IFERROR(_xlfn.LET(_xlpm.e,E316,_xlpm.f,F316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5.89</v>
      </c>
      <c r="O316" s="15" t="str">
        <f t="shared" si="38"/>
        <v>5.8 hours (with CAD automation) → 6.5 hours</v>
      </c>
      <c r="P316" s="34" cm="1">
        <f t="array" ref="P316">IFERROR(_xlfn.LET(_xlpm.g,G316,_xlpm.f,F316,_xlpm.h,H316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-0.12068757435216639</v>
      </c>
      <c r="Q316" s="15" t="str" cm="1">
        <f t="array" ref="Q316">IFERROR(_xlfn.LET(_xlpm.e,E316,_xlpm.g,G316,_xlpm.h,H316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6" s="15" t="str">
        <f t="shared" si="39"/>
        <v>🔴 Lagging</v>
      </c>
      <c r="S316" s="35" cm="1">
        <f t="array" ref="S316">IFERROR(_xlfn.LET(_xlpm.e,E316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14.2</v>
      </c>
      <c r="T316" s="36">
        <f t="shared" si="40"/>
        <v>54.2249702466884</v>
      </c>
      <c r="U316" s="15">
        <f t="shared" si="41"/>
        <v>201</v>
      </c>
      <c r="V316" s="16">
        <f t="shared" si="42"/>
        <v>1075.0086795163411</v>
      </c>
      <c r="W316" s="16">
        <f t="shared" si="43"/>
        <v>2673.387474980535</v>
      </c>
      <c r="X316" s="37">
        <f t="shared" si="44"/>
        <v>81</v>
      </c>
      <c r="Y316" s="15" t="str">
        <f t="shared" si="45"/>
        <v>🔥 Critical</v>
      </c>
    </row>
    <row r="317" spans="1:25" x14ac:dyDescent="0.2">
      <c r="A317" t="str">
        <f>'5. KPI Baselines'!A302</f>
        <v>Monroe Engineering</v>
      </c>
      <c r="B317" t="str">
        <f>'5. KPI Baselines'!B302</f>
        <v>Manufacturing</v>
      </c>
      <c r="C317" t="str">
        <f>'5. KPI Baselines'!C302</f>
        <v>Production Planning</v>
      </c>
      <c r="D317" t="str">
        <f>'5. KPI Baselines'!D302</f>
        <v>Order-to-Delivery Cycle Time</v>
      </c>
      <c r="E317" t="str">
        <f>'5. KPI Baselines'!E302</f>
        <v>47 days</v>
      </c>
      <c r="F317" t="str">
        <f>'5. KPI Baselines'!F302</f>
        <v>34 days</v>
      </c>
      <c r="G317" t="str">
        <f>'5. KPI Baselines'!G302</f>
        <v>31 days (precision manufacturing)</v>
      </c>
      <c r="H317" t="str">
        <f>'5. KPI Baselines'!H302</f>
        <v>↓</v>
      </c>
      <c r="I317" t="str">
        <f>'5. KPI Baselines'!I302</f>
        <v>24 months</v>
      </c>
      <c r="J317" t="str">
        <f>'5. KPI Baselines'!J302</f>
        <v>ERP order entry to shipping confirmation</v>
      </c>
      <c r="K317" s="15" t="str">
        <f t="shared" si="37"/>
        <v>47 days → 34 days</v>
      </c>
      <c r="L317" s="34" cm="1">
        <f t="array" ref="L317">IFERROR(_xlfn.LET(_xlpm.e,E317,_xlpm.f,F317,_xlpm.h,H317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0.27659515618051872</v>
      </c>
      <c r="M317" s="15" cm="1">
        <f t="array" ref="M317">IFERROR(_xlfn.LET(_xlpm.e,E317,_xlpm.f,F317,_xlpm.h,H317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36</v>
      </c>
      <c r="N317" s="15" cm="1">
        <f t="array" ref="N317">IFERROR(_xlfn.LET(_xlpm.e,E317,_xlpm.f,F317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317" s="15" t="str">
        <f t="shared" si="38"/>
        <v>31 days (precision manufacturing) → 34 days</v>
      </c>
      <c r="P317" s="34" cm="1">
        <f t="array" ref="P317">IFERROR(_xlfn.LET(_xlpm.g,G317,_xlpm.f,F317,_xlpm.h,H317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-9.6773881374576209E-2</v>
      </c>
      <c r="Q317" s="15" t="str" cm="1">
        <f t="array" ref="Q317">IFERROR(_xlfn.LET(_xlpm.e,E317,_xlpm.g,G317,_xlpm.h,H317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7" s="15" t="str">
        <f t="shared" si="39"/>
        <v>🔴 Lagging</v>
      </c>
      <c r="S317" s="35" cm="1">
        <f t="array" ref="S317">IFERROR(_xlfn.LET(_xlpm.e,E317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317" s="36">
        <f t="shared" si="40"/>
        <v>27.659515618051874</v>
      </c>
      <c r="U317" s="15">
        <f t="shared" si="41"/>
        <v>406</v>
      </c>
      <c r="V317" s="16">
        <f t="shared" si="42"/>
        <v>1814.9586383858752</v>
      </c>
      <c r="W317" s="16">
        <f t="shared" si="43"/>
        <v>4513.5335034239306</v>
      </c>
      <c r="X317" s="37">
        <f t="shared" si="44"/>
        <v>48</v>
      </c>
      <c r="Y317" s="15" t="str">
        <f t="shared" si="45"/>
        <v>⚠️ High</v>
      </c>
    </row>
    <row r="318" spans="1:25" x14ac:dyDescent="0.2">
      <c r="A318" t="str">
        <f>'5. KPI Baselines'!A303</f>
        <v>Monroe Engineering</v>
      </c>
      <c r="B318" t="str">
        <f>'5. KPI Baselines'!B303</f>
        <v>Quality</v>
      </c>
      <c r="C318" t="str">
        <f>'5. KPI Baselines'!C303</f>
        <v>Inspection &amp; Compliance</v>
      </c>
      <c r="D318" t="str">
        <f>'5. KPI Baselines'!D303</f>
        <v>Quality Documentation Hours per Order</v>
      </c>
      <c r="E318" t="str">
        <f>'5. KPI Baselines'!E303</f>
        <v>3.7 hours</v>
      </c>
      <c r="F318" t="str">
        <f>'5. KPI Baselines'!F303</f>
        <v>1.8 hours</v>
      </c>
      <c r="G318" t="str">
        <f>'5. KPI Baselines'!G303</f>
        <v>1.4 hours (with digital inspection)</v>
      </c>
      <c r="H318" t="str">
        <f>'5. KPI Baselines'!H303</f>
        <v>↓</v>
      </c>
      <c r="I318" t="str">
        <f>'5. KPI Baselines'!I303</f>
        <v>15 months</v>
      </c>
      <c r="J318" t="str">
        <f>'5. KPI Baselines'!J303</f>
        <v>Labor tracking per manufacturing order completion</v>
      </c>
      <c r="K318" s="15" t="str">
        <f t="shared" si="37"/>
        <v>3.7 hours → 1.8 hours</v>
      </c>
      <c r="L318" s="34" cm="1">
        <f t="array" ref="L318">IFERROR(_xlfn.LET(_xlpm.e,E318,_xlpm.f,F318,_xlpm.h,H318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0.51349963514499608</v>
      </c>
      <c r="M318" s="15" cm="1">
        <f t="array" ref="M318">IFERROR(_xlfn.LET(_xlpm.e,E318,_xlpm.f,F318,_xlpm.h,H318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2.1</v>
      </c>
      <c r="N318" s="15" cm="1">
        <f t="array" ref="N318">IFERROR(_xlfn.LET(_xlpm.e,E318,_xlpm.f,F318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1.45</v>
      </c>
      <c r="O318" s="15" t="str">
        <f t="shared" si="38"/>
        <v>1.4 hours (with digital inspection) → 1.8 hours</v>
      </c>
      <c r="P318" s="34" cm="1">
        <f t="array" ref="P318">IFERROR(_xlfn.LET(_xlpm.g,G318,_xlpm.f,F318,_xlpm.h,H318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-0.28569387900864235</v>
      </c>
      <c r="Q318" s="15" t="str" cm="1">
        <f t="array" ref="Q318">IFERROR(_xlfn.LET(_xlpm.e,E318,_xlpm.g,G318,_xlpm.h,H318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8" s="15" t="str">
        <f t="shared" si="39"/>
        <v>🔴 Lagging</v>
      </c>
      <c r="S318" s="35" cm="1">
        <f t="array" ref="S318">IFERROR(_xlfn.LET(_xlpm.e,E318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3.7</v>
      </c>
      <c r="T318" s="36">
        <f t="shared" si="40"/>
        <v>51.349963514499606</v>
      </c>
      <c r="U318" s="15">
        <f t="shared" si="41"/>
        <v>214</v>
      </c>
      <c r="V318" s="16">
        <f t="shared" si="42"/>
        <v>265.25658090321883</v>
      </c>
      <c r="W318" s="16">
        <f t="shared" si="43"/>
        <v>659.65385634083771</v>
      </c>
      <c r="X318" s="37">
        <f t="shared" si="44"/>
        <v>321</v>
      </c>
      <c r="Y318" s="15" t="str">
        <f t="shared" si="45"/>
        <v>🔥 Critical</v>
      </c>
    </row>
    <row r="319" spans="1:25" x14ac:dyDescent="0.2">
      <c r="A319" t="str">
        <f>'5. KPI Baselines'!A304</f>
        <v>Monroe Engineering</v>
      </c>
      <c r="B319" t="str">
        <f>'5. KPI Baselines'!B304</f>
        <v>Quality</v>
      </c>
      <c r="C319" t="str">
        <f>'5. KPI Baselines'!C304</f>
        <v>First Article Inspection</v>
      </c>
      <c r="D319" t="str">
        <f>'5. KPI Baselines'!D304</f>
        <v>FAI Report Completion Time</v>
      </c>
      <c r="E319" t="str">
        <f>'5. KPI Baselines'!E304</f>
        <v>6.8 days</v>
      </c>
      <c r="F319" t="str">
        <f>'5. KPI Baselines'!F304</f>
        <v>3.2 days</v>
      </c>
      <c r="G319" t="str">
        <f>'5. KPI Baselines'!G304</f>
        <v>2.9 days (AS9102 digital workflows)</v>
      </c>
      <c r="H319" t="str">
        <f>'5. KPI Baselines'!H304</f>
        <v>↓</v>
      </c>
      <c r="I319" t="str">
        <f>'5. KPI Baselines'!I304</f>
        <v>12 months</v>
      </c>
      <c r="J319" t="str">
        <f>'5. KPI Baselines'!J304</f>
        <v>Inspection completion to customer submission</v>
      </c>
      <c r="K319" s="15" t="str">
        <f t="shared" si="37"/>
        <v>6.8 days → 3.2 days</v>
      </c>
      <c r="L319" s="34" cm="1">
        <f t="array" ref="L319">IFERROR(_xlfn.LET(_xlpm.e,E319,_xlpm.f,F319,_xlpm.h,H319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0.52940397935324479</v>
      </c>
      <c r="M319" s="15" cm="1">
        <f t="array" ref="M319">IFERROR(_xlfn.LET(_xlpm.e,E319,_xlpm.f,F319,_xlpm.h,H319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3.7</v>
      </c>
      <c r="N319" s="15" cm="1">
        <f t="array" ref="N319">IFERROR(_xlfn.LET(_xlpm.e,E319,_xlpm.f,F319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2.75</v>
      </c>
      <c r="O319" s="15" t="str">
        <f t="shared" si="38"/>
        <v>2.9 days (AS9102 digital workflows) → 3.2 days</v>
      </c>
      <c r="P319" s="34" cm="1">
        <f t="array" ref="P319">IFERROR(_xlfn.LET(_xlpm.g,G319,_xlpm.f,F319,_xlpm.h,H319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-0.10344470880314481</v>
      </c>
      <c r="Q319" s="15" t="str" cm="1">
        <f t="array" ref="Q319">IFERROR(_xlfn.LET(_xlpm.e,E319,_xlpm.g,G319,_xlpm.h,H319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19" s="15" t="str">
        <f t="shared" si="39"/>
        <v>🔴 Lagging</v>
      </c>
      <c r="S319" s="35" cm="1">
        <f t="array" ref="S319">IFERROR(_xlfn.LET(_xlpm.e,E319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6.8</v>
      </c>
      <c r="T319" s="36">
        <f t="shared" si="40"/>
        <v>52.940397935324476</v>
      </c>
      <c r="U319" s="15">
        <f t="shared" si="41"/>
        <v>207</v>
      </c>
      <c r="V319" s="16">
        <f t="shared" si="42"/>
        <v>502.59760885869315</v>
      </c>
      <c r="W319" s="16">
        <f t="shared" si="43"/>
        <v>1249.8858642541516</v>
      </c>
      <c r="X319" s="37">
        <f t="shared" si="44"/>
        <v>172</v>
      </c>
      <c r="Y319" s="15" t="str">
        <f t="shared" si="45"/>
        <v>🔥 Critical</v>
      </c>
    </row>
    <row r="320" spans="1:25" x14ac:dyDescent="0.2">
      <c r="A320" t="str">
        <f>'5. KPI Baselines'!A305</f>
        <v>Monroe Engineering</v>
      </c>
      <c r="B320" t="str">
        <f>'5. KPI Baselines'!B305</f>
        <v>Supply Chain</v>
      </c>
      <c r="C320" t="str">
        <f>'5. KPI Baselines'!C305</f>
        <v>Procurement</v>
      </c>
      <c r="D320" t="str">
        <f>'5. KPI Baselines'!D305</f>
        <v>Supplier Disruption Response Time</v>
      </c>
      <c r="E320" t="str">
        <f>'5. KPI Baselines'!E305</f>
        <v>8.3 days</v>
      </c>
      <c r="F320" t="str">
        <f>'5. KPI Baselines'!F305</f>
        <v>2.1 days</v>
      </c>
      <c r="G320" t="str">
        <f>'5. KPI Baselines'!G305</f>
        <v>2.5 days (with supplier risk monitoring)</v>
      </c>
      <c r="H320" t="str">
        <f>'5. KPI Baselines'!H305</f>
        <v>↓</v>
      </c>
      <c r="I320" t="str">
        <f>'5. KPI Baselines'!I305</f>
        <v>9 months</v>
      </c>
      <c r="J320" t="str">
        <f>'5. KPI Baselines'!J305</f>
        <v>Alert detection to alternative sourcing confirmation</v>
      </c>
      <c r="K320" s="15" t="str">
        <f t="shared" si="37"/>
        <v>8.3 days → 2.1 days</v>
      </c>
      <c r="L320" s="34" cm="1">
        <f t="array" ref="L320">IFERROR(_xlfn.LET(_xlpm.e,E320,_xlpm.f,F320,_xlpm.h,H320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0.74697895206081866</v>
      </c>
      <c r="M320" s="15" cm="1">
        <f t="array" ref="M320">IFERROR(_xlfn.LET(_xlpm.e,E320,_xlpm.f,F320,_xlpm.h,H320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</v>
      </c>
      <c r="N320" s="15" cm="1">
        <f t="array" ref="N320">IFERROR(_xlfn.LET(_xlpm.e,E320,_xlpm.f,F320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4.74</v>
      </c>
      <c r="O320" s="15" t="str">
        <f t="shared" si="38"/>
        <v>2.5 days (with supplier risk monitoring) → 2.1 days</v>
      </c>
      <c r="P320" s="34" cm="1">
        <f t="array" ref="P320">IFERROR(_xlfn.LET(_xlpm.g,G320,_xlpm.f,F320,_xlpm.h,H320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0.15999360025598972</v>
      </c>
      <c r="Q320" s="15" t="str" cm="1">
        <f t="array" ref="Q320">IFERROR(_xlfn.LET(_xlpm.e,E320,_xlpm.g,G320,_xlpm.h,H320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0" s="15" t="str">
        <f t="shared" si="39"/>
        <v>🔴 Lagging</v>
      </c>
      <c r="S320" s="35" cm="1">
        <f t="array" ref="S320">IFERROR(_xlfn.LET(_xlpm.e,E320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8.3000000000000007</v>
      </c>
      <c r="T320" s="36">
        <f t="shared" si="40"/>
        <v>74.697895206081867</v>
      </c>
      <c r="U320" s="15">
        <f t="shared" si="41"/>
        <v>65</v>
      </c>
      <c r="V320" s="16">
        <f t="shared" si="42"/>
        <v>865.58707124010573</v>
      </c>
      <c r="W320" s="16">
        <f t="shared" si="43"/>
        <v>2152.5869314836609</v>
      </c>
      <c r="X320" s="37">
        <f t="shared" si="44"/>
        <v>100</v>
      </c>
      <c r="Y320" s="15" t="str">
        <f t="shared" si="45"/>
        <v>🔥 Critical</v>
      </c>
    </row>
    <row r="321" spans="1:25" x14ac:dyDescent="0.2">
      <c r="A321" t="str">
        <f>'5. KPI Baselines'!A306</f>
        <v>Monroe Engineering</v>
      </c>
      <c r="B321" t="str">
        <f>'5. KPI Baselines'!B306</f>
        <v>Supply Chain</v>
      </c>
      <c r="C321" t="str">
        <f>'5. KPI Baselines'!C306</f>
        <v>Inventory Management</v>
      </c>
      <c r="D321" t="str">
        <f>'5. KPI Baselines'!D306</f>
        <v>Work-in-Process Inventory Days</v>
      </c>
      <c r="E321" t="str">
        <f>'5. KPI Baselines'!E306</f>
        <v>79 days</v>
      </c>
      <c r="F321" t="str">
        <f>'5. KPI Baselines'!F306</f>
        <v>58 days</v>
      </c>
      <c r="G321" t="str">
        <f>'5. KPI Baselines'!G306</f>
        <v>52 days (lean manufacturing)</v>
      </c>
      <c r="H321" t="str">
        <f>'5. KPI Baselines'!H306</f>
        <v>↓</v>
      </c>
      <c r="I321" t="str">
        <f>'5. KPI Baselines'!I306</f>
        <v>18 months</v>
      </c>
      <c r="J321" t="str">
        <f>'5. KPI Baselines'!J306</f>
        <v>Average WIP value divided by daily COGS</v>
      </c>
      <c r="K321" s="15" t="str">
        <f t="shared" si="37"/>
        <v>79 days → 58 days</v>
      </c>
      <c r="L321" s="34" cm="1">
        <f t="array" ref="L321">IFERROR(_xlfn.LET(_xlpm.e,E321,_xlpm.f,F321,_xlpm.h,H321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0.26582244832601476</v>
      </c>
      <c r="M321" s="15" cm="1">
        <f t="array" ref="M321">IFERROR(_xlfn.LET(_xlpm.e,E321,_xlpm.f,F321,_xlpm.h,H321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61.2</v>
      </c>
      <c r="N321" s="15" cm="1">
        <f t="array" ref="N321">IFERROR(_xlfn.LET(_xlpm.e,E321,_xlpm.f,F321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16.07</v>
      </c>
      <c r="O321" s="15" t="str">
        <f t="shared" si="38"/>
        <v>52 days (lean manufacturing) → 58 days</v>
      </c>
      <c r="P321" s="34" cm="1">
        <f t="array" ref="P321">IFERROR(_xlfn.LET(_xlpm.g,G321,_xlpm.f,F321,_xlpm.h,H321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-0.11538439349155097</v>
      </c>
      <c r="Q321" s="15" t="str" cm="1">
        <f t="array" ref="Q321">IFERROR(_xlfn.LET(_xlpm.e,E321,_xlpm.g,G321,_xlpm.h,H321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1" s="15" t="str">
        <f t="shared" si="39"/>
        <v>🔴 Lagging</v>
      </c>
      <c r="S321" s="35" cm="1">
        <f t="array" ref="S321">IFERROR(_xlfn.LET(_xlpm.e,E321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79</v>
      </c>
      <c r="T321" s="36">
        <f t="shared" si="40"/>
        <v>26.582244832601475</v>
      </c>
      <c r="U321" s="15">
        <f t="shared" si="41"/>
        <v>413</v>
      </c>
      <c r="V321" s="16">
        <f t="shared" si="42"/>
        <v>2931.8587887863428</v>
      </c>
      <c r="W321" s="16">
        <f t="shared" si="43"/>
        <v>7291.0988661779138</v>
      </c>
      <c r="X321" s="37">
        <f t="shared" si="44"/>
        <v>30</v>
      </c>
      <c r="Y321" s="15" t="str">
        <f t="shared" si="45"/>
        <v>⚠️ High</v>
      </c>
    </row>
    <row r="322" spans="1:25" x14ac:dyDescent="0.2">
      <c r="A322" t="str">
        <f>'5. KPI Baselines'!A307</f>
        <v>Monroe Engineering</v>
      </c>
      <c r="B322" t="str">
        <f>'5. KPI Baselines'!B307</f>
        <v>Customer Service</v>
      </c>
      <c r="C322" t="str">
        <f>'5. KPI Baselines'!C307</f>
        <v>Order Management</v>
      </c>
      <c r="D322" t="str">
        <f>'5. KPI Baselines'!D307</f>
        <v>First-Contact Resolution Rate</v>
      </c>
      <c r="E322" t="str">
        <f>'5. KPI Baselines'!E307</f>
        <v>73%</v>
      </c>
      <c r="F322" t="str">
        <f>'5. KPI Baselines'!F307</f>
        <v>91%</v>
      </c>
      <c r="G322" t="str">
        <f>'5. KPI Baselines'!G307</f>
        <v>88% (B2B manufacturing)</v>
      </c>
      <c r="H322" t="str">
        <f>'5. KPI Baselines'!H307</f>
        <v>↑</v>
      </c>
      <c r="I322" t="str">
        <f>'5. KPI Baselines'!I307</f>
        <v>12 months</v>
      </c>
      <c r="J322" t="str">
        <f>'5. KPI Baselines'!J307</f>
        <v>Cases resolved without escalation or callback</v>
      </c>
      <c r="K322" s="15" t="str">
        <f t="shared" si="37"/>
        <v>91% - 73%</v>
      </c>
      <c r="L322" s="34" cm="1">
        <f t="array" ref="L322">IFERROR(_xlfn.LET(_xlpm.e,E322,_xlpm.f,F322,_xlpm.h,H322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0.24657500469177437</v>
      </c>
      <c r="M322" s="15" cm="1">
        <f t="array" ref="M322">IFERROR(_xlfn.LET(_xlpm.e,E322,_xlpm.f,F322,_xlpm.h,H322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88.3</v>
      </c>
      <c r="N322" s="15" cm="1">
        <f t="array" ref="N322">IFERROR(_xlfn.LET(_xlpm.e,E322,_xlpm.f,F322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322" s="15" t="str">
        <f t="shared" si="38"/>
        <v>91% - 88% (B2B manufacturing)</v>
      </c>
      <c r="P322" s="34" cm="1">
        <f t="array" ref="P322">IFERROR(_xlfn.LET(_xlpm.g,G322,_xlpm.f,F322,_xlpm.h,H322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3.4090870351283692E-2</v>
      </c>
      <c r="Q322" s="15" t="str" cm="1">
        <f t="array" ref="Q322">IFERROR(_xlfn.LET(_xlpm.e,E322,_xlpm.g,G322,_xlpm.h,H322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2" s="15" t="str">
        <f t="shared" si="39"/>
        <v>🔴 Lagging</v>
      </c>
      <c r="S322" s="35" cm="1">
        <f t="array" ref="S322">IFERROR(_xlfn.LET(_xlpm.e,E322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322" s="36">
        <f t="shared" si="40"/>
        <v>24.657500469177439</v>
      </c>
      <c r="U322" s="15">
        <f t="shared" si="41"/>
        <v>427</v>
      </c>
      <c r="V322" s="16">
        <f t="shared" si="42"/>
        <v>2513.0215575047155</v>
      </c>
      <c r="W322" s="16">
        <f t="shared" si="43"/>
        <v>6249.5126636668783</v>
      </c>
      <c r="X322" s="37">
        <f t="shared" si="44"/>
        <v>35</v>
      </c>
      <c r="Y322" s="15" t="str">
        <f t="shared" si="45"/>
        <v>📊 Medium</v>
      </c>
    </row>
    <row r="323" spans="1:25" x14ac:dyDescent="0.2">
      <c r="A323" t="str">
        <f>'5. KPI Baselines'!A308</f>
        <v>Monroe Engineering</v>
      </c>
      <c r="B323" t="str">
        <f>'5. KPI Baselines'!B308</f>
        <v>Sales</v>
      </c>
      <c r="C323" t="str">
        <f>'5. KPI Baselines'!C308</f>
        <v>Quoting &amp; Estimation</v>
      </c>
      <c r="D323" t="str">
        <f>'5. KPI Baselines'!D308</f>
        <v>Quote Preparation Time</v>
      </c>
      <c r="E323" t="str">
        <f>'5. KPI Baselines'!E308</f>
        <v>4.3 days average</v>
      </c>
      <c r="F323" t="str">
        <f>'5. KPI Baselines'!F308</f>
        <v>2.1 days</v>
      </c>
      <c r="G323" t="str">
        <f>'5. KPI Baselines'!G308</f>
        <v>1.8 days (with configurators)</v>
      </c>
      <c r="H323" t="str">
        <f>'5. KPI Baselines'!H308</f>
        <v>↓</v>
      </c>
      <c r="I323" t="str">
        <f>'5. KPI Baselines'!I308</f>
        <v>15 months</v>
      </c>
      <c r="J323" t="str">
        <f>'5. KPI Baselines'!J308</f>
        <v>RFQ receipt to quote delivery timestamp</v>
      </c>
      <c r="K323" s="15" t="str">
        <f t="shared" si="37"/>
        <v>4.3 days average → 2.1 days</v>
      </c>
      <c r="L323" s="34" cm="1">
        <f t="array" ref="L323">IFERROR(_xlfn.LET(_xlpm.e,E323,_xlpm.f,F323,_xlpm.h,H323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0.5116160089300249</v>
      </c>
      <c r="M323" s="15" cm="1">
        <f t="array" ref="M323">IFERROR(_xlfn.LET(_xlpm.e,E323,_xlpm.f,F323,_xlpm.h,H323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2.4</v>
      </c>
      <c r="N323" s="15" cm="1">
        <f t="array" ref="N323">IFERROR(_xlfn.LET(_xlpm.e,E323,_xlpm.f,F323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1.68</v>
      </c>
      <c r="O323" s="15" t="str">
        <f t="shared" si="38"/>
        <v>1.8 days (with configurators) → 2.1 days</v>
      </c>
      <c r="P323" s="34" cm="1">
        <f t="array" ref="P323">IFERROR(_xlfn.LET(_xlpm.g,G323,_xlpm.f,F323,_xlpm.h,H323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-0.16665740792178216</v>
      </c>
      <c r="Q323" s="15" t="str" cm="1">
        <f t="array" ref="Q323">IFERROR(_xlfn.LET(_xlpm.e,E323,_xlpm.g,G323,_xlpm.h,H323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3" s="15" t="str">
        <f t="shared" si="39"/>
        <v>🔴 Lagging</v>
      </c>
      <c r="S323" s="35" cm="1">
        <f t="array" ref="S323">IFERROR(_xlfn.LET(_xlpm.e,E323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4.3</v>
      </c>
      <c r="T323" s="36">
        <f t="shared" si="40"/>
        <v>51.161600893002493</v>
      </c>
      <c r="U323" s="15">
        <f t="shared" si="41"/>
        <v>216</v>
      </c>
      <c r="V323" s="16">
        <f t="shared" si="42"/>
        <v>307.14035720099531</v>
      </c>
      <c r="W323" s="16">
        <f t="shared" si="43"/>
        <v>763.81260881690105</v>
      </c>
      <c r="X323" s="37">
        <f t="shared" si="44"/>
        <v>279</v>
      </c>
      <c r="Y323" s="15" t="str">
        <f t="shared" si="45"/>
        <v>🔥 Critical</v>
      </c>
    </row>
    <row r="324" spans="1:25" x14ac:dyDescent="0.2">
      <c r="A324" t="str">
        <f>'5. KPI Baselines'!A309</f>
        <v>Monroe Engineering</v>
      </c>
      <c r="B324" t="str">
        <f>'5. KPI Baselines'!B309</f>
        <v>Sales</v>
      </c>
      <c r="C324" t="str">
        <f>'5. KPI Baselines'!C309</f>
        <v>Business Development</v>
      </c>
      <c r="D324" t="str">
        <f>'5. KPI Baselines'!D309</f>
        <v>Quote-to-Order Conversion Rate</v>
      </c>
      <c r="E324" t="str">
        <f>'5. KPI Baselines'!E309</f>
        <v>28%</v>
      </c>
      <c r="F324" t="str">
        <f>'5. KPI Baselines'!F309</f>
        <v>33%</v>
      </c>
      <c r="G324" t="str">
        <f>'5. KPI Baselines'!G309</f>
        <v>37% (precision component sector)</v>
      </c>
      <c r="H324" t="str">
        <f>'5. KPI Baselines'!H309</f>
        <v>↑</v>
      </c>
      <c r="I324" t="str">
        <f>'5. KPI Baselines'!I309</f>
        <v>24 months</v>
      </c>
      <c r="J324" t="str">
        <f>'5. KPI Baselines'!J309</f>
        <v>Orders booked divided by quotes delivered</v>
      </c>
      <c r="K324" s="15" t="str">
        <f t="shared" si="37"/>
        <v>33% - 28%</v>
      </c>
      <c r="L324" s="34" cm="1">
        <f t="array" ref="L324">IFERROR(_xlfn.LET(_xlpm.e,E324,_xlpm.f,F324,_xlpm.h,H324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0.17857079081860422</v>
      </c>
      <c r="M324" s="15" cm="1">
        <f t="array" ref="M324">IFERROR(_xlfn.LET(_xlpm.e,E324,_xlpm.f,F324,_xlpm.h,H324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32.299999999999997</v>
      </c>
      <c r="N324" s="15" cm="1">
        <f t="array" ref="N324">IFERROR(_xlfn.LET(_xlpm.e,E324,_xlpm.f,F324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324" s="15" t="str">
        <f t="shared" si="38"/>
        <v>33% - 37% (precision component sector)</v>
      </c>
      <c r="P324" s="34" cm="1">
        <f t="array" ref="P324">IFERROR(_xlfn.LET(_xlpm.g,G324,_xlpm.f,F324,_xlpm.h,H324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-0.10810781592482181</v>
      </c>
      <c r="Q324" s="15" t="str" cm="1">
        <f t="array" ref="Q324">IFERROR(_xlfn.LET(_xlpm.e,E324,_xlpm.g,G324,_xlpm.h,H324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4" s="15" t="str">
        <f t="shared" si="39"/>
        <v>🔴 Lagging</v>
      </c>
      <c r="S324" s="35" cm="1">
        <f t="array" ref="S324">IFERROR(_xlfn.LET(_xlpm.e,E324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324" s="36">
        <f t="shared" si="40"/>
        <v>17.857079081860423</v>
      </c>
      <c r="U324" s="15">
        <f t="shared" si="41"/>
        <v>484</v>
      </c>
      <c r="V324" s="16">
        <f t="shared" si="42"/>
        <v>698.06000692854661</v>
      </c>
      <c r="W324" s="16">
        <f t="shared" si="43"/>
        <v>1735.9719180567176</v>
      </c>
      <c r="X324" s="37">
        <f t="shared" si="44"/>
        <v>124</v>
      </c>
      <c r="Y324" s="15" t="str">
        <f t="shared" si="45"/>
        <v>📊 Medium</v>
      </c>
    </row>
    <row r="325" spans="1:25" x14ac:dyDescent="0.2">
      <c r="A325" t="str">
        <f>'5. KPI Baselines'!A310</f>
        <v>Monroe Engineering</v>
      </c>
      <c r="B325" t="str">
        <f>'5. KPI Baselines'!B310</f>
        <v>Finance</v>
      </c>
      <c r="C325" t="str">
        <f>'5. KPI Baselines'!C310</f>
        <v>Contract Administration</v>
      </c>
      <c r="D325" t="str">
        <f>'5. KPI Baselines'!D310</f>
        <v>Invoice Dispute Resolution Time</v>
      </c>
      <c r="E325" t="str">
        <f>'5. KPI Baselines'!E310</f>
        <v>22 days average</v>
      </c>
      <c r="F325" t="str">
        <f>'5. KPI Baselines'!F310</f>
        <v>11 days</v>
      </c>
      <c r="G325" t="str">
        <f>'5. KPI Baselines'!G310</f>
        <v>9 days (with automated reconciliation)</v>
      </c>
      <c r="H325" t="str">
        <f>'5. KPI Baselines'!H310</f>
        <v>↓</v>
      </c>
      <c r="I325" t="str">
        <f>'5. KPI Baselines'!I310</f>
        <v>12 months</v>
      </c>
      <c r="J325" t="str">
        <f>'5. KPI Baselines'!J310</f>
        <v>Dispute filing to payment receipt</v>
      </c>
      <c r="K325" s="15" t="str">
        <f t="shared" si="37"/>
        <v>22 days average → 11 days</v>
      </c>
      <c r="L325" s="34" cm="1">
        <f t="array" ref="L325">IFERROR(_xlfn.LET(_xlpm.e,E325,_xlpm.f,F325,_xlpm.h,H325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0.4999977272830578</v>
      </c>
      <c r="M325" s="15" cm="1">
        <f t="array" ref="M325">IFERROR(_xlfn.LET(_xlpm.e,E325,_xlpm.f,F325,_xlpm.h,H325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12.7</v>
      </c>
      <c r="N325" s="15" cm="1">
        <f t="array" ref="N325">IFERROR(_xlfn.LET(_xlpm.e,E325,_xlpm.f,F325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25" s="15" t="str">
        <f t="shared" si="38"/>
        <v>9 days (with automated reconciliation) → 11 days</v>
      </c>
      <c r="P325" s="34" cm="1">
        <f t="array" ref="P325">IFERROR(_xlfn.LET(_xlpm.g,G325,_xlpm.f,F325,_xlpm.h,H325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-0.22221975311385431</v>
      </c>
      <c r="Q325" s="15" t="str" cm="1">
        <f t="array" ref="Q325">IFERROR(_xlfn.LET(_xlpm.e,E325,_xlpm.g,G325,_xlpm.h,H325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5" s="15" t="str">
        <f t="shared" si="39"/>
        <v>🔴 Lagging</v>
      </c>
      <c r="S325" s="35" cm="1">
        <f t="array" ref="S325">IFERROR(_xlfn.LET(_xlpm.e,E325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22</v>
      </c>
      <c r="T325" s="36">
        <f t="shared" si="40"/>
        <v>49.999772728305778</v>
      </c>
      <c r="U325" s="15">
        <f t="shared" si="41"/>
        <v>225</v>
      </c>
      <c r="V325" s="16">
        <f t="shared" si="42"/>
        <v>1535.7305194067301</v>
      </c>
      <c r="W325" s="16">
        <f t="shared" si="43"/>
        <v>3819.1344998018635</v>
      </c>
      <c r="X325" s="37">
        <f t="shared" si="44"/>
        <v>57</v>
      </c>
      <c r="Y325" s="15" t="str">
        <f t="shared" si="45"/>
        <v>⚠️ High</v>
      </c>
    </row>
    <row r="326" spans="1:25" x14ac:dyDescent="0.2">
      <c r="A326" t="str">
        <f>'5. KPI Baselines'!A311</f>
        <v>Monroe Engineering</v>
      </c>
      <c r="B326" t="str">
        <f>'5. KPI Baselines'!B311</f>
        <v>Human Resources</v>
      </c>
      <c r="C326" t="str">
        <f>'5. KPI Baselines'!C311</f>
        <v>Talent Development</v>
      </c>
      <c r="D326" t="str">
        <f>'5. KPI Baselines'!D311</f>
        <v>Engineer Onboarding Time to Productivity</v>
      </c>
      <c r="E326" t="str">
        <f>'5. KPI Baselines'!E311</f>
        <v>8.5 months</v>
      </c>
      <c r="F326" t="str">
        <f>'5. KPI Baselines'!F311</f>
        <v>3.2 months</v>
      </c>
      <c r="G326" t="str">
        <f>'5. KPI Baselines'!G311</f>
        <v>4.2 months (with structured knowledge systems)</v>
      </c>
      <c r="H326" t="str">
        <f>'5. KPI Baselines'!H311</f>
        <v>↓</v>
      </c>
      <c r="I326" t="str">
        <f>'5. KPI Baselines'!I311</f>
        <v>18 months</v>
      </c>
      <c r="J326" t="str">
        <f>'5. KPI Baselines'!J311</f>
        <v>Hire date to first independent project delivery</v>
      </c>
      <c r="K326" s="15" t="str">
        <f t="shared" si="37"/>
        <v>8.5 months → 3.2 months</v>
      </c>
      <c r="L326" s="34" cm="1">
        <f t="array" ref="L326">IFERROR(_xlfn.LET(_xlpm.e,E326,_xlpm.f,F326,_xlpm.h,H326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0.62352207621086808</v>
      </c>
      <c r="M326" s="15" cm="1">
        <f t="array" ref="M326">IFERROR(_xlfn.LET(_xlpm.e,E326,_xlpm.f,F326,_xlpm.h,H326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</v>
      </c>
      <c r="N326" s="15" cm="1">
        <f t="array" ref="N326">IFERROR(_xlfn.LET(_xlpm.e,E326,_xlpm.f,F326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4.05</v>
      </c>
      <c r="O326" s="15" t="str">
        <f t="shared" si="38"/>
        <v>4.2 months (with structured knowledge systems) → 3.2 months</v>
      </c>
      <c r="P326" s="34" cm="1">
        <f t="array" ref="P326">IFERROR(_xlfn.LET(_xlpm.g,G326,_xlpm.f,F326,_xlpm.h,H326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0.23808956929596914</v>
      </c>
      <c r="Q326" s="15" t="str" cm="1">
        <f t="array" ref="Q326">IFERROR(_xlfn.LET(_xlpm.e,E326,_xlpm.g,G326,_xlpm.h,H326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6" s="15" t="str">
        <f t="shared" si="39"/>
        <v>🔴 Lagging</v>
      </c>
      <c r="S326" s="35" cm="1">
        <f t="array" ref="S326">IFERROR(_xlfn.LET(_xlpm.e,E326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8.5</v>
      </c>
      <c r="T326" s="36">
        <f t="shared" si="40"/>
        <v>62.352207621086805</v>
      </c>
      <c r="U326" s="15">
        <f t="shared" si="41"/>
        <v>139</v>
      </c>
      <c r="V326" s="16">
        <f t="shared" si="42"/>
        <v>739.93754485241345</v>
      </c>
      <c r="W326" s="16">
        <f t="shared" si="43"/>
        <v>1840.1151566202034</v>
      </c>
      <c r="X326" s="37">
        <f t="shared" si="44"/>
        <v>117</v>
      </c>
      <c r="Y326" s="15" t="str">
        <f t="shared" si="45"/>
        <v>🔥 Critical</v>
      </c>
    </row>
    <row r="327" spans="1:25" x14ac:dyDescent="0.2">
      <c r="A327" t="str">
        <f>'5. KPI Baselines'!A312</f>
        <v>Montway</v>
      </c>
      <c r="B327" t="str">
        <f>'5. KPI Baselines'!B312</f>
        <v>Operations</v>
      </c>
      <c r="C327" t="str">
        <f>'5. KPI Baselines'!C312</f>
        <v>Load Matching</v>
      </c>
      <c r="D327" t="str">
        <f>'5. KPI Baselines'!D312</f>
        <v>Time to Carrier Assignment</v>
      </c>
      <c r="E327" t="str">
        <f>'5. KPI Baselines'!E312</f>
        <v>4.2 days</v>
      </c>
      <c r="F327" t="str">
        <f>'5. KPI Baselines'!F312</f>
        <v>1.2 days</v>
      </c>
      <c r="G327" t="str">
        <f>'5. KPI Baselines'!G312</f>
        <v>2.8 days</v>
      </c>
      <c r="H327" t="str">
        <f>'5. KPI Baselines'!H312</f>
        <v>↓</v>
      </c>
      <c r="I327" t="str">
        <f>'5. KPI Baselines'!I312</f>
        <v>12 months</v>
      </c>
      <c r="J327" t="str">
        <f>'5. KPI Baselines'!J312</f>
        <v>Median time from quote acceptance to confirmed carrier assignment in TMS</v>
      </c>
      <c r="K327" s="15" t="str">
        <f t="shared" si="37"/>
        <v>4.2 days → 1.2 days</v>
      </c>
      <c r="L327" s="34" cm="1">
        <f t="array" ref="L327">IFERROR(_xlfn.LET(_xlpm.e,E327,_xlpm.f,F327,_xlpm.h,H327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0.71426870788790742</v>
      </c>
      <c r="M327" s="15" cm="1">
        <f t="array" ref="M327">IFERROR(_xlfn.LET(_xlpm.e,E327,_xlpm.f,F327,_xlpm.h,H327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1.7</v>
      </c>
      <c r="N327" s="15" cm="1">
        <f t="array" ref="N327">IFERROR(_xlfn.LET(_xlpm.e,E327,_xlpm.f,F327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327" s="15" t="str">
        <f t="shared" si="38"/>
        <v>2.8 days → 1.2 days</v>
      </c>
      <c r="P327" s="34" cm="1">
        <f t="array" ref="P327">IFERROR(_xlfn.LET(_xlpm.g,G327,_xlpm.f,F327,_xlpm.h,H327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0.57140816399414296</v>
      </c>
      <c r="Q327" s="15" t="str" cm="1">
        <f t="array" ref="Q327">IFERROR(_xlfn.LET(_xlpm.e,E327,_xlpm.g,G327,_xlpm.h,H327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7" s="15" t="str">
        <f t="shared" si="39"/>
        <v>🔴 Lagging</v>
      </c>
      <c r="S327" s="35" cm="1">
        <f t="array" ref="S327">IFERROR(_xlfn.LET(_xlpm.e,E327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327" s="36">
        <f t="shared" si="40"/>
        <v>71.426870788790737</v>
      </c>
      <c r="U327" s="15">
        <f t="shared" si="41"/>
        <v>79</v>
      </c>
      <c r="V327" s="16">
        <f t="shared" si="42"/>
        <v>418.82752791600205</v>
      </c>
      <c r="W327" s="16">
        <f t="shared" si="43"/>
        <v>1041.5620716769106</v>
      </c>
      <c r="X327" s="37">
        <f t="shared" si="44"/>
        <v>206</v>
      </c>
      <c r="Y327" s="15" t="str">
        <f t="shared" si="45"/>
        <v>🔥 Critical</v>
      </c>
    </row>
    <row r="328" spans="1:25" x14ac:dyDescent="0.2">
      <c r="A328" t="str">
        <f>'5. KPI Baselines'!A313</f>
        <v>Montway</v>
      </c>
      <c r="B328" t="str">
        <f>'5. KPI Baselines'!B313</f>
        <v>Operations</v>
      </c>
      <c r="C328" t="str">
        <f>'5. KPI Baselines'!C313</f>
        <v>Load Matching</v>
      </c>
      <c r="D328" t="str">
        <f>'5. KPI Baselines'!D313</f>
        <v>Quote Abandonment Rate</v>
      </c>
      <c r="E328" t="str">
        <f>'5. KPI Baselines'!E313</f>
        <v>12%</v>
      </c>
      <c r="F328" t="str">
        <f>'5. KPI Baselines'!F313</f>
        <v>6%</v>
      </c>
      <c r="G328" t="str">
        <f>'5. KPI Baselines'!G313</f>
        <v>8%</v>
      </c>
      <c r="H328" t="str">
        <f>'5. KPI Baselines'!H313</f>
        <v>↓</v>
      </c>
      <c r="I328" t="str">
        <f>'5. KPI Baselines'!I313</f>
        <v>12 months</v>
      </c>
      <c r="J328" t="str">
        <f>'5. KPI Baselines'!J313</f>
        <v>Percentage of accepted quotes not converted to booked shipments within 7 days</v>
      </c>
      <c r="K328" s="15" t="str">
        <f t="shared" si="37"/>
        <v>12% → 6%</v>
      </c>
      <c r="L328" s="34" cm="1">
        <f t="array" ref="L328">IFERROR(_xlfn.LET(_xlpm.e,E328,_xlpm.f,F328,_xlpm.h,H328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328" s="15" cm="1">
        <f t="array" ref="M328">IFERROR(_xlfn.LET(_xlpm.e,E328,_xlpm.f,F328,_xlpm.h,H328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328" s="15" cm="1">
        <f t="array" ref="N328">IFERROR(_xlfn.LET(_xlpm.e,E328,_xlpm.f,F328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28" s="15" t="str">
        <f t="shared" si="38"/>
        <v>8% → 6%</v>
      </c>
      <c r="P328" s="34" cm="1">
        <f t="array" ref="P328">IFERROR(_xlfn.LET(_xlpm.g,G328,_xlpm.f,F328,_xlpm.h,H328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0.24999687503906201</v>
      </c>
      <c r="Q328" s="15" t="str" cm="1">
        <f t="array" ref="Q328">IFERROR(_xlfn.LET(_xlpm.e,E328,_xlpm.g,G328,_xlpm.h,H328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8" s="15" t="str">
        <f t="shared" si="39"/>
        <v>🔴 Lagging</v>
      </c>
      <c r="S328" s="35" cm="1">
        <f t="array" ref="S328">IFERROR(_xlfn.LET(_xlpm.e,E328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28" s="36">
        <f t="shared" si="40"/>
        <v>49.999583336805529</v>
      </c>
      <c r="U328" s="15">
        <f t="shared" si="41"/>
        <v>231</v>
      </c>
      <c r="V328" s="16">
        <f t="shared" si="42"/>
        <v>837.66801943317137</v>
      </c>
      <c r="W328" s="16">
        <f t="shared" si="43"/>
        <v>2083.1563819111943</v>
      </c>
      <c r="X328" s="37">
        <f t="shared" si="44"/>
        <v>104</v>
      </c>
      <c r="Y328" s="15" t="str">
        <f t="shared" si="45"/>
        <v>⚠️ High</v>
      </c>
    </row>
    <row r="329" spans="1:25" x14ac:dyDescent="0.2">
      <c r="A329" t="str">
        <f>'5. KPI Baselines'!A314</f>
        <v>Montway</v>
      </c>
      <c r="B329" t="str">
        <f>'5. KPI Baselines'!B314</f>
        <v>Customer Service</v>
      </c>
      <c r="C329" t="str">
        <f>'5. KPI Baselines'!C314</f>
        <v>Inquiry Management</v>
      </c>
      <c r="D329" t="str">
        <f>'5. KPI Baselines'!D314</f>
        <v>Average Handle Time</v>
      </c>
      <c r="E329" t="str">
        <f>'5. KPI Baselines'!E314</f>
        <v>8.5 minutes</v>
      </c>
      <c r="F329" t="str">
        <f>'5. KPI Baselines'!F314</f>
        <v>3.2 minutes</v>
      </c>
      <c r="G329" t="str">
        <f>'5. KPI Baselines'!G314</f>
        <v>5.2 minutes</v>
      </c>
      <c r="H329" t="str">
        <f>'5. KPI Baselines'!H314</f>
        <v>↓</v>
      </c>
      <c r="I329" t="str">
        <f>'5. KPI Baselines'!I314</f>
        <v>9 months</v>
      </c>
      <c r="J329" t="str">
        <f>'5. KPI Baselines'!J314</f>
        <v>Mean duration from inquiry receipt to resolution across all channels</v>
      </c>
      <c r="K329" s="15" t="str">
        <f t="shared" si="37"/>
        <v>8.5 minutes → 3.2 minutes</v>
      </c>
      <c r="L329" s="34" cm="1">
        <f t="array" ref="L329">IFERROR(_xlfn.LET(_xlpm.e,E329,_xlpm.f,F329,_xlpm.h,H329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0.62352207621086808</v>
      </c>
      <c r="M329" s="15" cm="1">
        <f t="array" ref="M329">IFERROR(_xlfn.LET(_xlpm.e,E329,_xlpm.f,F329,_xlpm.h,H329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</v>
      </c>
      <c r="N329" s="15" cm="1">
        <f t="array" ref="N329">IFERROR(_xlfn.LET(_xlpm.e,E329,_xlpm.f,F329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4.05</v>
      </c>
      <c r="O329" s="15" t="str">
        <f t="shared" si="38"/>
        <v>5.2 minutes → 3.2 minutes</v>
      </c>
      <c r="P329" s="34" cm="1">
        <f t="array" ref="P329">IFERROR(_xlfn.LET(_xlpm.g,G329,_xlpm.f,F329,_xlpm.h,H329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0.38460798830791715</v>
      </c>
      <c r="Q329" s="15" t="str" cm="1">
        <f t="array" ref="Q329">IFERROR(_xlfn.LET(_xlpm.e,E329,_xlpm.g,G329,_xlpm.h,H329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29" s="15" t="str">
        <f t="shared" si="39"/>
        <v>🔴 Lagging</v>
      </c>
      <c r="S329" s="35" cm="1">
        <f t="array" ref="S329">IFERROR(_xlfn.LET(_xlpm.e,E329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8.5</v>
      </c>
      <c r="T329" s="36">
        <f t="shared" si="40"/>
        <v>62.352207621086805</v>
      </c>
      <c r="U329" s="15">
        <f t="shared" si="41"/>
        <v>139</v>
      </c>
      <c r="V329" s="16">
        <f t="shared" si="42"/>
        <v>739.93754485241345</v>
      </c>
      <c r="W329" s="16">
        <f t="shared" si="43"/>
        <v>1840.1151566202034</v>
      </c>
      <c r="X329" s="37">
        <f t="shared" si="44"/>
        <v>117</v>
      </c>
      <c r="Y329" s="15" t="str">
        <f t="shared" si="45"/>
        <v>🔥 Critical</v>
      </c>
    </row>
    <row r="330" spans="1:25" x14ac:dyDescent="0.2">
      <c r="A330" t="str">
        <f>'5. KPI Baselines'!A315</f>
        <v>Montway</v>
      </c>
      <c r="B330" t="str">
        <f>'5. KPI Baselines'!B315</f>
        <v>Customer Service</v>
      </c>
      <c r="C330" t="str">
        <f>'5. KPI Baselines'!C315</f>
        <v>Inquiry Management</v>
      </c>
      <c r="D330" t="str">
        <f>'5. KPI Baselines'!D315</f>
        <v>First Contact Resolution Rate</v>
      </c>
      <c r="E330" t="str">
        <f>'5. KPI Baselines'!E315</f>
        <v>68%</v>
      </c>
      <c r="F330" t="str">
        <f>'5. KPI Baselines'!F315</f>
        <v>85%</v>
      </c>
      <c r="G330" t="str">
        <f>'5. KPI Baselines'!G315</f>
        <v>82%</v>
      </c>
      <c r="H330" t="str">
        <f>'5. KPI Baselines'!H315</f>
        <v>↑</v>
      </c>
      <c r="I330" t="str">
        <f>'5. KPI Baselines'!I315</f>
        <v>9 months</v>
      </c>
      <c r="J330" t="str">
        <f>'5. KPI Baselines'!J315</f>
        <v>Percentage of inquiries resolved without escalation or follow-up required</v>
      </c>
      <c r="K330" s="15" t="str">
        <f t="shared" si="37"/>
        <v>85% - 68%</v>
      </c>
      <c r="L330" s="34" cm="1">
        <f t="array" ref="L330">IFERROR(_xlfn.LET(_xlpm.e,E330,_xlpm.f,F330,_xlpm.h,H330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0.24999963235348183</v>
      </c>
      <c r="M330" s="15" cm="1">
        <f t="array" ref="M330">IFERROR(_xlfn.LET(_xlpm.e,E330,_xlpm.f,F330,_xlpm.h,H330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82.5</v>
      </c>
      <c r="N330" s="15" cm="1">
        <f t="array" ref="N330">IFERROR(_xlfn.LET(_xlpm.e,E330,_xlpm.f,F330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330" s="15" t="str">
        <f t="shared" si="38"/>
        <v>85% - 82%</v>
      </c>
      <c r="P330" s="34" cm="1">
        <f t="array" ref="P330">IFERROR(_xlfn.LET(_xlpm.g,G330,_xlpm.f,F330,_xlpm.h,H330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3.6585321237413121E-2</v>
      </c>
      <c r="Q330" s="15" t="str" cm="1">
        <f t="array" ref="Q330">IFERROR(_xlfn.LET(_xlpm.e,E330,_xlpm.g,G330,_xlpm.h,H330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0" s="15" t="str">
        <f t="shared" si="39"/>
        <v>🔴 Lagging</v>
      </c>
      <c r="S330" s="35" cm="1">
        <f t="array" ref="S330">IFERROR(_xlfn.LET(_xlpm.e,E330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330" s="36">
        <f t="shared" si="40"/>
        <v>24.999963235348183</v>
      </c>
      <c r="U330" s="15">
        <f t="shared" si="41"/>
        <v>420</v>
      </c>
      <c r="V330" s="16">
        <f t="shared" si="42"/>
        <v>2373.4090096926325</v>
      </c>
      <c r="W330" s="16">
        <f t="shared" si="43"/>
        <v>5902.3169211740196</v>
      </c>
      <c r="X330" s="37">
        <f t="shared" si="44"/>
        <v>37</v>
      </c>
      <c r="Y330" s="15" t="str">
        <f t="shared" si="45"/>
        <v>📊 Medium</v>
      </c>
    </row>
    <row r="331" spans="1:25" x14ac:dyDescent="0.2">
      <c r="A331" t="str">
        <f>'5. KPI Baselines'!A316</f>
        <v>Montway</v>
      </c>
      <c r="B331" t="str">
        <f>'5. KPI Baselines'!B316</f>
        <v>Claims</v>
      </c>
      <c r="C331" t="str">
        <f>'5. KPI Baselines'!C316</f>
        <v>Damage Processing</v>
      </c>
      <c r="D331" t="str">
        <f>'5. KPI Baselines'!D316</f>
        <v>Claim Resolution Cycle Time</v>
      </c>
      <c r="E331" t="str">
        <f>'5. KPI Baselines'!E316</f>
        <v>45 days</v>
      </c>
      <c r="F331" t="str">
        <f>'5. KPI Baselines'!F316</f>
        <v>18 days</v>
      </c>
      <c r="G331" t="str">
        <f>'5. KPI Baselines'!G316</f>
        <v>28 days</v>
      </c>
      <c r="H331" t="str">
        <f>'5. KPI Baselines'!H316</f>
        <v>↓</v>
      </c>
      <c r="I331" t="str">
        <f>'5. KPI Baselines'!I316</f>
        <v>12 months</v>
      </c>
      <c r="J331" t="str">
        <f>'5. KPI Baselines'!J316</f>
        <v>Median days from claim filing to final settlement payment</v>
      </c>
      <c r="K331" s="15" t="str">
        <f t="shared" si="37"/>
        <v>45 days → 18 days</v>
      </c>
      <c r="L331" s="34" cm="1">
        <f t="array" ref="L331">IFERROR(_xlfn.LET(_xlpm.e,E331,_xlpm.f,F331,_xlpm.h,H331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0.59999866666962953</v>
      </c>
      <c r="M331" s="15" cm="1">
        <f t="array" ref="M331">IFERROR(_xlfn.LET(_xlpm.e,E331,_xlpm.f,F331,_xlpm.h,H331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22.1</v>
      </c>
      <c r="N331" s="15" cm="1">
        <f t="array" ref="N331">IFERROR(_xlfn.LET(_xlpm.e,E331,_xlpm.f,F331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20.66</v>
      </c>
      <c r="O331" s="15" t="str">
        <f t="shared" si="38"/>
        <v>28 days → 18 days</v>
      </c>
      <c r="P331" s="34" cm="1">
        <f t="array" ref="P331">IFERROR(_xlfn.LET(_xlpm.g,G331,_xlpm.f,F331,_xlpm.h,H331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0.35714158163720844</v>
      </c>
      <c r="Q331" s="15" t="str" cm="1">
        <f t="array" ref="Q331">IFERROR(_xlfn.LET(_xlpm.e,E331,_xlpm.g,G331,_xlpm.h,H331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1" s="15" t="str">
        <f t="shared" si="39"/>
        <v>🔴 Lagging</v>
      </c>
      <c r="S331" s="35" cm="1">
        <f t="array" ref="S331">IFERROR(_xlfn.LET(_xlpm.e,E331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331" s="36">
        <f t="shared" si="40"/>
        <v>59.999866666962951</v>
      </c>
      <c r="U331" s="15">
        <f t="shared" si="41"/>
        <v>154</v>
      </c>
      <c r="V331" s="16">
        <f t="shared" si="42"/>
        <v>3769.5291232686141</v>
      </c>
      <c r="W331" s="16">
        <f t="shared" si="43"/>
        <v>9374.2610052735708</v>
      </c>
      <c r="X331" s="37">
        <f t="shared" si="44"/>
        <v>23</v>
      </c>
      <c r="Y331" s="15" t="str">
        <f t="shared" si="45"/>
        <v>🔥 Critical</v>
      </c>
    </row>
    <row r="332" spans="1:25" x14ac:dyDescent="0.2">
      <c r="A332" t="str">
        <f>'5. KPI Baselines'!A317</f>
        <v>Montway</v>
      </c>
      <c r="B332" t="str">
        <f>'5. KPI Baselines'!B317</f>
        <v>Claims</v>
      </c>
      <c r="C332" t="str">
        <f>'5. KPI Baselines'!C317</f>
        <v>Damage Processing</v>
      </c>
      <c r="D332" t="str">
        <f>'5. KPI Baselines'!D317</f>
        <v>Investigation Hours per Claim</v>
      </c>
      <c r="E332" t="str">
        <f>'5. KPI Baselines'!E317</f>
        <v>6.4 hours</v>
      </c>
      <c r="F332" t="str">
        <f>'5. KPI Baselines'!F317</f>
        <v>2.8 hours</v>
      </c>
      <c r="G332" t="str">
        <f>'5. KPI Baselines'!G317</f>
        <v>4.1 hours</v>
      </c>
      <c r="H332" t="str">
        <f>'5. KPI Baselines'!H317</f>
        <v>↓</v>
      </c>
      <c r="I332" t="str">
        <f>'5. KPI Baselines'!I317</f>
        <v>12 months</v>
      </c>
      <c r="J332" t="str">
        <f>'5. KPI Baselines'!J317</f>
        <v>Total adjuster time from initial review through liability determination</v>
      </c>
      <c r="K332" s="15" t="str">
        <f t="shared" si="37"/>
        <v>6.4 hours → 2.8 hours</v>
      </c>
      <c r="L332" s="34" cm="1">
        <f t="array" ref="L332">IFERROR(_xlfn.LET(_xlpm.e,E332,_xlpm.f,F332,_xlpm.h,H332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0.56249121107482702</v>
      </c>
      <c r="M332" s="15" cm="1">
        <f t="array" ref="M332">IFERROR(_xlfn.LET(_xlpm.e,E332,_xlpm.f,F332,_xlpm.h,H332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3.3</v>
      </c>
      <c r="N332" s="15" cm="1">
        <f t="array" ref="N332">IFERROR(_xlfn.LET(_xlpm.e,E332,_xlpm.f,F332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2.75</v>
      </c>
      <c r="O332" s="15" t="str">
        <f t="shared" si="38"/>
        <v>4.1 hours → 2.8 hours</v>
      </c>
      <c r="P332" s="34" cm="1">
        <f t="array" ref="P332">IFERROR(_xlfn.LET(_xlpm.g,G332,_xlpm.f,F332,_xlpm.h,H332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0.31706543742835541</v>
      </c>
      <c r="Q332" s="15" t="str" cm="1">
        <f t="array" ref="Q332">IFERROR(_xlfn.LET(_xlpm.e,E332,_xlpm.g,G332,_xlpm.h,H332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2" s="15" t="str">
        <f t="shared" si="39"/>
        <v>🔴 Lagging</v>
      </c>
      <c r="S332" s="35" cm="1">
        <f t="array" ref="S332">IFERROR(_xlfn.LET(_xlpm.e,E332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6.4</v>
      </c>
      <c r="T332" s="36">
        <f t="shared" si="40"/>
        <v>56.249121107482701</v>
      </c>
      <c r="U332" s="15">
        <f t="shared" si="41"/>
        <v>182</v>
      </c>
      <c r="V332" s="16">
        <f t="shared" si="42"/>
        <v>502.59714691957942</v>
      </c>
      <c r="W332" s="16">
        <f t="shared" si="43"/>
        <v>1249.8847154799469</v>
      </c>
      <c r="X332" s="37">
        <f t="shared" si="44"/>
        <v>172</v>
      </c>
      <c r="Y332" s="15" t="str">
        <f t="shared" si="45"/>
        <v>🔥 Critical</v>
      </c>
    </row>
    <row r="333" spans="1:25" x14ac:dyDescent="0.2">
      <c r="A333" t="str">
        <f>'5. KPI Baselines'!A318</f>
        <v>Montway</v>
      </c>
      <c r="B333" t="str">
        <f>'5. KPI Baselines'!B318</f>
        <v>Pricing</v>
      </c>
      <c r="C333" t="str">
        <f>'5. KPI Baselines'!C318</f>
        <v>Quote Generation</v>
      </c>
      <c r="D333" t="str">
        <f>'5. KPI Baselines'!D318</f>
        <v>Margin Variance on Similar Routes</v>
      </c>
      <c r="E333" t="str">
        <f>'5. KPI Baselines'!E318</f>
        <v>18%</v>
      </c>
      <c r="F333" t="str">
        <f>'5. KPI Baselines'!F318</f>
        <v>9%</v>
      </c>
      <c r="G333" t="str">
        <f>'5. KPI Baselines'!G318</f>
        <v>12%</v>
      </c>
      <c r="H333" t="str">
        <f>'5. KPI Baselines'!H318</f>
        <v>↓</v>
      </c>
      <c r="I333" t="str">
        <f>'5. KPI Baselines'!I318</f>
        <v>18 months</v>
      </c>
      <c r="J333" t="str">
        <f>'5. KPI Baselines'!J318</f>
        <v>Standard deviation of gross margin across routes with matching distance and lane characteristics</v>
      </c>
      <c r="K333" s="15" t="str">
        <f t="shared" si="37"/>
        <v>18% → 9%</v>
      </c>
      <c r="L333" s="34" cm="1">
        <f t="array" ref="L333">IFERROR(_xlfn.LET(_xlpm.e,E333,_xlpm.f,F333,_xlpm.h,H333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0.49999722223765425</v>
      </c>
      <c r="M333" s="15" cm="1">
        <f t="array" ref="M333">IFERROR(_xlfn.LET(_xlpm.e,E333,_xlpm.f,F333,_xlpm.h,H333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10.4</v>
      </c>
      <c r="N333" s="15" cm="1">
        <f t="array" ref="N333">IFERROR(_xlfn.LET(_xlpm.e,E333,_xlpm.f,F333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333" s="15" t="str">
        <f t="shared" si="38"/>
        <v>12% → 9%</v>
      </c>
      <c r="P333" s="34" cm="1">
        <f t="array" ref="P333">IFERROR(_xlfn.LET(_xlpm.g,G333,_xlpm.f,F333,_xlpm.h,H333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0.24999791668402763</v>
      </c>
      <c r="Q333" s="15" t="str" cm="1">
        <f t="array" ref="Q333">IFERROR(_xlfn.LET(_xlpm.e,E333,_xlpm.g,G333,_xlpm.h,H333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3" s="15" t="str">
        <f t="shared" si="39"/>
        <v>🔴 Lagging</v>
      </c>
      <c r="S333" s="35" cm="1">
        <f t="array" ref="S333">IFERROR(_xlfn.LET(_xlpm.e,E333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33" s="36">
        <f t="shared" si="40"/>
        <v>49.999722223765424</v>
      </c>
      <c r="U333" s="15">
        <f t="shared" si="41"/>
        <v>226</v>
      </c>
      <c r="V333" s="16">
        <f t="shared" si="42"/>
        <v>1256.505519413781</v>
      </c>
      <c r="W333" s="16">
        <f t="shared" si="43"/>
        <v>3124.7432526368289</v>
      </c>
      <c r="X333" s="37">
        <f t="shared" si="44"/>
        <v>69</v>
      </c>
      <c r="Y333" s="15" t="str">
        <f t="shared" si="45"/>
        <v>⚠️ High</v>
      </c>
    </row>
    <row r="334" spans="1:25" x14ac:dyDescent="0.2">
      <c r="A334" t="str">
        <f>'5. KPI Baselines'!A319</f>
        <v>Montway</v>
      </c>
      <c r="B334" t="str">
        <f>'5. KPI Baselines'!B319</f>
        <v>Pricing</v>
      </c>
      <c r="C334" t="str">
        <f>'5. KPI Baselines'!C319</f>
        <v>Quote Generation</v>
      </c>
      <c r="D334" t="str">
        <f>'5. KPI Baselines'!D319</f>
        <v>Revenue Capture Rate</v>
      </c>
      <c r="E334" t="str">
        <f>'5. KPI Baselines'!E319</f>
        <v>92%</v>
      </c>
      <c r="F334" t="str">
        <f>'5. KPI Baselines'!F319</f>
        <v>96.5%</v>
      </c>
      <c r="G334" t="str">
        <f>'5. KPI Baselines'!G319</f>
        <v>96%</v>
      </c>
      <c r="H334" t="str">
        <f>'5. KPI Baselines'!H319</f>
        <v>↑</v>
      </c>
      <c r="I334" t="str">
        <f>'5. KPI Baselines'!I319</f>
        <v>18 months</v>
      </c>
      <c r="J334" t="str">
        <f>'5. KPI Baselines'!J319</f>
        <v>Actual revenue versus optimal revenue based on market clearing prices</v>
      </c>
      <c r="K334" s="15" t="str">
        <f t="shared" si="37"/>
        <v>96.5% - 92%</v>
      </c>
      <c r="L334" s="34" cm="1">
        <f t="array" ref="L334">IFERROR(_xlfn.LET(_xlpm.e,E334,_xlpm.f,F334,_xlpm.h,H334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4.8912990311967053E-2</v>
      </c>
      <c r="M334" s="15" cm="1">
        <f t="array" ref="M334">IFERROR(_xlfn.LET(_xlpm.e,E334,_xlpm.f,F334,_xlpm.h,H334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95.8</v>
      </c>
      <c r="N334" s="15" cm="1">
        <f t="array" ref="N334">IFERROR(_xlfn.LET(_xlpm.e,E334,_xlpm.f,F334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3.44</v>
      </c>
      <c r="O334" s="15" t="str">
        <f t="shared" si="38"/>
        <v>96.5% - 96%</v>
      </c>
      <c r="P334" s="34" cm="1">
        <f t="array" ref="P334">IFERROR(_xlfn.LET(_xlpm.g,G334,_xlpm.f,F334,_xlpm.h,H334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5.2083279079917621E-3</v>
      </c>
      <c r="Q334" s="15" t="str" cm="1">
        <f t="array" ref="Q334">IFERROR(_xlfn.LET(_xlpm.e,E334,_xlpm.g,G334,_xlpm.h,H334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4" s="15" t="str">
        <f t="shared" si="39"/>
        <v>🔴 Lagging</v>
      </c>
      <c r="S334" s="35" cm="1">
        <f t="array" ref="S334">IFERROR(_xlfn.LET(_xlpm.e,E334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92</v>
      </c>
      <c r="T334" s="36">
        <f t="shared" si="40"/>
        <v>4.8912990311967057</v>
      </c>
      <c r="U334" s="15">
        <f t="shared" si="41"/>
        <v>542</v>
      </c>
      <c r="V334" s="16">
        <f t="shared" si="42"/>
        <v>628.25556711351396</v>
      </c>
      <c r="W334" s="16">
        <f t="shared" si="43"/>
        <v>1562.3786079231652</v>
      </c>
      <c r="X334" s="37">
        <f t="shared" si="44"/>
        <v>138</v>
      </c>
      <c r="Y334" s="15" t="str">
        <f t="shared" si="45"/>
        <v>📉 Low</v>
      </c>
    </row>
    <row r="335" spans="1:25" x14ac:dyDescent="0.2">
      <c r="A335" t="str">
        <f>'5. KPI Baselines'!A320</f>
        <v>Montway</v>
      </c>
      <c r="B335" t="str">
        <f>'5. KPI Baselines'!B320</f>
        <v>Carrier Management</v>
      </c>
      <c r="C335" t="str">
        <f>'5. KPI Baselines'!C320</f>
        <v>Performance Monitoring</v>
      </c>
      <c r="D335" t="str">
        <f>'5. KPI Baselines'!D320</f>
        <v>On-Time Pickup Rate</v>
      </c>
      <c r="E335" t="str">
        <f>'5. KPI Baselines'!E320</f>
        <v>87%</v>
      </c>
      <c r="F335" t="str">
        <f>'5. KPI Baselines'!F320</f>
        <v>94%</v>
      </c>
      <c r="G335" t="str">
        <f>'5. KPI Baselines'!G320</f>
        <v>92%</v>
      </c>
      <c r="H335" t="str">
        <f>'5. KPI Baselines'!H320</f>
        <v>↑</v>
      </c>
      <c r="I335" t="str">
        <f>'5. KPI Baselines'!I320</f>
        <v>12 months</v>
      </c>
      <c r="J335" t="str">
        <f>'5. KPI Baselines'!J320</f>
        <v>Percentage of shipments picked up within 24-hour window of scheduled time</v>
      </c>
      <c r="K335" s="15" t="str">
        <f t="shared" si="37"/>
        <v>94% - 87%</v>
      </c>
      <c r="L335" s="34" cm="1">
        <f t="array" ref="L335">IFERROR(_xlfn.LET(_xlpm.e,E335,_xlpm.f,F335,_xlpm.h,H335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8.0459677632554447E-2</v>
      </c>
      <c r="M335" s="15" cm="1">
        <f t="array" ref="M335">IFERROR(_xlfn.LET(_xlpm.e,E335,_xlpm.f,F335,_xlpm.h,H335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93</v>
      </c>
      <c r="N335" s="15" cm="1">
        <f t="array" ref="N335">IFERROR(_xlfn.LET(_xlpm.e,E335,_xlpm.f,F335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335" s="15" t="str">
        <f t="shared" si="38"/>
        <v>94% - 92%</v>
      </c>
      <c r="P335" s="34" cm="1">
        <f t="array" ref="P335">IFERROR(_xlfn.LET(_xlpm.g,G335,_xlpm.f,F335,_xlpm.h,H335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2.1739106805318688E-2</v>
      </c>
      <c r="Q335" s="15" t="str" cm="1">
        <f t="array" ref="Q335">IFERROR(_xlfn.LET(_xlpm.e,E335,_xlpm.g,G335,_xlpm.h,H335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5" s="15" t="str">
        <f t="shared" si="39"/>
        <v>🔴 Lagging</v>
      </c>
      <c r="S335" s="35" cm="1">
        <f t="array" ref="S335">IFERROR(_xlfn.LET(_xlpm.e,E335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335" s="36">
        <f t="shared" si="40"/>
        <v>8.0459677632554438</v>
      </c>
      <c r="U335" s="15">
        <f t="shared" si="41"/>
        <v>532</v>
      </c>
      <c r="V335" s="16">
        <f t="shared" si="42"/>
        <v>977.28637668232568</v>
      </c>
      <c r="W335" s="16">
        <f t="shared" si="43"/>
        <v>2430.3665716142004</v>
      </c>
      <c r="X335" s="37">
        <f t="shared" si="44"/>
        <v>89</v>
      </c>
      <c r="Y335" s="15" t="str">
        <f t="shared" si="45"/>
        <v>📉 Low</v>
      </c>
    </row>
    <row r="336" spans="1:25" x14ac:dyDescent="0.2">
      <c r="A336" t="str">
        <f>'5. KPI Baselines'!A321</f>
        <v>Montway</v>
      </c>
      <c r="B336" t="str">
        <f>'5. KPI Baselines'!B321</f>
        <v>Carrier Management</v>
      </c>
      <c r="C336" t="str">
        <f>'5. KPI Baselines'!C321</f>
        <v>Compliance</v>
      </c>
      <c r="D336" t="str">
        <f>'5. KPI Baselines'!D321</f>
        <v>Carrier Authority Violations</v>
      </c>
      <c r="E336" t="str">
        <f>'5. KPI Baselines'!E321</f>
        <v>23 annually</v>
      </c>
      <c r="F336" t="str">
        <f>'5. KPI Baselines'!F321</f>
        <v>6 annually</v>
      </c>
      <c r="G336" t="str">
        <f>'5. KPI Baselines'!G321</f>
        <v>8 annually</v>
      </c>
      <c r="H336" t="str">
        <f>'5. KPI Baselines'!H321</f>
        <v>↓</v>
      </c>
      <c r="I336" t="str">
        <f>'5. KPI Baselines'!I321</f>
        <v>12 months</v>
      </c>
      <c r="J336" t="str">
        <f>'5. KPI Baselines'!J321</f>
        <v>Count of shipments assigned to carriers with expired or invalid FMCSA authority</v>
      </c>
      <c r="K336" s="15" t="str">
        <f t="shared" si="37"/>
        <v>23 annually → 6 annually</v>
      </c>
      <c r="L336" s="34" cm="1">
        <f t="array" ref="L336">IFERROR(_xlfn.LET(_xlpm.e,E336,_xlpm.f,F336,_xlpm.h,H336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0.73912722118599483</v>
      </c>
      <c r="M336" s="15" cm="1">
        <f t="array" ref="M336">IFERROR(_xlfn.LET(_xlpm.e,E336,_xlpm.f,F336,_xlpm.h,H336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8.6</v>
      </c>
      <c r="N336" s="15" cm="1">
        <f t="array" ref="N336">IFERROR(_xlfn.LET(_xlpm.e,E336,_xlpm.f,F336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336" s="15" t="str">
        <f t="shared" si="38"/>
        <v>8 annually → 6 annually</v>
      </c>
      <c r="P336" s="34" cm="1">
        <f t="array" ref="P336">IFERROR(_xlfn.LET(_xlpm.g,G336,_xlpm.f,F336,_xlpm.h,H336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0.24999687503906201</v>
      </c>
      <c r="Q336" s="15" t="str" cm="1">
        <f t="array" ref="Q336">IFERROR(_xlfn.LET(_xlpm.e,E336,_xlpm.g,G336,_xlpm.h,H336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6" s="15" t="str">
        <f t="shared" si="39"/>
        <v>🔴 Lagging</v>
      </c>
      <c r="S336" s="35" cm="1">
        <f t="array" ref="S336">IFERROR(_xlfn.LET(_xlpm.e,E336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336" s="36">
        <f t="shared" si="40"/>
        <v>73.91272211859949</v>
      </c>
      <c r="U336" s="15">
        <f t="shared" si="41"/>
        <v>67</v>
      </c>
      <c r="V336" s="16">
        <f t="shared" si="42"/>
        <v>2373.4021808600833</v>
      </c>
      <c r="W336" s="16">
        <f t="shared" si="43"/>
        <v>5902.2999388781982</v>
      </c>
      <c r="X336" s="37">
        <f t="shared" si="44"/>
        <v>37</v>
      </c>
      <c r="Y336" s="15" t="str">
        <f t="shared" si="45"/>
        <v>🔥 Critical</v>
      </c>
    </row>
    <row r="337" spans="1:25" x14ac:dyDescent="0.2">
      <c r="A337" t="str">
        <f>'5. KPI Baselines'!A322</f>
        <v>Montway</v>
      </c>
      <c r="B337" t="str">
        <f>'5. KPI Baselines'!B322</f>
        <v>Sales</v>
      </c>
      <c r="C337" t="str">
        <f>'5. KPI Baselines'!C322</f>
        <v>Dealer Services</v>
      </c>
      <c r="D337" t="str">
        <f>'5. KPI Baselines'!D322</f>
        <v>Quote Response Time</v>
      </c>
      <c r="E337" t="str">
        <f>'5. KPI Baselines'!E322</f>
        <v>47 minutes</v>
      </c>
      <c r="F337" t="str">
        <f>'5. KPI Baselines'!F322</f>
        <v>12 minutes</v>
      </c>
      <c r="G337" t="str">
        <f>'5. KPI Baselines'!G322</f>
        <v>22 minutes</v>
      </c>
      <c r="H337" t="str">
        <f>'5. KPI Baselines'!H322</f>
        <v>↓</v>
      </c>
      <c r="I337" t="str">
        <f>'5. KPI Baselines'!I322</f>
        <v>9 months</v>
      </c>
      <c r="J337" t="str">
        <f>'5. KPI Baselines'!J322</f>
        <v>Median time from quote request receipt to customer-facing quote delivery</v>
      </c>
      <c r="K337" s="15" t="str">
        <f t="shared" si="37"/>
        <v>47 minutes → 12 minutes</v>
      </c>
      <c r="L337" s="34" cm="1">
        <f t="array" ref="L337">IFERROR(_xlfn.LET(_xlpm.e,E337,_xlpm.f,F337,_xlpm.h,H337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0.74467926663985817</v>
      </c>
      <c r="M337" s="15" cm="1">
        <f t="array" ref="M337">IFERROR(_xlfn.LET(_xlpm.e,E337,_xlpm.f,F337,_xlpm.h,H337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17.3</v>
      </c>
      <c r="N337" s="15" cm="1">
        <f t="array" ref="N337">IFERROR(_xlfn.LET(_xlpm.e,E337,_xlpm.f,F337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26.78</v>
      </c>
      <c r="O337" s="15" t="str">
        <f t="shared" si="38"/>
        <v>22 minutes → 12 minutes</v>
      </c>
      <c r="P337" s="34" cm="1">
        <f t="array" ref="P337">IFERROR(_xlfn.LET(_xlpm.g,G337,_xlpm.f,F337,_xlpm.h,H337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0.45454338843914344</v>
      </c>
      <c r="Q337" s="15" t="str" cm="1">
        <f t="array" ref="Q337">IFERROR(_xlfn.LET(_xlpm.e,E337,_xlpm.g,G337,_xlpm.h,H337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7" s="15" t="str">
        <f t="shared" si="39"/>
        <v>🔴 Lagging</v>
      </c>
      <c r="S337" s="35" cm="1">
        <f t="array" ref="S337">IFERROR(_xlfn.LET(_xlpm.e,E337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337" s="36">
        <f t="shared" si="40"/>
        <v>74.467926663985821</v>
      </c>
      <c r="U337" s="15">
        <f t="shared" si="41"/>
        <v>66</v>
      </c>
      <c r="V337" s="16">
        <f t="shared" si="42"/>
        <v>4886.4271033465884</v>
      </c>
      <c r="W337" s="16">
        <f t="shared" si="43"/>
        <v>12151.82097075674</v>
      </c>
      <c r="X337" s="37">
        <f t="shared" si="44"/>
        <v>18</v>
      </c>
      <c r="Y337" s="15" t="str">
        <f t="shared" si="45"/>
        <v>🔥 Critical</v>
      </c>
    </row>
    <row r="338" spans="1:25" x14ac:dyDescent="0.2">
      <c r="A338" t="str">
        <f>'5. KPI Baselines'!A323</f>
        <v>Montway</v>
      </c>
      <c r="B338" t="str">
        <f>'5. KPI Baselines'!B323</f>
        <v>Finance</v>
      </c>
      <c r="C338" t="str">
        <f>'5. KPI Baselines'!C323</f>
        <v>Carrier Payments</v>
      </c>
      <c r="D338" t="str">
        <f>'5. KPI Baselines'!D323</f>
        <v>Payment Processing Cycle</v>
      </c>
      <c r="E338" t="str">
        <f>'5. KPI Baselines'!E323</f>
        <v>18 days</v>
      </c>
      <c r="F338" t="str">
        <f>'5. KPI Baselines'!F323</f>
        <v>10 days</v>
      </c>
      <c r="G338" t="str">
        <f>'5. KPI Baselines'!G323</f>
        <v>12 days</v>
      </c>
      <c r="H338" t="str">
        <f>'5. KPI Baselines'!H323</f>
        <v>↓</v>
      </c>
      <c r="I338" t="str">
        <f>'5. KPI Baselines'!I323</f>
        <v>12 months</v>
      </c>
      <c r="J338" t="str">
        <f>'5. KPI Baselines'!J323</f>
        <v>Days from proof of delivery receipt to carrier payment disbursement</v>
      </c>
      <c r="K338" s="15" t="str">
        <f t="shared" ref="K338:K401" si="46">IFERROR(IF(OR(E338="",F338=""),"-",IF(H338="↓",E338&amp;" → "&amp;F338,F338&amp;" - "&amp;E338)),"-")</f>
        <v>18 days → 10 days</v>
      </c>
      <c r="L338" s="34" cm="1">
        <f t="array" ref="L338">IFERROR(_xlfn.LET(_xlpm.e,E338,_xlpm.f,F338,_xlpm.h,H338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0.44444197532235935</v>
      </c>
      <c r="M338" s="15" cm="1">
        <f t="array" ref="M338">IFERROR(_xlfn.LET(_xlpm.e,E338,_xlpm.f,F338,_xlpm.h,H338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11.2</v>
      </c>
      <c r="N338" s="15" cm="1">
        <f t="array" ref="N338">IFERROR(_xlfn.LET(_xlpm.e,E338,_xlpm.f,F338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38" s="15" t="str">
        <f t="shared" ref="O338:O401" si="47">IFERROR(IF(OR(G338="",G338="Not Available",F338=""),"-",IF(H338="↓",G338&amp;" → "&amp;F338,F338&amp;" - "&amp;G338)),"-")</f>
        <v>12 days → 10 days</v>
      </c>
      <c r="P338" s="34" cm="1">
        <f t="array" ref="P338">IFERROR(_xlfn.LET(_xlpm.g,G338,_xlpm.f,F338,_xlpm.h,H338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0.16666527778935175</v>
      </c>
      <c r="Q338" s="15" t="str" cm="1">
        <f t="array" ref="Q338">IFERROR(_xlfn.LET(_xlpm.e,E338,_xlpm.g,G338,_xlpm.h,H338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8" s="15" t="str">
        <f t="shared" ref="R338:R401" si="48">IFERROR(IF(Q338="Below Industry","🔴 Lagging",IF(Q338="Above Industry","🟢 Leading","⚪ N/A")),"⚪ N/A")</f>
        <v>🔴 Lagging</v>
      </c>
      <c r="S338" s="35" cm="1">
        <f t="array" ref="S338">IFERROR(_xlfn.LET(_xlpm.e,E338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38" s="36">
        <f t="shared" ref="T338:T401" si="49">IFERROR(IF(L338="-",0,ABS(L338)*100),0)</f>
        <v>44.444197532235933</v>
      </c>
      <c r="U338" s="15">
        <f t="shared" ref="U338:U401" si="50">IFERROR(RANK(T338,$T$17:$T$662,0),"-")</f>
        <v>268</v>
      </c>
      <c r="V338" s="16">
        <f t="shared" ref="V338:V401" si="51">IFERROR(IF(OR(L338="-",S338=0),0,S338*ABS(L338)*$F$9*$B$5*$B$7),0)</f>
        <v>1116.8937950344721</v>
      </c>
      <c r="W338" s="16">
        <f t="shared" ref="W338:W401" si="52">IFERROR(IF(V338=0,0,V338*(1-(1/(1+$B$11)^$B$10))/$B$11),0)</f>
        <v>2777.5495578994028</v>
      </c>
      <c r="X338" s="37">
        <f t="shared" ref="X338:X401" si="53">IFERROR(IF(V338=0,"-",ROUND(12/(V338/($F$9*40)+0.001),0)),"-")</f>
        <v>78</v>
      </c>
      <c r="Y338" s="15" t="str">
        <f t="shared" ref="Y338:Y401" si="54">IF(T338&gt;=50,"🔥 Critical",IF(T338&gt;=25,"⚠️ High",IF(T338&gt;=10,"📊 Medium","📉 Low")))</f>
        <v>⚠️ High</v>
      </c>
    </row>
    <row r="339" spans="1:25" x14ac:dyDescent="0.2">
      <c r="A339" t="str">
        <f>'5. KPI Baselines'!A324</f>
        <v>NES Fircroft</v>
      </c>
      <c r="B339" t="str">
        <f>'5. KPI Baselines'!B324</f>
        <v>Talent Acquisition</v>
      </c>
      <c r="C339" t="str">
        <f>'5. KPI Baselines'!C324</f>
        <v>Candidate Sourcing</v>
      </c>
      <c r="D339" t="str">
        <f>'5. KPI Baselines'!D324</f>
        <v>Time-to-First-Interview</v>
      </c>
      <c r="E339" t="str">
        <f>'5. KPI Baselines'!E324</f>
        <v>8.3 days</v>
      </c>
      <c r="F339" t="str">
        <f>'5. KPI Baselines'!F324</f>
        <v>4.5 days</v>
      </c>
      <c r="G339" t="str">
        <f>'5. KPI Baselines'!G324</f>
        <v>5.2 days (digital-first platforms)</v>
      </c>
      <c r="H339" t="str">
        <f>'5. KPI Baselines'!H324</f>
        <v>↓</v>
      </c>
      <c r="I339" t="str">
        <f>'5. KPI Baselines'!I324</f>
        <v>12 months</v>
      </c>
      <c r="J339" t="str">
        <f>'5. KPI Baselines'!J324</f>
        <v>Median days from requisition to first candidate interview scheduled</v>
      </c>
      <c r="K339" s="15" t="str">
        <f t="shared" si="46"/>
        <v>8.3 days → 4.5 days</v>
      </c>
      <c r="L339" s="34" cm="1">
        <f t="array" ref="L339">IFERROR(_xlfn.LET(_xlpm.e,E339,_xlpm.f,F339,_xlpm.h,H339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0.45782580932759853</v>
      </c>
      <c r="M339" s="15" cm="1">
        <f t="array" ref="M339">IFERROR(_xlfn.LET(_xlpm.e,E339,_xlpm.f,F339,_xlpm.h,H339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339" s="15" cm="1">
        <f t="array" ref="N339">IFERROR(_xlfn.LET(_xlpm.e,E339,_xlpm.f,F339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2.91</v>
      </c>
      <c r="O339" s="15" t="str">
        <f t="shared" si="47"/>
        <v>5.2 days (digital-first platforms) → 4.5 days</v>
      </c>
      <c r="P339" s="34" cm="1">
        <f t="array" ref="P339">IFERROR(_xlfn.LET(_xlpm.g,G339,_xlpm.f,F339,_xlpm.h,H339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0.13461279590777103</v>
      </c>
      <c r="Q339" s="15" t="str" cm="1">
        <f t="array" ref="Q339">IFERROR(_xlfn.LET(_xlpm.e,E339,_xlpm.g,G339,_xlpm.h,H339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39" s="15" t="str">
        <f t="shared" si="48"/>
        <v>🔴 Lagging</v>
      </c>
      <c r="S339" s="35" cm="1">
        <f t="array" ref="S339">IFERROR(_xlfn.LET(_xlpm.e,E339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8.3000000000000007</v>
      </c>
      <c r="T339" s="36">
        <f t="shared" si="49"/>
        <v>45.782580932759856</v>
      </c>
      <c r="U339" s="15">
        <f t="shared" si="50"/>
        <v>262</v>
      </c>
      <c r="V339" s="16">
        <f t="shared" si="51"/>
        <v>530.52110817941968</v>
      </c>
      <c r="W339" s="16">
        <f t="shared" si="52"/>
        <v>1319.327474135147</v>
      </c>
      <c r="X339" s="37">
        <f t="shared" si="53"/>
        <v>163</v>
      </c>
      <c r="Y339" s="15" t="str">
        <f t="shared" si="54"/>
        <v>⚠️ High</v>
      </c>
    </row>
    <row r="340" spans="1:25" x14ac:dyDescent="0.2">
      <c r="A340" t="str">
        <f>'5. KPI Baselines'!A325</f>
        <v>NES Fircroft</v>
      </c>
      <c r="B340" t="str">
        <f>'5. KPI Baselines'!B325</f>
        <v>Talent Acquisition</v>
      </c>
      <c r="C340" t="str">
        <f>'5. KPI Baselines'!C325</f>
        <v>Screening &amp; Assessment</v>
      </c>
      <c r="D340" t="str">
        <f>'5. KPI Baselines'!D325</f>
        <v>Recruiter Capacity (Active Searches)</v>
      </c>
      <c r="E340" t="str">
        <f>'5. KPI Baselines'!E325</f>
        <v>4.2 searches/recruiter</v>
      </c>
      <c r="F340" t="str">
        <f>'5. KPI Baselines'!F325</f>
        <v>7.5 searches/recruiter</v>
      </c>
      <c r="G340" t="str">
        <f>'5. KPI Baselines'!G325</f>
        <v>6.8 searches/recruiter (AI-enabled firms)</v>
      </c>
      <c r="H340" t="str">
        <f>'5. KPI Baselines'!H325</f>
        <v>↑</v>
      </c>
      <c r="I340" t="str">
        <f>'5. KPI Baselines'!I325</f>
        <v>18 months</v>
      </c>
      <c r="J340" t="str">
        <f>'5. KPI Baselines'!J325</f>
        <v>Average concurrent active requisitions per recruiter FTE</v>
      </c>
      <c r="K340" s="15" t="str">
        <f t="shared" si="46"/>
        <v>7.5 searches/recruiter - 4.2 searches/recruiter</v>
      </c>
      <c r="L340" s="34" t="str" cm="1">
        <f t="array" ref="L340">IFERROR(_xlfn.LET(_xlpm.e,E340,_xlpm.f,F340,_xlpm.h,H340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40" s="15" t="str" cm="1">
        <f t="array" ref="M340">IFERROR(_xlfn.LET(_xlpm.e,E340,_xlpm.f,F340,_xlpm.h,H340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40" s="15" t="str" cm="1">
        <f t="array" ref="N340">IFERROR(_xlfn.LET(_xlpm.e,E340,_xlpm.f,F340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40" s="15" t="str">
        <f t="shared" si="47"/>
        <v>7.5 searches/recruiter - 6.8 searches/recruiter (AI-enabled firms)</v>
      </c>
      <c r="P340" s="34" t="str" cm="1">
        <f t="array" ref="P340">IFERROR(_xlfn.LET(_xlpm.g,G340,_xlpm.f,F340,_xlpm.h,H340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40" s="15" t="str" cm="1">
        <f t="array" ref="Q340">IFERROR(_xlfn.LET(_xlpm.e,E340,_xlpm.g,G340,_xlpm.h,H340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40" s="15" t="str">
        <f t="shared" si="48"/>
        <v>⚪ N/A</v>
      </c>
      <c r="S340" s="35" cm="1">
        <f t="array" ref="S340">IFERROR(_xlfn.LET(_xlpm.e,E340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40" s="36">
        <f t="shared" si="49"/>
        <v>0</v>
      </c>
      <c r="U340" s="15">
        <f t="shared" si="50"/>
        <v>554</v>
      </c>
      <c r="V340" s="16">
        <f t="shared" si="51"/>
        <v>0</v>
      </c>
      <c r="W340" s="16">
        <f t="shared" si="52"/>
        <v>0</v>
      </c>
      <c r="X340" s="37" t="str">
        <f t="shared" si="53"/>
        <v>-</v>
      </c>
      <c r="Y340" s="15" t="str">
        <f t="shared" si="54"/>
        <v>📉 Low</v>
      </c>
    </row>
    <row r="341" spans="1:25" x14ac:dyDescent="0.2">
      <c r="A341" t="str">
        <f>'5. KPI Baselines'!A326</f>
        <v>NES Fircroft</v>
      </c>
      <c r="B341" t="str">
        <f>'5. KPI Baselines'!B326</f>
        <v>Talent Acquisition</v>
      </c>
      <c r="C341" t="str">
        <f>'5. KPI Baselines'!C326</f>
        <v>Compliance Verification</v>
      </c>
      <c r="D341" t="str">
        <f>'5. KPI Baselines'!D326</f>
        <v>Certification Validation Time</v>
      </c>
      <c r="E341" t="str">
        <f>'5. KPI Baselines'!E326</f>
        <v>3.2 hours per candidate</v>
      </c>
      <c r="F341" t="str">
        <f>'5. KPI Baselines'!F326</f>
        <v>1.1 hours</v>
      </c>
      <c r="G341" t="str">
        <f>'5. KPI Baselines'!G326</f>
        <v>0.8 hours (automated validation)</v>
      </c>
      <c r="H341" t="str">
        <f>'5. KPI Baselines'!H326</f>
        <v>↓</v>
      </c>
      <c r="I341" t="str">
        <f>'5. KPI Baselines'!I326</f>
        <v>12 months</v>
      </c>
      <c r="J341" t="str">
        <f>'5. KPI Baselines'!J326</f>
        <v>Total hours spent verifying certifications divided by candidates processed</v>
      </c>
      <c r="K341" s="15" t="str">
        <f t="shared" si="46"/>
        <v>3.2 hours per candidate → 1.1 hours</v>
      </c>
      <c r="L341" s="34" t="str" cm="1">
        <f t="array" ref="L341">IFERROR(_xlfn.LET(_xlpm.e,E341,_xlpm.f,F341,_xlpm.h,H341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41" s="15" t="str" cm="1">
        <f t="array" ref="M341">IFERROR(_xlfn.LET(_xlpm.e,E341,_xlpm.f,F341,_xlpm.h,H341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41" s="15" t="str" cm="1">
        <f t="array" ref="N341">IFERROR(_xlfn.LET(_xlpm.e,E341,_xlpm.f,F341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41" s="15" t="str">
        <f t="shared" si="47"/>
        <v>0.8 hours (automated validation) → 1.1 hours</v>
      </c>
      <c r="P341" s="34" cm="1">
        <f t="array" ref="P341">IFERROR(_xlfn.LET(_xlpm.g,G341,_xlpm.f,F341,_xlpm.h,H341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-0.37495313085864274</v>
      </c>
      <c r="Q341" s="15" t="str" cm="1">
        <f t="array" ref="Q341">IFERROR(_xlfn.LET(_xlpm.e,E341,_xlpm.g,G341,_xlpm.h,H341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41" s="15" t="str">
        <f t="shared" si="48"/>
        <v>⚪ N/A</v>
      </c>
      <c r="S341" s="35" cm="1">
        <f t="array" ref="S341">IFERROR(_xlfn.LET(_xlpm.e,E341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41" s="36">
        <f t="shared" si="49"/>
        <v>0</v>
      </c>
      <c r="U341" s="15">
        <f t="shared" si="50"/>
        <v>554</v>
      </c>
      <c r="V341" s="16">
        <f t="shared" si="51"/>
        <v>0</v>
      </c>
      <c r="W341" s="16">
        <f t="shared" si="52"/>
        <v>0</v>
      </c>
      <c r="X341" s="37" t="str">
        <f t="shared" si="53"/>
        <v>-</v>
      </c>
      <c r="Y341" s="15" t="str">
        <f t="shared" si="54"/>
        <v>📉 Low</v>
      </c>
    </row>
    <row r="342" spans="1:25" x14ac:dyDescent="0.2">
      <c r="A342" t="str">
        <f>'5. KPI Baselines'!A327</f>
        <v>NES Fircroft</v>
      </c>
      <c r="B342" t="str">
        <f>'5. KPI Baselines'!B327</f>
        <v>Operations</v>
      </c>
      <c r="C342" t="str">
        <f>'5. KPI Baselines'!C327</f>
        <v>Contract Administration</v>
      </c>
      <c r="D342" t="str">
        <f>'5. KPI Baselines'!D327</f>
        <v>Timesheet Processing Error Rate</v>
      </c>
      <c r="E342" t="str">
        <f>'5. KPI Baselines'!E327</f>
        <v>12%</v>
      </c>
      <c r="F342" t="str">
        <f>'5. KPI Baselines'!F327</f>
        <v>3%</v>
      </c>
      <c r="G342" t="str">
        <f>'5. KPI Baselines'!G327</f>
        <v>3-4% (industry average)</v>
      </c>
      <c r="H342" t="str">
        <f>'5. KPI Baselines'!H327</f>
        <v>↓</v>
      </c>
      <c r="I342" t="str">
        <f>'5. KPI Baselines'!I327</f>
        <v>12 months</v>
      </c>
      <c r="J342" t="str">
        <f>'5. KPI Baselines'!J327</f>
        <v>Timesheets requiring correction divided by total timesheets processed</v>
      </c>
      <c r="K342" s="15" t="str">
        <f t="shared" si="46"/>
        <v>12% → 3%</v>
      </c>
      <c r="L342" s="34" cm="1">
        <f t="array" ref="L342">IFERROR(_xlfn.LET(_xlpm.e,E342,_xlpm.f,F342,_xlpm.h,H342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342" s="15" cm="1">
        <f t="array" ref="M342">IFERROR(_xlfn.LET(_xlpm.e,E342,_xlpm.f,F342,_xlpm.h,H342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342" s="15" cm="1">
        <f t="array" ref="N342">IFERROR(_xlfn.LET(_xlpm.e,E342,_xlpm.f,F342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342" s="15" t="str">
        <f t="shared" si="47"/>
        <v>3-4% (industry average) → 3%</v>
      </c>
      <c r="P342" s="34" cm="1">
        <f t="array" ref="P342">IFERROR(_xlfn.LET(_xlpm.g,G342,_xlpm.f,F342,_xlpm.h,H342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0.99993490072705893</v>
      </c>
      <c r="Q342" s="15" t="str" cm="1">
        <f t="array" ref="Q342">IFERROR(_xlfn.LET(_xlpm.e,E342,_xlpm.g,G342,_xlpm.h,H342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342" s="15" t="str">
        <f t="shared" si="48"/>
        <v>🟢 Leading</v>
      </c>
      <c r="S342" s="35" cm="1">
        <f t="array" ref="S342">IFERROR(_xlfn.LET(_xlpm.e,E342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42" s="36">
        <f t="shared" si="49"/>
        <v>74.999375005208293</v>
      </c>
      <c r="U342" s="15">
        <f t="shared" si="50"/>
        <v>53</v>
      </c>
      <c r="V342" s="16">
        <f t="shared" si="51"/>
        <v>1256.5020291497572</v>
      </c>
      <c r="W342" s="16">
        <f t="shared" si="52"/>
        <v>3124.734572866792</v>
      </c>
      <c r="X342" s="37">
        <f t="shared" si="53"/>
        <v>69</v>
      </c>
      <c r="Y342" s="15" t="str">
        <f t="shared" si="54"/>
        <v>🔥 Critical</v>
      </c>
    </row>
    <row r="343" spans="1:25" x14ac:dyDescent="0.2">
      <c r="A343" t="str">
        <f>'5. KPI Baselines'!A328</f>
        <v>NES Fircroft</v>
      </c>
      <c r="B343" t="str">
        <f>'5. KPI Baselines'!B328</f>
        <v>Operations</v>
      </c>
      <c r="C343" t="str">
        <f>'5. KPI Baselines'!C328</f>
        <v>Payroll &amp; Billing</v>
      </c>
      <c r="D343" t="str">
        <f>'5. KPI Baselines'!D328</f>
        <v>Days Sales Outstanding (DSO)</v>
      </c>
      <c r="E343" t="str">
        <f>'5. KPI Baselines'!E328</f>
        <v>68 days</v>
      </c>
      <c r="F343" t="str">
        <f>'5. KPI Baselines'!F328</f>
        <v>52 days</v>
      </c>
      <c r="G343" t="str">
        <f>'5. KPI Baselines'!G328</f>
        <v>52 days</v>
      </c>
      <c r="H343" t="str">
        <f>'5. KPI Baselines'!H328</f>
        <v>↓</v>
      </c>
      <c r="I343" t="str">
        <f>'5. KPI Baselines'!I328</f>
        <v>18 months</v>
      </c>
      <c r="J343" t="str">
        <f>'5. KPI Baselines'!J328</f>
        <v>(Accounts Receivable / Total Credit Sales) × 365</v>
      </c>
      <c r="K343" s="15" t="str">
        <f t="shared" si="46"/>
        <v>68 days → 52 days</v>
      </c>
      <c r="L343" s="34" cm="1">
        <f t="array" ref="L343">IFERROR(_xlfn.LET(_xlpm.e,E343,_xlpm.f,F343,_xlpm.h,H343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0.23529377162680642</v>
      </c>
      <c r="M343" s="15" cm="1">
        <f t="array" ref="M343">IFERROR(_xlfn.LET(_xlpm.e,E343,_xlpm.f,F343,_xlpm.h,H343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54.4</v>
      </c>
      <c r="N343" s="15" cm="1">
        <f t="array" ref="N343">IFERROR(_xlfn.LET(_xlpm.e,E343,_xlpm.f,F343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343" s="15" t="str">
        <f t="shared" si="47"/>
        <v>52 days → 52 days</v>
      </c>
      <c r="P343" s="34" cm="1">
        <f t="array" ref="P343">IFERROR(_xlfn.LET(_xlpm.g,G343,_xlpm.f,F343,_xlpm.h,H343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43" s="15" t="str" cm="1">
        <f t="array" ref="Q343">IFERROR(_xlfn.LET(_xlpm.e,E343,_xlpm.g,G343,_xlpm.h,H343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3" s="15" t="str">
        <f t="shared" si="48"/>
        <v>🔴 Lagging</v>
      </c>
      <c r="S343" s="35" cm="1">
        <f t="array" ref="S343">IFERROR(_xlfn.LET(_xlpm.e,E343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343" s="36">
        <f t="shared" si="49"/>
        <v>23.529377162680642</v>
      </c>
      <c r="U343" s="15">
        <f t="shared" si="50"/>
        <v>433</v>
      </c>
      <c r="V343" s="16">
        <f t="shared" si="51"/>
        <v>2233.7967150048307</v>
      </c>
      <c r="W343" s="16">
        <f t="shared" si="52"/>
        <v>5555.1218081637835</v>
      </c>
      <c r="X343" s="37">
        <f t="shared" si="53"/>
        <v>39</v>
      </c>
      <c r="Y343" s="15" t="str">
        <f t="shared" si="54"/>
        <v>📊 Medium</v>
      </c>
    </row>
    <row r="344" spans="1:25" x14ac:dyDescent="0.2">
      <c r="A344" t="str">
        <f>'5. KPI Baselines'!A329</f>
        <v>NES Fircroft</v>
      </c>
      <c r="B344" t="str">
        <f>'5. KPI Baselines'!B329</f>
        <v>Operations</v>
      </c>
      <c r="C344" t="str">
        <f>'5. KPI Baselines'!C329</f>
        <v>Compliance Monitoring</v>
      </c>
      <c r="D344" t="str">
        <f>'5. KPI Baselines'!D329</f>
        <v>Non-Compliance Incident Rate</v>
      </c>
      <c r="E344" t="str">
        <f>'5. KPI Baselines'!E329</f>
        <v>8% of placements</v>
      </c>
      <c r="F344" t="str">
        <f>'5. KPI Baselines'!F329</f>
        <v>2%</v>
      </c>
      <c r="G344" t="str">
        <f>'5. KPI Baselines'!G329</f>
        <v>2-3%</v>
      </c>
      <c r="H344" t="str">
        <f>'5. KPI Baselines'!H329</f>
        <v>↓</v>
      </c>
      <c r="I344" t="str">
        <f>'5. KPI Baselines'!I329</f>
        <v>12 months</v>
      </c>
      <c r="J344" t="str">
        <f>'5. KPI Baselines'!J329</f>
        <v>Placements with certification lapses or regulatory violations per 100 placements</v>
      </c>
      <c r="K344" s="15" t="str">
        <f t="shared" si="46"/>
        <v>8% of placements → 2%</v>
      </c>
      <c r="L344" s="34" t="str" cm="1">
        <f t="array" ref="L344">IFERROR(_xlfn.LET(_xlpm.e,E344,_xlpm.f,F344,_xlpm.h,H344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44" s="15" t="str" cm="1">
        <f t="array" ref="M344">IFERROR(_xlfn.LET(_xlpm.e,E344,_xlpm.f,F344,_xlpm.h,H344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44" s="15" t="str" cm="1">
        <f t="array" ref="N344">IFERROR(_xlfn.LET(_xlpm.e,E344,_xlpm.f,F344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44" s="15" t="str">
        <f t="shared" si="47"/>
        <v>2-3% → 2%</v>
      </c>
      <c r="P344" s="34" cm="1">
        <f t="array" ref="P344">IFERROR(_xlfn.LET(_xlpm.g,G344,_xlpm.f,F344,_xlpm.h,H344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0.99995657243365355</v>
      </c>
      <c r="Q344" s="15" t="str" cm="1">
        <f t="array" ref="Q344">IFERROR(_xlfn.LET(_xlpm.e,E344,_xlpm.g,G344,_xlpm.h,H344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44" s="15" t="str">
        <f t="shared" si="48"/>
        <v>⚪ N/A</v>
      </c>
      <c r="S344" s="35" cm="1">
        <f t="array" ref="S344">IFERROR(_xlfn.LET(_xlpm.e,E344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44" s="36">
        <f t="shared" si="49"/>
        <v>0</v>
      </c>
      <c r="U344" s="15">
        <f t="shared" si="50"/>
        <v>554</v>
      </c>
      <c r="V344" s="16">
        <f t="shared" si="51"/>
        <v>0</v>
      </c>
      <c r="W344" s="16">
        <f t="shared" si="52"/>
        <v>0</v>
      </c>
      <c r="X344" s="37" t="str">
        <f t="shared" si="53"/>
        <v>-</v>
      </c>
      <c r="Y344" s="15" t="str">
        <f t="shared" si="54"/>
        <v>📉 Low</v>
      </c>
    </row>
    <row r="345" spans="1:25" x14ac:dyDescent="0.2">
      <c r="A345" t="str">
        <f>'5. KPI Baselines'!A330</f>
        <v>NES Fircroft</v>
      </c>
      <c r="B345" t="str">
        <f>'5. KPI Baselines'!B330</f>
        <v>Sales &amp; Account Management</v>
      </c>
      <c r="C345" t="str">
        <f>'5. KPI Baselines'!C330</f>
        <v>Client Development</v>
      </c>
      <c r="D345" t="str">
        <f>'5. KPI Baselines'!D330</f>
        <v>Cross-Service Penetration</v>
      </c>
      <c r="E345" t="str">
        <f>'5. KPI Baselines'!E330</f>
        <v>23%</v>
      </c>
      <c r="F345" t="str">
        <f>'5. KPI Baselines'!F330</f>
        <v>38%</v>
      </c>
      <c r="G345" t="str">
        <f>'5. KPI Baselines'!G330</f>
        <v>35-40%</v>
      </c>
      <c r="H345" t="str">
        <f>'5. KPI Baselines'!H330</f>
        <v>↑</v>
      </c>
      <c r="I345" t="str">
        <f>'5. KPI Baselines'!I330</f>
        <v>24 months</v>
      </c>
      <c r="J345" t="str">
        <f>'5. KPI Baselines'!J330</f>
        <v>Clients using 2+ service lines divided by total active clients</v>
      </c>
      <c r="K345" s="15" t="str">
        <f t="shared" si="46"/>
        <v>38% - 23%</v>
      </c>
      <c r="L345" s="34" cm="1">
        <f t="array" ref="L345">IFERROR(_xlfn.LET(_xlpm.e,E345,_xlpm.f,F345,_xlpm.h,H345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0.65217107751705428</v>
      </c>
      <c r="M345" s="15" cm="1">
        <f t="array" ref="M345">IFERROR(_xlfn.LET(_xlpm.e,E345,_xlpm.f,F345,_xlpm.h,H345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35.799999999999997</v>
      </c>
      <c r="N345" s="15" cm="1">
        <f t="array" ref="N345">IFERROR(_xlfn.LET(_xlpm.e,E345,_xlpm.f,F345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345" s="15" t="str">
        <f t="shared" si="47"/>
        <v>38% - 35-40%</v>
      </c>
      <c r="P345" s="34" t="str" cm="1">
        <f t="array" ref="P345">IFERROR(_xlfn.LET(_xlpm.g,G345,_xlpm.f,F345,_xlpm.h,H345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45" s="15" t="str" cm="1">
        <f t="array" ref="Q345">IFERROR(_xlfn.LET(_xlpm.e,E345,_xlpm.g,G345,_xlpm.h,H345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45" s="15" t="str">
        <f t="shared" si="48"/>
        <v>⚪ N/A</v>
      </c>
      <c r="S345" s="35" cm="1">
        <f t="array" ref="S345">IFERROR(_xlfn.LET(_xlpm.e,E345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345" s="36">
        <f t="shared" si="49"/>
        <v>65.217107751705427</v>
      </c>
      <c r="U345" s="15">
        <f t="shared" si="50"/>
        <v>109</v>
      </c>
      <c r="V345" s="16">
        <f t="shared" si="51"/>
        <v>2094.1783948765442</v>
      </c>
      <c r="W345" s="16">
        <f t="shared" si="52"/>
        <v>5207.9117107748807</v>
      </c>
      <c r="X345" s="37">
        <f t="shared" si="53"/>
        <v>42</v>
      </c>
      <c r="Y345" s="15" t="str">
        <f t="shared" si="54"/>
        <v>🔥 Critical</v>
      </c>
    </row>
    <row r="346" spans="1:25" x14ac:dyDescent="0.2">
      <c r="A346" t="str">
        <f>'5. KPI Baselines'!A331</f>
        <v>NES Fircroft</v>
      </c>
      <c r="B346" t="str">
        <f>'5. KPI Baselines'!B331</f>
        <v>Sales &amp; Account Management</v>
      </c>
      <c r="C346" t="str">
        <f>'5. KPI Baselines'!C331</f>
        <v>Proposal Development</v>
      </c>
      <c r="D346" t="str">
        <f>'5. KPI Baselines'!D331</f>
        <v>Proposal Cycle Time</v>
      </c>
      <c r="E346" t="str">
        <f>'5. KPI Baselines'!E331</f>
        <v>14 days</v>
      </c>
      <c r="F346" t="str">
        <f>'5. KPI Baselines'!F331</f>
        <v>6 days</v>
      </c>
      <c r="G346" t="str">
        <f>'5. KPI Baselines'!G331</f>
        <v>7 days</v>
      </c>
      <c r="H346" t="str">
        <f>'5. KPI Baselines'!H331</f>
        <v>↓</v>
      </c>
      <c r="I346" t="str">
        <f>'5. KPI Baselines'!I331</f>
        <v>12 months</v>
      </c>
      <c r="J346" t="str">
        <f>'5. KPI Baselines'!J331</f>
        <v>Median days from RFP receipt to proposal submission</v>
      </c>
      <c r="K346" s="15" t="str">
        <f t="shared" si="46"/>
        <v>14 days → 6 days</v>
      </c>
      <c r="L346" s="34" cm="1">
        <f t="array" ref="L346">IFERROR(_xlfn.LET(_xlpm.e,E346,_xlpm.f,F346,_xlpm.h,H346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0.57142448982507266</v>
      </c>
      <c r="M346" s="15" cm="1">
        <f t="array" ref="M346">IFERROR(_xlfn.LET(_xlpm.e,E346,_xlpm.f,F346,_xlpm.h,H346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7.2</v>
      </c>
      <c r="N346" s="15" cm="1">
        <f t="array" ref="N346">IFERROR(_xlfn.LET(_xlpm.e,E346,_xlpm.f,F346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46" s="15" t="str">
        <f t="shared" si="47"/>
        <v>7 days → 6 days</v>
      </c>
      <c r="P346" s="34" cm="1">
        <f t="array" ref="P346">IFERROR(_xlfn.LET(_xlpm.g,G346,_xlpm.f,F346,_xlpm.h,H346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0.14285510206997043</v>
      </c>
      <c r="Q346" s="15" t="str" cm="1">
        <f t="array" ref="Q346">IFERROR(_xlfn.LET(_xlpm.e,E346,_xlpm.g,G346,_xlpm.h,H346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6" s="15" t="str">
        <f t="shared" si="48"/>
        <v>🔴 Lagging</v>
      </c>
      <c r="S346" s="35" cm="1">
        <f t="array" ref="S346">IFERROR(_xlfn.LET(_xlpm.e,E346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346" s="36">
        <f t="shared" si="49"/>
        <v>57.142448982507268</v>
      </c>
      <c r="U346" s="15">
        <f t="shared" si="50"/>
        <v>173</v>
      </c>
      <c r="V346" s="16">
        <f t="shared" si="51"/>
        <v>1116.8920221998414</v>
      </c>
      <c r="W346" s="16">
        <f t="shared" si="52"/>
        <v>2777.5451491220724</v>
      </c>
      <c r="X346" s="37">
        <f t="shared" si="53"/>
        <v>78</v>
      </c>
      <c r="Y346" s="15" t="str">
        <f t="shared" si="54"/>
        <v>🔥 Critical</v>
      </c>
    </row>
    <row r="347" spans="1:25" x14ac:dyDescent="0.2">
      <c r="A347" t="str">
        <f>'5. KPI Baselines'!A332</f>
        <v>NES Fircroft</v>
      </c>
      <c r="B347" t="str">
        <f>'5. KPI Baselines'!B332</f>
        <v>Sales &amp; Account Management</v>
      </c>
      <c r="C347" t="str">
        <f>'5. KPI Baselines'!C332</f>
        <v>Win Rate</v>
      </c>
      <c r="D347" t="str">
        <f>'5. KPI Baselines'!D332</f>
        <v>Competitive Win Rate (New Clients)</v>
      </c>
      <c r="E347" t="str">
        <f>'5. KPI Baselines'!E332</f>
        <v>28%</v>
      </c>
      <c r="F347" t="str">
        <f>'5. KPI Baselines'!F332</f>
        <v>35%</v>
      </c>
      <c r="G347" t="str">
        <f>'5. KPI Baselines'!G332</f>
        <v>35%</v>
      </c>
      <c r="H347" t="str">
        <f>'5. KPI Baselines'!H332</f>
        <v>↑</v>
      </c>
      <c r="I347" t="str">
        <f>'5. KPI Baselines'!I332</f>
        <v>18 months</v>
      </c>
      <c r="J347" t="str">
        <f>'5. KPI Baselines'!J332</f>
        <v>Proposals won divided by total competitive proposals submitted</v>
      </c>
      <c r="K347" s="15" t="str">
        <f t="shared" si="46"/>
        <v>35% - 28%</v>
      </c>
      <c r="L347" s="34" cm="1">
        <f t="array" ref="L347">IFERROR(_xlfn.LET(_xlpm.e,E347,_xlpm.f,F347,_xlpm.h,H347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0.2499991071460459</v>
      </c>
      <c r="M347" s="15" cm="1">
        <f t="array" ref="M347">IFERROR(_xlfn.LET(_xlpm.e,E347,_xlpm.f,F347,_xlpm.h,H347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</v>
      </c>
      <c r="N347" s="15" cm="1">
        <f t="array" ref="N347">IFERROR(_xlfn.LET(_xlpm.e,E347,_xlpm.f,F347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347" s="15" t="str">
        <f t="shared" si="47"/>
        <v>35% - 35%</v>
      </c>
      <c r="P347" s="34" cm="1">
        <f t="array" ref="P347">IFERROR(_xlfn.LET(_xlpm.g,G347,_xlpm.f,F347,_xlpm.h,H347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47" s="15" t="str" cm="1">
        <f t="array" ref="Q347">IFERROR(_xlfn.LET(_xlpm.e,E347,_xlpm.g,G347,_xlpm.h,H347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7" s="15" t="str">
        <f t="shared" si="48"/>
        <v>🔴 Lagging</v>
      </c>
      <c r="S347" s="35" cm="1">
        <f t="array" ref="S347">IFERROR(_xlfn.LET(_xlpm.e,E347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347" s="36">
        <f t="shared" si="49"/>
        <v>24.999910714604589</v>
      </c>
      <c r="U347" s="15">
        <f t="shared" si="50"/>
        <v>421</v>
      </c>
      <c r="V347" s="16">
        <f t="shared" si="51"/>
        <v>977.28400969996517</v>
      </c>
      <c r="W347" s="16">
        <f t="shared" si="52"/>
        <v>2430.3606852794046</v>
      </c>
      <c r="X347" s="37">
        <f t="shared" si="53"/>
        <v>89</v>
      </c>
      <c r="Y347" s="15" t="str">
        <f t="shared" si="54"/>
        <v>📊 Medium</v>
      </c>
    </row>
    <row r="348" spans="1:25" x14ac:dyDescent="0.2">
      <c r="A348" t="str">
        <f>'5. KPI Baselines'!A333</f>
        <v>NES Fircroft</v>
      </c>
      <c r="B348" t="str">
        <f>'5. KPI Baselines'!B333</f>
        <v>Finance</v>
      </c>
      <c r="C348" t="str">
        <f>'5. KPI Baselines'!C333</f>
        <v>Financial Reporting</v>
      </c>
      <c r="D348" t="str">
        <f>'5. KPI Baselines'!D333</f>
        <v>Month-End Close Cycle</v>
      </c>
      <c r="E348" t="str">
        <f>'5. KPI Baselines'!E333</f>
        <v>12 days</v>
      </c>
      <c r="F348" t="str">
        <f>'5. KPI Baselines'!F333</f>
        <v>7 days</v>
      </c>
      <c r="G348" t="str">
        <f>'5. KPI Baselines'!G333</f>
        <v>7 days</v>
      </c>
      <c r="H348" t="str">
        <f>'5. KPI Baselines'!H333</f>
        <v>↓</v>
      </c>
      <c r="I348" t="str">
        <f>'5. KPI Baselines'!I333</f>
        <v>12 months</v>
      </c>
      <c r="J348" t="str">
        <f>'5. KPI Baselines'!J333</f>
        <v>Business days from month-end to finalized financial statements</v>
      </c>
      <c r="K348" s="15" t="str">
        <f t="shared" si="46"/>
        <v>12 days → 7 days</v>
      </c>
      <c r="L348" s="34" cm="1">
        <f t="array" ref="L348">IFERROR(_xlfn.LET(_xlpm.e,E348,_xlpm.f,F348,_xlpm.h,H348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348" s="15" cm="1">
        <f t="array" ref="M348">IFERROR(_xlfn.LET(_xlpm.e,E348,_xlpm.f,F348,_xlpm.h,H348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348" s="15" cm="1">
        <f t="array" ref="N348">IFERROR(_xlfn.LET(_xlpm.e,E348,_xlpm.f,F348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348" s="15" t="str">
        <f t="shared" si="47"/>
        <v>7 days → 7 days</v>
      </c>
      <c r="P348" s="34" cm="1">
        <f t="array" ref="P348">IFERROR(_xlfn.LET(_xlpm.g,G348,_xlpm.f,F348,_xlpm.h,H348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48" s="15" t="str" cm="1">
        <f t="array" ref="Q348">IFERROR(_xlfn.LET(_xlpm.e,E348,_xlpm.g,G348,_xlpm.h,H348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8" s="15" t="str">
        <f t="shared" si="48"/>
        <v>🔴 Lagging</v>
      </c>
      <c r="S348" s="35" cm="1">
        <f t="array" ref="S348">IFERROR(_xlfn.LET(_xlpm.e,E348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48" s="36">
        <f t="shared" si="49"/>
        <v>41.666319447337941</v>
      </c>
      <c r="U348" s="15">
        <f t="shared" si="50"/>
        <v>292</v>
      </c>
      <c r="V348" s="16">
        <f t="shared" si="51"/>
        <v>698.05668286097625</v>
      </c>
      <c r="W348" s="16">
        <f t="shared" si="52"/>
        <v>1735.963651592662</v>
      </c>
      <c r="X348" s="37">
        <f t="shared" si="53"/>
        <v>124</v>
      </c>
      <c r="Y348" s="15" t="str">
        <f t="shared" si="54"/>
        <v>⚠️ High</v>
      </c>
    </row>
    <row r="349" spans="1:25" x14ac:dyDescent="0.2">
      <c r="A349" t="str">
        <f>'5. KPI Baselines'!A334</f>
        <v>NES Fircroft</v>
      </c>
      <c r="B349" t="str">
        <f>'5. KPI Baselines'!B334</f>
        <v>Human Resources</v>
      </c>
      <c r="C349" t="str">
        <f>'5. KPI Baselines'!C334</f>
        <v>Internal Talent Management</v>
      </c>
      <c r="D349" t="str">
        <f>'5. KPI Baselines'!D334</f>
        <v>Employee Onboarding Time</v>
      </c>
      <c r="E349" t="str">
        <f>'5. KPI Baselines'!E334</f>
        <v>18 days</v>
      </c>
      <c r="F349" t="str">
        <f>'5. KPI Baselines'!F334</f>
        <v>10 days</v>
      </c>
      <c r="G349" t="str">
        <f>'5. KPI Baselines'!G334</f>
        <v>10 days</v>
      </c>
      <c r="H349" t="str">
        <f>'5. KPI Baselines'!H334</f>
        <v>↓</v>
      </c>
      <c r="I349" t="str">
        <f>'5. KPI Baselines'!I334</f>
        <v>12 months</v>
      </c>
      <c r="J349" t="str">
        <f>'5. KPI Baselines'!J334</f>
        <v>Days from offer acceptance to full productivity (system access, training complete)</v>
      </c>
      <c r="K349" s="15" t="str">
        <f t="shared" si="46"/>
        <v>18 days → 10 days</v>
      </c>
      <c r="L349" s="34" cm="1">
        <f t="array" ref="L349">IFERROR(_xlfn.LET(_xlpm.e,E349,_xlpm.f,F349,_xlpm.h,H349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0.44444197532235935</v>
      </c>
      <c r="M349" s="15" cm="1">
        <f t="array" ref="M349">IFERROR(_xlfn.LET(_xlpm.e,E349,_xlpm.f,F349,_xlpm.h,H349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11.2</v>
      </c>
      <c r="N349" s="15" cm="1">
        <f t="array" ref="N349">IFERROR(_xlfn.LET(_xlpm.e,E349,_xlpm.f,F349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49" s="15" t="str">
        <f t="shared" si="47"/>
        <v>10 days → 10 days</v>
      </c>
      <c r="P349" s="34" cm="1">
        <f t="array" ref="P349">IFERROR(_xlfn.LET(_xlpm.g,G349,_xlpm.f,F349,_xlpm.h,H349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49" s="15" t="str" cm="1">
        <f t="array" ref="Q349">IFERROR(_xlfn.LET(_xlpm.e,E349,_xlpm.g,G349,_xlpm.h,H349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49" s="15" t="str">
        <f t="shared" si="48"/>
        <v>🔴 Lagging</v>
      </c>
      <c r="S349" s="35" cm="1">
        <f t="array" ref="S349">IFERROR(_xlfn.LET(_xlpm.e,E349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49" s="36">
        <f t="shared" si="49"/>
        <v>44.444197532235933</v>
      </c>
      <c r="U349" s="15">
        <f t="shared" si="50"/>
        <v>268</v>
      </c>
      <c r="V349" s="16">
        <f t="shared" si="51"/>
        <v>1116.8937950344721</v>
      </c>
      <c r="W349" s="16">
        <f t="shared" si="52"/>
        <v>2777.5495578994028</v>
      </c>
      <c r="X349" s="37">
        <f t="shared" si="53"/>
        <v>78</v>
      </c>
      <c r="Y349" s="15" t="str">
        <f t="shared" si="54"/>
        <v>⚠️ High</v>
      </c>
    </row>
    <row r="350" spans="1:25" x14ac:dyDescent="0.2">
      <c r="A350" t="str">
        <f>'5. KPI Baselines'!A335</f>
        <v>NES Fircroft</v>
      </c>
      <c r="B350" t="str">
        <f>'5. KPI Baselines'!B335</f>
        <v>Knowledge Management</v>
      </c>
      <c r="C350" t="str">
        <f>'5. KPI Baselines'!C335</f>
        <v>Technical Documentation</v>
      </c>
      <c r="D350" t="str">
        <f>'5. KPI Baselines'!D335</f>
        <v>Document Retrieval Time</v>
      </c>
      <c r="E350" t="str">
        <f>'5. KPI Baselines'!E335</f>
        <v>24 minutes</v>
      </c>
      <c r="F350" t="str">
        <f>'5. KPI Baselines'!F335</f>
        <v>5 minutes</v>
      </c>
      <c r="G350" t="str">
        <f>'5. KPI Baselines'!G335</f>
        <v>4 minutes</v>
      </c>
      <c r="H350" t="str">
        <f>'5. KPI Baselines'!H335</f>
        <v>↓</v>
      </c>
      <c r="I350" t="str">
        <f>'5. KPI Baselines'!I335</f>
        <v>12 months</v>
      </c>
      <c r="J350" t="str">
        <f>'5. KPI Baselines'!J335</f>
        <v>Average time to locate specific policy, certification requirement, or client specification</v>
      </c>
      <c r="K350" s="15" t="str">
        <f t="shared" si="46"/>
        <v>24 minutes → 5 minutes</v>
      </c>
      <c r="L350" s="34" cm="1">
        <f t="array" ref="L350">IFERROR(_xlfn.LET(_xlpm.e,E350,_xlpm.f,F350,_xlpm.h,H350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0.79166336806929971</v>
      </c>
      <c r="M350" s="15" cm="1">
        <f t="array" ref="M350">IFERROR(_xlfn.LET(_xlpm.e,E350,_xlpm.f,F350,_xlpm.h,H350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7.9</v>
      </c>
      <c r="N350" s="15" cm="1">
        <f t="array" ref="N350">IFERROR(_xlfn.LET(_xlpm.e,E350,_xlpm.f,F350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350" s="15" t="str">
        <f t="shared" si="47"/>
        <v>4 minutes → 5 minutes</v>
      </c>
      <c r="P350" s="34" cm="1">
        <f t="array" ref="P350">IFERROR(_xlfn.LET(_xlpm.g,G350,_xlpm.f,F350,_xlpm.h,H350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-0.24999375015624611</v>
      </c>
      <c r="Q350" s="15" t="str" cm="1">
        <f t="array" ref="Q350">IFERROR(_xlfn.LET(_xlpm.e,E350,_xlpm.g,G350,_xlpm.h,H350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0" s="15" t="str">
        <f t="shared" si="48"/>
        <v>🔴 Lagging</v>
      </c>
      <c r="S350" s="35" cm="1">
        <f t="array" ref="S350">IFERROR(_xlfn.LET(_xlpm.e,E350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24</v>
      </c>
      <c r="T350" s="36">
        <f t="shared" si="49"/>
        <v>79.166336806929976</v>
      </c>
      <c r="U350" s="15">
        <f t="shared" si="50"/>
        <v>40</v>
      </c>
      <c r="V350" s="16">
        <f t="shared" si="51"/>
        <v>2652.6264473898027</v>
      </c>
      <c r="W350" s="16">
        <f t="shared" si="52"/>
        <v>6596.6893620287419</v>
      </c>
      <c r="X350" s="37">
        <f t="shared" si="53"/>
        <v>33</v>
      </c>
      <c r="Y350" s="15" t="str">
        <f t="shared" si="54"/>
        <v>🔥 Critical</v>
      </c>
    </row>
    <row r="351" spans="1:25" x14ac:dyDescent="0.2">
      <c r="A351" t="str">
        <f>'5. KPI Baselines'!A336</f>
        <v>Nations Roof</v>
      </c>
      <c r="B351" t="str">
        <f>'5. KPI Baselines'!B336</f>
        <v>Sales &amp; Estimating</v>
      </c>
      <c r="C351" t="str">
        <f>'5. KPI Baselines'!C336</f>
        <v>Proposal Development</v>
      </c>
      <c r="D351" t="str">
        <f>'5. KPI Baselines'!D336</f>
        <v>Estimate Turnaround Time</v>
      </c>
      <c r="E351" t="str">
        <f>'5. KPI Baselines'!E336</f>
        <v>12 days</v>
      </c>
      <c r="F351" t="str">
        <f>'5. KPI Baselines'!F336</f>
        <v>3 days</v>
      </c>
      <c r="G351" t="str">
        <f>'5. KPI Baselines'!G336</f>
        <v>7 days</v>
      </c>
      <c r="H351" t="str">
        <f>'5. KPI Baselines'!H336</f>
        <v>↓</v>
      </c>
      <c r="I351" t="str">
        <f>'5. KPI Baselines'!I336</f>
        <v>12 months</v>
      </c>
      <c r="J351" t="str">
        <f>'5. KPI Baselines'!J336</f>
        <v>Days from site visit to proposal delivery</v>
      </c>
      <c r="K351" s="15" t="str">
        <f t="shared" si="46"/>
        <v>12 days → 3 days</v>
      </c>
      <c r="L351" s="34" cm="1">
        <f t="array" ref="L351">IFERROR(_xlfn.LET(_xlpm.e,E351,_xlpm.f,F351,_xlpm.h,H351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351" s="15" cm="1">
        <f t="array" ref="M351">IFERROR(_xlfn.LET(_xlpm.e,E351,_xlpm.f,F351,_xlpm.h,H351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351" s="15" cm="1">
        <f t="array" ref="N351">IFERROR(_xlfn.LET(_xlpm.e,E351,_xlpm.f,F351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351" s="15" t="str">
        <f t="shared" si="47"/>
        <v>7 days → 3 days</v>
      </c>
      <c r="P351" s="34" cm="1">
        <f t="array" ref="P351">IFERROR(_xlfn.LET(_xlpm.g,G351,_xlpm.f,F351,_xlpm.h,H351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0.57142040827988172</v>
      </c>
      <c r="Q351" s="15" t="str" cm="1">
        <f t="array" ref="Q351">IFERROR(_xlfn.LET(_xlpm.e,E351,_xlpm.g,G351,_xlpm.h,H351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1" s="15" t="str">
        <f t="shared" si="48"/>
        <v>🔴 Lagging</v>
      </c>
      <c r="S351" s="35" cm="1">
        <f t="array" ref="S351">IFERROR(_xlfn.LET(_xlpm.e,E351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51" s="36">
        <f t="shared" si="49"/>
        <v>74.999375005208293</v>
      </c>
      <c r="U351" s="15">
        <f t="shared" si="50"/>
        <v>53</v>
      </c>
      <c r="V351" s="16">
        <f t="shared" si="51"/>
        <v>1256.5020291497572</v>
      </c>
      <c r="W351" s="16">
        <f t="shared" si="52"/>
        <v>3124.734572866792</v>
      </c>
      <c r="X351" s="37">
        <f t="shared" si="53"/>
        <v>69</v>
      </c>
      <c r="Y351" s="15" t="str">
        <f t="shared" si="54"/>
        <v>🔥 Critical</v>
      </c>
    </row>
    <row r="352" spans="1:25" x14ac:dyDescent="0.2">
      <c r="A352" t="str">
        <f>'5. KPI Baselines'!A337</f>
        <v>Nations Roof</v>
      </c>
      <c r="B352" t="str">
        <f>'5. KPI Baselines'!B337</f>
        <v>Sales &amp; Estimating</v>
      </c>
      <c r="C352" t="str">
        <f>'5. KPI Baselines'!C337</f>
        <v>Bid Accuracy</v>
      </c>
      <c r="D352" t="str">
        <f>'5. KPI Baselines'!D337</f>
        <v>Material Order Error Rate</v>
      </c>
      <c r="E352" t="str">
        <f>'5. KPI Baselines'!E337</f>
        <v>14%</v>
      </c>
      <c r="F352" t="str">
        <f>'5. KPI Baselines'!F337</f>
        <v>4%</v>
      </c>
      <c r="G352" t="str">
        <f>'5. KPI Baselines'!G337</f>
        <v>8%</v>
      </c>
      <c r="H352" t="str">
        <f>'5. KPI Baselines'!H337</f>
        <v>↓</v>
      </c>
      <c r="I352" t="str">
        <f>'5. KPI Baselines'!I337</f>
        <v>12 months</v>
      </c>
      <c r="J352" t="str">
        <f>'5. KPI Baselines'!J337</f>
        <v>Percentage of initial orders requiring adjustment</v>
      </c>
      <c r="K352" s="15" t="str">
        <f t="shared" si="46"/>
        <v>14% → 4%</v>
      </c>
      <c r="L352" s="34" cm="1">
        <f t="array" ref="L352">IFERROR(_xlfn.LET(_xlpm.e,E352,_xlpm.f,F352,_xlpm.h,H352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0.71428061228134088</v>
      </c>
      <c r="M352" s="15" cm="1">
        <f t="array" ref="M352">IFERROR(_xlfn.LET(_xlpm.e,E352,_xlpm.f,F352,_xlpm.h,H352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5.5</v>
      </c>
      <c r="N352" s="15" cm="1">
        <f t="array" ref="N352">IFERROR(_xlfn.LET(_xlpm.e,E352,_xlpm.f,F352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352" s="15" t="str">
        <f t="shared" si="47"/>
        <v>8% → 4%</v>
      </c>
      <c r="P352" s="34" cm="1">
        <f t="array" ref="P352">IFERROR(_xlfn.LET(_xlpm.g,G352,_xlpm.f,F352,_xlpm.h,H352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0.49999375007812402</v>
      </c>
      <c r="Q352" s="15" t="str" cm="1">
        <f t="array" ref="Q352">IFERROR(_xlfn.LET(_xlpm.e,E352,_xlpm.g,G352,_xlpm.h,H352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2" s="15" t="str">
        <f t="shared" si="48"/>
        <v>🔴 Lagging</v>
      </c>
      <c r="S352" s="35" cm="1">
        <f t="array" ref="S352">IFERROR(_xlfn.LET(_xlpm.e,E352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352" s="36">
        <f t="shared" si="49"/>
        <v>71.428061228134084</v>
      </c>
      <c r="U352" s="15">
        <f t="shared" si="50"/>
        <v>75</v>
      </c>
      <c r="V352" s="16">
        <f t="shared" si="51"/>
        <v>1396.1150277498018</v>
      </c>
      <c r="W352" s="16">
        <f t="shared" si="52"/>
        <v>3471.9314364025904</v>
      </c>
      <c r="X352" s="37">
        <f t="shared" si="53"/>
        <v>62</v>
      </c>
      <c r="Y352" s="15" t="str">
        <f t="shared" si="54"/>
        <v>🔥 Critical</v>
      </c>
    </row>
    <row r="353" spans="1:25" x14ac:dyDescent="0.2">
      <c r="A353" t="str">
        <f>'5. KPI Baselines'!A338</f>
        <v>Nations Roof</v>
      </c>
      <c r="B353" t="str">
        <f>'5. KPI Baselines'!B338</f>
        <v>Field Operations</v>
      </c>
      <c r="C353" t="str">
        <f>'5. KPI Baselines'!C338</f>
        <v>Workforce Management</v>
      </c>
      <c r="D353" t="str">
        <f>'5. KPI Baselines'!D338</f>
        <v>Billable Utilization Rate</v>
      </c>
      <c r="E353" t="str">
        <f>'5. KPI Baselines'!E338</f>
        <v>81%</v>
      </c>
      <c r="F353" t="str">
        <f>'5. KPI Baselines'!F338</f>
        <v>91%</v>
      </c>
      <c r="G353" t="str">
        <f>'5. KPI Baselines'!G338</f>
        <v>88%</v>
      </c>
      <c r="H353" t="str">
        <f>'5. KPI Baselines'!H338</f>
        <v>↑</v>
      </c>
      <c r="I353" t="str">
        <f>'5. KPI Baselines'!I338</f>
        <v>18 months</v>
      </c>
      <c r="J353" t="str">
        <f>'5. KPI Baselines'!J338</f>
        <v>Billable hours divided by available crew hours</v>
      </c>
      <c r="K353" s="15" t="str">
        <f t="shared" si="46"/>
        <v>91% - 81%</v>
      </c>
      <c r="L353" s="34" cm="1">
        <f t="array" ref="L353">IFERROR(_xlfn.LET(_xlpm.e,E353,_xlpm.f,F353,_xlpm.h,H353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0.12345663770785467</v>
      </c>
      <c r="M353" s="15" cm="1">
        <f t="array" ref="M353">IFERROR(_xlfn.LET(_xlpm.e,E353,_xlpm.f,F353,_xlpm.h,H353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89.5</v>
      </c>
      <c r="N353" s="15" cm="1">
        <f t="array" ref="N353">IFERROR(_xlfn.LET(_xlpm.e,E353,_xlpm.f,F353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353" s="15" t="str">
        <f t="shared" si="47"/>
        <v>91% - 88%</v>
      </c>
      <c r="P353" s="34" cm="1">
        <f t="array" ref="P353">IFERROR(_xlfn.LET(_xlpm.g,G353,_xlpm.f,F353,_xlpm.h,H353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3.4090870351283692E-2</v>
      </c>
      <c r="Q353" s="15" t="str" cm="1">
        <f t="array" ref="Q353">IFERROR(_xlfn.LET(_xlpm.e,E353,_xlpm.g,G353,_xlpm.h,H353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3" s="15" t="str">
        <f t="shared" si="48"/>
        <v>🔴 Lagging</v>
      </c>
      <c r="S353" s="35" cm="1">
        <f t="array" ref="S353">IFERROR(_xlfn.LET(_xlpm.e,E353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81</v>
      </c>
      <c r="T353" s="36">
        <f t="shared" si="49"/>
        <v>12.345663770785468</v>
      </c>
      <c r="U353" s="15">
        <f t="shared" si="50"/>
        <v>507</v>
      </c>
      <c r="V353" s="16">
        <f t="shared" si="51"/>
        <v>1396.1232763910168</v>
      </c>
      <c r="W353" s="16">
        <f t="shared" si="52"/>
        <v>3471.9519495524187</v>
      </c>
      <c r="X353" s="37">
        <f t="shared" si="53"/>
        <v>62</v>
      </c>
      <c r="Y353" s="15" t="str">
        <f t="shared" si="54"/>
        <v>📊 Medium</v>
      </c>
    </row>
    <row r="354" spans="1:25" x14ac:dyDescent="0.2">
      <c r="A354" t="str">
        <f>'5. KPI Baselines'!A339</f>
        <v>Nations Roof</v>
      </c>
      <c r="B354" t="str">
        <f>'5. KPI Baselines'!B339</f>
        <v>Field Operations</v>
      </c>
      <c r="C354" t="str">
        <f>'5. KPI Baselines'!C339</f>
        <v>Safety Compliance</v>
      </c>
      <c r="D354" t="str">
        <f>'5. KPI Baselines'!D339</f>
        <v>Workers Compensation Mod Rate</v>
      </c>
      <c r="E354" t="str">
        <f>'5. KPI Baselines'!E339</f>
        <v>1.23</v>
      </c>
      <c r="F354" t="str">
        <f>'5. KPI Baselines'!F339</f>
        <v>0.95</v>
      </c>
      <c r="G354" t="str">
        <f>'5. KPI Baselines'!G339</f>
        <v>1.00</v>
      </c>
      <c r="H354" t="str">
        <f>'5. KPI Baselines'!H339</f>
        <v>↓</v>
      </c>
      <c r="I354" t="str">
        <f>'5. KPI Baselines'!I339</f>
        <v>24 months</v>
      </c>
      <c r="J354" t="str">
        <f>'5. KPI Baselines'!J339</f>
        <v>State-assigned modification factor</v>
      </c>
      <c r="K354" s="15" t="str">
        <f t="shared" si="46"/>
        <v>1.23 → 0.95</v>
      </c>
      <c r="L354" s="34" cm="1">
        <f t="array" ref="L354">IFERROR(_xlfn.LET(_xlpm.e,E354,_xlpm.f,F354,_xlpm.h,H354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0.22762377042516871</v>
      </c>
      <c r="M354" s="15" cm="1">
        <f t="array" ref="M354">IFERROR(_xlfn.LET(_xlpm.e,E354,_xlpm.f,F354,_xlpm.h,H354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</v>
      </c>
      <c r="N354" s="15" cm="1">
        <f t="array" ref="N354">IFERROR(_xlfn.LET(_xlpm.e,E354,_xlpm.f,F354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0.21</v>
      </c>
      <c r="O354" s="15" t="str">
        <f t="shared" si="47"/>
        <v>1.00 → 0.95</v>
      </c>
      <c r="P354" s="34" cm="1">
        <f t="array" ref="P354">IFERROR(_xlfn.LET(_xlpm.g,G354,_xlpm.f,F354,_xlpm.h,H354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4.9995000499950051E-2</v>
      </c>
      <c r="Q354" s="15" t="str" cm="1">
        <f t="array" ref="Q354">IFERROR(_xlfn.LET(_xlpm.e,E354,_xlpm.g,G354,_xlpm.h,H354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4" s="15" t="str">
        <f t="shared" si="48"/>
        <v>🔴 Lagging</v>
      </c>
      <c r="S354" s="35" cm="1">
        <f t="array" ref="S354">IFERROR(_xlfn.LET(_xlpm.e,E354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1.23</v>
      </c>
      <c r="T354" s="36">
        <f t="shared" si="49"/>
        <v>22.762377042516871</v>
      </c>
      <c r="U354" s="15">
        <f t="shared" si="50"/>
        <v>440</v>
      </c>
      <c r="V354" s="16">
        <f t="shared" si="51"/>
        <v>39.088322087635156</v>
      </c>
      <c r="W354" s="16">
        <f t="shared" si="52"/>
        <v>97.206871607868123</v>
      </c>
      <c r="X354" s="37">
        <f t="shared" si="53"/>
        <v>1888</v>
      </c>
      <c r="Y354" s="15" t="str">
        <f t="shared" si="54"/>
        <v>📊 Medium</v>
      </c>
    </row>
    <row r="355" spans="1:25" x14ac:dyDescent="0.2">
      <c r="A355" t="str">
        <f>'5. KPI Baselines'!A340</f>
        <v>Nations Roof</v>
      </c>
      <c r="B355" t="str">
        <f>'5. KPI Baselines'!B340</f>
        <v>Project Management</v>
      </c>
      <c r="C355" t="str">
        <f>'5. KPI Baselines'!C340</f>
        <v>Schedule Performance</v>
      </c>
      <c r="D355" t="str">
        <f>'5. KPI Baselines'!D340</f>
        <v>Projects Delayed &gt;5 Days</v>
      </c>
      <c r="E355" t="str">
        <f>'5. KPI Baselines'!E340</f>
        <v>23%</v>
      </c>
      <c r="F355" t="str">
        <f>'5. KPI Baselines'!F340</f>
        <v>8%</v>
      </c>
      <c r="G355" t="str">
        <f>'5. KPI Baselines'!G340</f>
        <v>12%</v>
      </c>
      <c r="H355" t="str">
        <f>'5. KPI Baselines'!H340</f>
        <v>↓</v>
      </c>
      <c r="I355" t="str">
        <f>'5. KPI Baselines'!I340</f>
        <v>12 months</v>
      </c>
      <c r="J355" t="str">
        <f>'5. KPI Baselines'!J340</f>
        <v>Percentage of projects exceeding original completion date</v>
      </c>
      <c r="K355" s="15" t="str">
        <f t="shared" si="46"/>
        <v>23% → 8%</v>
      </c>
      <c r="L355" s="34" cm="1">
        <f t="array" ref="L355">IFERROR(_xlfn.LET(_xlpm.e,E355,_xlpm.f,F355,_xlpm.h,H355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0.65217107751705428</v>
      </c>
      <c r="M355" s="15" cm="1">
        <f t="array" ref="M355">IFERROR(_xlfn.LET(_xlpm.e,E355,_xlpm.f,F355,_xlpm.h,H355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10.3</v>
      </c>
      <c r="N355" s="15" cm="1">
        <f t="array" ref="N355">IFERROR(_xlfn.LET(_xlpm.e,E355,_xlpm.f,F355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355" s="15" t="str">
        <f t="shared" si="47"/>
        <v>12% → 8%</v>
      </c>
      <c r="P355" s="34" cm="1">
        <f t="array" ref="P355">IFERROR(_xlfn.LET(_xlpm.g,G355,_xlpm.f,F355,_xlpm.h,H355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0.3333305555787035</v>
      </c>
      <c r="Q355" s="15" t="str" cm="1">
        <f t="array" ref="Q355">IFERROR(_xlfn.LET(_xlpm.e,E355,_xlpm.g,G355,_xlpm.h,H355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5" s="15" t="str">
        <f t="shared" si="48"/>
        <v>🔴 Lagging</v>
      </c>
      <c r="S355" s="35" cm="1">
        <f t="array" ref="S355">IFERROR(_xlfn.LET(_xlpm.e,E355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355" s="36">
        <f t="shared" si="49"/>
        <v>65.217107751705427</v>
      </c>
      <c r="U355" s="15">
        <f t="shared" si="50"/>
        <v>109</v>
      </c>
      <c r="V355" s="16">
        <f t="shared" si="51"/>
        <v>2094.1783948765442</v>
      </c>
      <c r="W355" s="16">
        <f t="shared" si="52"/>
        <v>5207.9117107748807</v>
      </c>
      <c r="X355" s="37">
        <f t="shared" si="53"/>
        <v>42</v>
      </c>
      <c r="Y355" s="15" t="str">
        <f t="shared" si="54"/>
        <v>🔥 Critical</v>
      </c>
    </row>
    <row r="356" spans="1:25" x14ac:dyDescent="0.2">
      <c r="A356" t="str">
        <f>'5. KPI Baselines'!A341</f>
        <v>Nations Roof</v>
      </c>
      <c r="B356" t="str">
        <f>'5. KPI Baselines'!B341</f>
        <v>Project Management</v>
      </c>
      <c r="C356" t="str">
        <f>'5. KPI Baselines'!C341</f>
        <v>Documentation Quality</v>
      </c>
      <c r="D356" t="str">
        <f>'5. KPI Baselines'!D341</f>
        <v>Change Order Dispute Rate</v>
      </c>
      <c r="E356" t="str">
        <f>'5. KPI Baselines'!E341</f>
        <v>16%</v>
      </c>
      <c r="F356" t="str">
        <f>'5. KPI Baselines'!F341</f>
        <v>5%</v>
      </c>
      <c r="G356" t="str">
        <f>'5. KPI Baselines'!G341</f>
        <v>9%</v>
      </c>
      <c r="H356" t="str">
        <f>'5. KPI Baselines'!H341</f>
        <v>↓</v>
      </c>
      <c r="I356" t="str">
        <f>'5. KPI Baselines'!I341</f>
        <v>12 months</v>
      </c>
      <c r="J356" t="str">
        <f>'5. KPI Baselines'!J341</f>
        <v>Percentage of change orders requiring rework or negotiation</v>
      </c>
      <c r="K356" s="15" t="str">
        <f t="shared" si="46"/>
        <v>16% → 5%</v>
      </c>
      <c r="L356" s="34" cm="1">
        <f t="array" ref="L356">IFERROR(_xlfn.LET(_xlpm.e,E356,_xlpm.f,F356,_xlpm.h,H356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0.68749570315185526</v>
      </c>
      <c r="M356" s="15" cm="1">
        <f t="array" ref="M356">IFERROR(_xlfn.LET(_xlpm.e,E356,_xlpm.f,F356,_xlpm.h,H356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6.7</v>
      </c>
      <c r="N356" s="15" cm="1">
        <f t="array" ref="N356">IFERROR(_xlfn.LET(_xlpm.e,E356,_xlpm.f,F356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56" s="15" t="str">
        <f t="shared" si="47"/>
        <v>9% → 5%</v>
      </c>
      <c r="P356" s="34" cm="1">
        <f t="array" ref="P356">IFERROR(_xlfn.LET(_xlpm.g,G356,_xlpm.f,F356,_xlpm.h,H356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0.44443950622770861</v>
      </c>
      <c r="Q356" s="15" t="str" cm="1">
        <f t="array" ref="Q356">IFERROR(_xlfn.LET(_xlpm.e,E356,_xlpm.g,G356,_xlpm.h,H356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6" s="15" t="str">
        <f t="shared" si="48"/>
        <v>🔴 Lagging</v>
      </c>
      <c r="S356" s="35" cm="1">
        <f t="array" ref="S356">IFERROR(_xlfn.LET(_xlpm.e,E356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16</v>
      </c>
      <c r="T356" s="36">
        <f t="shared" si="49"/>
        <v>68.749570315185522</v>
      </c>
      <c r="U356" s="15">
        <f t="shared" si="50"/>
        <v>85</v>
      </c>
      <c r="V356" s="16">
        <f t="shared" si="51"/>
        <v>1535.7279017006142</v>
      </c>
      <c r="W356" s="16">
        <f t="shared" si="52"/>
        <v>3819.1279899541978</v>
      </c>
      <c r="X356" s="37">
        <f t="shared" si="53"/>
        <v>57</v>
      </c>
      <c r="Y356" s="15" t="str">
        <f t="shared" si="54"/>
        <v>🔥 Critical</v>
      </c>
    </row>
    <row r="357" spans="1:25" x14ac:dyDescent="0.2">
      <c r="A357" t="str">
        <f>'5. KPI Baselines'!A342</f>
        <v>Nations Roof</v>
      </c>
      <c r="B357" t="str">
        <f>'5. KPI Baselines'!B342</f>
        <v>Finance &amp; Accounting</v>
      </c>
      <c r="C357" t="str">
        <f>'5. KPI Baselines'!C342</f>
        <v>Accounts Receivable</v>
      </c>
      <c r="D357" t="str">
        <f>'5. KPI Baselines'!D342</f>
        <v>Days Sales Outstanding</v>
      </c>
      <c r="E357" t="str">
        <f>'5. KPI Baselines'!E342</f>
        <v>47 days</v>
      </c>
      <c r="F357" t="str">
        <f>'5. KPI Baselines'!F342</f>
        <v>34 days</v>
      </c>
      <c r="G357" t="str">
        <f>'5. KPI Baselines'!G342</f>
        <v>38 days</v>
      </c>
      <c r="H357" t="str">
        <f>'5. KPI Baselines'!H342</f>
        <v>↓</v>
      </c>
      <c r="I357" t="str">
        <f>'5. KPI Baselines'!I342</f>
        <v>18 months</v>
      </c>
      <c r="J357" t="str">
        <f>'5. KPI Baselines'!J342</f>
        <v>Average collection period for completed projects</v>
      </c>
      <c r="K357" s="15" t="str">
        <f t="shared" si="46"/>
        <v>47 days → 34 days</v>
      </c>
      <c r="L357" s="34" cm="1">
        <f t="array" ref="L357">IFERROR(_xlfn.LET(_xlpm.e,E357,_xlpm.f,F357,_xlpm.h,H357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0.27659515618051872</v>
      </c>
      <c r="M357" s="15" cm="1">
        <f t="array" ref="M357">IFERROR(_xlfn.LET(_xlpm.e,E357,_xlpm.f,F357,_xlpm.h,H357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36</v>
      </c>
      <c r="N357" s="15" cm="1">
        <f t="array" ref="N357">IFERROR(_xlfn.LET(_xlpm.e,E357,_xlpm.f,F357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357" s="15" t="str">
        <f t="shared" si="47"/>
        <v>38 days → 34 days</v>
      </c>
      <c r="P357" s="34" cm="1">
        <f t="array" ref="P357">IFERROR(_xlfn.LET(_xlpm.g,G357,_xlpm.f,F357,_xlpm.h,H357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0.10526288088715555</v>
      </c>
      <c r="Q357" s="15" t="str" cm="1">
        <f t="array" ref="Q357">IFERROR(_xlfn.LET(_xlpm.e,E357,_xlpm.g,G357,_xlpm.h,H357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7" s="15" t="str">
        <f t="shared" si="48"/>
        <v>🔴 Lagging</v>
      </c>
      <c r="S357" s="35" cm="1">
        <f t="array" ref="S357">IFERROR(_xlfn.LET(_xlpm.e,E357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357" s="36">
        <f t="shared" si="49"/>
        <v>27.659515618051874</v>
      </c>
      <c r="U357" s="15">
        <f t="shared" si="50"/>
        <v>406</v>
      </c>
      <c r="V357" s="16">
        <f t="shared" si="51"/>
        <v>1814.9586383858752</v>
      </c>
      <c r="W357" s="16">
        <f t="shared" si="52"/>
        <v>4513.5335034239306</v>
      </c>
      <c r="X357" s="37">
        <f t="shared" si="53"/>
        <v>48</v>
      </c>
      <c r="Y357" s="15" t="str">
        <f t="shared" si="54"/>
        <v>⚠️ High</v>
      </c>
    </row>
    <row r="358" spans="1:25" x14ac:dyDescent="0.2">
      <c r="A358" t="str">
        <f>'5. KPI Baselines'!A343</f>
        <v>Nations Roof</v>
      </c>
      <c r="B358" t="str">
        <f>'5. KPI Baselines'!B343</f>
        <v>Procurement</v>
      </c>
      <c r="C358" t="str">
        <f>'5. KPI Baselines'!C343</f>
        <v>Supply Chain</v>
      </c>
      <c r="D358" t="str">
        <f>'5. KPI Baselines'!D343</f>
        <v>Emergency Material Premium</v>
      </c>
      <c r="E358" t="str">
        <f>'5. KPI Baselines'!E343</f>
        <v>$9.8M annually</v>
      </c>
      <c r="F358" t="str">
        <f>'5. KPI Baselines'!F343</f>
        <v>$2.8M annually</v>
      </c>
      <c r="G358" t="str">
        <f>'5. KPI Baselines'!G343</f>
        <v>$5.2M annually</v>
      </c>
      <c r="H358" t="str">
        <f>'5. KPI Baselines'!H343</f>
        <v>↓</v>
      </c>
      <c r="I358" t="str">
        <f>'5. KPI Baselines'!I343</f>
        <v>12 months</v>
      </c>
      <c r="J358" t="str">
        <f>'5. KPI Baselines'!J343</f>
        <v>Expedited shipping and premium pricing costs</v>
      </c>
      <c r="K358" s="15" t="str">
        <f t="shared" si="46"/>
        <v>$9.8M annually → $2.8M annually</v>
      </c>
      <c r="L358" s="34" cm="1">
        <f t="array" ref="L358">IFERROR(_xlfn.LET(_xlpm.e,E358,_xlpm.f,F358,_xlpm.h,H358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0.71427842573034972</v>
      </c>
      <c r="M358" s="15" cm="1">
        <f t="array" ref="M358">IFERROR(_xlfn.LET(_xlpm.e,E358,_xlpm.f,F358,_xlpm.h,H358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358" s="15" cm="1">
        <f t="array" ref="N358">IFERROR(_xlfn.LET(_xlpm.e,E358,_xlpm.f,F358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358" s="15" t="str">
        <f t="shared" si="47"/>
        <v>$5.2M annually → $2.8M annually</v>
      </c>
      <c r="P358" s="34" cm="1">
        <f t="array" ref="P358">IFERROR(_xlfn.LET(_xlpm.g,G358,_xlpm.f,F358,_xlpm.h,H358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0.46152958596950067</v>
      </c>
      <c r="Q358" s="15" t="str" cm="1">
        <f t="array" ref="Q358">IFERROR(_xlfn.LET(_xlpm.e,E358,_xlpm.g,G358,_xlpm.h,H358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8" s="15" t="str">
        <f t="shared" si="48"/>
        <v>🔴 Lagging</v>
      </c>
      <c r="S358" s="35" cm="1">
        <f t="array" ref="S358">IFERROR(_xlfn.LET(_xlpm.e,E358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9.8000000000000007</v>
      </c>
      <c r="T358" s="36">
        <f t="shared" si="49"/>
        <v>71.427842573034965</v>
      </c>
      <c r="U358" s="15">
        <f t="shared" si="50"/>
        <v>76</v>
      </c>
      <c r="V358" s="16">
        <f t="shared" si="51"/>
        <v>977.27752778032891</v>
      </c>
      <c r="W358" s="16">
        <f t="shared" si="52"/>
        <v>2430.3445657046518</v>
      </c>
      <c r="X358" s="37">
        <f t="shared" si="53"/>
        <v>89</v>
      </c>
      <c r="Y358" s="15" t="str">
        <f t="shared" si="54"/>
        <v>🔥 Critical</v>
      </c>
    </row>
    <row r="359" spans="1:25" x14ac:dyDescent="0.2">
      <c r="A359" t="str">
        <f>'5. KPI Baselines'!A344</f>
        <v>Nations Roof</v>
      </c>
      <c r="B359" t="str">
        <f>'5. KPI Baselines'!B344</f>
        <v>Human Resources</v>
      </c>
      <c r="C359" t="str">
        <f>'5. KPI Baselines'!C344</f>
        <v>Training &amp; Development</v>
      </c>
      <c r="D359" t="str">
        <f>'5. KPI Baselines'!D344</f>
        <v>Estimator Time-to-Competency</v>
      </c>
      <c r="E359" t="str">
        <f>'5. KPI Baselines'!E344</f>
        <v>18 months</v>
      </c>
      <c r="F359" t="str">
        <f>'5. KPI Baselines'!F344</f>
        <v>6 months</v>
      </c>
      <c r="G359" t="str">
        <f>'5. KPI Baselines'!G344</f>
        <v>12 months</v>
      </c>
      <c r="H359" t="str">
        <f>'5. KPI Baselines'!H344</f>
        <v>↓</v>
      </c>
      <c r="I359" t="str">
        <f>'5. KPI Baselines'!I344</f>
        <v>18 months</v>
      </c>
      <c r="J359" t="str">
        <f>'5. KPI Baselines'!J344</f>
        <v>Months to independent proposal generation</v>
      </c>
      <c r="K359" s="15" t="str">
        <f t="shared" si="46"/>
        <v>18 months → 6 months</v>
      </c>
      <c r="L359" s="34" cm="1">
        <f t="array" ref="L359">IFERROR(_xlfn.LET(_xlpm.e,E359,_xlpm.f,F359,_xlpm.h,H359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0.666662962983539</v>
      </c>
      <c r="M359" s="15" cm="1">
        <f t="array" ref="M359">IFERROR(_xlfn.LET(_xlpm.e,E359,_xlpm.f,F359,_xlpm.h,H359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359" s="15" cm="1">
        <f t="array" ref="N359">IFERROR(_xlfn.LET(_xlpm.e,E359,_xlpm.f,F359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359" s="15" t="str">
        <f t="shared" si="47"/>
        <v>12 months → 6 months</v>
      </c>
      <c r="P359" s="34" cm="1">
        <f t="array" ref="P359">IFERROR(_xlfn.LET(_xlpm.g,G359,_xlpm.f,F359,_xlpm.h,H359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0.49999583336805525</v>
      </c>
      <c r="Q359" s="15" t="str" cm="1">
        <f t="array" ref="Q359">IFERROR(_xlfn.LET(_xlpm.e,E359,_xlpm.g,G359,_xlpm.h,H359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59" s="15" t="str">
        <f t="shared" si="48"/>
        <v>🔴 Lagging</v>
      </c>
      <c r="S359" s="35" cm="1">
        <f t="array" ref="S359">IFERROR(_xlfn.LET(_xlpm.e,E359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59" s="36">
        <f t="shared" si="49"/>
        <v>66.666296298353899</v>
      </c>
      <c r="U359" s="15">
        <f t="shared" si="50"/>
        <v>93</v>
      </c>
      <c r="V359" s="16">
        <f t="shared" si="51"/>
        <v>1675.3406925517081</v>
      </c>
      <c r="W359" s="16">
        <f t="shared" si="52"/>
        <v>4166.3243368491048</v>
      </c>
      <c r="X359" s="37">
        <f t="shared" si="53"/>
        <v>52</v>
      </c>
      <c r="Y359" s="15" t="str">
        <f t="shared" si="54"/>
        <v>🔥 Critical</v>
      </c>
    </row>
    <row r="360" spans="1:25" x14ac:dyDescent="0.2">
      <c r="A360" t="str">
        <f>'5. KPI Baselines'!A345</f>
        <v>Nations Roof</v>
      </c>
      <c r="B360" t="str">
        <f>'5. KPI Baselines'!B345</f>
        <v>Quality &amp; Safety</v>
      </c>
      <c r="C360" t="str">
        <f>'5. KPI Baselines'!C345</f>
        <v>Regulatory Compliance</v>
      </c>
      <c r="D360" t="str">
        <f>'5. KPI Baselines'!D345</f>
        <v>Incident Documentation Cycle</v>
      </c>
      <c r="E360" t="str">
        <f>'5. KPI Baselines'!E345</f>
        <v>8 days</v>
      </c>
      <c r="F360" t="str">
        <f>'5. KPI Baselines'!F345</f>
        <v>2 days</v>
      </c>
      <c r="G360" t="str">
        <f>'5. KPI Baselines'!G345</f>
        <v>4 days</v>
      </c>
      <c r="H360" t="str">
        <f>'5. KPI Baselines'!H345</f>
        <v>↓</v>
      </c>
      <c r="I360" t="str">
        <f>'5. KPI Baselines'!I345</f>
        <v>12 months</v>
      </c>
      <c r="J360" t="str">
        <f>'5. KPI Baselines'!J345</f>
        <v>Days from incident to regulatory submission</v>
      </c>
      <c r="K360" s="15" t="str">
        <f t="shared" si="46"/>
        <v>8 days → 2 days</v>
      </c>
      <c r="L360" s="34" cm="1">
        <f t="array" ref="L360">IFERROR(_xlfn.LET(_xlpm.e,E360,_xlpm.f,F360,_xlpm.h,H360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0.74999062511718606</v>
      </c>
      <c r="M360" s="15" cm="1">
        <f t="array" ref="M360">IFERROR(_xlfn.LET(_xlpm.e,E360,_xlpm.f,F360,_xlpm.h,H360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2.9</v>
      </c>
      <c r="N360" s="15" cm="1">
        <f t="array" ref="N360">IFERROR(_xlfn.LET(_xlpm.e,E360,_xlpm.f,F360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60" s="15" t="str">
        <f t="shared" si="47"/>
        <v>4 days → 2 days</v>
      </c>
      <c r="P360" s="34" cm="1">
        <f t="array" ref="P360">IFERROR(_xlfn.LET(_xlpm.g,G360,_xlpm.f,F360,_xlpm.h,H360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0.49998750031249223</v>
      </c>
      <c r="Q360" s="15" t="str" cm="1">
        <f t="array" ref="Q360">IFERROR(_xlfn.LET(_xlpm.e,E360,_xlpm.g,G360,_xlpm.h,H360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0" s="15" t="str">
        <f t="shared" si="48"/>
        <v>🔴 Lagging</v>
      </c>
      <c r="S360" s="35" cm="1">
        <f t="array" ref="S360">IFERROR(_xlfn.LET(_xlpm.e,E360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360" s="36">
        <f t="shared" si="49"/>
        <v>74.999062511718606</v>
      </c>
      <c r="U360" s="15">
        <f t="shared" si="50"/>
        <v>60</v>
      </c>
      <c r="V360" s="16">
        <f t="shared" si="51"/>
        <v>837.66452919338496</v>
      </c>
      <c r="W360" s="16">
        <f t="shared" si="52"/>
        <v>2083.1477022014324</v>
      </c>
      <c r="X360" s="37">
        <f t="shared" si="53"/>
        <v>104</v>
      </c>
      <c r="Y360" s="15" t="str">
        <f t="shared" si="54"/>
        <v>🔥 Critical</v>
      </c>
    </row>
    <row r="361" spans="1:25" x14ac:dyDescent="0.2">
      <c r="A361" t="str">
        <f>'5. KPI Baselines'!A346</f>
        <v>Nations Roof</v>
      </c>
      <c r="B361" t="str">
        <f>'5. KPI Baselines'!B346</f>
        <v>IT &amp; Systems</v>
      </c>
      <c r="C361" t="str">
        <f>'5. KPI Baselines'!C346</f>
        <v>Data Integration</v>
      </c>
      <c r="D361" t="str">
        <f>'5. KPI Baselines'!D346</f>
        <v>Manual Data Transfer Hours</v>
      </c>
      <c r="E361" t="str">
        <f>'5. KPI Baselines'!E346</f>
        <v>23,400 hours annually</v>
      </c>
      <c r="F361" t="str">
        <f>'5. KPI Baselines'!F346</f>
        <v>3,100 hours annually</v>
      </c>
      <c r="G361" t="str">
        <f>'5. KPI Baselines'!G346</f>
        <v>8,200 hours annually</v>
      </c>
      <c r="H361" t="str">
        <f>'5. KPI Baselines'!H346</f>
        <v>↓</v>
      </c>
      <c r="I361" t="str">
        <f>'5. KPI Baselines'!I346</f>
        <v>24 months</v>
      </c>
      <c r="J361" t="str">
        <f>'5. KPI Baselines'!J346</f>
        <v>Hours spent reconciling disconnected systems</v>
      </c>
      <c r="K361" s="15" t="str">
        <f t="shared" si="46"/>
        <v>23,400 hours annually → 3,100 hours annually</v>
      </c>
      <c r="L361" s="34" cm="1">
        <f t="array" ref="L361">IFERROR(_xlfn.LET(_xlpm.e,E361,_xlpm.f,F361,_xlpm.h,H361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0.86752136381401124</v>
      </c>
      <c r="M361" s="15" cm="1">
        <f t="array" ref="M361">IFERROR(_xlfn.LET(_xlpm.e,E361,_xlpm.f,F361,_xlpm.h,H361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6145</v>
      </c>
      <c r="N361" s="15" cm="1">
        <f t="array" ref="N361">IFERROR(_xlfn.LET(_xlpm.e,E361,_xlpm.f,F361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15529.5</v>
      </c>
      <c r="O361" s="15" t="str">
        <f t="shared" si="47"/>
        <v>8,200 hours annually → 3,100 hours annually</v>
      </c>
      <c r="P361" s="34" cm="1">
        <f t="array" ref="P361">IFERROR(_xlfn.LET(_xlpm.g,G361,_xlpm.f,F361,_xlpm.h,H361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0.62195121192742431</v>
      </c>
      <c r="Q361" s="15" t="str" cm="1">
        <f t="array" ref="Q361">IFERROR(_xlfn.LET(_xlpm.e,E361,_xlpm.g,G361,_xlpm.h,H361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1" s="15" t="str">
        <f t="shared" si="48"/>
        <v>🔴 Lagging</v>
      </c>
      <c r="S361" s="35" cm="1">
        <f t="array" ref="S361">IFERROR(_xlfn.LET(_xlpm.e,E361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23400</v>
      </c>
      <c r="T361" s="36">
        <f t="shared" si="49"/>
        <v>86.752136381401129</v>
      </c>
      <c r="U361" s="15">
        <f t="shared" si="50"/>
        <v>22</v>
      </c>
      <c r="V361" s="16">
        <f t="shared" si="51"/>
        <v>2834133.7378883171</v>
      </c>
      <c r="W361" s="16">
        <f t="shared" si="52"/>
        <v>7048071.1287831236</v>
      </c>
      <c r="X361" s="37">
        <f t="shared" si="53"/>
        <v>0</v>
      </c>
      <c r="Y361" s="15" t="str">
        <f t="shared" si="54"/>
        <v>🔥 Critical</v>
      </c>
    </row>
    <row r="362" spans="1:25" x14ac:dyDescent="0.2">
      <c r="A362" t="str">
        <f>'5. KPI Baselines'!A347</f>
        <v>Nations Roof</v>
      </c>
      <c r="B362" t="str">
        <f>'5. KPI Baselines'!B347</f>
        <v>Customer Service</v>
      </c>
      <c r="C362" t="str">
        <f>'5. KPI Baselines'!C347</f>
        <v>Emergency Response</v>
      </c>
      <c r="D362" t="str">
        <f>'5. KPI Baselines'!D347</f>
        <v>Emergency Dispatch Time</v>
      </c>
      <c r="E362" t="str">
        <f>'5. KPI Baselines'!E347</f>
        <v>4.2 hours</v>
      </c>
      <c r="F362" t="str">
        <f>'5. KPI Baselines'!F347</f>
        <v>1.3 hours</v>
      </c>
      <c r="G362" t="str">
        <f>'5. KPI Baselines'!G347</f>
        <v>2.1 hours</v>
      </c>
      <c r="H362" t="str">
        <f>'5. KPI Baselines'!H347</f>
        <v>↓</v>
      </c>
      <c r="I362" t="str">
        <f>'5. KPI Baselines'!I347</f>
        <v>12 months</v>
      </c>
      <c r="J362" t="str">
        <f>'5. KPI Baselines'!J347</f>
        <v>Hours from customer call to crew arrival</v>
      </c>
      <c r="K362" s="15" t="str">
        <f t="shared" si="46"/>
        <v>4.2 hours → 1.3 hours</v>
      </c>
      <c r="L362" s="34" cm="1">
        <f t="array" ref="L362">IFERROR(_xlfn.LET(_xlpm.e,E362,_xlpm.f,F362,_xlpm.h,H362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0.69045975095831058</v>
      </c>
      <c r="M362" s="15" cm="1">
        <f t="array" ref="M362">IFERROR(_xlfn.LET(_xlpm.e,E362,_xlpm.f,F362,_xlpm.h,H362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1.7</v>
      </c>
      <c r="N362" s="15" cm="1">
        <f t="array" ref="N362">IFERROR(_xlfn.LET(_xlpm.e,E362,_xlpm.f,F362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2.2200000000000002</v>
      </c>
      <c r="O362" s="15" t="str">
        <f t="shared" si="47"/>
        <v>2.1 hours → 1.3 hours</v>
      </c>
      <c r="P362" s="34" cm="1">
        <f t="array" ref="P362">IFERROR(_xlfn.LET(_xlpm.g,G362,_xlpm.f,F362,_xlpm.h,H362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0.38093424122660824</v>
      </c>
      <c r="Q362" s="15" t="str" cm="1">
        <f t="array" ref="Q362">IFERROR(_xlfn.LET(_xlpm.e,E362,_xlpm.g,G362,_xlpm.h,H362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2" s="15" t="str">
        <f t="shared" si="48"/>
        <v>🔴 Lagging</v>
      </c>
      <c r="S362" s="35" cm="1">
        <f t="array" ref="S362">IFERROR(_xlfn.LET(_xlpm.e,E362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362" s="36">
        <f t="shared" si="49"/>
        <v>69.045975095831054</v>
      </c>
      <c r="U362" s="15">
        <f t="shared" si="50"/>
        <v>84</v>
      </c>
      <c r="V362" s="16">
        <f t="shared" si="51"/>
        <v>404.86661031880203</v>
      </c>
      <c r="W362" s="16">
        <f t="shared" si="52"/>
        <v>1006.843335954347</v>
      </c>
      <c r="X362" s="37">
        <f t="shared" si="53"/>
        <v>213</v>
      </c>
      <c r="Y362" s="15" t="str">
        <f t="shared" si="54"/>
        <v>🔥 Critical</v>
      </c>
    </row>
    <row r="363" spans="1:25" x14ac:dyDescent="0.2">
      <c r="A363" t="str">
        <f>'5. KPI Baselines'!A348</f>
        <v>Numotion</v>
      </c>
      <c r="B363" t="str">
        <f>'5. KPI Baselines'!B348</f>
        <v>Clinical Operations</v>
      </c>
      <c r="C363" t="str">
        <f>'5. KPI Baselines'!C348</f>
        <v>Assessment &amp; Prescription</v>
      </c>
      <c r="D363" t="str">
        <f>'5. KPI Baselines'!D348</f>
        <v>Clinical Documentation Time per Evaluation</v>
      </c>
      <c r="E363" t="str">
        <f>'5. KPI Baselines'!E348</f>
        <v>3.2 hours</v>
      </c>
      <c r="F363" t="str">
        <f>'5. KPI Baselines'!F348</f>
        <v>2.3 hours</v>
      </c>
      <c r="G363" t="str">
        <f>'5. KPI Baselines'!G348</f>
        <v>2.1 hours</v>
      </c>
      <c r="H363" t="str">
        <f>'5. KPI Baselines'!H348</f>
        <v>↓</v>
      </c>
      <c r="I363" t="str">
        <f>'5. KPI Baselines'!I348</f>
        <v>12 months</v>
      </c>
      <c r="J363" t="str">
        <f>'5. KPI Baselines'!J348</f>
        <v>EHR timestamp analysis</v>
      </c>
      <c r="K363" s="15" t="str">
        <f t="shared" si="46"/>
        <v>3.2 hours → 2.3 hours</v>
      </c>
      <c r="L363" s="34" cm="1">
        <f t="array" ref="L363">IFERROR(_xlfn.LET(_xlpm.e,E363,_xlpm.f,F363,_xlpm.h,H363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0.28124121121214968</v>
      </c>
      <c r="M363" s="15" cm="1">
        <f t="array" ref="M363">IFERROR(_xlfn.LET(_xlpm.e,E363,_xlpm.f,F363,_xlpm.h,H363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2.4</v>
      </c>
      <c r="N363" s="15" cm="1">
        <f t="array" ref="N363">IFERROR(_xlfn.LET(_xlpm.e,E363,_xlpm.f,F363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0.69</v>
      </c>
      <c r="O363" s="15" t="str">
        <f t="shared" si="47"/>
        <v>2.1 hours → 2.3 hours</v>
      </c>
      <c r="P363" s="34" cm="1">
        <f t="array" ref="P363">IFERROR(_xlfn.LET(_xlpm.g,G363,_xlpm.f,F363,_xlpm.h,H363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-9.5233560306651921E-2</v>
      </c>
      <c r="Q363" s="15" t="str" cm="1">
        <f t="array" ref="Q363">IFERROR(_xlfn.LET(_xlpm.e,E363,_xlpm.g,G363,_xlpm.h,H363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3" s="15" t="str">
        <f t="shared" si="48"/>
        <v>🔴 Lagging</v>
      </c>
      <c r="S363" s="35" cm="1">
        <f t="array" ref="S363">IFERROR(_xlfn.LET(_xlpm.e,E363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363" s="36">
        <f t="shared" si="49"/>
        <v>28.124121121214969</v>
      </c>
      <c r="U363" s="15">
        <f t="shared" si="50"/>
        <v>404</v>
      </c>
      <c r="V363" s="16">
        <f t="shared" si="51"/>
        <v>125.64732352114</v>
      </c>
      <c r="W363" s="16">
        <f t="shared" si="52"/>
        <v>312.46629666038598</v>
      </c>
      <c r="X363" s="37">
        <f t="shared" si="53"/>
        <v>659</v>
      </c>
      <c r="Y363" s="15" t="str">
        <f t="shared" si="54"/>
        <v>⚠️ High</v>
      </c>
    </row>
    <row r="364" spans="1:25" x14ac:dyDescent="0.2">
      <c r="A364" t="str">
        <f>'5. KPI Baselines'!A349</f>
        <v>Numotion</v>
      </c>
      <c r="B364" t="str">
        <f>'5. KPI Baselines'!B349</f>
        <v>Revenue Cycle</v>
      </c>
      <c r="C364" t="str">
        <f>'5. KPI Baselines'!C349</f>
        <v>Prior Authorization</v>
      </c>
      <c r="D364" t="str">
        <f>'5. KPI Baselines'!D349</f>
        <v>Authorization Cycle Time</v>
      </c>
      <c r="E364" t="str">
        <f>'5. KPI Baselines'!E349</f>
        <v>19 days</v>
      </c>
      <c r="F364" t="str">
        <f>'5. KPI Baselines'!F349</f>
        <v>12 days</v>
      </c>
      <c r="G364" t="str">
        <f>'5. KPI Baselines'!G349</f>
        <v>11 days</v>
      </c>
      <c r="H364" t="str">
        <f>'5. KPI Baselines'!H349</f>
        <v>↓</v>
      </c>
      <c r="I364" t="str">
        <f>'5. KPI Baselines'!I349</f>
        <v>18 months</v>
      </c>
      <c r="J364" t="str">
        <f>'5. KPI Baselines'!J349</f>
        <v>Payer portal tracking</v>
      </c>
      <c r="K364" s="15" t="str">
        <f t="shared" si="46"/>
        <v>19 days → 12 days</v>
      </c>
      <c r="L364" s="34" cm="1">
        <f t="array" ref="L364">IFERROR(_xlfn.LET(_xlpm.e,E364,_xlpm.f,F364,_xlpm.h,H364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0.36841911358361273</v>
      </c>
      <c r="M364" s="15" cm="1">
        <f t="array" ref="M364">IFERROR(_xlfn.LET(_xlpm.e,E364,_xlpm.f,F364,_xlpm.h,H364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13.1</v>
      </c>
      <c r="N364" s="15" cm="1">
        <f t="array" ref="N364">IFERROR(_xlfn.LET(_xlpm.e,E364,_xlpm.f,F364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364" s="15" t="str">
        <f t="shared" si="47"/>
        <v>11 days → 12 days</v>
      </c>
      <c r="P364" s="34" cm="1">
        <f t="array" ref="P364">IFERROR(_xlfn.LET(_xlpm.g,G364,_xlpm.f,F364,_xlpm.h,H364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-9.0908264470323005E-2</v>
      </c>
      <c r="Q364" s="15" t="str" cm="1">
        <f t="array" ref="Q364">IFERROR(_xlfn.LET(_xlpm.e,E364,_xlpm.g,G364,_xlpm.h,H364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4" s="15" t="str">
        <f t="shared" si="48"/>
        <v>🔴 Lagging</v>
      </c>
      <c r="S364" s="35" cm="1">
        <f t="array" ref="S364">IFERROR(_xlfn.LET(_xlpm.e,E364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364" s="36">
        <f t="shared" si="49"/>
        <v>36.841911358361273</v>
      </c>
      <c r="U364" s="15">
        <f t="shared" si="50"/>
        <v>343</v>
      </c>
      <c r="V364" s="16">
        <f t="shared" si="51"/>
        <v>977.28235640865057</v>
      </c>
      <c r="W364" s="16">
        <f t="shared" si="52"/>
        <v>2430.356573788607</v>
      </c>
      <c r="X364" s="37">
        <f t="shared" si="53"/>
        <v>89</v>
      </c>
      <c r="Y364" s="15" t="str">
        <f t="shared" si="54"/>
        <v>⚠️ High</v>
      </c>
    </row>
    <row r="365" spans="1:25" x14ac:dyDescent="0.2">
      <c r="A365" t="str">
        <f>'5. KPI Baselines'!A350</f>
        <v>Numotion</v>
      </c>
      <c r="B365" t="str">
        <f>'5. KPI Baselines'!B350</f>
        <v>Revenue Cycle</v>
      </c>
      <c r="C365" t="str">
        <f>'5. KPI Baselines'!C350</f>
        <v>Claims Processing</v>
      </c>
      <c r="D365" t="str">
        <f>'5. KPI Baselines'!D350</f>
        <v>First-Pass Denial Rate</v>
      </c>
      <c r="E365" t="str">
        <f>'5. KPI Baselines'!E350</f>
        <v>18%</v>
      </c>
      <c r="F365" t="str">
        <f>'5. KPI Baselines'!F350</f>
        <v>10%</v>
      </c>
      <c r="G365" t="str">
        <f>'5. KPI Baselines'!G350</f>
        <v>9%</v>
      </c>
      <c r="H365" t="str">
        <f>'5. KPI Baselines'!H350</f>
        <v>↓</v>
      </c>
      <c r="I365" t="str">
        <f>'5. KPI Baselines'!I350</f>
        <v>18 months</v>
      </c>
      <c r="J365" t="str">
        <f>'5. KPI Baselines'!J350</f>
        <v>Claim adjudication outcomes</v>
      </c>
      <c r="K365" s="15" t="str">
        <f t="shared" si="46"/>
        <v>18% → 10%</v>
      </c>
      <c r="L365" s="34" cm="1">
        <f t="array" ref="L365">IFERROR(_xlfn.LET(_xlpm.e,E365,_xlpm.f,F365,_xlpm.h,H365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0.44444197532235935</v>
      </c>
      <c r="M365" s="15" cm="1">
        <f t="array" ref="M365">IFERROR(_xlfn.LET(_xlpm.e,E365,_xlpm.f,F365,_xlpm.h,H365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11.2</v>
      </c>
      <c r="N365" s="15" cm="1">
        <f t="array" ref="N365">IFERROR(_xlfn.LET(_xlpm.e,E365,_xlpm.f,F365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65" s="15" t="str">
        <f t="shared" si="47"/>
        <v>9% → 10%</v>
      </c>
      <c r="P365" s="34" cm="1">
        <f t="array" ref="P365">IFERROR(_xlfn.LET(_xlpm.g,G365,_xlpm.f,F365,_xlpm.h,H365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-0.11110987655692715</v>
      </c>
      <c r="Q365" s="15" t="str" cm="1">
        <f t="array" ref="Q365">IFERROR(_xlfn.LET(_xlpm.e,E365,_xlpm.g,G365,_xlpm.h,H365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5" s="15" t="str">
        <f t="shared" si="48"/>
        <v>🔴 Lagging</v>
      </c>
      <c r="S365" s="35" cm="1">
        <f t="array" ref="S365">IFERROR(_xlfn.LET(_xlpm.e,E365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65" s="36">
        <f t="shared" si="49"/>
        <v>44.444197532235933</v>
      </c>
      <c r="U365" s="15">
        <f t="shared" si="50"/>
        <v>268</v>
      </c>
      <c r="V365" s="16">
        <f t="shared" si="51"/>
        <v>1116.8937950344721</v>
      </c>
      <c r="W365" s="16">
        <f t="shared" si="52"/>
        <v>2777.5495578994028</v>
      </c>
      <c r="X365" s="37">
        <f t="shared" si="53"/>
        <v>78</v>
      </c>
      <c r="Y365" s="15" t="str">
        <f t="shared" si="54"/>
        <v>⚠️ High</v>
      </c>
    </row>
    <row r="366" spans="1:25" x14ac:dyDescent="0.2">
      <c r="A366" t="str">
        <f>'5. KPI Baselines'!A351</f>
        <v>Numotion</v>
      </c>
      <c r="B366" t="str">
        <f>'5. KPI Baselines'!B351</f>
        <v>Revenue Cycle</v>
      </c>
      <c r="C366" t="str">
        <f>'5. KPI Baselines'!C351</f>
        <v>Collections</v>
      </c>
      <c r="D366" t="str">
        <f>'5. KPI Baselines'!D351</f>
        <v>Days in Accounts Receivable</v>
      </c>
      <c r="E366" t="str">
        <f>'5. KPI Baselines'!E351</f>
        <v>87 days</v>
      </c>
      <c r="F366" t="str">
        <f>'5. KPI Baselines'!F351</f>
        <v>65 days</v>
      </c>
      <c r="G366" t="str">
        <f>'5. KPI Baselines'!G351</f>
        <v>58 days</v>
      </c>
      <c r="H366" t="str">
        <f>'5. KPI Baselines'!H351</f>
        <v>↓</v>
      </c>
      <c r="I366" t="str">
        <f>'5. KPI Baselines'!I351</f>
        <v>24 months</v>
      </c>
      <c r="J366" t="str">
        <f>'5. KPI Baselines'!J351</f>
        <v>AR aging reports</v>
      </c>
      <c r="K366" s="15" t="str">
        <f t="shared" si="46"/>
        <v>87 days → 65 days</v>
      </c>
      <c r="L366" s="34" cm="1">
        <f t="array" ref="L366">IFERROR(_xlfn.LET(_xlpm.e,E366,_xlpm.f,F366,_xlpm.h,H366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0.2528732725594568</v>
      </c>
      <c r="M366" s="15" cm="1">
        <f t="array" ref="M366">IFERROR(_xlfn.LET(_xlpm.e,E366,_xlpm.f,F366,_xlpm.h,H366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68.3</v>
      </c>
      <c r="N366" s="15" cm="1">
        <f t="array" ref="N366">IFERROR(_xlfn.LET(_xlpm.e,E366,_xlpm.f,F366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16.829999999999998</v>
      </c>
      <c r="O366" s="15" t="str">
        <f t="shared" si="47"/>
        <v>58 days → 65 days</v>
      </c>
      <c r="P366" s="34" cm="1">
        <f t="array" ref="P366">IFERROR(_xlfn.LET(_xlpm.g,G366,_xlpm.f,F366,_xlpm.h,H366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-0.12068944708716019</v>
      </c>
      <c r="Q366" s="15" t="str" cm="1">
        <f t="array" ref="Q366">IFERROR(_xlfn.LET(_xlpm.e,E366,_xlpm.g,G366,_xlpm.h,H366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6" s="15" t="str">
        <f t="shared" si="48"/>
        <v>🔴 Lagging</v>
      </c>
      <c r="S366" s="35" cm="1">
        <f t="array" ref="S366">IFERROR(_xlfn.LET(_xlpm.e,E366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366" s="36">
        <f t="shared" si="49"/>
        <v>25.28732725594568</v>
      </c>
      <c r="U366" s="15">
        <f t="shared" si="50"/>
        <v>418</v>
      </c>
      <c r="V366" s="16">
        <f t="shared" si="51"/>
        <v>3071.4714695730231</v>
      </c>
      <c r="W366" s="16">
        <f t="shared" si="52"/>
        <v>7638.2949393589142</v>
      </c>
      <c r="X366" s="37">
        <f t="shared" si="53"/>
        <v>28</v>
      </c>
      <c r="Y366" s="15" t="str">
        <f t="shared" si="54"/>
        <v>⚠️ High</v>
      </c>
    </row>
    <row r="367" spans="1:25" x14ac:dyDescent="0.2">
      <c r="A367" t="str">
        <f>'5. KPI Baselines'!A352</f>
        <v>Numotion</v>
      </c>
      <c r="B367" t="str">
        <f>'5. KPI Baselines'!B352</f>
        <v>Service Delivery</v>
      </c>
      <c r="C367" t="str">
        <f>'5. KPI Baselines'!C352</f>
        <v>Field Service</v>
      </c>
      <c r="D367" t="str">
        <f>'5. KPI Baselines'!D352</f>
        <v>Technician Utilization Rate</v>
      </c>
      <c r="E367" t="str">
        <f>'5. KPI Baselines'!E352</f>
        <v>62%</v>
      </c>
      <c r="F367" t="str">
        <f>'5. KPI Baselines'!F352</f>
        <v>73%</v>
      </c>
      <c r="G367" t="str">
        <f>'5. KPI Baselines'!G352</f>
        <v>74%</v>
      </c>
      <c r="H367" t="str">
        <f>'5. KPI Baselines'!H352</f>
        <v>↑</v>
      </c>
      <c r="I367" t="str">
        <f>'5. KPI Baselines'!I352</f>
        <v>12 months</v>
      </c>
      <c r="J367" t="str">
        <f>'5. KPI Baselines'!J352</f>
        <v>Billable hours / available hours</v>
      </c>
      <c r="K367" s="15" t="str">
        <f t="shared" si="46"/>
        <v>73% - 62%</v>
      </c>
      <c r="L367" s="34" cm="1">
        <f t="array" ref="L367">IFERROR(_xlfn.LET(_xlpm.e,E367,_xlpm.f,F367,_xlpm.h,H367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0.17741906867892149</v>
      </c>
      <c r="M367" s="15" cm="1">
        <f t="array" ref="M367">IFERROR(_xlfn.LET(_xlpm.e,E367,_xlpm.f,F367,_xlpm.h,H367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71.400000000000006</v>
      </c>
      <c r="N367" s="15" cm="1">
        <f t="array" ref="N367">IFERROR(_xlfn.LET(_xlpm.e,E367,_xlpm.f,F367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367" s="15" t="str">
        <f t="shared" si="47"/>
        <v>73% - 74%</v>
      </c>
      <c r="P367" s="34" cm="1">
        <f t="array" ref="P367">IFERROR(_xlfn.LET(_xlpm.g,G367,_xlpm.f,F367,_xlpm.h,H367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-1.3513495252033443E-2</v>
      </c>
      <c r="Q367" s="15" t="str" cm="1">
        <f t="array" ref="Q367">IFERROR(_xlfn.LET(_xlpm.e,E367,_xlpm.g,G367,_xlpm.h,H367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7" s="15" t="str">
        <f t="shared" si="48"/>
        <v>🔴 Lagging</v>
      </c>
      <c r="S367" s="35" cm="1">
        <f t="array" ref="S367">IFERROR(_xlfn.LET(_xlpm.e,E367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62</v>
      </c>
      <c r="T367" s="36">
        <f t="shared" si="49"/>
        <v>17.741906867892148</v>
      </c>
      <c r="U367" s="15">
        <f t="shared" si="50"/>
        <v>486</v>
      </c>
      <c r="V367" s="16">
        <f t="shared" si="51"/>
        <v>1535.7350230080274</v>
      </c>
      <c r="W367" s="16">
        <f t="shared" si="52"/>
        <v>3819.1456995917165</v>
      </c>
      <c r="X367" s="37">
        <f t="shared" si="53"/>
        <v>57</v>
      </c>
      <c r="Y367" s="15" t="str">
        <f t="shared" si="54"/>
        <v>📊 Medium</v>
      </c>
    </row>
    <row r="368" spans="1:25" x14ac:dyDescent="0.2">
      <c r="A368" t="str">
        <f>'5. KPI Baselines'!A353</f>
        <v>Numotion</v>
      </c>
      <c r="B368" t="str">
        <f>'5. KPI Baselines'!B353</f>
        <v>Service Delivery</v>
      </c>
      <c r="C368" t="str">
        <f>'5. KPI Baselines'!C353</f>
        <v>Scheduling</v>
      </c>
      <c r="D368" t="str">
        <f>'5. KPI Baselines'!D353</f>
        <v>Average Repair Wait Time</v>
      </c>
      <c r="E368" t="str">
        <f>'5. KPI Baselines'!E353</f>
        <v>4.7 days</v>
      </c>
      <c r="F368" t="str">
        <f>'5. KPI Baselines'!F353</f>
        <v>3.2 days</v>
      </c>
      <c r="G368" t="str">
        <f>'5. KPI Baselines'!G353</f>
        <v>2.8 days</v>
      </c>
      <c r="H368" t="str">
        <f>'5. KPI Baselines'!H353</f>
        <v>↓</v>
      </c>
      <c r="I368" t="str">
        <f>'5. KPI Baselines'!I353</f>
        <v>9 months</v>
      </c>
      <c r="J368" t="str">
        <f>'5. KPI Baselines'!J353</f>
        <v>Service request timestamp to completion</v>
      </c>
      <c r="K368" s="15" t="str">
        <f t="shared" si="46"/>
        <v>4.7 days → 3.2 days</v>
      </c>
      <c r="L368" s="34" cm="1">
        <f t="array" ref="L368">IFERROR(_xlfn.LET(_xlpm.e,E368,_xlpm.f,F368,_xlpm.h,H368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0.31914214591178913</v>
      </c>
      <c r="M368" s="15" cm="1">
        <f t="array" ref="M368">IFERROR(_xlfn.LET(_xlpm.e,E368,_xlpm.f,F368,_xlpm.h,H368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3.4</v>
      </c>
      <c r="N368" s="15" cm="1">
        <f t="array" ref="N368">IFERROR(_xlfn.LET(_xlpm.e,E368,_xlpm.f,F368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1.1499999999999999</v>
      </c>
      <c r="O368" s="15" t="str">
        <f t="shared" si="47"/>
        <v>2.8 days → 3.2 days</v>
      </c>
      <c r="P368" s="34" cm="1">
        <f t="array" ref="P368">IFERROR(_xlfn.LET(_xlpm.g,G368,_xlpm.f,F368,_xlpm.h,H368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-0.14285204099853588</v>
      </c>
      <c r="Q368" s="15" t="str" cm="1">
        <f t="array" ref="Q368">IFERROR(_xlfn.LET(_xlpm.e,E368,_xlpm.g,G368,_xlpm.h,H368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8" s="15" t="str">
        <f t="shared" si="48"/>
        <v>🔴 Lagging</v>
      </c>
      <c r="S368" s="35" cm="1">
        <f t="array" ref="S368">IFERROR(_xlfn.LET(_xlpm.e,E368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4.7</v>
      </c>
      <c r="T368" s="36">
        <f t="shared" si="49"/>
        <v>31.914214591178911</v>
      </c>
      <c r="U368" s="15">
        <f t="shared" si="50"/>
        <v>383</v>
      </c>
      <c r="V368" s="16">
        <f t="shared" si="51"/>
        <v>209.41429437671542</v>
      </c>
      <c r="W368" s="16">
        <f t="shared" si="52"/>
        <v>520.78235491129124</v>
      </c>
      <c r="X368" s="37">
        <f t="shared" si="53"/>
        <v>404</v>
      </c>
      <c r="Y368" s="15" t="str">
        <f t="shared" si="54"/>
        <v>⚠️ High</v>
      </c>
    </row>
    <row r="369" spans="1:25" x14ac:dyDescent="0.2">
      <c r="A369" t="str">
        <f>'5. KPI Baselines'!A354</f>
        <v>Numotion</v>
      </c>
      <c r="B369" t="str">
        <f>'5. KPI Baselines'!B354</f>
        <v>Supply Chain</v>
      </c>
      <c r="C369" t="str">
        <f>'5. KPI Baselines'!C354</f>
        <v>Inventory Management</v>
      </c>
      <c r="D369" t="str">
        <f>'5. KPI Baselines'!D354</f>
        <v>Parts Stockout Rate</v>
      </c>
      <c r="E369" t="str">
        <f>'5. KPI Baselines'!E354</f>
        <v>14%</v>
      </c>
      <c r="F369" t="str">
        <f>'5. KPI Baselines'!F354</f>
        <v>8%</v>
      </c>
      <c r="G369" t="str">
        <f>'5. KPI Baselines'!G354</f>
        <v>7%</v>
      </c>
      <c r="H369" t="str">
        <f>'5. KPI Baselines'!H354</f>
        <v>↓</v>
      </c>
      <c r="I369" t="str">
        <f>'5. KPI Baselines'!I354</f>
        <v>15 months</v>
      </c>
      <c r="J369" t="str">
        <f>'5. KPI Baselines'!J354</f>
        <v>Service orders requiring backorder</v>
      </c>
      <c r="K369" s="15" t="str">
        <f t="shared" si="46"/>
        <v>14% → 8%</v>
      </c>
      <c r="L369" s="34" cm="1">
        <f t="array" ref="L369">IFERROR(_xlfn.LET(_xlpm.e,E369,_xlpm.f,F369,_xlpm.h,H369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0.42856836736880449</v>
      </c>
      <c r="M369" s="15" cm="1">
        <f t="array" ref="M369">IFERROR(_xlfn.LET(_xlpm.e,E369,_xlpm.f,F369,_xlpm.h,H369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8.9</v>
      </c>
      <c r="N369" s="15" cm="1">
        <f t="array" ref="N369">IFERROR(_xlfn.LET(_xlpm.e,E369,_xlpm.f,F369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69" s="15" t="str">
        <f t="shared" si="47"/>
        <v>7% → 8%</v>
      </c>
      <c r="P369" s="34" cm="1">
        <f t="array" ref="P369">IFERROR(_xlfn.LET(_xlpm.g,G369,_xlpm.f,F369,_xlpm.h,H369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-0.14285510206997043</v>
      </c>
      <c r="Q369" s="15" t="str" cm="1">
        <f t="array" ref="Q369">IFERROR(_xlfn.LET(_xlpm.e,E369,_xlpm.g,G369,_xlpm.h,H369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69" s="15" t="str">
        <f t="shared" si="48"/>
        <v>🔴 Lagging</v>
      </c>
      <c r="S369" s="35" cm="1">
        <f t="array" ref="S369">IFERROR(_xlfn.LET(_xlpm.e,E369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369" s="36">
        <f t="shared" si="49"/>
        <v>42.856836736880446</v>
      </c>
      <c r="U369" s="15">
        <f t="shared" si="50"/>
        <v>283</v>
      </c>
      <c r="V369" s="16">
        <f t="shared" si="51"/>
        <v>837.66901664988109</v>
      </c>
      <c r="W369" s="16">
        <f t="shared" si="52"/>
        <v>2083.158861841554</v>
      </c>
      <c r="X369" s="37">
        <f t="shared" si="53"/>
        <v>104</v>
      </c>
      <c r="Y369" s="15" t="str">
        <f t="shared" si="54"/>
        <v>⚠️ High</v>
      </c>
    </row>
    <row r="370" spans="1:25" x14ac:dyDescent="0.2">
      <c r="A370" t="str">
        <f>'5. KPI Baselines'!A355</f>
        <v>Numotion</v>
      </c>
      <c r="B370" t="str">
        <f>'5. KPI Baselines'!B355</f>
        <v>Supply Chain</v>
      </c>
      <c r="C370" t="str">
        <f>'5. KPI Baselines'!C355</f>
        <v>Inventory Management</v>
      </c>
      <c r="D370" t="str">
        <f>'5. KPI Baselines'!D355</f>
        <v>Inventory Turnover Ratio</v>
      </c>
      <c r="E370" t="str">
        <f>'5. KPI Baselines'!E355</f>
        <v>3.4x</v>
      </c>
      <c r="F370" t="str">
        <f>'5. KPI Baselines'!F355</f>
        <v>4.6x</v>
      </c>
      <c r="G370" t="str">
        <f>'5. KPI Baselines'!G355</f>
        <v>5.2x</v>
      </c>
      <c r="H370" t="str">
        <f>'5. KPI Baselines'!H355</f>
        <v>↑</v>
      </c>
      <c r="I370" t="str">
        <f>'5. KPI Baselines'!I355</f>
        <v>18 months</v>
      </c>
      <c r="J370" t="str">
        <f>'5. KPI Baselines'!J355</f>
        <v>COGS / average inventory value</v>
      </c>
      <c r="K370" s="15" t="str">
        <f t="shared" si="46"/>
        <v>4.6x - 3.4x</v>
      </c>
      <c r="L370" s="34" cm="1">
        <f t="array" ref="L370">IFERROR(_xlfn.LET(_xlpm.e,E370,_xlpm.f,F370,_xlpm.h,H370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0.35293079615305423</v>
      </c>
      <c r="M370" s="15" cm="1">
        <f t="array" ref="M370">IFERROR(_xlfn.LET(_xlpm.e,E370,_xlpm.f,F370,_xlpm.h,H370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370" s="15" cm="1">
        <f t="array" ref="N370">IFERROR(_xlfn.LET(_xlpm.e,E370,_xlpm.f,F370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0.92</v>
      </c>
      <c r="O370" s="15" t="str">
        <f t="shared" si="47"/>
        <v>4.6x - 5.2x</v>
      </c>
      <c r="P370" s="34" cm="1">
        <f t="array" ref="P370">IFERROR(_xlfn.LET(_xlpm.g,G370,_xlpm.f,F370,_xlpm.h,H370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-0.11538239649237525</v>
      </c>
      <c r="Q370" s="15" t="str" cm="1">
        <f t="array" ref="Q370">IFERROR(_xlfn.LET(_xlpm.e,E370,_xlpm.g,G370,_xlpm.h,H370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0" s="15" t="str">
        <f t="shared" si="48"/>
        <v>🔴 Lagging</v>
      </c>
      <c r="S370" s="35" cm="1">
        <f t="array" ref="S370">IFERROR(_xlfn.LET(_xlpm.e,E370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3.4</v>
      </c>
      <c r="T370" s="36">
        <f t="shared" si="49"/>
        <v>35.293079615305423</v>
      </c>
      <c r="U370" s="15">
        <f t="shared" si="50"/>
        <v>354</v>
      </c>
      <c r="V370" s="16">
        <f t="shared" si="51"/>
        <v>167.53007264492214</v>
      </c>
      <c r="W370" s="16">
        <f t="shared" si="52"/>
        <v>416.62249470675636</v>
      </c>
      <c r="X370" s="37">
        <f t="shared" si="53"/>
        <v>501</v>
      </c>
      <c r="Y370" s="15" t="str">
        <f t="shared" si="54"/>
        <v>⚠️ High</v>
      </c>
    </row>
    <row r="371" spans="1:25" x14ac:dyDescent="0.2">
      <c r="A371" t="str">
        <f>'5. KPI Baselines'!A356</f>
        <v>Numotion</v>
      </c>
      <c r="B371" t="str">
        <f>'5. KPI Baselines'!B356</f>
        <v>Compliance</v>
      </c>
      <c r="C371" t="str">
        <f>'5. KPI Baselines'!C356</f>
        <v>Audit Response</v>
      </c>
      <c r="D371" t="str">
        <f>'5. KPI Baselines'!D356</f>
        <v>Documentation Retrieval Time</v>
      </c>
      <c r="E371" t="str">
        <f>'5. KPI Baselines'!E356</f>
        <v>6.8 hours per audit request</v>
      </c>
      <c r="F371" t="str">
        <f>'5. KPI Baselines'!F356</f>
        <v>3.1 hours</v>
      </c>
      <c r="G371" t="str">
        <f>'5. KPI Baselines'!G356</f>
        <v>2.3 hours</v>
      </c>
      <c r="H371" t="str">
        <f>'5. KPI Baselines'!H356</f>
        <v>↓</v>
      </c>
      <c r="I371" t="str">
        <f>'5. KPI Baselines'!I356</f>
        <v>12 months</v>
      </c>
      <c r="J371" t="str">
        <f>'5. KPI Baselines'!J356</f>
        <v>Staff time logs</v>
      </c>
      <c r="K371" s="15" t="str">
        <f t="shared" si="46"/>
        <v>6.8 hours per audit request → 3.1 hours</v>
      </c>
      <c r="L371" s="34" t="str" cm="1">
        <f t="array" ref="L371">IFERROR(_xlfn.LET(_xlpm.e,E371,_xlpm.f,F371,_xlpm.h,H371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71" s="15" t="str" cm="1">
        <f t="array" ref="M371">IFERROR(_xlfn.LET(_xlpm.e,E371,_xlpm.f,F371,_xlpm.h,H371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71" s="15" t="str" cm="1">
        <f t="array" ref="N371">IFERROR(_xlfn.LET(_xlpm.e,E371,_xlpm.f,F371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71" s="15" t="str">
        <f t="shared" si="47"/>
        <v>2.3 hours → 3.1 hours</v>
      </c>
      <c r="P371" s="34" cm="1">
        <f t="array" ref="P371">IFERROR(_xlfn.LET(_xlpm.g,G371,_xlpm.f,F371,_xlpm.h,H371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-0.34781096474066359</v>
      </c>
      <c r="Q371" s="15" t="str" cm="1">
        <f t="array" ref="Q371">IFERROR(_xlfn.LET(_xlpm.e,E371,_xlpm.g,G371,_xlpm.h,H371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71" s="15" t="str">
        <f t="shared" si="48"/>
        <v>⚪ N/A</v>
      </c>
      <c r="S371" s="35" cm="1">
        <f t="array" ref="S371">IFERROR(_xlfn.LET(_xlpm.e,E371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71" s="36">
        <f t="shared" si="49"/>
        <v>0</v>
      </c>
      <c r="U371" s="15">
        <f t="shared" si="50"/>
        <v>554</v>
      </c>
      <c r="V371" s="16">
        <f t="shared" si="51"/>
        <v>0</v>
      </c>
      <c r="W371" s="16">
        <f t="shared" si="52"/>
        <v>0</v>
      </c>
      <c r="X371" s="37" t="str">
        <f t="shared" si="53"/>
        <v>-</v>
      </c>
      <c r="Y371" s="15" t="str">
        <f t="shared" si="54"/>
        <v>📉 Low</v>
      </c>
    </row>
    <row r="372" spans="1:25" x14ac:dyDescent="0.2">
      <c r="A372" t="str">
        <f>'5. KPI Baselines'!A357</f>
        <v>Numotion</v>
      </c>
      <c r="B372" t="str">
        <f>'5. KPI Baselines'!B357</f>
        <v>Customer Service</v>
      </c>
      <c r="C372" t="str">
        <f>'5. KPI Baselines'!C357</f>
        <v>Contact Center</v>
      </c>
      <c r="D372" t="str">
        <f>'5. KPI Baselines'!D357</f>
        <v>First-Call Resolution Rate</v>
      </c>
      <c r="E372" t="str">
        <f>'5. KPI Baselines'!E357</f>
        <v>54%</v>
      </c>
      <c r="F372" t="str">
        <f>'5. KPI Baselines'!F357</f>
        <v>64%</v>
      </c>
      <c r="G372" t="str">
        <f>'5. KPI Baselines'!G357</f>
        <v>68%</v>
      </c>
      <c r="H372" t="str">
        <f>'5. KPI Baselines'!H357</f>
        <v>↑</v>
      </c>
      <c r="I372" t="str">
        <f>'5. KPI Baselines'!I357</f>
        <v>9 months</v>
      </c>
      <c r="J372" t="str">
        <f>'5. KPI Baselines'!J357</f>
        <v>Call disposition tracking</v>
      </c>
      <c r="K372" s="15" t="str">
        <f t="shared" si="46"/>
        <v>64% - 54%</v>
      </c>
      <c r="L372" s="34" cm="1">
        <f t="array" ref="L372">IFERROR(_xlfn.LET(_xlpm.e,E372,_xlpm.f,F372,_xlpm.h,H372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0.18518484225029211</v>
      </c>
      <c r="M372" s="15" cm="1">
        <f t="array" ref="M372">IFERROR(_xlfn.LET(_xlpm.e,E372,_xlpm.f,F372,_xlpm.h,H372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62.5</v>
      </c>
      <c r="N372" s="15" cm="1">
        <f t="array" ref="N372">IFERROR(_xlfn.LET(_xlpm.e,E372,_xlpm.f,F372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372" s="15" t="str">
        <f t="shared" si="47"/>
        <v>64% - 68%</v>
      </c>
      <c r="P372" s="34" cm="1">
        <f t="array" ref="P372">IFERROR(_xlfn.LET(_xlpm.g,G372,_xlpm.f,F372,_xlpm.h,H372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-5.8823442906701606E-2</v>
      </c>
      <c r="Q372" s="15" t="str" cm="1">
        <f t="array" ref="Q372">IFERROR(_xlfn.LET(_xlpm.e,E372,_xlpm.g,G372,_xlpm.h,H372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2" s="15" t="str">
        <f t="shared" si="48"/>
        <v>🔴 Lagging</v>
      </c>
      <c r="S372" s="35" cm="1">
        <f t="array" ref="S372">IFERROR(_xlfn.LET(_xlpm.e,E372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54</v>
      </c>
      <c r="T372" s="36">
        <f t="shared" si="49"/>
        <v>18.518484225029212</v>
      </c>
      <c r="U372" s="15">
        <f t="shared" si="50"/>
        <v>479</v>
      </c>
      <c r="V372" s="16">
        <f t="shared" si="51"/>
        <v>1396.1224145881208</v>
      </c>
      <c r="W372" s="16">
        <f t="shared" si="52"/>
        <v>3471.9498063761707</v>
      </c>
      <c r="X372" s="37">
        <f t="shared" si="53"/>
        <v>62</v>
      </c>
      <c r="Y372" s="15" t="str">
        <f t="shared" si="54"/>
        <v>📊 Medium</v>
      </c>
    </row>
    <row r="373" spans="1:25" x14ac:dyDescent="0.2">
      <c r="A373" t="str">
        <f>'5. KPI Baselines'!A358</f>
        <v>Numotion</v>
      </c>
      <c r="B373" t="str">
        <f>'5. KPI Baselines'!B358</f>
        <v>Equipment Configuration</v>
      </c>
      <c r="C373" t="str">
        <f>'5. KPI Baselines'!C358</f>
        <v>Custom Fitting</v>
      </c>
      <c r="D373" t="str">
        <f>'5. KPI Baselines'!D358</f>
        <v>Configuration Error Rate</v>
      </c>
      <c r="E373" t="str">
        <f>'5. KPI Baselines'!E358</f>
        <v>7.2%</v>
      </c>
      <c r="F373" t="str">
        <f>'5. KPI Baselines'!F358</f>
        <v>4.5%</v>
      </c>
      <c r="G373" t="str">
        <f>'5. KPI Baselines'!G358</f>
        <v>3.1%</v>
      </c>
      <c r="H373" t="str">
        <f>'5. KPI Baselines'!H358</f>
        <v>↓</v>
      </c>
      <c r="I373" t="str">
        <f>'5. KPI Baselines'!I358</f>
        <v>15 months</v>
      </c>
      <c r="J373" t="str">
        <f>'5. KPI Baselines'!J358</f>
        <v>Rework orders / total orders</v>
      </c>
      <c r="K373" s="15" t="str">
        <f t="shared" si="46"/>
        <v>7.2% → 4.5%</v>
      </c>
      <c r="L373" s="34" cm="1">
        <f t="array" ref="L373">IFERROR(_xlfn.LET(_xlpm.e,E373,_xlpm.f,F373,_xlpm.h,H373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0.37499479173900363</v>
      </c>
      <c r="M373" s="15" cm="1">
        <f t="array" ref="M373">IFERROR(_xlfn.LET(_xlpm.e,E373,_xlpm.f,F373,_xlpm.h,H373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4.9000000000000004</v>
      </c>
      <c r="N373" s="15" cm="1">
        <f t="array" ref="N373">IFERROR(_xlfn.LET(_xlpm.e,E373,_xlpm.f,F373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373" s="15" t="str">
        <f t="shared" si="47"/>
        <v>3.1% → 4.5%</v>
      </c>
      <c r="P373" s="34" cm="1">
        <f t="array" ref="P373">IFERROR(_xlfn.LET(_xlpm.g,G373,_xlpm.f,F373,_xlpm.h,H373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-0.45159833553756323</v>
      </c>
      <c r="Q373" s="15" t="str" cm="1">
        <f t="array" ref="Q373">IFERROR(_xlfn.LET(_xlpm.e,E373,_xlpm.g,G373,_xlpm.h,H373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3" s="15" t="str">
        <f t="shared" si="48"/>
        <v>🔴 Lagging</v>
      </c>
      <c r="S373" s="35" cm="1">
        <f t="array" ref="S373">IFERROR(_xlfn.LET(_xlpm.e,E373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7.2</v>
      </c>
      <c r="T373" s="36">
        <f t="shared" si="49"/>
        <v>37.499479173900362</v>
      </c>
      <c r="U373" s="15">
        <f t="shared" si="50"/>
        <v>335</v>
      </c>
      <c r="V373" s="16">
        <f t="shared" si="51"/>
        <v>376.94851460396387</v>
      </c>
      <c r="W373" s="16">
        <f t="shared" si="52"/>
        <v>937.41516404141362</v>
      </c>
      <c r="X373" s="37">
        <f t="shared" si="53"/>
        <v>228</v>
      </c>
      <c r="Y373" s="15" t="str">
        <f t="shared" si="54"/>
        <v>⚠️ High</v>
      </c>
    </row>
    <row r="374" spans="1:25" x14ac:dyDescent="0.2">
      <c r="A374" t="str">
        <f>'5. KPI Baselines'!A359</f>
        <v>Numotion</v>
      </c>
      <c r="B374" t="str">
        <f>'5. KPI Baselines'!B359</f>
        <v>Sales Operations</v>
      </c>
      <c r="C374" t="str">
        <f>'5. KPI Baselines'!C359</f>
        <v>Referral Management</v>
      </c>
      <c r="D374" t="str">
        <f>'5. KPI Baselines'!D359</f>
        <v>Referral Response Time</v>
      </c>
      <c r="E374" t="str">
        <f>'5. KPI Baselines'!E359</f>
        <v>38 hours</v>
      </c>
      <c r="F374" t="str">
        <f>'5. KPI Baselines'!F359</f>
        <v>22 hours</v>
      </c>
      <c r="G374" t="str">
        <f>'5. KPI Baselines'!G359</f>
        <v>18 hours</v>
      </c>
      <c r="H374" t="str">
        <f>'5. KPI Baselines'!H359</f>
        <v>↓</v>
      </c>
      <c r="I374" t="str">
        <f>'5. KPI Baselines'!I359</f>
        <v>6 months</v>
      </c>
      <c r="J374" t="str">
        <f>'5. KPI Baselines'!J359</f>
        <v>Referral timestamp to initial contact</v>
      </c>
      <c r="K374" s="15" t="str">
        <f t="shared" si="46"/>
        <v>38 hours → 22 hours</v>
      </c>
      <c r="L374" s="34" cm="1">
        <f t="array" ref="L374">IFERROR(_xlfn.LET(_xlpm.e,E374,_xlpm.f,F374,_xlpm.h,H374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0.42105152354862219</v>
      </c>
      <c r="M374" s="15" cm="1">
        <f t="array" ref="M374">IFERROR(_xlfn.LET(_xlpm.e,E374,_xlpm.f,F374,_xlpm.h,H374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24.4</v>
      </c>
      <c r="N374" s="15" cm="1">
        <f t="array" ref="N374">IFERROR(_xlfn.LET(_xlpm.e,E374,_xlpm.f,F374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374" s="15" t="str">
        <f t="shared" si="47"/>
        <v>18 hours → 22 hours</v>
      </c>
      <c r="P374" s="34" cm="1">
        <f t="array" ref="P374">IFERROR(_xlfn.LET(_xlpm.g,G374,_xlpm.f,F374,_xlpm.h,H374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-0.22222098766117968</v>
      </c>
      <c r="Q374" s="15" t="str" cm="1">
        <f t="array" ref="Q374">IFERROR(_xlfn.LET(_xlpm.e,E374,_xlpm.g,G374,_xlpm.h,H374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4" s="15" t="str">
        <f t="shared" si="48"/>
        <v>🔴 Lagging</v>
      </c>
      <c r="S374" s="35" cm="1">
        <f t="array" ref="S374">IFERROR(_xlfn.LET(_xlpm.e,E374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374" s="36">
        <f t="shared" si="49"/>
        <v>42.10515235486222</v>
      </c>
      <c r="U374" s="15">
        <f t="shared" si="50"/>
        <v>285</v>
      </c>
      <c r="V374" s="16">
        <f t="shared" si="51"/>
        <v>2233.7941215944165</v>
      </c>
      <c r="W374" s="16">
        <f t="shared" si="52"/>
        <v>5555.1153587359313</v>
      </c>
      <c r="X374" s="37">
        <f t="shared" si="53"/>
        <v>39</v>
      </c>
      <c r="Y374" s="15" t="str">
        <f t="shared" si="54"/>
        <v>⚠️ High</v>
      </c>
    </row>
    <row r="375" spans="1:25" x14ac:dyDescent="0.2">
      <c r="A375" t="str">
        <f>'5. KPI Baselines'!A360</f>
        <v>P&amp;B Intermodal</v>
      </c>
      <c r="B375" t="str">
        <f>'5. KPI Baselines'!B360</f>
        <v>Operations</v>
      </c>
      <c r="C375" t="str">
        <f>'5. KPI Baselines'!C360</f>
        <v>Load Planning &amp; Dispatch</v>
      </c>
      <c r="D375" t="str">
        <f>'5. KPI Baselines'!D360</f>
        <v>Equipment Cycle Time</v>
      </c>
      <c r="E375" t="str">
        <f>'5. KPI Baselines'!E360</f>
        <v>3.2 days</v>
      </c>
      <c r="F375" t="str">
        <f>'5. KPI Baselines'!F360</f>
        <v>2.6 days</v>
      </c>
      <c r="G375" t="str">
        <f>'5. KPI Baselines'!G360</f>
        <v>2.4 days</v>
      </c>
      <c r="H375" t="str">
        <f>'5. KPI Baselines'!H360</f>
        <v>↓</v>
      </c>
      <c r="I375" t="str">
        <f>'5. KPI Baselines'!I360</f>
        <v>12 months</v>
      </c>
      <c r="J375" t="str">
        <f>'5. KPI Baselines'!J360</f>
        <v>Average days from container pickup to return availability across all owned assets</v>
      </c>
      <c r="K375" s="15" t="str">
        <f t="shared" si="46"/>
        <v>3.2 days → 2.6 days</v>
      </c>
      <c r="L375" s="34" cm="1">
        <f t="array" ref="L375">IFERROR(_xlfn.LET(_xlpm.e,E375,_xlpm.f,F375,_xlpm.h,H375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0.18749414080809976</v>
      </c>
      <c r="M375" s="15" cm="1">
        <f t="array" ref="M375">IFERROR(_xlfn.LET(_xlpm.e,E375,_xlpm.f,F375,_xlpm.h,H375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2.7</v>
      </c>
      <c r="N375" s="15" cm="1">
        <f t="array" ref="N375">IFERROR(_xlfn.LET(_xlpm.e,E375,_xlpm.f,F375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0.46</v>
      </c>
      <c r="O375" s="15" t="str">
        <f t="shared" si="47"/>
        <v>2.4 days → 2.6 days</v>
      </c>
      <c r="P375" s="34" cm="1">
        <f t="array" ref="P375">IFERROR(_xlfn.LET(_xlpm.g,G375,_xlpm.f,F375,_xlpm.h,H375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-8.3329861255781082E-2</v>
      </c>
      <c r="Q375" s="15" t="str" cm="1">
        <f t="array" ref="Q375">IFERROR(_xlfn.LET(_xlpm.e,E375,_xlpm.g,G375,_xlpm.h,H375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5" s="15" t="str">
        <f t="shared" si="48"/>
        <v>🔴 Lagging</v>
      </c>
      <c r="S375" s="35" cm="1">
        <f t="array" ref="S375">IFERROR(_xlfn.LET(_xlpm.e,E375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375" s="36">
        <f t="shared" si="49"/>
        <v>18.749414080809977</v>
      </c>
      <c r="U375" s="15">
        <f t="shared" si="50"/>
        <v>478</v>
      </c>
      <c r="V375" s="16">
        <f t="shared" si="51"/>
        <v>83.764882347426649</v>
      </c>
      <c r="W375" s="16">
        <f t="shared" si="52"/>
        <v>208.31086444025729</v>
      </c>
      <c r="X375" s="37">
        <f t="shared" si="53"/>
        <v>962</v>
      </c>
      <c r="Y375" s="15" t="str">
        <f t="shared" si="54"/>
        <v>📊 Medium</v>
      </c>
    </row>
    <row r="376" spans="1:25" x14ac:dyDescent="0.2">
      <c r="A376" t="str">
        <f>'5. KPI Baselines'!A361</f>
        <v>P&amp;B Intermodal</v>
      </c>
      <c r="B376" t="str">
        <f>'5. KPI Baselines'!B361</f>
        <v>Operations</v>
      </c>
      <c r="C376" t="str">
        <f>'5. KPI Baselines'!C361</f>
        <v>Asset Management</v>
      </c>
      <c r="D376" t="str">
        <f>'5. KPI Baselines'!D361</f>
        <v>Empty Repositioning Rate</v>
      </c>
      <c r="E376" t="str">
        <f>'5. KPI Baselines'!E361</f>
        <v>22%</v>
      </c>
      <c r="F376" t="str">
        <f>'5. KPI Baselines'!F361</f>
        <v>16%</v>
      </c>
      <c r="G376" t="str">
        <f>'5. KPI Baselines'!G361</f>
        <v>14%</v>
      </c>
      <c r="H376" t="str">
        <f>'5. KPI Baselines'!H361</f>
        <v>↓</v>
      </c>
      <c r="I376" t="str">
        <f>'5. KPI Baselines'!I361</f>
        <v>18 months</v>
      </c>
      <c r="J376" t="str">
        <f>'5. KPI Baselines'!J361</f>
        <v>Percentage of total container moves with no revenue load</v>
      </c>
      <c r="K376" s="15" t="str">
        <f t="shared" si="46"/>
        <v>22% → 16%</v>
      </c>
      <c r="L376" s="34" cm="1">
        <f t="array" ref="L376">IFERROR(_xlfn.LET(_xlpm.e,E376,_xlpm.f,F376,_xlpm.h,H376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0.27272603306348608</v>
      </c>
      <c r="M376" s="15" cm="1">
        <f t="array" ref="M376">IFERROR(_xlfn.LET(_xlpm.e,E376,_xlpm.f,F376,_xlpm.h,H376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16.899999999999999</v>
      </c>
      <c r="N376" s="15" cm="1">
        <f t="array" ref="N376">IFERROR(_xlfn.LET(_xlpm.e,E376,_xlpm.f,F376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76" s="15" t="str">
        <f t="shared" si="47"/>
        <v>14% → 16%</v>
      </c>
      <c r="P376" s="34" cm="1">
        <f t="array" ref="P376">IFERROR(_xlfn.LET(_xlpm.g,G376,_xlpm.f,F376,_xlpm.h,H376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-0.14285612245626816</v>
      </c>
      <c r="Q376" s="15" t="str" cm="1">
        <f t="array" ref="Q376">IFERROR(_xlfn.LET(_xlpm.e,E376,_xlpm.g,G376,_xlpm.h,H376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6" s="15" t="str">
        <f t="shared" si="48"/>
        <v>🔴 Lagging</v>
      </c>
      <c r="S376" s="35" cm="1">
        <f t="array" ref="S376">IFERROR(_xlfn.LET(_xlpm.e,E376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22</v>
      </c>
      <c r="T376" s="36">
        <f t="shared" si="49"/>
        <v>27.272603306348607</v>
      </c>
      <c r="U376" s="15">
        <f t="shared" si="50"/>
        <v>408</v>
      </c>
      <c r="V376" s="16">
        <f t="shared" si="51"/>
        <v>837.67119240367083</v>
      </c>
      <c r="W376" s="16">
        <f t="shared" si="52"/>
        <v>2083.1642726191981</v>
      </c>
      <c r="X376" s="37">
        <f t="shared" si="53"/>
        <v>104</v>
      </c>
      <c r="Y376" s="15" t="str">
        <f t="shared" si="54"/>
        <v>⚠️ High</v>
      </c>
    </row>
    <row r="377" spans="1:25" x14ac:dyDescent="0.2">
      <c r="A377" t="str">
        <f>'5. KPI Baselines'!A362</f>
        <v>P&amp;B Intermodal</v>
      </c>
      <c r="B377" t="str">
        <f>'5. KPI Baselines'!B362</f>
        <v>Operations</v>
      </c>
      <c r="C377" t="str">
        <f>'5. KPI Baselines'!C362</f>
        <v>Network Coordination</v>
      </c>
      <c r="D377" t="str">
        <f>'5. KPI Baselines'!D362</f>
        <v>Rail Detention Charges</v>
      </c>
      <c r="E377" t="str">
        <f>'5. KPI Baselines'!E362</f>
        <v>$3.2M annually</v>
      </c>
      <c r="F377" t="str">
        <f>'5. KPI Baselines'!F362</f>
        <v>$2.0M</v>
      </c>
      <c r="G377" t="str">
        <f>'5. KPI Baselines'!G362</f>
        <v>$1.8M for comparable volume</v>
      </c>
      <c r="H377" t="str">
        <f>'5. KPI Baselines'!H362</f>
        <v>↓</v>
      </c>
      <c r="I377" t="str">
        <f>'5. KPI Baselines'!I362</f>
        <v>9 months</v>
      </c>
      <c r="J377" t="str">
        <f>'5. KPI Baselines'!J362</f>
        <v>Total per diem and detention fees from rail carriers</v>
      </c>
      <c r="K377" s="15" t="str">
        <f t="shared" si="46"/>
        <v>$3.2M annually → $2.0M</v>
      </c>
      <c r="L377" s="34" cm="1">
        <f t="array" ref="L377">IFERROR(_xlfn.LET(_xlpm.e,E377,_xlpm.f,F377,_xlpm.h,H377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0.37498828161619951</v>
      </c>
      <c r="M377" s="15" cm="1">
        <f t="array" ref="M377">IFERROR(_xlfn.LET(_xlpm.e,E377,_xlpm.f,F377,_xlpm.h,H377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377" s="15" cm="1">
        <f t="array" ref="N377">IFERROR(_xlfn.LET(_xlpm.e,E377,_xlpm.f,F377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0.92</v>
      </c>
      <c r="O377" s="15" t="str">
        <f t="shared" si="47"/>
        <v>$1.8M for comparable volume → $2.0M</v>
      </c>
      <c r="P377" s="34" t="str" cm="1">
        <f t="array" ref="P377">IFERROR(_xlfn.LET(_xlpm.g,G377,_xlpm.f,F377,_xlpm.h,H377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77" s="15" t="str" cm="1">
        <f t="array" ref="Q377">IFERROR(_xlfn.LET(_xlpm.e,E377,_xlpm.g,G377,_xlpm.h,H377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77" s="15" t="str">
        <f t="shared" si="48"/>
        <v>⚪ N/A</v>
      </c>
      <c r="S377" s="35" cm="1">
        <f t="array" ref="S377">IFERROR(_xlfn.LET(_xlpm.e,E377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377" s="36">
        <f t="shared" si="49"/>
        <v>37.498828161619954</v>
      </c>
      <c r="U377" s="15">
        <f t="shared" si="50"/>
        <v>337</v>
      </c>
      <c r="V377" s="16">
        <f t="shared" si="51"/>
        <v>167.5297646948533</v>
      </c>
      <c r="W377" s="16">
        <f t="shared" si="52"/>
        <v>416.62172888051458</v>
      </c>
      <c r="X377" s="37">
        <f t="shared" si="53"/>
        <v>501</v>
      </c>
      <c r="Y377" s="15" t="str">
        <f t="shared" si="54"/>
        <v>⚠️ High</v>
      </c>
    </row>
    <row r="378" spans="1:25" x14ac:dyDescent="0.2">
      <c r="A378" t="str">
        <f>'5. KPI Baselines'!A363</f>
        <v>P&amp;B Intermodal</v>
      </c>
      <c r="B378" t="str">
        <f>'5. KPI Baselines'!B363</f>
        <v>Customer Service</v>
      </c>
      <c r="C378" t="str">
        <f>'5. KPI Baselines'!C363</f>
        <v>Shipment Visibility</v>
      </c>
      <c r="D378" t="str">
        <f>'5. KPI Baselines'!D363</f>
        <v>Status Inquiry Volume</v>
      </c>
      <c r="E378" t="str">
        <f>'5. KPI Baselines'!E363</f>
        <v>8,600 monthly</v>
      </c>
      <c r="F378" t="str">
        <f>'5. KPI Baselines'!F363</f>
        <v>5,200 monthly</v>
      </c>
      <c r="G378" t="str">
        <f>'5. KPI Baselines'!G363</f>
        <v>4,200 for similar customer base</v>
      </c>
      <c r="H378" t="str">
        <f>'5. KPI Baselines'!H363</f>
        <v>↓</v>
      </c>
      <c r="I378" t="str">
        <f>'5. KPI Baselines'!I363</f>
        <v>6 months</v>
      </c>
      <c r="J378" t="str">
        <f>'5. KPI Baselines'!J363</f>
        <v>Phone and email inquiries requesting shipment status updates</v>
      </c>
      <c r="K378" s="15" t="str">
        <f t="shared" si="46"/>
        <v>8,600 monthly → 5,200 monthly</v>
      </c>
      <c r="L378" s="34" t="str" cm="1">
        <f t="array" ref="L378">IFERROR(_xlfn.LET(_xlpm.e,E378,_xlpm.f,F378,_xlpm.h,H378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78" s="15" t="str" cm="1">
        <f t="array" ref="M378">IFERROR(_xlfn.LET(_xlpm.e,E378,_xlpm.f,F378,_xlpm.h,H378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78" s="15" t="str" cm="1">
        <f t="array" ref="N378">IFERROR(_xlfn.LET(_xlpm.e,E378,_xlpm.f,F378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78" s="15" t="str">
        <f t="shared" si="47"/>
        <v>4,200 for similar customer base → 5,200 monthly</v>
      </c>
      <c r="P378" s="34" t="str" cm="1">
        <f t="array" ref="P378">IFERROR(_xlfn.LET(_xlpm.g,G378,_xlpm.f,F378,_xlpm.h,H378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78" s="15" t="str" cm="1">
        <f t="array" ref="Q378">IFERROR(_xlfn.LET(_xlpm.e,E378,_xlpm.g,G378,_xlpm.h,H378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78" s="15" t="str">
        <f t="shared" si="48"/>
        <v>⚪ N/A</v>
      </c>
      <c r="S378" s="35" cm="1">
        <f t="array" ref="S378">IFERROR(_xlfn.LET(_xlpm.e,E378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78" s="36">
        <f t="shared" si="49"/>
        <v>0</v>
      </c>
      <c r="U378" s="15">
        <f t="shared" si="50"/>
        <v>554</v>
      </c>
      <c r="V378" s="16">
        <f t="shared" si="51"/>
        <v>0</v>
      </c>
      <c r="W378" s="16">
        <f t="shared" si="52"/>
        <v>0</v>
      </c>
      <c r="X378" s="37" t="str">
        <f t="shared" si="53"/>
        <v>-</v>
      </c>
      <c r="Y378" s="15" t="str">
        <f t="shared" si="54"/>
        <v>📉 Low</v>
      </c>
    </row>
    <row r="379" spans="1:25" x14ac:dyDescent="0.2">
      <c r="A379" t="str">
        <f>'5. KPI Baselines'!A364</f>
        <v>P&amp;B Intermodal</v>
      </c>
      <c r="B379" t="str">
        <f>'5. KPI Baselines'!B364</f>
        <v>Customer Service</v>
      </c>
      <c r="C379" t="str">
        <f>'5. KPI Baselines'!C364</f>
        <v>Exception Management</v>
      </c>
      <c r="D379" t="str">
        <f>'5. KPI Baselines'!D364</f>
        <v>Average Response Time</v>
      </c>
      <c r="E379" t="str">
        <f>'5. KPI Baselines'!E364</f>
        <v>14.2 hours</v>
      </c>
      <c r="F379" t="str">
        <f>'5. KPI Baselines'!F364</f>
        <v>6.5 hours</v>
      </c>
      <c r="G379" t="str">
        <f>'5. KPI Baselines'!G364</f>
        <v>4.8 hours</v>
      </c>
      <c r="H379" t="str">
        <f>'5. KPI Baselines'!H364</f>
        <v>↓</v>
      </c>
      <c r="I379" t="str">
        <f>'5. KPI Baselines'!I364</f>
        <v>9 months</v>
      </c>
      <c r="J379" t="str">
        <f>'5. KPI Baselines'!J364</f>
        <v>Time from customer inquiry to first substantive response</v>
      </c>
      <c r="K379" s="15" t="str">
        <f t="shared" si="46"/>
        <v>14.2 hours → 6.5 hours</v>
      </c>
      <c r="L379" s="34" cm="1">
        <f t="array" ref="L379">IFERROR(_xlfn.LET(_xlpm.e,E379,_xlpm.f,F379,_xlpm.h,H379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0.54224970246688398</v>
      </c>
      <c r="M379" s="15" cm="1">
        <f t="array" ref="M379">IFERROR(_xlfn.LET(_xlpm.e,E379,_xlpm.f,F379,_xlpm.h,H379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7.7</v>
      </c>
      <c r="N379" s="15" cm="1">
        <f t="array" ref="N379">IFERROR(_xlfn.LET(_xlpm.e,E379,_xlpm.f,F379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5.89</v>
      </c>
      <c r="O379" s="15" t="str">
        <f t="shared" si="47"/>
        <v>4.8 hours → 6.5 hours</v>
      </c>
      <c r="P379" s="34" cm="1">
        <f t="array" ref="P379">IFERROR(_xlfn.LET(_xlpm.g,G379,_xlpm.f,F379,_xlpm.h,H379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-0.35415928834815946</v>
      </c>
      <c r="Q379" s="15" t="str" cm="1">
        <f t="array" ref="Q379">IFERROR(_xlfn.LET(_xlpm.e,E379,_xlpm.g,G379,_xlpm.h,H379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79" s="15" t="str">
        <f t="shared" si="48"/>
        <v>🔴 Lagging</v>
      </c>
      <c r="S379" s="35" cm="1">
        <f t="array" ref="S379">IFERROR(_xlfn.LET(_xlpm.e,E379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14.2</v>
      </c>
      <c r="T379" s="36">
        <f t="shared" si="49"/>
        <v>54.2249702466884</v>
      </c>
      <c r="U379" s="15">
        <f t="shared" si="50"/>
        <v>201</v>
      </c>
      <c r="V379" s="16">
        <f t="shared" si="51"/>
        <v>1075.0086795163411</v>
      </c>
      <c r="W379" s="16">
        <f t="shared" si="52"/>
        <v>2673.387474980535</v>
      </c>
      <c r="X379" s="37">
        <f t="shared" si="53"/>
        <v>81</v>
      </c>
      <c r="Y379" s="15" t="str">
        <f t="shared" si="54"/>
        <v>🔥 Critical</v>
      </c>
    </row>
    <row r="380" spans="1:25" x14ac:dyDescent="0.2">
      <c r="A380" t="str">
        <f>'5. KPI Baselines'!A365</f>
        <v>P&amp;B Intermodal</v>
      </c>
      <c r="B380" t="str">
        <f>'5. KPI Baselines'!B365</f>
        <v>Sales</v>
      </c>
      <c r="C380" t="str">
        <f>'5. KPI Baselines'!C365</f>
        <v>Business Development</v>
      </c>
      <c r="D380" t="str">
        <f>'5. KPI Baselines'!D365</f>
        <v>RFP Close Rate</v>
      </c>
      <c r="E380" t="str">
        <f>'5. KPI Baselines'!E365</f>
        <v>18%</v>
      </c>
      <c r="F380" t="str">
        <f>'5. KPI Baselines'!F365</f>
        <v>24%</v>
      </c>
      <c r="G380" t="str">
        <f>'5. KPI Baselines'!G365</f>
        <v>26%</v>
      </c>
      <c r="H380" t="str">
        <f>'5. KPI Baselines'!H365</f>
        <v>↑</v>
      </c>
      <c r="I380" t="str">
        <f>'5. KPI Baselines'!I365</f>
        <v>12 months</v>
      </c>
      <c r="J380" t="str">
        <f>'5. KPI Baselines'!J365</f>
        <v>Won bids divided by total submitted proposals</v>
      </c>
      <c r="K380" s="15" t="str">
        <f t="shared" si="46"/>
        <v>24% - 18%</v>
      </c>
      <c r="L380" s="34" cm="1">
        <f t="array" ref="L380">IFERROR(_xlfn.LET(_xlpm.e,E380,_xlpm.f,F380,_xlpm.h,H380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0.3333314814917695</v>
      </c>
      <c r="M380" s="15" cm="1">
        <f t="array" ref="M380">IFERROR(_xlfn.LET(_xlpm.e,E380,_xlpm.f,F380,_xlpm.h,H380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23.1</v>
      </c>
      <c r="N380" s="15" cm="1">
        <f t="array" ref="N380">IFERROR(_xlfn.LET(_xlpm.e,E380,_xlpm.f,F380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380" s="15" t="str">
        <f t="shared" si="47"/>
        <v>24% - 26%</v>
      </c>
      <c r="P380" s="34" cm="1">
        <f t="array" ref="P380">IFERROR(_xlfn.LET(_xlpm.g,G380,_xlpm.f,F380,_xlpm.h,H380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-7.6922781066226673E-2</v>
      </c>
      <c r="Q380" s="15" t="str" cm="1">
        <f t="array" ref="Q380">IFERROR(_xlfn.LET(_xlpm.e,E380,_xlpm.g,G380,_xlpm.h,H380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0" s="15" t="str">
        <f t="shared" si="48"/>
        <v>🔴 Lagging</v>
      </c>
      <c r="S380" s="35" cm="1">
        <f t="array" ref="S380">IFERROR(_xlfn.LET(_xlpm.e,E380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80" s="36">
        <f t="shared" si="49"/>
        <v>33.333148149176949</v>
      </c>
      <c r="U380" s="15">
        <f t="shared" si="50"/>
        <v>365</v>
      </c>
      <c r="V380" s="16">
        <f t="shared" si="51"/>
        <v>837.67034627585406</v>
      </c>
      <c r="W380" s="16">
        <f t="shared" si="52"/>
        <v>2083.1621684245524</v>
      </c>
      <c r="X380" s="37">
        <f t="shared" si="53"/>
        <v>104</v>
      </c>
      <c r="Y380" s="15" t="str">
        <f t="shared" si="54"/>
        <v>⚠️ High</v>
      </c>
    </row>
    <row r="381" spans="1:25" x14ac:dyDescent="0.2">
      <c r="A381" t="str">
        <f>'5. KPI Baselines'!A366</f>
        <v>P&amp;B Intermodal</v>
      </c>
      <c r="B381" t="str">
        <f>'5. KPI Baselines'!B366</f>
        <v>Finance</v>
      </c>
      <c r="C381" t="str">
        <f>'5. KPI Baselines'!C366</f>
        <v>Claims Processing</v>
      </c>
      <c r="D381" t="str">
        <f>'5. KPI Baselines'!D366</f>
        <v>Claim Resolution Cycle</v>
      </c>
      <c r="E381" t="str">
        <f>'5. KPI Baselines'!E366</f>
        <v>47 days</v>
      </c>
      <c r="F381" t="str">
        <f>'5. KPI Baselines'!F366</f>
        <v>32 days</v>
      </c>
      <c r="G381" t="str">
        <f>'5. KPI Baselines'!G366</f>
        <v>28 days</v>
      </c>
      <c r="H381" t="str">
        <f>'5. KPI Baselines'!H366</f>
        <v>↓</v>
      </c>
      <c r="I381" t="str">
        <f>'5. KPI Baselines'!I366</f>
        <v>12 months</v>
      </c>
      <c r="J381" t="str">
        <f>'5. KPI Baselines'!J366</f>
        <v>Average days from incident report to final settlement</v>
      </c>
      <c r="K381" s="15" t="str">
        <f t="shared" si="46"/>
        <v>47 days → 32 days</v>
      </c>
      <c r="L381" s="34" cm="1">
        <f t="array" ref="L381">IFERROR(_xlfn.LET(_xlpm.e,E381,_xlpm.f,F381,_xlpm.h,H381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0.3191482571313678</v>
      </c>
      <c r="M381" s="15" cm="1">
        <f t="array" ref="M381">IFERROR(_xlfn.LET(_xlpm.e,E381,_xlpm.f,F381,_xlpm.h,H381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34.299999999999997</v>
      </c>
      <c r="N381" s="15" cm="1">
        <f t="array" ref="N381">IFERROR(_xlfn.LET(_xlpm.e,E381,_xlpm.f,F381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381" s="15" t="str">
        <f t="shared" si="47"/>
        <v>28 days → 32 days</v>
      </c>
      <c r="P381" s="34" cm="1">
        <f t="array" ref="P381">IFERROR(_xlfn.LET(_xlpm.g,G381,_xlpm.f,F381,_xlpm.h,H381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-0.14285663265488338</v>
      </c>
      <c r="Q381" s="15" t="str" cm="1">
        <f t="array" ref="Q381">IFERROR(_xlfn.LET(_xlpm.e,E381,_xlpm.g,G381,_xlpm.h,H381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1" s="15" t="str">
        <f t="shared" si="48"/>
        <v>🔴 Lagging</v>
      </c>
      <c r="S381" s="35" cm="1">
        <f t="array" ref="S381">IFERROR(_xlfn.LET(_xlpm.e,E381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381" s="36">
        <f t="shared" si="49"/>
        <v>31.914825713136779</v>
      </c>
      <c r="U381" s="15">
        <f t="shared" si="50"/>
        <v>379</v>
      </c>
      <c r="V381" s="16">
        <f t="shared" si="51"/>
        <v>2094.1830442913952</v>
      </c>
      <c r="W381" s="16">
        <f t="shared" si="52"/>
        <v>5207.92327318146</v>
      </c>
      <c r="X381" s="37">
        <f t="shared" si="53"/>
        <v>42</v>
      </c>
      <c r="Y381" s="15" t="str">
        <f t="shared" si="54"/>
        <v>⚠️ High</v>
      </c>
    </row>
    <row r="382" spans="1:25" x14ac:dyDescent="0.2">
      <c r="A382" t="str">
        <f>'5. KPI Baselines'!A367</f>
        <v>P&amp;B Intermodal</v>
      </c>
      <c r="B382" t="str">
        <f>'5. KPI Baselines'!B367</f>
        <v>Compliance</v>
      </c>
      <c r="C382" t="str">
        <f>'5. KPI Baselines'!C367</f>
        <v>Documentation</v>
      </c>
      <c r="D382" t="str">
        <f>'5. KPI Baselines'!D367</f>
        <v>Cross-Border Error Rate</v>
      </c>
      <c r="E382" t="str">
        <f>'5. KPI Baselines'!E367</f>
        <v>8.4%</v>
      </c>
      <c r="F382" t="str">
        <f>'5. KPI Baselines'!F367</f>
        <v>3.5%</v>
      </c>
      <c r="G382" t="str">
        <f>'5. KPI Baselines'!G367</f>
        <v>2.8%</v>
      </c>
      <c r="H382" t="str">
        <f>'5. KPI Baselines'!H367</f>
        <v>↓</v>
      </c>
      <c r="I382" t="str">
        <f>'5. KPI Baselines'!I367</f>
        <v>9 months</v>
      </c>
      <c r="J382" t="str">
        <f>'5. KPI Baselines'!J367</f>
        <v>Percentage of shipments requiring rework or correction</v>
      </c>
      <c r="K382" s="15" t="str">
        <f t="shared" si="46"/>
        <v>8.4% → 3.5%</v>
      </c>
      <c r="L382" s="34" cm="1">
        <f t="array" ref="L382">IFERROR(_xlfn.LET(_xlpm.e,E382,_xlpm.f,F382,_xlpm.h,H382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0.58332638897155986</v>
      </c>
      <c r="M382" s="15" cm="1">
        <f t="array" ref="M382">IFERROR(_xlfn.LET(_xlpm.e,E382,_xlpm.f,F382,_xlpm.h,H382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4.2</v>
      </c>
      <c r="N382" s="15" cm="1">
        <f t="array" ref="N382">IFERROR(_xlfn.LET(_xlpm.e,E382,_xlpm.f,F382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3.75</v>
      </c>
      <c r="O382" s="15" t="str">
        <f t="shared" si="47"/>
        <v>2.8% → 3.5%</v>
      </c>
      <c r="P382" s="34" cm="1">
        <f t="array" ref="P382">IFERROR(_xlfn.LET(_xlpm.g,G382,_xlpm.f,F382,_xlpm.h,H382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-0.24999107174743765</v>
      </c>
      <c r="Q382" s="15" t="str" cm="1">
        <f t="array" ref="Q382">IFERROR(_xlfn.LET(_xlpm.e,E382,_xlpm.g,G382,_xlpm.h,H382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2" s="15" t="str">
        <f t="shared" si="48"/>
        <v>🔴 Lagging</v>
      </c>
      <c r="S382" s="35" cm="1">
        <f t="array" ref="S382">IFERROR(_xlfn.LET(_xlpm.e,E382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8.4</v>
      </c>
      <c r="T382" s="36">
        <f t="shared" si="49"/>
        <v>58.332638897155988</v>
      </c>
      <c r="U382" s="15">
        <f t="shared" si="50"/>
        <v>166</v>
      </c>
      <c r="V382" s="16">
        <f t="shared" si="51"/>
        <v>684.09310603445203</v>
      </c>
      <c r="W382" s="16">
        <f t="shared" si="52"/>
        <v>1701.2383027603591</v>
      </c>
      <c r="X382" s="37">
        <f t="shared" si="53"/>
        <v>127</v>
      </c>
      <c r="Y382" s="15" t="str">
        <f t="shared" si="54"/>
        <v>🔥 Critical</v>
      </c>
    </row>
    <row r="383" spans="1:25" x14ac:dyDescent="0.2">
      <c r="A383" t="str">
        <f>'5. KPI Baselines'!A368</f>
        <v>P&amp;B Intermodal</v>
      </c>
      <c r="B383" t="str">
        <f>'5. KPI Baselines'!B368</f>
        <v>Operations</v>
      </c>
      <c r="C383" t="str">
        <f>'5. KPI Baselines'!C368</f>
        <v>Maintenance Planning</v>
      </c>
      <c r="D383" t="str">
        <f>'5. KPI Baselines'!D368</f>
        <v>Unplanned Equipment Downtime</v>
      </c>
      <c r="E383" t="str">
        <f>'5. KPI Baselines'!E368</f>
        <v>7.2%</v>
      </c>
      <c r="F383" t="str">
        <f>'5. KPI Baselines'!F368</f>
        <v>5.4%</v>
      </c>
      <c r="G383" t="str">
        <f>'5. KPI Baselines'!G368</f>
        <v>4.1%</v>
      </c>
      <c r="H383" t="str">
        <f>'5. KPI Baselines'!H368</f>
        <v>↓</v>
      </c>
      <c r="I383" t="str">
        <f>'5. KPI Baselines'!I368</f>
        <v>15 months</v>
      </c>
      <c r="J383" t="str">
        <f>'5. KPI Baselines'!J368</f>
        <v>Percentage of fleet unavailable due to unexpected failures</v>
      </c>
      <c r="K383" s="15" t="str">
        <f t="shared" si="46"/>
        <v>7.2% → 5.4%</v>
      </c>
      <c r="L383" s="34" cm="1">
        <f t="array" ref="L383">IFERROR(_xlfn.LET(_xlpm.e,E383,_xlpm.f,F383,_xlpm.h,H383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0.2499965278260024</v>
      </c>
      <c r="M383" s="15" cm="1">
        <f t="array" ref="M383">IFERROR(_xlfn.LET(_xlpm.e,E383,_xlpm.f,F383,_xlpm.h,H383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5.7</v>
      </c>
      <c r="N383" s="15" cm="1">
        <f t="array" ref="N383">IFERROR(_xlfn.LET(_xlpm.e,E383,_xlpm.f,F383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1.38</v>
      </c>
      <c r="O383" s="15" t="str">
        <f t="shared" si="47"/>
        <v>4.1% → 5.4%</v>
      </c>
      <c r="P383" s="34" cm="1">
        <f t="array" ref="P383">IFERROR(_xlfn.LET(_xlpm.g,G383,_xlpm.f,F383,_xlpm.h,H383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-0.31706543742835563</v>
      </c>
      <c r="Q383" s="15" t="str" cm="1">
        <f t="array" ref="Q383">IFERROR(_xlfn.LET(_xlpm.e,E383,_xlpm.g,G383,_xlpm.h,H383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3" s="15" t="str">
        <f t="shared" si="48"/>
        <v>🔴 Lagging</v>
      </c>
      <c r="S383" s="35" cm="1">
        <f t="array" ref="S383">IFERROR(_xlfn.LET(_xlpm.e,E383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7.2</v>
      </c>
      <c r="T383" s="36">
        <f t="shared" si="49"/>
        <v>24.99965278260024</v>
      </c>
      <c r="U383" s="15">
        <f t="shared" si="50"/>
        <v>426</v>
      </c>
      <c r="V383" s="16">
        <f t="shared" si="51"/>
        <v>251.29900973597589</v>
      </c>
      <c r="W383" s="16">
        <f t="shared" si="52"/>
        <v>624.94344269427563</v>
      </c>
      <c r="X383" s="37">
        <f t="shared" si="53"/>
        <v>339</v>
      </c>
      <c r="Y383" s="15" t="str">
        <f t="shared" si="54"/>
        <v>📊 Medium</v>
      </c>
    </row>
    <row r="384" spans="1:25" x14ac:dyDescent="0.2">
      <c r="A384" t="str">
        <f>'5. KPI Baselines'!A369</f>
        <v>P&amp;B Intermodal</v>
      </c>
      <c r="B384" t="str">
        <f>'5. KPI Baselines'!B369</f>
        <v>Sales</v>
      </c>
      <c r="C384" t="str">
        <f>'5. KPI Baselines'!C369</f>
        <v>Account Management</v>
      </c>
      <c r="D384" t="str">
        <f>'5. KPI Baselines'!D369</f>
        <v>Customer Retention Rate</v>
      </c>
      <c r="E384" t="str">
        <f>'5. KPI Baselines'!E369</f>
        <v>68%</v>
      </c>
      <c r="F384" t="str">
        <f>'5. KPI Baselines'!F369</f>
        <v>78%</v>
      </c>
      <c r="G384" t="str">
        <f>'5. KPI Baselines'!G369</f>
        <v>82%</v>
      </c>
      <c r="H384" t="str">
        <f>'5. KPI Baselines'!H369</f>
        <v>↑</v>
      </c>
      <c r="I384" t="str">
        <f>'5. KPI Baselines'!I369</f>
        <v>18 months</v>
      </c>
      <c r="J384" t="str">
        <f>'5. KPI Baselines'!J369</f>
        <v>Percentage of customers with repeat business year-over-year</v>
      </c>
      <c r="K384" s="15" t="str">
        <f t="shared" si="46"/>
        <v>78% - 68%</v>
      </c>
      <c r="L384" s="34" cm="1">
        <f t="array" ref="L384">IFERROR(_xlfn.LET(_xlpm.e,E384,_xlpm.f,F384,_xlpm.h,H384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0.14705860726675402</v>
      </c>
      <c r="M384" s="15" cm="1">
        <f t="array" ref="M384">IFERROR(_xlfn.LET(_xlpm.e,E384,_xlpm.f,F384,_xlpm.h,H384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76.5</v>
      </c>
      <c r="N384" s="15" cm="1">
        <f t="array" ref="N384">IFERROR(_xlfn.LET(_xlpm.e,E384,_xlpm.f,F384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384" s="15" t="str">
        <f t="shared" si="47"/>
        <v>78% - 82%</v>
      </c>
      <c r="P384" s="34" cm="1">
        <f t="array" ref="P384">IFERROR(_xlfn.LET(_xlpm.g,G384,_xlpm.f,F384,_xlpm.h,H384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-4.8780428316550835E-2</v>
      </c>
      <c r="Q384" s="15" t="str" cm="1">
        <f t="array" ref="Q384">IFERROR(_xlfn.LET(_xlpm.e,E384,_xlpm.g,G384,_xlpm.h,H384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4" s="15" t="str">
        <f t="shared" si="48"/>
        <v>🔴 Lagging</v>
      </c>
      <c r="S384" s="35" cm="1">
        <f t="array" ref="S384">IFERROR(_xlfn.LET(_xlpm.e,E384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384" s="36">
        <f t="shared" si="49"/>
        <v>14.705860726675402</v>
      </c>
      <c r="U384" s="15">
        <f t="shared" si="50"/>
        <v>498</v>
      </c>
      <c r="V384" s="16">
        <f t="shared" si="51"/>
        <v>1396.1229468780193</v>
      </c>
      <c r="W384" s="16">
        <f t="shared" si="52"/>
        <v>3471.9511301023649</v>
      </c>
      <c r="X384" s="37">
        <f t="shared" si="53"/>
        <v>62</v>
      </c>
      <c r="Y384" s="15" t="str">
        <f t="shared" si="54"/>
        <v>📊 Medium</v>
      </c>
    </row>
    <row r="385" spans="1:25" x14ac:dyDescent="0.2">
      <c r="A385" t="str">
        <f>'5. KPI Baselines'!A370</f>
        <v>P&amp;B Intermodal</v>
      </c>
      <c r="B385" t="str">
        <f>'5. KPI Baselines'!B370</f>
        <v>Operations</v>
      </c>
      <c r="C385" t="str">
        <f>'5. KPI Baselines'!C370</f>
        <v>Route Planning</v>
      </c>
      <c r="D385" t="str">
        <f>'5. KPI Baselines'!D370</f>
        <v>Drayage Cost per Container Mile</v>
      </c>
      <c r="E385" t="str">
        <f>'5. KPI Baselines'!E370</f>
        <v>$2.85</v>
      </c>
      <c r="F385" t="str">
        <f>'5. KPI Baselines'!F370</f>
        <v>$2.58</v>
      </c>
      <c r="G385" t="str">
        <f>'5. KPI Baselines'!G370</f>
        <v>$2.42</v>
      </c>
      <c r="H385" t="str">
        <f>'5. KPI Baselines'!H370</f>
        <v>↓</v>
      </c>
      <c r="I385" t="str">
        <f>'5. KPI Baselines'!I370</f>
        <v>12 months</v>
      </c>
      <c r="J385" t="str">
        <f>'5. KPI Baselines'!J370</f>
        <v>Total drayage expense divided by loaded miles</v>
      </c>
      <c r="K385" s="15" t="str">
        <f t="shared" si="46"/>
        <v>$2.85 → $2.58</v>
      </c>
      <c r="L385" s="34" cm="1">
        <f t="array" ref="L385">IFERROR(_xlfn.LET(_xlpm.e,E385,_xlpm.f,F385,_xlpm.h,H385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9.4733518122171151E-2</v>
      </c>
      <c r="M385" s="15" cm="1">
        <f t="array" ref="M385">IFERROR(_xlfn.LET(_xlpm.e,E385,_xlpm.f,F385,_xlpm.h,H385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385" s="15" cm="1">
        <f t="array" ref="N385">IFERROR(_xlfn.LET(_xlpm.e,E385,_xlpm.f,F385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0.21</v>
      </c>
      <c r="O385" s="15" t="str">
        <f t="shared" si="47"/>
        <v>$2.42 → $2.58</v>
      </c>
      <c r="P385" s="34" cm="1">
        <f t="array" ref="P385">IFERROR(_xlfn.LET(_xlpm.g,G385,_xlpm.f,F385,_xlpm.h,H385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-6.6112970538407562E-2</v>
      </c>
      <c r="Q385" s="15" t="str" cm="1">
        <f t="array" ref="Q385">IFERROR(_xlfn.LET(_xlpm.e,E385,_xlpm.g,G385,_xlpm.h,H385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5" s="15" t="str">
        <f t="shared" si="48"/>
        <v>🔴 Lagging</v>
      </c>
      <c r="S385" s="35" cm="1">
        <f t="array" ref="S385">IFERROR(_xlfn.LET(_xlpm.e,E385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2.85</v>
      </c>
      <c r="T385" s="36">
        <f t="shared" si="49"/>
        <v>9.4733518122171159</v>
      </c>
      <c r="U385" s="15">
        <f t="shared" si="50"/>
        <v>523</v>
      </c>
      <c r="V385" s="16">
        <f t="shared" si="51"/>
        <v>37.69405240167012</v>
      </c>
      <c r="W385" s="16">
        <f t="shared" si="52"/>
        <v>93.739529263357014</v>
      </c>
      <c r="X385" s="37">
        <f t="shared" si="53"/>
        <v>1947</v>
      </c>
      <c r="Y385" s="15" t="str">
        <f t="shared" si="54"/>
        <v>📉 Low</v>
      </c>
    </row>
    <row r="386" spans="1:25" x14ac:dyDescent="0.2">
      <c r="A386" t="str">
        <f>'5. KPI Baselines'!A371</f>
        <v>P&amp;B Intermodal</v>
      </c>
      <c r="B386" t="str">
        <f>'5. KPI Baselines'!B371</f>
        <v>Finance</v>
      </c>
      <c r="C386" t="str">
        <f>'5. KPI Baselines'!C371</f>
        <v>Revenue Operations</v>
      </c>
      <c r="D386" t="str">
        <f>'5. KPI Baselines'!D371</f>
        <v>Invoice Accuracy Rate</v>
      </c>
      <c r="E386" t="str">
        <f>'5. KPI Baselines'!E371</f>
        <v>91.2%</v>
      </c>
      <c r="F386" t="str">
        <f>'5. KPI Baselines'!F371</f>
        <v>95.5%</v>
      </c>
      <c r="G386" t="str">
        <f>'5. KPI Baselines'!G371</f>
        <v>97.8%</v>
      </c>
      <c r="H386" t="str">
        <f>'5. KPI Baselines'!H371</f>
        <v>↑</v>
      </c>
      <c r="I386" t="str">
        <f>'5. KPI Baselines'!I371</f>
        <v>9 months</v>
      </c>
      <c r="J386" t="str">
        <f>'5. KPI Baselines'!J371</f>
        <v>Percentage of invoices requiring no correction or dispute</v>
      </c>
      <c r="K386" s="15" t="str">
        <f t="shared" si="46"/>
        <v>95.5% - 91.2%</v>
      </c>
      <c r="L386" s="34" cm="1">
        <f t="array" ref="L386">IFERROR(_xlfn.LET(_xlpm.e,E386,_xlpm.f,F386,_xlpm.h,H386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4.7149071108474626E-2</v>
      </c>
      <c r="M386" s="15" cm="1">
        <f t="array" ref="M386">IFERROR(_xlfn.LET(_xlpm.e,E386,_xlpm.f,F386,_xlpm.h,H386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94.9</v>
      </c>
      <c r="N386" s="15" cm="1">
        <f t="array" ref="N386">IFERROR(_xlfn.LET(_xlpm.e,E386,_xlpm.f,F386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3.29</v>
      </c>
      <c r="O386" s="15" t="str">
        <f t="shared" si="47"/>
        <v>95.5% - 97.8%</v>
      </c>
      <c r="P386" s="34" cm="1">
        <f t="array" ref="P386">IFERROR(_xlfn.LET(_xlpm.g,G386,_xlpm.f,F386,_xlpm.h,H386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-2.3517358366709207E-2</v>
      </c>
      <c r="Q386" s="15" t="str" cm="1">
        <f t="array" ref="Q386">IFERROR(_xlfn.LET(_xlpm.e,E386,_xlpm.g,G386,_xlpm.h,H386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6" s="15" t="str">
        <f t="shared" si="48"/>
        <v>🔴 Lagging</v>
      </c>
      <c r="S386" s="35" cm="1">
        <f t="array" ref="S386">IFERROR(_xlfn.LET(_xlpm.e,E386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91.2</v>
      </c>
      <c r="T386" s="36">
        <f t="shared" si="49"/>
        <v>4.7149071108474629</v>
      </c>
      <c r="U386" s="15">
        <f t="shared" si="50"/>
        <v>543</v>
      </c>
      <c r="V386" s="16">
        <f t="shared" si="51"/>
        <v>600.33309174003057</v>
      </c>
      <c r="W386" s="16">
        <f t="shared" si="52"/>
        <v>1492.9395444474101</v>
      </c>
      <c r="X386" s="37">
        <f t="shared" si="53"/>
        <v>144</v>
      </c>
      <c r="Y386" s="15" t="str">
        <f t="shared" si="54"/>
        <v>📉 Low</v>
      </c>
    </row>
    <row r="387" spans="1:25" x14ac:dyDescent="0.2">
      <c r="A387" t="str">
        <f>'5. KPI Baselines'!A372</f>
        <v>Pave America</v>
      </c>
      <c r="B387" t="str">
        <f>'5. KPI Baselines'!B372</f>
        <v>Business Development</v>
      </c>
      <c r="C387" t="str">
        <f>'5. KPI Baselines'!C372</f>
        <v>Estimating &amp; Bidding</v>
      </c>
      <c r="D387" t="str">
        <f>'5. KPI Baselines'!D372</f>
        <v>Bid Turnaround Time</v>
      </c>
      <c r="E387" t="str">
        <f>'5. KPI Baselines'!E372</f>
        <v>12 days</v>
      </c>
      <c r="F387" t="str">
        <f>'5. KPI Baselines'!F372</f>
        <v>5 days</v>
      </c>
      <c r="G387" t="str">
        <f>'5. KPI Baselines'!G372</f>
        <v>6 days</v>
      </c>
      <c r="H387" t="str">
        <f>'5. KPI Baselines'!H372</f>
        <v>↓</v>
      </c>
      <c r="I387" t="str">
        <f>'5. KPI Baselines'!I372</f>
        <v>12 months</v>
      </c>
      <c r="J387" t="str">
        <f>'5. KPI Baselines'!J372</f>
        <v>RFP receipt to submission timestamp</v>
      </c>
      <c r="K387" s="15" t="str">
        <f t="shared" si="46"/>
        <v>12 days → 5 days</v>
      </c>
      <c r="L387" s="34" cm="1">
        <f t="array" ref="L387">IFERROR(_xlfn.LET(_xlpm.e,E387,_xlpm.f,F387,_xlpm.h,H387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387" s="15" cm="1">
        <f t="array" ref="M387">IFERROR(_xlfn.LET(_xlpm.e,E387,_xlpm.f,F387,_xlpm.h,H387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387" s="15" cm="1">
        <f t="array" ref="N387">IFERROR(_xlfn.LET(_xlpm.e,E387,_xlpm.f,F387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387" s="15" t="str">
        <f t="shared" si="47"/>
        <v>6 days → 5 days</v>
      </c>
      <c r="P387" s="34" cm="1">
        <f t="array" ref="P387">IFERROR(_xlfn.LET(_xlpm.g,G387,_xlpm.f,F387,_xlpm.h,H387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0.16666388893518441</v>
      </c>
      <c r="Q387" s="15" t="str" cm="1">
        <f t="array" ref="Q387">IFERROR(_xlfn.LET(_xlpm.e,E387,_xlpm.g,G387,_xlpm.h,H387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7" s="15" t="str">
        <f t="shared" si="48"/>
        <v>🔴 Lagging</v>
      </c>
      <c r="S387" s="35" cm="1">
        <f t="array" ref="S387">IFERROR(_xlfn.LET(_xlpm.e,E387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387" s="36">
        <f t="shared" si="49"/>
        <v>58.33284722627311</v>
      </c>
      <c r="U387" s="15">
        <f t="shared" si="50"/>
        <v>160</v>
      </c>
      <c r="V387" s="16">
        <f t="shared" si="51"/>
        <v>977.27935600536659</v>
      </c>
      <c r="W387" s="16">
        <f t="shared" si="52"/>
        <v>2430.3491122297269</v>
      </c>
      <c r="X387" s="37">
        <f t="shared" si="53"/>
        <v>89</v>
      </c>
      <c r="Y387" s="15" t="str">
        <f t="shared" si="54"/>
        <v>🔥 Critical</v>
      </c>
    </row>
    <row r="388" spans="1:25" x14ac:dyDescent="0.2">
      <c r="A388" t="str">
        <f>'5. KPI Baselines'!A373</f>
        <v>Pave America</v>
      </c>
      <c r="B388" t="str">
        <f>'5. KPI Baselines'!B373</f>
        <v>Business Development</v>
      </c>
      <c r="C388" t="str">
        <f>'5. KPI Baselines'!C373</f>
        <v>Estimating &amp; Bidding</v>
      </c>
      <c r="D388" t="str">
        <f>'5. KPI Baselines'!D373</f>
        <v>Opportunity Capture Rate</v>
      </c>
      <c r="E388" t="str">
        <f>'5. KPI Baselines'!E373</f>
        <v>65%</v>
      </c>
      <c r="F388" t="str">
        <f>'5. KPI Baselines'!F373</f>
        <v>85%</v>
      </c>
      <c r="G388" t="str">
        <f>'5. KPI Baselines'!G373</f>
        <v>78%</v>
      </c>
      <c r="H388" t="str">
        <f>'5. KPI Baselines'!H373</f>
        <v>↑</v>
      </c>
      <c r="I388" t="str">
        <f>'5. KPI Baselines'!I373</f>
        <v>18 months</v>
      </c>
      <c r="J388" t="str">
        <f>'5. KPI Baselines'!J373</f>
        <v>Bids submitted / qualified opportunities identified</v>
      </c>
      <c r="K388" s="15" t="str">
        <f t="shared" si="46"/>
        <v>85% - 65%</v>
      </c>
      <c r="L388" s="34" cm="1">
        <f t="array" ref="L388">IFERROR(_xlfn.LET(_xlpm.e,E388,_xlpm.f,F388,_xlpm.h,H388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0.30769183432025488</v>
      </c>
      <c r="M388" s="15" cm="1">
        <f t="array" ref="M388">IFERROR(_xlfn.LET(_xlpm.e,E388,_xlpm.f,F388,_xlpm.h,H388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82</v>
      </c>
      <c r="N388" s="15" cm="1">
        <f t="array" ref="N388">IFERROR(_xlfn.LET(_xlpm.e,E388,_xlpm.f,F388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15.3</v>
      </c>
      <c r="O388" s="15" t="str">
        <f t="shared" si="47"/>
        <v>85% - 78%</v>
      </c>
      <c r="P388" s="34" cm="1">
        <f t="array" ref="P388">IFERROR(_xlfn.LET(_xlpm.g,G388,_xlpm.f,F388,_xlpm.h,H388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8.9743474687852959E-2</v>
      </c>
      <c r="Q388" s="15" t="str" cm="1">
        <f t="array" ref="Q388">IFERROR(_xlfn.LET(_xlpm.e,E388,_xlpm.g,G388,_xlpm.h,H388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8" s="15" t="str">
        <f t="shared" si="48"/>
        <v>🔴 Lagging</v>
      </c>
      <c r="S388" s="35" cm="1">
        <f t="array" ref="S388">IFERROR(_xlfn.LET(_xlpm.e,E388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65</v>
      </c>
      <c r="T388" s="36">
        <f t="shared" si="49"/>
        <v>30.769183432025489</v>
      </c>
      <c r="U388" s="15">
        <f t="shared" si="50"/>
        <v>389</v>
      </c>
      <c r="V388" s="16">
        <f t="shared" si="51"/>
        <v>2792.245704237378</v>
      </c>
      <c r="W388" s="16">
        <f t="shared" si="52"/>
        <v>6943.9017888998715</v>
      </c>
      <c r="X388" s="37">
        <f t="shared" si="53"/>
        <v>31</v>
      </c>
      <c r="Y388" s="15" t="str">
        <f t="shared" si="54"/>
        <v>⚠️ High</v>
      </c>
    </row>
    <row r="389" spans="1:25" x14ac:dyDescent="0.2">
      <c r="A389" t="str">
        <f>'5. KPI Baselines'!A374</f>
        <v>Pave America</v>
      </c>
      <c r="B389" t="str">
        <f>'5. KPI Baselines'!B374</f>
        <v>Business Development</v>
      </c>
      <c r="C389" t="str">
        <f>'5. KPI Baselines'!C374</f>
        <v>Estimating &amp; Bidding</v>
      </c>
      <c r="D389" t="str">
        <f>'5. KPI Baselines'!D374</f>
        <v>Municipal Win Rate</v>
      </c>
      <c r="E389" t="str">
        <f>'5. KPI Baselines'!E374</f>
        <v>23%</v>
      </c>
      <c r="F389" t="str">
        <f>'5. KPI Baselines'!F374</f>
        <v>31%</v>
      </c>
      <c r="G389" t="str">
        <f>'5. KPI Baselines'!G374</f>
        <v>28%</v>
      </c>
      <c r="H389" t="str">
        <f>'5. KPI Baselines'!H374</f>
        <v>↑</v>
      </c>
      <c r="I389" t="str">
        <f>'5. KPI Baselines'!I374</f>
        <v>24 months</v>
      </c>
      <c r="J389" t="str">
        <f>'5. KPI Baselines'!J374</f>
        <v>Contracts awarded / bids submitted</v>
      </c>
      <c r="K389" s="15" t="str">
        <f t="shared" si="46"/>
        <v>31% - 23%</v>
      </c>
      <c r="L389" s="34" cm="1">
        <f t="array" ref="L389">IFERROR(_xlfn.LET(_xlpm.e,E389,_xlpm.f,F389,_xlpm.h,H389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0.34782457467576228</v>
      </c>
      <c r="M389" s="15" cm="1">
        <f t="array" ref="M389">IFERROR(_xlfn.LET(_xlpm.e,E389,_xlpm.f,F389,_xlpm.h,H389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29.8</v>
      </c>
      <c r="N389" s="15" cm="1">
        <f t="array" ref="N389">IFERROR(_xlfn.LET(_xlpm.e,E389,_xlpm.f,F389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389" s="15" t="str">
        <f t="shared" si="47"/>
        <v>31% - 28%</v>
      </c>
      <c r="P389" s="34" cm="1">
        <f t="array" ref="P389">IFERROR(_xlfn.LET(_xlpm.g,G389,_xlpm.f,F389,_xlpm.h,H389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0.10714247449116253</v>
      </c>
      <c r="Q389" s="15" t="str" cm="1">
        <f t="array" ref="Q389">IFERROR(_xlfn.LET(_xlpm.e,E389,_xlpm.g,G389,_xlpm.h,H389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89" s="15" t="str">
        <f t="shared" si="48"/>
        <v>🔴 Lagging</v>
      </c>
      <c r="S389" s="35" cm="1">
        <f t="array" ref="S389">IFERROR(_xlfn.LET(_xlpm.e,E389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389" s="36">
        <f t="shared" si="49"/>
        <v>34.782457467576229</v>
      </c>
      <c r="U389" s="15">
        <f t="shared" si="50"/>
        <v>356</v>
      </c>
      <c r="V389" s="16">
        <f t="shared" si="51"/>
        <v>1116.8951439341567</v>
      </c>
      <c r="W389" s="16">
        <f t="shared" si="52"/>
        <v>2777.5529124132695</v>
      </c>
      <c r="X389" s="37">
        <f t="shared" si="53"/>
        <v>78</v>
      </c>
      <c r="Y389" s="15" t="str">
        <f t="shared" si="54"/>
        <v>⚠️ High</v>
      </c>
    </row>
    <row r="390" spans="1:25" x14ac:dyDescent="0.2">
      <c r="A390" t="str">
        <f>'5. KPI Baselines'!A375</f>
        <v>Pave America</v>
      </c>
      <c r="B390" t="str">
        <f>'5. KPI Baselines'!B375</f>
        <v>Operations</v>
      </c>
      <c r="C390" t="str">
        <f>'5. KPI Baselines'!C375</f>
        <v>Fleet Management</v>
      </c>
      <c r="D390" t="str">
        <f>'5. KPI Baselines'!D375</f>
        <v>Fleet Utilization Rate</v>
      </c>
      <c r="E390" t="str">
        <f>'5. KPI Baselines'!E375</f>
        <v>68%</v>
      </c>
      <c r="F390" t="str">
        <f>'5. KPI Baselines'!F375</f>
        <v>82%</v>
      </c>
      <c r="G390" t="str">
        <f>'5. KPI Baselines'!G375</f>
        <v>76%</v>
      </c>
      <c r="H390" t="str">
        <f>'5. KPI Baselines'!H375</f>
        <v>↑</v>
      </c>
      <c r="I390" t="str">
        <f>'5. KPI Baselines'!I375</f>
        <v>12 months</v>
      </c>
      <c r="J390" t="str">
        <f>'5. KPI Baselines'!J375</f>
        <v>Productive hours / available hours</v>
      </c>
      <c r="K390" s="15" t="str">
        <f t="shared" si="46"/>
        <v>82% - 68%</v>
      </c>
      <c r="L390" s="34" cm="1">
        <f t="array" ref="L390">IFERROR(_xlfn.LET(_xlpm.e,E390,_xlpm.f,F390,_xlpm.h,H390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0.20588205017345562</v>
      </c>
      <c r="M390" s="15" cm="1">
        <f t="array" ref="M390">IFERROR(_xlfn.LET(_xlpm.e,E390,_xlpm.f,F390,_xlpm.h,H390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79.900000000000006</v>
      </c>
      <c r="N390" s="15" cm="1">
        <f t="array" ref="N390">IFERROR(_xlfn.LET(_xlpm.e,E390,_xlpm.f,F390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390" s="15" t="str">
        <f t="shared" si="47"/>
        <v>82% - 76%</v>
      </c>
      <c r="P390" s="34" cm="1">
        <f t="array" ref="P390">IFERROR(_xlfn.LET(_xlpm.g,G390,_xlpm.f,F390,_xlpm.h,H390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7.8947264543072965E-2</v>
      </c>
      <c r="Q390" s="15" t="str" cm="1">
        <f t="array" ref="Q390">IFERROR(_xlfn.LET(_xlpm.e,E390,_xlpm.g,G390,_xlpm.h,H390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0" s="15" t="str">
        <f t="shared" si="48"/>
        <v>🔴 Lagging</v>
      </c>
      <c r="S390" s="35" cm="1">
        <f t="array" ref="S390">IFERROR(_xlfn.LET(_xlpm.e,E390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390" s="36">
        <f t="shared" si="49"/>
        <v>20.588205017345562</v>
      </c>
      <c r="U390" s="15">
        <f t="shared" si="50"/>
        <v>462</v>
      </c>
      <c r="V390" s="16">
        <f t="shared" si="51"/>
        <v>1954.5721256292268</v>
      </c>
      <c r="W390" s="16">
        <f t="shared" si="52"/>
        <v>4860.7315821433103</v>
      </c>
      <c r="X390" s="37">
        <f t="shared" si="53"/>
        <v>45</v>
      </c>
      <c r="Y390" s="15" t="str">
        <f t="shared" si="54"/>
        <v>📊 Medium</v>
      </c>
    </row>
    <row r="391" spans="1:25" x14ac:dyDescent="0.2">
      <c r="A391" t="str">
        <f>'5. KPI Baselines'!A376</f>
        <v>Pave America</v>
      </c>
      <c r="B391" t="str">
        <f>'5. KPI Baselines'!B376</f>
        <v>Operations</v>
      </c>
      <c r="C391" t="str">
        <f>'5. KPI Baselines'!C376</f>
        <v>Crew Scheduling</v>
      </c>
      <c r="D391" t="str">
        <f>'5. KPI Baselines'!D376</f>
        <v>Non-Productive Travel Time</v>
      </c>
      <c r="E391" t="str">
        <f>'5. KPI Baselines'!E376</f>
        <v>18%</v>
      </c>
      <c r="F391" t="str">
        <f>'5. KPI Baselines'!F376</f>
        <v>8%</v>
      </c>
      <c r="G391" t="str">
        <f>'5. KPI Baselines'!G376</f>
        <v>11%</v>
      </c>
      <c r="H391" t="str">
        <f>'5. KPI Baselines'!H376</f>
        <v>↓</v>
      </c>
      <c r="I391" t="str">
        <f>'5. KPI Baselines'!I376</f>
        <v>9 months</v>
      </c>
      <c r="J391" t="str">
        <f>'5. KPI Baselines'!J376</f>
        <v>Travel hours / total shift hours</v>
      </c>
      <c r="K391" s="15" t="str">
        <f t="shared" si="46"/>
        <v>18% → 8%</v>
      </c>
      <c r="L391" s="34" cm="1">
        <f t="array" ref="L391">IFERROR(_xlfn.LET(_xlpm.e,E391,_xlpm.f,F391,_xlpm.h,H391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391" s="15" cm="1">
        <f t="array" ref="M391">IFERROR(_xlfn.LET(_xlpm.e,E391,_xlpm.f,F391,_xlpm.h,H391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9.5</v>
      </c>
      <c r="N391" s="15" cm="1">
        <f t="array" ref="N391">IFERROR(_xlfn.LET(_xlpm.e,E391,_xlpm.f,F391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391" s="15" t="str">
        <f t="shared" si="47"/>
        <v>11% → 8%</v>
      </c>
      <c r="P391" s="34" cm="1">
        <f t="array" ref="P391">IFERROR(_xlfn.LET(_xlpm.g,G391,_xlpm.f,F391,_xlpm.h,H391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0.272724793410969</v>
      </c>
      <c r="Q391" s="15" t="str" cm="1">
        <f t="array" ref="Q391">IFERROR(_xlfn.LET(_xlpm.e,E391,_xlpm.g,G391,_xlpm.h,H391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1" s="15" t="str">
        <f t="shared" si="48"/>
        <v>🔴 Lagging</v>
      </c>
      <c r="S391" s="35" cm="1">
        <f t="array" ref="S391">IFERROR(_xlfn.LET(_xlpm.e,E391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391" s="36">
        <f t="shared" si="49"/>
        <v>55.555246915294923</v>
      </c>
      <c r="U391" s="15">
        <f t="shared" si="50"/>
        <v>188</v>
      </c>
      <c r="V391" s="16">
        <f t="shared" si="51"/>
        <v>1396.11724379309</v>
      </c>
      <c r="W391" s="16">
        <f t="shared" si="52"/>
        <v>3471.936947374254</v>
      </c>
      <c r="X391" s="37">
        <f t="shared" si="53"/>
        <v>62</v>
      </c>
      <c r="Y391" s="15" t="str">
        <f t="shared" si="54"/>
        <v>🔥 Critical</v>
      </c>
    </row>
    <row r="392" spans="1:25" x14ac:dyDescent="0.2">
      <c r="A392" t="str">
        <f>'5. KPI Baselines'!A377</f>
        <v>Pave America</v>
      </c>
      <c r="B392" t="str">
        <f>'5. KPI Baselines'!B377</f>
        <v>Operations</v>
      </c>
      <c r="C392" t="str">
        <f>'5. KPI Baselines'!C377</f>
        <v>Quality Control</v>
      </c>
      <c r="D392" t="str">
        <f>'5. KPI Baselines'!D377</f>
        <v>Defect Detection Rate</v>
      </c>
      <c r="E392" t="str">
        <f>'5. KPI Baselines'!E377</f>
        <v>72%</v>
      </c>
      <c r="F392" t="str">
        <f>'5. KPI Baselines'!F377</f>
        <v>91%</v>
      </c>
      <c r="G392" t="str">
        <f>'5. KPI Baselines'!G377</f>
        <v>85%</v>
      </c>
      <c r="H392" t="str">
        <f>'5. KPI Baselines'!H377</f>
        <v>↑</v>
      </c>
      <c r="I392" t="str">
        <f>'5. KPI Baselines'!I377</f>
        <v>15 months</v>
      </c>
      <c r="J392" t="str">
        <f>'5. KPI Baselines'!J377</f>
        <v>Defects caught pre-completion / total defects</v>
      </c>
      <c r="K392" s="15" t="str">
        <f t="shared" si="46"/>
        <v>91% - 72%</v>
      </c>
      <c r="L392" s="34" cm="1">
        <f t="array" ref="L392">IFERROR(_xlfn.LET(_xlpm.e,E392,_xlpm.f,F392,_xlpm.h,H392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0.26388852237705224</v>
      </c>
      <c r="M392" s="15" cm="1">
        <f t="array" ref="M392">IFERROR(_xlfn.LET(_xlpm.e,E392,_xlpm.f,F392,_xlpm.h,H392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88.2</v>
      </c>
      <c r="N392" s="15" cm="1">
        <f t="array" ref="N392">IFERROR(_xlfn.LET(_xlpm.e,E392,_xlpm.f,F392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392" s="15" t="str">
        <f t="shared" si="47"/>
        <v>91% - 85%</v>
      </c>
      <c r="P392" s="34" cm="1">
        <f t="array" ref="P392">IFERROR(_xlfn.LET(_xlpm.g,G392,_xlpm.f,F392,_xlpm.h,H392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7.058815224923265E-2</v>
      </c>
      <c r="Q392" s="15" t="str" cm="1">
        <f t="array" ref="Q392">IFERROR(_xlfn.LET(_xlpm.e,E392,_xlpm.g,G392,_xlpm.h,H392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2" s="15" t="str">
        <f t="shared" si="48"/>
        <v>🔴 Lagging</v>
      </c>
      <c r="S392" s="35" cm="1">
        <f t="array" ref="S392">IFERROR(_xlfn.LET(_xlpm.e,E392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72</v>
      </c>
      <c r="T392" s="36">
        <f t="shared" si="49"/>
        <v>26.388852237705223</v>
      </c>
      <c r="U392" s="15">
        <f t="shared" si="50"/>
        <v>415</v>
      </c>
      <c r="V392" s="16">
        <f t="shared" si="51"/>
        <v>2652.633815786367</v>
      </c>
      <c r="W392" s="16">
        <f t="shared" si="52"/>
        <v>6596.7076861404075</v>
      </c>
      <c r="X392" s="37">
        <f t="shared" si="53"/>
        <v>33</v>
      </c>
      <c r="Y392" s="15" t="str">
        <f t="shared" si="54"/>
        <v>⚠️ High</v>
      </c>
    </row>
    <row r="393" spans="1:25" x14ac:dyDescent="0.2">
      <c r="A393" t="str">
        <f>'5. KPI Baselines'!A378</f>
        <v>Pave America</v>
      </c>
      <c r="B393" t="str">
        <f>'5. KPI Baselines'!B378</f>
        <v>Finance</v>
      </c>
      <c r="C393" t="str">
        <f>'5. KPI Baselines'!C378</f>
        <v>Accounts Receivable</v>
      </c>
      <c r="D393" t="str">
        <f>'5. KPI Baselines'!D378</f>
        <v>Days Sales Outstanding</v>
      </c>
      <c r="E393" t="str">
        <f>'5. KPI Baselines'!E378</f>
        <v>52 days</v>
      </c>
      <c r="F393" t="str">
        <f>'5. KPI Baselines'!F378</f>
        <v>38 days</v>
      </c>
      <c r="G393" t="str">
        <f>'5. KPI Baselines'!G378</f>
        <v>42 days</v>
      </c>
      <c r="H393" t="str">
        <f>'5. KPI Baselines'!H378</f>
        <v>↓</v>
      </c>
      <c r="I393" t="str">
        <f>'5. KPI Baselines'!I378</f>
        <v>12 months</v>
      </c>
      <c r="J393" t="str">
        <f>'5. KPI Baselines'!J378</f>
        <v>AR balance / daily revenue</v>
      </c>
      <c r="K393" s="15" t="str">
        <f t="shared" si="46"/>
        <v>52 days → 38 days</v>
      </c>
      <c r="L393" s="34" cm="1">
        <f t="array" ref="L393">IFERROR(_xlfn.LET(_xlpm.e,E393,_xlpm.f,F393,_xlpm.h,H393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0.26923025148028562</v>
      </c>
      <c r="M393" s="15" cm="1">
        <f t="array" ref="M393">IFERROR(_xlfn.LET(_xlpm.e,E393,_xlpm.f,F393,_xlpm.h,H393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40.1</v>
      </c>
      <c r="N393" s="15" cm="1">
        <f t="array" ref="N393">IFERROR(_xlfn.LET(_xlpm.e,E393,_xlpm.f,F393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393" s="15" t="str">
        <f t="shared" si="47"/>
        <v>42 days → 38 days</v>
      </c>
      <c r="P393" s="34" cm="1">
        <f t="array" ref="P393">IFERROR(_xlfn.LET(_xlpm.g,G393,_xlpm.f,F393,_xlpm.h,H393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9.5237868481265517E-2</v>
      </c>
      <c r="Q393" s="15" t="str" cm="1">
        <f t="array" ref="Q393">IFERROR(_xlfn.LET(_xlpm.e,E393,_xlpm.g,G393,_xlpm.h,H393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3" s="15" t="str">
        <f t="shared" si="48"/>
        <v>🔴 Lagging</v>
      </c>
      <c r="S393" s="35" cm="1">
        <f t="array" ref="S393">IFERROR(_xlfn.LET(_xlpm.e,E393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393" s="36">
        <f t="shared" si="49"/>
        <v>26.923025148028561</v>
      </c>
      <c r="U393" s="15">
        <f t="shared" si="50"/>
        <v>410</v>
      </c>
      <c r="V393" s="16">
        <f t="shared" si="51"/>
        <v>1954.5712412091514</v>
      </c>
      <c r="W393" s="16">
        <f t="shared" si="52"/>
        <v>4860.7293827214853</v>
      </c>
      <c r="X393" s="37">
        <f t="shared" si="53"/>
        <v>45</v>
      </c>
      <c r="Y393" s="15" t="str">
        <f t="shared" si="54"/>
        <v>⚠️ High</v>
      </c>
    </row>
    <row r="394" spans="1:25" x14ac:dyDescent="0.2">
      <c r="A394" t="str">
        <f>'5. KPI Baselines'!A379</f>
        <v>Pave America</v>
      </c>
      <c r="B394" t="str">
        <f>'5. KPI Baselines'!B379</f>
        <v>Finance</v>
      </c>
      <c r="C394" t="str">
        <f>'5. KPI Baselines'!C379</f>
        <v>Contract Administration</v>
      </c>
      <c r="D394" t="str">
        <f>'5. KPI Baselines'!D379</f>
        <v>Contract Closeout Time</v>
      </c>
      <c r="E394" t="str">
        <f>'5. KPI Baselines'!E379</f>
        <v>19 days</v>
      </c>
      <c r="F394" t="str">
        <f>'5. KPI Baselines'!F379</f>
        <v>7 days</v>
      </c>
      <c r="G394" t="str">
        <f>'5. KPI Baselines'!G379</f>
        <v>10 days</v>
      </c>
      <c r="H394" t="str">
        <f>'5. KPI Baselines'!H379</f>
        <v>↓</v>
      </c>
      <c r="I394" t="str">
        <f>'5. KPI Baselines'!I379</f>
        <v>9 months</v>
      </c>
      <c r="J394" t="str">
        <f>'5. KPI Baselines'!J379</f>
        <v>Project completion to final documentation</v>
      </c>
      <c r="K394" s="15" t="str">
        <f t="shared" si="46"/>
        <v>19 days → 7 days</v>
      </c>
      <c r="L394" s="34" cm="1">
        <f t="array" ref="L394">IFERROR(_xlfn.LET(_xlpm.e,E394,_xlpm.f,F394,_xlpm.h,H394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0.63157562328619321</v>
      </c>
      <c r="M394" s="15" cm="1">
        <f t="array" ref="M394">IFERROR(_xlfn.LET(_xlpm.e,E394,_xlpm.f,F394,_xlpm.h,H394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8.8000000000000007</v>
      </c>
      <c r="N394" s="15" cm="1">
        <f t="array" ref="N394">IFERROR(_xlfn.LET(_xlpm.e,E394,_xlpm.f,F394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394" s="15" t="str">
        <f t="shared" si="47"/>
        <v>10 days → 7 days</v>
      </c>
      <c r="P394" s="34" cm="1">
        <f t="array" ref="P394">IFERROR(_xlfn.LET(_xlpm.g,G394,_xlpm.f,F394,_xlpm.h,H394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0.29999700002999968</v>
      </c>
      <c r="Q394" s="15" t="str" cm="1">
        <f t="array" ref="Q394">IFERROR(_xlfn.LET(_xlpm.e,E394,_xlpm.g,G394,_xlpm.h,H394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4" s="15" t="str">
        <f t="shared" si="48"/>
        <v>🔴 Lagging</v>
      </c>
      <c r="S394" s="35" cm="1">
        <f t="array" ref="S394">IFERROR(_xlfn.LET(_xlpm.e,E394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394" s="36">
        <f t="shared" si="49"/>
        <v>63.157562328619321</v>
      </c>
      <c r="U394" s="15">
        <f t="shared" si="50"/>
        <v>127</v>
      </c>
      <c r="V394" s="16">
        <f t="shared" si="51"/>
        <v>1675.3411824148293</v>
      </c>
      <c r="W394" s="16">
        <f t="shared" si="52"/>
        <v>4166.3255550661825</v>
      </c>
      <c r="X394" s="37">
        <f t="shared" si="53"/>
        <v>52</v>
      </c>
      <c r="Y394" s="15" t="str">
        <f t="shared" si="54"/>
        <v>🔥 Critical</v>
      </c>
    </row>
    <row r="395" spans="1:25" x14ac:dyDescent="0.2">
      <c r="A395" t="str">
        <f>'5. KPI Baselines'!A380</f>
        <v>Pave America</v>
      </c>
      <c r="B395" t="str">
        <f>'5. KPI Baselines'!B380</f>
        <v>Compliance</v>
      </c>
      <c r="C395" t="str">
        <f>'5. KPI Baselines'!C380</f>
        <v>Regulatory Documentation</v>
      </c>
      <c r="D395" t="str">
        <f>'5. KPI Baselines'!D380</f>
        <v>Manual Compliance Hours</v>
      </c>
      <c r="E395" t="str">
        <f>'5. KPI Baselines'!E380</f>
        <v>16,500 hours/year</v>
      </c>
      <c r="F395" t="str">
        <f>'5. KPI Baselines'!F380</f>
        <v>6,600 hours/year</v>
      </c>
      <c r="G395" t="str">
        <f>'5. KPI Baselines'!G380</f>
        <v>9,200 hours/year</v>
      </c>
      <c r="H395" t="str">
        <f>'5. KPI Baselines'!H380</f>
        <v>↓</v>
      </c>
      <c r="I395" t="str">
        <f>'5. KPI Baselines'!I380</f>
        <v>18 months</v>
      </c>
      <c r="J395" t="str">
        <f>'5. KPI Baselines'!J380</f>
        <v>Tracked labor hours on compliance tasks</v>
      </c>
      <c r="K395" s="15" t="str">
        <f t="shared" si="46"/>
        <v>16,500 hours/year → 6,600 hours/year</v>
      </c>
      <c r="L395" s="34" t="str" cm="1">
        <f t="array" ref="L395">IFERROR(_xlfn.LET(_xlpm.e,E395,_xlpm.f,F395,_xlpm.h,H395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95" s="15" t="str" cm="1">
        <f t="array" ref="M395">IFERROR(_xlfn.LET(_xlpm.e,E395,_xlpm.f,F395,_xlpm.h,H395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95" s="15" t="str" cm="1">
        <f t="array" ref="N395">IFERROR(_xlfn.LET(_xlpm.e,E395,_xlpm.f,F395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95" s="15" t="str">
        <f t="shared" si="47"/>
        <v>9,200 hours/year → 6,600 hours/year</v>
      </c>
      <c r="P395" s="34" t="str" cm="1">
        <f t="array" ref="P395">IFERROR(_xlfn.LET(_xlpm.g,G395,_xlpm.f,F395,_xlpm.h,H395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95" s="15" t="str" cm="1">
        <f t="array" ref="Q395">IFERROR(_xlfn.LET(_xlpm.e,E395,_xlpm.g,G395,_xlpm.h,H395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95" s="15" t="str">
        <f t="shared" si="48"/>
        <v>⚪ N/A</v>
      </c>
      <c r="S395" s="35" cm="1">
        <f t="array" ref="S395">IFERROR(_xlfn.LET(_xlpm.e,E395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95" s="36">
        <f t="shared" si="49"/>
        <v>0</v>
      </c>
      <c r="U395" s="15">
        <f t="shared" si="50"/>
        <v>554</v>
      </c>
      <c r="V395" s="16">
        <f t="shared" si="51"/>
        <v>0</v>
      </c>
      <c r="W395" s="16">
        <f t="shared" si="52"/>
        <v>0</v>
      </c>
      <c r="X395" s="37" t="str">
        <f t="shared" si="53"/>
        <v>-</v>
      </c>
      <c r="Y395" s="15" t="str">
        <f t="shared" si="54"/>
        <v>📉 Low</v>
      </c>
    </row>
    <row r="396" spans="1:25" x14ac:dyDescent="0.2">
      <c r="A396" t="str">
        <f>'5. KPI Baselines'!A381</f>
        <v>Pave America</v>
      </c>
      <c r="B396" t="str">
        <f>'5. KPI Baselines'!B381</f>
        <v>Compliance</v>
      </c>
      <c r="C396" t="str">
        <f>'5. KPI Baselines'!C381</f>
        <v>Safety Management</v>
      </c>
      <c r="D396" t="str">
        <f>'5. KPI Baselines'!D381</f>
        <v>Incident Documentation Time</v>
      </c>
      <c r="E396" t="str">
        <f>'5. KPI Baselines'!E381</f>
        <v>4.2 hours per incident</v>
      </c>
      <c r="F396" t="str">
        <f>'5. KPI Baselines'!F381</f>
        <v>1.9 hours per incident</v>
      </c>
      <c r="G396" t="str">
        <f>'5. KPI Baselines'!G381</f>
        <v>2.8 hours per incident</v>
      </c>
      <c r="H396" t="str">
        <f>'5. KPI Baselines'!H381</f>
        <v>↓</v>
      </c>
      <c r="I396" t="str">
        <f>'5. KPI Baselines'!I381</f>
        <v>12 months</v>
      </c>
      <c r="J396" t="str">
        <f>'5. KPI Baselines'!J381</f>
        <v>Labor hours / safety incidents</v>
      </c>
      <c r="K396" s="15" t="str">
        <f t="shared" si="46"/>
        <v>4.2 hours per incident → 1.9 hours per incident</v>
      </c>
      <c r="L396" s="34" t="str" cm="1">
        <f t="array" ref="L396">IFERROR(_xlfn.LET(_xlpm.e,E396,_xlpm.f,F396,_xlpm.h,H396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396" s="15" t="str" cm="1">
        <f t="array" ref="M396">IFERROR(_xlfn.LET(_xlpm.e,E396,_xlpm.f,F396,_xlpm.h,H396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396" s="15" t="str" cm="1">
        <f t="array" ref="N396">IFERROR(_xlfn.LET(_xlpm.e,E396,_xlpm.f,F396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396" s="15" t="str">
        <f t="shared" si="47"/>
        <v>2.8 hours per incident → 1.9 hours per incident</v>
      </c>
      <c r="P396" s="34" t="str" cm="1">
        <f t="array" ref="P396">IFERROR(_xlfn.LET(_xlpm.g,G396,_xlpm.f,F396,_xlpm.h,H396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396" s="15" t="str" cm="1">
        <f t="array" ref="Q396">IFERROR(_xlfn.LET(_xlpm.e,E396,_xlpm.g,G396,_xlpm.h,H396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396" s="15" t="str">
        <f t="shared" si="48"/>
        <v>⚪ N/A</v>
      </c>
      <c r="S396" s="35" cm="1">
        <f t="array" ref="S396">IFERROR(_xlfn.LET(_xlpm.e,E396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396" s="36">
        <f t="shared" si="49"/>
        <v>0</v>
      </c>
      <c r="U396" s="15">
        <f t="shared" si="50"/>
        <v>554</v>
      </c>
      <c r="V396" s="16">
        <f t="shared" si="51"/>
        <v>0</v>
      </c>
      <c r="W396" s="16">
        <f t="shared" si="52"/>
        <v>0</v>
      </c>
      <c r="X396" s="37" t="str">
        <f t="shared" si="53"/>
        <v>-</v>
      </c>
      <c r="Y396" s="15" t="str">
        <f t="shared" si="54"/>
        <v>📉 Low</v>
      </c>
    </row>
    <row r="397" spans="1:25" x14ac:dyDescent="0.2">
      <c r="A397" t="str">
        <f>'5. KPI Baselines'!A382</f>
        <v>Pave America</v>
      </c>
      <c r="B397" t="str">
        <f>'5. KPI Baselines'!B382</f>
        <v>Operations</v>
      </c>
      <c r="C397" t="str">
        <f>'5. KPI Baselines'!C382</f>
        <v>Maintenance</v>
      </c>
      <c r="D397" t="str">
        <f>'5. KPI Baselines'!D382</f>
        <v>Equipment Downtime</v>
      </c>
      <c r="E397" t="str">
        <f>'5. KPI Baselines'!E382</f>
        <v>11.3%</v>
      </c>
      <c r="F397" t="str">
        <f>'5. KPI Baselines'!F382</f>
        <v>6.2%</v>
      </c>
      <c r="G397" t="str">
        <f>'5. KPI Baselines'!G382</f>
        <v>7.8%</v>
      </c>
      <c r="H397" t="str">
        <f>'5. KPI Baselines'!H382</f>
        <v>↓</v>
      </c>
      <c r="I397" t="str">
        <f>'5. KPI Baselines'!I382</f>
        <v>15 months</v>
      </c>
      <c r="J397" t="str">
        <f>'5. KPI Baselines'!J382</f>
        <v>Downtime hours / scheduled operating hours</v>
      </c>
      <c r="K397" s="15" t="str">
        <f t="shared" si="46"/>
        <v>11.3% → 6.2%</v>
      </c>
      <c r="L397" s="34" cm="1">
        <f t="array" ref="L397">IFERROR(_xlfn.LET(_xlpm.e,E397,_xlpm.f,F397,_xlpm.h,H397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0.45132343961557864</v>
      </c>
      <c r="M397" s="15" cm="1">
        <f t="array" ref="M397">IFERROR(_xlfn.LET(_xlpm.e,E397,_xlpm.f,F397,_xlpm.h,H397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</v>
      </c>
      <c r="N397" s="15" cm="1">
        <f t="array" ref="N397">IFERROR(_xlfn.LET(_xlpm.e,E397,_xlpm.f,F397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3.9</v>
      </c>
      <c r="O397" s="15" t="str">
        <f t="shared" si="47"/>
        <v>7.8% → 6.2%</v>
      </c>
      <c r="P397" s="34" cm="1">
        <f t="array" ref="P397">IFERROR(_xlfn.LET(_xlpm.g,G397,_xlpm.f,F397,_xlpm.h,H397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0.20512557531313697</v>
      </c>
      <c r="Q397" s="15" t="str" cm="1">
        <f t="array" ref="Q397">IFERROR(_xlfn.LET(_xlpm.e,E397,_xlpm.g,G397,_xlpm.h,H397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7" s="15" t="str">
        <f t="shared" si="48"/>
        <v>🔴 Lagging</v>
      </c>
      <c r="S397" s="35" cm="1">
        <f t="array" ref="S397">IFERROR(_xlfn.LET(_xlpm.e,E397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11.3</v>
      </c>
      <c r="T397" s="36">
        <f t="shared" si="49"/>
        <v>45.132343961557865</v>
      </c>
      <c r="U397" s="15">
        <f t="shared" si="50"/>
        <v>266</v>
      </c>
      <c r="V397" s="16">
        <f t="shared" si="51"/>
        <v>712.01744896062871</v>
      </c>
      <c r="W397" s="16">
        <f t="shared" si="52"/>
        <v>1770.6820105632478</v>
      </c>
      <c r="X397" s="37">
        <f t="shared" si="53"/>
        <v>122</v>
      </c>
      <c r="Y397" s="15" t="str">
        <f t="shared" si="54"/>
        <v>⚠️ High</v>
      </c>
    </row>
    <row r="398" spans="1:25" x14ac:dyDescent="0.2">
      <c r="A398" t="str">
        <f>'5. KPI Baselines'!A383</f>
        <v>Pave America</v>
      </c>
      <c r="B398" t="str">
        <f>'5. KPI Baselines'!B383</f>
        <v>Customer Service</v>
      </c>
      <c r="C398" t="str">
        <f>'5. KPI Baselines'!C383</f>
        <v>Service Delivery</v>
      </c>
      <c r="D398" t="str">
        <f>'5. KPI Baselines'!D383</f>
        <v>First-Time Schedule Success</v>
      </c>
      <c r="E398" t="str">
        <f>'5. KPI Baselines'!E383</f>
        <v>77%</v>
      </c>
      <c r="F398" t="str">
        <f>'5. KPI Baselines'!F383</f>
        <v>92%</v>
      </c>
      <c r="G398" t="str">
        <f>'5. KPI Baselines'!G383</f>
        <v>86%</v>
      </c>
      <c r="H398" t="str">
        <f>'5. KPI Baselines'!H383</f>
        <v>↑</v>
      </c>
      <c r="I398" t="str">
        <f>'5. KPI Baselines'!I383</f>
        <v>12 months</v>
      </c>
      <c r="J398" t="str">
        <f>'5. KPI Baselines'!J383</f>
        <v>Jobs completed as scheduled / total jobs</v>
      </c>
      <c r="K398" s="15" t="str">
        <f t="shared" si="46"/>
        <v>92% - 77%</v>
      </c>
      <c r="L398" s="34" cm="1">
        <f t="array" ref="L398">IFERROR(_xlfn.LET(_xlpm.e,E398,_xlpm.f,F398,_xlpm.h,H398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0.19480494181176386</v>
      </c>
      <c r="M398" s="15" cm="1">
        <f t="array" ref="M398">IFERROR(_xlfn.LET(_xlpm.e,E398,_xlpm.f,F398,_xlpm.h,H398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89.8</v>
      </c>
      <c r="N398" s="15" cm="1">
        <f t="array" ref="N398">IFERROR(_xlfn.LET(_xlpm.e,E398,_xlpm.f,F398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398" s="15" t="str">
        <f t="shared" si="47"/>
        <v>92% - 86%</v>
      </c>
      <c r="P398" s="34" cm="1">
        <f t="array" ref="P398">IFERROR(_xlfn.LET(_xlpm.g,G398,_xlpm.f,F398,_xlpm.h,H398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6.9767360735627046E-2</v>
      </c>
      <c r="Q398" s="15" t="str" cm="1">
        <f t="array" ref="Q398">IFERROR(_xlfn.LET(_xlpm.e,E398,_xlpm.g,G398,_xlpm.h,H398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8" s="15" t="str">
        <f t="shared" si="48"/>
        <v>🔴 Lagging</v>
      </c>
      <c r="S398" s="35" cm="1">
        <f t="array" ref="S398">IFERROR(_xlfn.LET(_xlpm.e,E398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77</v>
      </c>
      <c r="T398" s="36">
        <f t="shared" si="49"/>
        <v>19.480494181176386</v>
      </c>
      <c r="U398" s="15">
        <f t="shared" si="50"/>
        <v>471</v>
      </c>
      <c r="V398" s="16">
        <f t="shared" si="51"/>
        <v>2094.184780279506</v>
      </c>
      <c r="W398" s="16">
        <f t="shared" si="52"/>
        <v>5207.9275903269499</v>
      </c>
      <c r="X398" s="37">
        <f t="shared" si="53"/>
        <v>42</v>
      </c>
      <c r="Y398" s="15" t="str">
        <f t="shared" si="54"/>
        <v>📊 Medium</v>
      </c>
    </row>
    <row r="399" spans="1:25" x14ac:dyDescent="0.2">
      <c r="A399" t="str">
        <f>'5. KPI Baselines'!A384</f>
        <v>Polygon Group</v>
      </c>
      <c r="B399" t="str">
        <f>'5. KPI Baselines'!B384</f>
        <v>Credit Underwriting</v>
      </c>
      <c r="C399" t="str">
        <f>'5. KPI Baselines'!C384</f>
        <v>New Facility Origination</v>
      </c>
      <c r="D399" t="str">
        <f>'5. KPI Baselines'!D384</f>
        <v>Application Processing Time</v>
      </c>
      <c r="E399" t="str">
        <f>'5. KPI Baselines'!E384</f>
        <v>17 days</v>
      </c>
      <c r="F399" t="str">
        <f>'5. KPI Baselines'!F384</f>
        <v>8 days</v>
      </c>
      <c r="G399" t="str">
        <f>'5. KPI Baselines'!G384</f>
        <v>8 days</v>
      </c>
      <c r="H399" t="str">
        <f>'5. KPI Baselines'!H384</f>
        <v>↓</v>
      </c>
      <c r="I399" t="str">
        <f>'5. KPI Baselines'!I384</f>
        <v>12 months</v>
      </c>
      <c r="J399" t="str">
        <f>'5. KPI Baselines'!J384</f>
        <v>Application submission to credit approval</v>
      </c>
      <c r="K399" s="15" t="str">
        <f t="shared" si="46"/>
        <v>17 days → 8 days</v>
      </c>
      <c r="L399" s="34" cm="1">
        <f t="array" ref="L399">IFERROR(_xlfn.LET(_xlpm.e,E399,_xlpm.f,F399,_xlpm.h,H399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0.52940865053734976</v>
      </c>
      <c r="M399" s="15" cm="1">
        <f t="array" ref="M399">IFERROR(_xlfn.LET(_xlpm.e,E399,_xlpm.f,F399,_xlpm.h,H399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9.4</v>
      </c>
      <c r="N399" s="15" cm="1">
        <f t="array" ref="N399">IFERROR(_xlfn.LET(_xlpm.e,E399,_xlpm.f,F399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399" s="15" t="str">
        <f t="shared" si="47"/>
        <v>8 days → 8 days</v>
      </c>
      <c r="P399" s="34" cm="1">
        <f t="array" ref="P399">IFERROR(_xlfn.LET(_xlpm.g,G399,_xlpm.f,F399,_xlpm.h,H399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399" s="15" t="str" cm="1">
        <f t="array" ref="Q399">IFERROR(_xlfn.LET(_xlpm.e,E399,_xlpm.g,G399,_xlpm.h,H399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399" s="15" t="str">
        <f t="shared" si="48"/>
        <v>🔴 Lagging</v>
      </c>
      <c r="S399" s="35" cm="1">
        <f t="array" ref="S399">IFERROR(_xlfn.LET(_xlpm.e,E399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17</v>
      </c>
      <c r="T399" s="36">
        <f t="shared" si="49"/>
        <v>52.940865053734974</v>
      </c>
      <c r="U399" s="15">
        <f t="shared" si="50"/>
        <v>206</v>
      </c>
      <c r="V399" s="16">
        <f t="shared" si="51"/>
        <v>1256.5051087934778</v>
      </c>
      <c r="W399" s="16">
        <f t="shared" si="52"/>
        <v>3124.7422314849096</v>
      </c>
      <c r="X399" s="37">
        <f t="shared" si="53"/>
        <v>69</v>
      </c>
      <c r="Y399" s="15" t="str">
        <f t="shared" si="54"/>
        <v>🔥 Critical</v>
      </c>
    </row>
    <row r="400" spans="1:25" x14ac:dyDescent="0.2">
      <c r="A400" t="str">
        <f>'5. KPI Baselines'!A385</f>
        <v>Polygon Group</v>
      </c>
      <c r="B400" t="str">
        <f>'5. KPI Baselines'!B385</f>
        <v>Credit Underwriting</v>
      </c>
      <c r="C400" t="str">
        <f>'5. KPI Baselines'!C385</f>
        <v>Credit Analysis</v>
      </c>
      <c r="D400" t="str">
        <f>'5. KPI Baselines'!D385</f>
        <v>Analyst Hours per Application</v>
      </c>
      <c r="E400" t="str">
        <f>'5. KPI Baselines'!E385</f>
        <v>12.9 hours</v>
      </c>
      <c r="F400" t="str">
        <f>'5. KPI Baselines'!F385</f>
        <v>6.5 hours</v>
      </c>
      <c r="G400" t="str">
        <f>'5. KPI Baselines'!G385</f>
        <v>6.5 hours</v>
      </c>
      <c r="H400" t="str">
        <f>'5. KPI Baselines'!H385</f>
        <v>↓</v>
      </c>
      <c r="I400" t="str">
        <f>'5. KPI Baselines'!I385</f>
        <v>12 months</v>
      </c>
      <c r="J400" t="str">
        <f>'5. KPI Baselines'!J385</f>
        <v>Time-tracking system data</v>
      </c>
      <c r="K400" s="15" t="str">
        <f t="shared" si="46"/>
        <v>12.9 hours → 6.5 hours</v>
      </c>
      <c r="L400" s="34" cm="1">
        <f t="array" ref="L400">IFERROR(_xlfn.LET(_xlpm.e,E400,_xlpm.f,F400,_xlpm.h,H400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0.49612018511484407</v>
      </c>
      <c r="M400" s="15" cm="1">
        <f t="array" ref="M400">IFERROR(_xlfn.LET(_xlpm.e,E400,_xlpm.f,F400,_xlpm.h,H400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7.5</v>
      </c>
      <c r="N400" s="15" cm="1">
        <f t="array" ref="N400">IFERROR(_xlfn.LET(_xlpm.e,E400,_xlpm.f,F400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4.9000000000000004</v>
      </c>
      <c r="O400" s="15" t="str">
        <f t="shared" si="47"/>
        <v>6.5 hours → 6.5 hours</v>
      </c>
      <c r="P400" s="34" cm="1">
        <f t="array" ref="P400">IFERROR(_xlfn.LET(_xlpm.g,G400,_xlpm.f,F400,_xlpm.h,H400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400" s="15" t="str" cm="1">
        <f t="array" ref="Q400">IFERROR(_xlfn.LET(_xlpm.e,E400,_xlpm.g,G400,_xlpm.h,H400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0" s="15" t="str">
        <f t="shared" si="48"/>
        <v>🔴 Lagging</v>
      </c>
      <c r="S400" s="35" cm="1">
        <f t="array" ref="S400">IFERROR(_xlfn.LET(_xlpm.e,E400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12.9</v>
      </c>
      <c r="T400" s="36">
        <f t="shared" si="49"/>
        <v>49.612018511484408</v>
      </c>
      <c r="U400" s="15">
        <f t="shared" si="50"/>
        <v>247</v>
      </c>
      <c r="V400" s="16">
        <f t="shared" si="51"/>
        <v>893.51307354206551</v>
      </c>
      <c r="W400" s="16">
        <f t="shared" si="52"/>
        <v>2222.0347659085191</v>
      </c>
      <c r="X400" s="37">
        <f t="shared" si="53"/>
        <v>97</v>
      </c>
      <c r="Y400" s="15" t="str">
        <f t="shared" si="54"/>
        <v>⚠️ High</v>
      </c>
    </row>
    <row r="401" spans="1:25" x14ac:dyDescent="0.2">
      <c r="A401" t="str">
        <f>'5. KPI Baselines'!A386</f>
        <v>Polygon Group</v>
      </c>
      <c r="B401" t="str">
        <f>'5. KPI Baselines'!B386</f>
        <v>Invoice Operations</v>
      </c>
      <c r="C401" t="str">
        <f>'5. KPI Baselines'!C386</f>
        <v>Invoice Verification</v>
      </c>
      <c r="D401" t="str">
        <f>'5. KPI Baselines'!D386</f>
        <v>Manual Review Rate</v>
      </c>
      <c r="E401" t="str">
        <f>'5. KPI Baselines'!E386</f>
        <v>8.2%</v>
      </c>
      <c r="F401" t="str">
        <f>'5. KPI Baselines'!F386</f>
        <v>3.5%</v>
      </c>
      <c r="G401" t="str">
        <f>'5. KPI Baselines'!G386</f>
        <v>3.1%</v>
      </c>
      <c r="H401" t="str">
        <f>'5. KPI Baselines'!H386</f>
        <v>↓</v>
      </c>
      <c r="I401" t="str">
        <f>'5. KPI Baselines'!I386</f>
        <v>9 months</v>
      </c>
      <c r="J401" t="str">
        <f>'5. KPI Baselines'!J386</f>
        <v>Invoices flagged for manual intervention / total invoices</v>
      </c>
      <c r="K401" s="15" t="str">
        <f t="shared" si="46"/>
        <v>8.2% → 3.5%</v>
      </c>
      <c r="L401" s="34" cm="1">
        <f t="array" ref="L401">IFERROR(_xlfn.LET(_xlpm.e,E401,_xlpm.f,F401,_xlpm.h,H401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0.5731637419055865</v>
      </c>
      <c r="M401" s="15" cm="1">
        <f t="array" ref="M401">IFERROR(_xlfn.LET(_xlpm.e,E401,_xlpm.f,F401,_xlpm.h,H401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4.2</v>
      </c>
      <c r="N401" s="15" cm="1">
        <f t="array" ref="N401">IFERROR(_xlfn.LET(_xlpm.e,E401,_xlpm.f,F401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3.6</v>
      </c>
      <c r="O401" s="15" t="str">
        <f t="shared" si="47"/>
        <v>3.1% → 3.5%</v>
      </c>
      <c r="P401" s="34" cm="1">
        <f t="array" ref="P401">IFERROR(_xlfn.LET(_xlpm.g,G401,_xlpm.f,F401,_xlpm.h,H401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-0.1290280958678752</v>
      </c>
      <c r="Q401" s="15" t="str" cm="1">
        <f t="array" ref="Q401">IFERROR(_xlfn.LET(_xlpm.e,E401,_xlpm.g,G401,_xlpm.h,H401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1" s="15" t="str">
        <f t="shared" si="48"/>
        <v>🔴 Lagging</v>
      </c>
      <c r="S401" s="35" cm="1">
        <f t="array" ref="S401">IFERROR(_xlfn.LET(_xlpm.e,E401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8.1999999999999993</v>
      </c>
      <c r="T401" s="36">
        <f t="shared" si="49"/>
        <v>57.316374190558648</v>
      </c>
      <c r="U401" s="15">
        <f t="shared" si="50"/>
        <v>170</v>
      </c>
      <c r="V401" s="16">
        <f t="shared" si="51"/>
        <v>656.17074791770813</v>
      </c>
      <c r="W401" s="16">
        <f t="shared" si="52"/>
        <v>1631.7995308847601</v>
      </c>
      <c r="X401" s="37">
        <f t="shared" si="53"/>
        <v>132</v>
      </c>
      <c r="Y401" s="15" t="str">
        <f t="shared" si="54"/>
        <v>🔥 Critical</v>
      </c>
    </row>
    <row r="402" spans="1:25" x14ac:dyDescent="0.2">
      <c r="A402" t="str">
        <f>'5. KPI Baselines'!A387</f>
        <v>Polygon Group</v>
      </c>
      <c r="B402" t="str">
        <f>'5. KPI Baselines'!B387</f>
        <v>Collections</v>
      </c>
      <c r="C402" t="str">
        <f>'5. KPI Baselines'!C387</f>
        <v>Account Monitoring</v>
      </c>
      <c r="D402" t="str">
        <f>'5. KPI Baselines'!D387</f>
        <v>Days Sales Outstanding</v>
      </c>
      <c r="E402" t="str">
        <f>'5. KPI Baselines'!E387</f>
        <v>52 days</v>
      </c>
      <c r="F402" t="str">
        <f>'5. KPI Baselines'!F387</f>
        <v>41 days</v>
      </c>
      <c r="G402" t="str">
        <f>'5. KPI Baselines'!G387</f>
        <v>38 days</v>
      </c>
      <c r="H402" t="str">
        <f>'5. KPI Baselines'!H387</f>
        <v>↓</v>
      </c>
      <c r="I402" t="str">
        <f>'5. KPI Baselines'!I387</f>
        <v>18 months</v>
      </c>
      <c r="J402" t="str">
        <f>'5. KPI Baselines'!J387</f>
        <v>Weighted average collection period</v>
      </c>
      <c r="K402" s="15" t="str">
        <f t="shared" ref="K402:K465" si="55">IFERROR(IF(OR(E402="",F402=""),"-",IF(H402="↓",E402&amp;" → "&amp;F402,F402&amp;" - "&amp;E402)),"-")</f>
        <v>52 days → 41 days</v>
      </c>
      <c r="L402" s="34" cm="1">
        <f t="array" ref="L402">IFERROR(_xlfn.LET(_xlpm.e,E402,_xlpm.f,F402,_xlpm.h,H402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0.21153805473451012</v>
      </c>
      <c r="M402" s="15" cm="1">
        <f t="array" ref="M402">IFERROR(_xlfn.LET(_xlpm.e,E402,_xlpm.f,F402,_xlpm.h,H402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42.7</v>
      </c>
      <c r="N402" s="15" cm="1">
        <f t="array" ref="N402">IFERROR(_xlfn.LET(_xlpm.e,E402,_xlpm.f,F402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402" s="15" t="str">
        <f t="shared" ref="O402:O465" si="56">IFERROR(IF(OR(G402="",G402="Not Available",F402=""),"-",IF(H402="↓",G402&amp;" → "&amp;F402,F402&amp;" - "&amp;G402)),"-")</f>
        <v>38 days → 41 days</v>
      </c>
      <c r="P402" s="34" cm="1">
        <f t="array" ref="P402">IFERROR(_xlfn.LET(_xlpm.g,G402,_xlpm.f,F402,_xlpm.h,H402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-7.8947160665366667E-2</v>
      </c>
      <c r="Q402" s="15" t="str" cm="1">
        <f t="array" ref="Q402">IFERROR(_xlfn.LET(_xlpm.e,E402,_xlpm.g,G402,_xlpm.h,H402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2" s="15" t="str">
        <f t="shared" ref="R402:R465" si="57">IFERROR(IF(Q402="Below Industry","🔴 Lagging",IF(Q402="Above Industry","🟢 Leading","⚪ N/A")),"⚪ N/A")</f>
        <v>🔴 Lagging</v>
      </c>
      <c r="S402" s="35" cm="1">
        <f t="array" ref="S402">IFERROR(_xlfn.LET(_xlpm.e,E402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402" s="36">
        <f t="shared" ref="T402:T465" si="58">IFERROR(IF(L402="-",0,ABS(L402)*100),0)</f>
        <v>21.153805473451012</v>
      </c>
      <c r="U402" s="15">
        <f t="shared" ref="U402:U465" si="59">IFERROR(RANK(T402,$T$17:$T$662,0),"-")</f>
        <v>458</v>
      </c>
      <c r="V402" s="16">
        <f t="shared" ref="V402:V465" si="60">IFERROR(IF(OR(L402="-",S402=0),0,S402*ABS(L402)*$F$9*$B$5*$B$7),0)</f>
        <v>1535.7345466643333</v>
      </c>
      <c r="W402" s="16">
        <f t="shared" ref="W402:W465" si="61">IFERROR(IF(V402=0,0,V402*(1-(1/(1+$B$11)^$B$10))/$B$11),0)</f>
        <v>3819.1445149954529</v>
      </c>
      <c r="X402" s="37">
        <f t="shared" ref="X402:X465" si="62">IFERROR(IF(V402=0,"-",ROUND(12/(V402/($F$9*40)+0.001),0)),"-")</f>
        <v>57</v>
      </c>
      <c r="Y402" s="15" t="str">
        <f t="shared" ref="Y402:Y465" si="63">IF(T402&gt;=50,"🔥 Critical",IF(T402&gt;=25,"⚠️ High",IF(T402&gt;=10,"📊 Medium","📉 Low")))</f>
        <v>📊 Medium</v>
      </c>
    </row>
    <row r="403" spans="1:25" x14ac:dyDescent="0.2">
      <c r="A403" t="str">
        <f>'5. KPI Baselines'!A388</f>
        <v>Polygon Group</v>
      </c>
      <c r="B403" t="str">
        <f>'5. KPI Baselines'!B388</f>
        <v>Collections</v>
      </c>
      <c r="C403" t="str">
        <f>'5. KPI Baselines'!C388</f>
        <v>Payment Follow-Up</v>
      </c>
      <c r="D403" t="str">
        <f>'5. KPI Baselines'!D388</f>
        <v>Collector Productivity</v>
      </c>
      <c r="E403" t="str">
        <f>'5. KPI Baselines'!E388</f>
        <v>64 accounts per FTE</v>
      </c>
      <c r="F403" t="str">
        <f>'5. KPI Baselines'!F388</f>
        <v>92 accounts per FTE</v>
      </c>
      <c r="G403" t="str">
        <f>'5. KPI Baselines'!G388</f>
        <v>98 accounts per FTE</v>
      </c>
      <c r="H403" t="str">
        <f>'5. KPI Baselines'!H388</f>
        <v>↑</v>
      </c>
      <c r="I403" t="str">
        <f>'5. KPI Baselines'!I388</f>
        <v>12 months</v>
      </c>
      <c r="J403" t="str">
        <f>'5. KPI Baselines'!J388</f>
        <v>Active accounts / FTE headcount</v>
      </c>
      <c r="K403" s="15" t="str">
        <f t="shared" si="55"/>
        <v>92 accounts per FTE - 64 accounts per FTE</v>
      </c>
      <c r="L403" s="34" t="str" cm="1">
        <f t="array" ref="L403">IFERROR(_xlfn.LET(_xlpm.e,E403,_xlpm.f,F403,_xlpm.h,H403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03" s="15" t="str" cm="1">
        <f t="array" ref="M403">IFERROR(_xlfn.LET(_xlpm.e,E403,_xlpm.f,F403,_xlpm.h,H403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03" s="15" t="str" cm="1">
        <f t="array" ref="N403">IFERROR(_xlfn.LET(_xlpm.e,E403,_xlpm.f,F403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03" s="15" t="str">
        <f t="shared" si="56"/>
        <v>92 accounts per FTE - 98 accounts per FTE</v>
      </c>
      <c r="P403" s="34" t="str" cm="1">
        <f t="array" ref="P403">IFERROR(_xlfn.LET(_xlpm.g,G403,_xlpm.f,F403,_xlpm.h,H403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03" s="15" t="str" cm="1">
        <f t="array" ref="Q403">IFERROR(_xlfn.LET(_xlpm.e,E403,_xlpm.g,G403,_xlpm.h,H403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03" s="15" t="str">
        <f t="shared" si="57"/>
        <v>⚪ N/A</v>
      </c>
      <c r="S403" s="35" cm="1">
        <f t="array" ref="S403">IFERROR(_xlfn.LET(_xlpm.e,E403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03" s="36">
        <f t="shared" si="58"/>
        <v>0</v>
      </c>
      <c r="U403" s="15">
        <f t="shared" si="59"/>
        <v>554</v>
      </c>
      <c r="V403" s="16">
        <f t="shared" si="60"/>
        <v>0</v>
      </c>
      <c r="W403" s="16">
        <f t="shared" si="61"/>
        <v>0</v>
      </c>
      <c r="X403" s="37" t="str">
        <f t="shared" si="62"/>
        <v>-</v>
      </c>
      <c r="Y403" s="15" t="str">
        <f t="shared" si="63"/>
        <v>📉 Low</v>
      </c>
    </row>
    <row r="404" spans="1:25" x14ac:dyDescent="0.2">
      <c r="A404" t="str">
        <f>'5. KPI Baselines'!A389</f>
        <v>Polygon Group</v>
      </c>
      <c r="B404" t="str">
        <f>'5. KPI Baselines'!B389</f>
        <v>Compliance</v>
      </c>
      <c r="C404" t="str">
        <f>'5. KPI Baselines'!C389</f>
        <v>AML Screening</v>
      </c>
      <c r="D404" t="str">
        <f>'5. KPI Baselines'!D389</f>
        <v>Screening Time per Transaction</v>
      </c>
      <c r="E404" t="str">
        <f>'5. KPI Baselines'!E389</f>
        <v>18 minutes</v>
      </c>
      <c r="F404" t="str">
        <f>'5. KPI Baselines'!F389</f>
        <v>8 minutes</v>
      </c>
      <c r="G404" t="str">
        <f>'5. KPI Baselines'!G389</f>
        <v>7 minutes</v>
      </c>
      <c r="H404" t="str">
        <f>'5. KPI Baselines'!H389</f>
        <v>↓</v>
      </c>
      <c r="I404" t="str">
        <f>'5. KPI Baselines'!I389</f>
        <v>9 months</v>
      </c>
      <c r="J404" t="str">
        <f>'5. KPI Baselines'!J389</f>
        <v>Total screening hours / transaction volume</v>
      </c>
      <c r="K404" s="15" t="str">
        <f t="shared" si="55"/>
        <v>18 minutes → 8 minutes</v>
      </c>
      <c r="L404" s="34" cm="1">
        <f t="array" ref="L404">IFERROR(_xlfn.LET(_xlpm.e,E404,_xlpm.f,F404,_xlpm.h,H404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404" s="15" cm="1">
        <f t="array" ref="M404">IFERROR(_xlfn.LET(_xlpm.e,E404,_xlpm.f,F404,_xlpm.h,H404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9.5</v>
      </c>
      <c r="N404" s="15" cm="1">
        <f t="array" ref="N404">IFERROR(_xlfn.LET(_xlpm.e,E404,_xlpm.f,F404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404" s="15" t="str">
        <f t="shared" si="56"/>
        <v>7 minutes → 8 minutes</v>
      </c>
      <c r="P404" s="34" cm="1">
        <f t="array" ref="P404">IFERROR(_xlfn.LET(_xlpm.g,G404,_xlpm.f,F404,_xlpm.h,H404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-0.14285510206997043</v>
      </c>
      <c r="Q404" s="15" t="str" cm="1">
        <f t="array" ref="Q404">IFERROR(_xlfn.LET(_xlpm.e,E404,_xlpm.g,G404,_xlpm.h,H404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4" s="15" t="str">
        <f t="shared" si="57"/>
        <v>🔴 Lagging</v>
      </c>
      <c r="S404" s="35" cm="1">
        <f t="array" ref="S404">IFERROR(_xlfn.LET(_xlpm.e,E404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404" s="36">
        <f t="shared" si="58"/>
        <v>55.555246915294923</v>
      </c>
      <c r="U404" s="15">
        <f t="shared" si="59"/>
        <v>188</v>
      </c>
      <c r="V404" s="16">
        <f t="shared" si="60"/>
        <v>1396.11724379309</v>
      </c>
      <c r="W404" s="16">
        <f t="shared" si="61"/>
        <v>3471.936947374254</v>
      </c>
      <c r="X404" s="37">
        <f t="shared" si="62"/>
        <v>62</v>
      </c>
      <c r="Y404" s="15" t="str">
        <f t="shared" si="63"/>
        <v>🔥 Critical</v>
      </c>
    </row>
    <row r="405" spans="1:25" x14ac:dyDescent="0.2">
      <c r="A405" t="str">
        <f>'5. KPI Baselines'!A390</f>
        <v>Polygon Group</v>
      </c>
      <c r="B405" t="str">
        <f>'5. KPI Baselines'!B390</f>
        <v>Compliance</v>
      </c>
      <c r="C405" t="str">
        <f>'5. KPI Baselines'!C390</f>
        <v>Regulatory Reporting</v>
      </c>
      <c r="D405" t="str">
        <f>'5. KPI Baselines'!D390</f>
        <v>Report Preparation Hours</v>
      </c>
      <c r="E405" t="str">
        <f>'5. KPI Baselines'!E390</f>
        <v>340 hours/quarter</v>
      </c>
      <c r="F405" t="str">
        <f>'5. KPI Baselines'!F390</f>
        <v>195 hours/quarter</v>
      </c>
      <c r="G405" t="str">
        <f>'5. KPI Baselines'!G390</f>
        <v>180 hours/quarter</v>
      </c>
      <c r="H405" t="str">
        <f>'5. KPI Baselines'!H390</f>
        <v>↓</v>
      </c>
      <c r="I405" t="str">
        <f>'5. KPI Baselines'!I390</f>
        <v>12 months</v>
      </c>
      <c r="J405" t="str">
        <f>'5. KPI Baselines'!J390</f>
        <v>Time-tracking for regulatory deliverables</v>
      </c>
      <c r="K405" s="15" t="str">
        <f t="shared" si="55"/>
        <v>340 hours/quarter → 195 hours/quarter</v>
      </c>
      <c r="L405" s="34" t="str" cm="1">
        <f t="array" ref="L405">IFERROR(_xlfn.LET(_xlpm.e,E405,_xlpm.f,F405,_xlpm.h,H405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05" s="15" t="str" cm="1">
        <f t="array" ref="M405">IFERROR(_xlfn.LET(_xlpm.e,E405,_xlpm.f,F405,_xlpm.h,H405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05" s="15" t="str" cm="1">
        <f t="array" ref="N405">IFERROR(_xlfn.LET(_xlpm.e,E405,_xlpm.f,F405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05" s="15" t="str">
        <f t="shared" si="56"/>
        <v>180 hours/quarter → 195 hours/quarter</v>
      </c>
      <c r="P405" s="34" t="str" cm="1">
        <f t="array" ref="P405">IFERROR(_xlfn.LET(_xlpm.g,G405,_xlpm.f,F405,_xlpm.h,H405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05" s="15" t="str" cm="1">
        <f t="array" ref="Q405">IFERROR(_xlfn.LET(_xlpm.e,E405,_xlpm.g,G405,_xlpm.h,H405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05" s="15" t="str">
        <f t="shared" si="57"/>
        <v>⚪ N/A</v>
      </c>
      <c r="S405" s="35" cm="1">
        <f t="array" ref="S405">IFERROR(_xlfn.LET(_xlpm.e,E405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05" s="36">
        <f t="shared" si="58"/>
        <v>0</v>
      </c>
      <c r="U405" s="15">
        <f t="shared" si="59"/>
        <v>554</v>
      </c>
      <c r="V405" s="16">
        <f t="shared" si="60"/>
        <v>0</v>
      </c>
      <c r="W405" s="16">
        <f t="shared" si="61"/>
        <v>0</v>
      </c>
      <c r="X405" s="37" t="str">
        <f t="shared" si="62"/>
        <v>-</v>
      </c>
      <c r="Y405" s="15" t="str">
        <f t="shared" si="63"/>
        <v>📉 Low</v>
      </c>
    </row>
    <row r="406" spans="1:25" x14ac:dyDescent="0.2">
      <c r="A406" t="str">
        <f>'5. KPI Baselines'!A391</f>
        <v>Polygon Group</v>
      </c>
      <c r="B406" t="str">
        <f>'5. KPI Baselines'!B391</f>
        <v>Portfolio Management</v>
      </c>
      <c r="C406" t="str">
        <f>'5. KPI Baselines'!C391</f>
        <v>Risk Monitoring</v>
      </c>
      <c r="D406" t="str">
        <f>'5. KPI Baselines'!D391</f>
        <v>Early Warning Detection Rate</v>
      </c>
      <c r="E406" t="str">
        <f>'5. KPI Baselines'!E391</f>
        <v>42%</v>
      </c>
      <c r="F406" t="str">
        <f>'5. KPI Baselines'!F391</f>
        <v>63%</v>
      </c>
      <c r="G406" t="str">
        <f>'5. KPI Baselines'!G391</f>
        <v>67%</v>
      </c>
      <c r="H406" t="str">
        <f>'5. KPI Baselines'!H391</f>
        <v>↑</v>
      </c>
      <c r="I406" t="str">
        <f>'5. KPI Baselines'!I391</f>
        <v>15 months</v>
      </c>
      <c r="J406" t="str">
        <f>'5. KPI Baselines'!J391</f>
        <v>Risk alerts generated before default / total defaults</v>
      </c>
      <c r="K406" s="15" t="str">
        <f t="shared" si="55"/>
        <v>63% - 42%</v>
      </c>
      <c r="L406" s="34" cm="1">
        <f t="array" ref="L406">IFERROR(_xlfn.LET(_xlpm.e,E406,_xlpm.f,F406,_xlpm.h,H406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0.49999880952664394</v>
      </c>
      <c r="M406" s="15" cm="1">
        <f t="array" ref="M406">IFERROR(_xlfn.LET(_xlpm.e,E406,_xlpm.f,F406,_xlpm.h,H406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59.9</v>
      </c>
      <c r="N406" s="15" cm="1">
        <f t="array" ref="N406">IFERROR(_xlfn.LET(_xlpm.e,E406,_xlpm.f,F406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16.07</v>
      </c>
      <c r="O406" s="15" t="str">
        <f t="shared" si="56"/>
        <v>63% - 67%</v>
      </c>
      <c r="P406" s="34" cm="1">
        <f t="array" ref="P406">IFERROR(_xlfn.LET(_xlpm.g,G406,_xlpm.f,F406,_xlpm.h,H406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-5.9701403430741144E-2</v>
      </c>
      <c r="Q406" s="15" t="str" cm="1">
        <f t="array" ref="Q406">IFERROR(_xlfn.LET(_xlpm.e,E406,_xlpm.g,G406,_xlpm.h,H406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6" s="15" t="str">
        <f t="shared" si="57"/>
        <v>🔴 Lagging</v>
      </c>
      <c r="S406" s="35" cm="1">
        <f t="array" ref="S406">IFERROR(_xlfn.LET(_xlpm.e,E406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406" s="36">
        <f t="shared" si="58"/>
        <v>49.999880952664391</v>
      </c>
      <c r="U406" s="15">
        <f t="shared" si="59"/>
        <v>223</v>
      </c>
      <c r="V406" s="16">
        <f t="shared" si="60"/>
        <v>2931.85551939162</v>
      </c>
      <c r="W406" s="16">
        <f t="shared" si="61"/>
        <v>7291.0907356771377</v>
      </c>
      <c r="X406" s="37">
        <f t="shared" si="62"/>
        <v>30</v>
      </c>
      <c r="Y406" s="15" t="str">
        <f t="shared" si="63"/>
        <v>⚠️ High</v>
      </c>
    </row>
    <row r="407" spans="1:25" x14ac:dyDescent="0.2">
      <c r="A407" t="str">
        <f>'5. KPI Baselines'!A392</f>
        <v>Polygon Group</v>
      </c>
      <c r="B407" t="str">
        <f>'5. KPI Baselines'!B392</f>
        <v>Portfolio Management</v>
      </c>
      <c r="C407" t="str">
        <f>'5. KPI Baselines'!C392</f>
        <v>Performance Analytics</v>
      </c>
      <c r="D407" t="str">
        <f>'5. KPI Baselines'!D392</f>
        <v>Portfolio Analysis Cycle Time</v>
      </c>
      <c r="E407" t="str">
        <f>'5. KPI Baselines'!E392</f>
        <v>5 days</v>
      </c>
      <c r="F407" t="str">
        <f>'5. KPI Baselines'!F392</f>
        <v>1 day</v>
      </c>
      <c r="G407" t="str">
        <f>'5. KPI Baselines'!G392</f>
        <v>1 day</v>
      </c>
      <c r="H407" t="str">
        <f>'5. KPI Baselines'!H392</f>
        <v>↓</v>
      </c>
      <c r="I407" t="str">
        <f>'5. KPI Baselines'!I392</f>
        <v>9 months</v>
      </c>
      <c r="J407" t="str">
        <f>'5. KPI Baselines'!J392</f>
        <v>Data request to executive dashboard delivery</v>
      </c>
      <c r="K407" s="15" t="str">
        <f t="shared" si="55"/>
        <v>5 days → 1 day</v>
      </c>
      <c r="L407" s="34" cm="1">
        <f t="array" ref="L407">IFERROR(_xlfn.LET(_xlpm.e,E407,_xlpm.f,F407,_xlpm.h,H407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0.79998400031999362</v>
      </c>
      <c r="M407" s="15" cm="1">
        <f t="array" ref="M407">IFERROR(_xlfn.LET(_xlpm.e,E407,_xlpm.f,F407,_xlpm.h,H407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1.6</v>
      </c>
      <c r="N407" s="15" cm="1">
        <f t="array" ref="N407">IFERROR(_xlfn.LET(_xlpm.e,E407,_xlpm.f,F407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407" s="15" t="str">
        <f t="shared" si="56"/>
        <v>1 day → 1 day</v>
      </c>
      <c r="P407" s="34" cm="1">
        <f t="array" ref="P407">IFERROR(_xlfn.LET(_xlpm.g,G407,_xlpm.f,F407,_xlpm.h,H407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407" s="15" t="str" cm="1">
        <f t="array" ref="Q407">IFERROR(_xlfn.LET(_xlpm.e,E407,_xlpm.g,G407,_xlpm.h,H407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7" s="15" t="str">
        <f t="shared" si="57"/>
        <v>🔴 Lagging</v>
      </c>
      <c r="S407" s="35" cm="1">
        <f t="array" ref="S407">IFERROR(_xlfn.LET(_xlpm.e,E407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</v>
      </c>
      <c r="T407" s="36">
        <f t="shared" si="58"/>
        <v>79.998400031999367</v>
      </c>
      <c r="U407" s="15">
        <f t="shared" si="59"/>
        <v>38</v>
      </c>
      <c r="V407" s="16">
        <f t="shared" si="60"/>
        <v>558.43883122337559</v>
      </c>
      <c r="W407" s="16">
        <f t="shared" si="61"/>
        <v>1388.7547192707548</v>
      </c>
      <c r="X407" s="37">
        <f t="shared" si="62"/>
        <v>155</v>
      </c>
      <c r="Y407" s="15" t="str">
        <f t="shared" si="63"/>
        <v>🔥 Critical</v>
      </c>
    </row>
    <row r="408" spans="1:25" x14ac:dyDescent="0.2">
      <c r="A408" t="str">
        <f>'5. KPI Baselines'!A393</f>
        <v>Polygon Group</v>
      </c>
      <c r="B408" t="str">
        <f>'5. KPI Baselines'!B393</f>
        <v>Client Servicing</v>
      </c>
      <c r="C408" t="str">
        <f>'5. KPI Baselines'!C393</f>
        <v>Account Support</v>
      </c>
      <c r="D408" t="str">
        <f>'5. KPI Baselines'!D393</f>
        <v>First Response Time</v>
      </c>
      <c r="E408" t="str">
        <f>'5. KPI Baselines'!E393</f>
        <v>6.2 hours</v>
      </c>
      <c r="F408" t="str">
        <f>'5. KPI Baselines'!F393</f>
        <v>2.8 hours</v>
      </c>
      <c r="G408" t="str">
        <f>'5. KPI Baselines'!G393</f>
        <v>2.4 hours</v>
      </c>
      <c r="H408" t="str">
        <f>'5. KPI Baselines'!H393</f>
        <v>↓</v>
      </c>
      <c r="I408" t="str">
        <f>'5. KPI Baselines'!I393</f>
        <v>6 months</v>
      </c>
      <c r="J408" t="str">
        <f>'5. KPI Baselines'!J393</f>
        <v>Client inquiry to initial response</v>
      </c>
      <c r="K408" s="15" t="str">
        <f t="shared" si="55"/>
        <v>6.2 hours → 2.8 hours</v>
      </c>
      <c r="L408" s="34" cm="1">
        <f t="array" ref="L408">IFERROR(_xlfn.LET(_xlpm.e,E408,_xlpm.f,F408,_xlpm.h,H408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0.54837825196367807</v>
      </c>
      <c r="M408" s="15" cm="1">
        <f t="array" ref="M408">IFERROR(_xlfn.LET(_xlpm.e,E408,_xlpm.f,F408,_xlpm.h,H408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3.3</v>
      </c>
      <c r="N408" s="15" cm="1">
        <f t="array" ref="N408">IFERROR(_xlfn.LET(_xlpm.e,E408,_xlpm.f,F408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2.6</v>
      </c>
      <c r="O408" s="15" t="str">
        <f t="shared" si="56"/>
        <v>2.4 hours → 2.8 hours</v>
      </c>
      <c r="P408" s="34" cm="1">
        <f t="array" ref="P408">IFERROR(_xlfn.LET(_xlpm.g,G408,_xlpm.f,F408,_xlpm.h,H408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-0.16665972251156197</v>
      </c>
      <c r="Q408" s="15" t="str" cm="1">
        <f t="array" ref="Q408">IFERROR(_xlfn.LET(_xlpm.e,E408,_xlpm.g,G408,_xlpm.h,H408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8" s="15" t="str">
        <f t="shared" si="57"/>
        <v>🔴 Lagging</v>
      </c>
      <c r="S408" s="35" cm="1">
        <f t="array" ref="S408">IFERROR(_xlfn.LET(_xlpm.e,E408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6.2</v>
      </c>
      <c r="T408" s="36">
        <f t="shared" si="58"/>
        <v>54.83782519636781</v>
      </c>
      <c r="U408" s="15">
        <f t="shared" si="59"/>
        <v>196</v>
      </c>
      <c r="V408" s="16">
        <f t="shared" si="60"/>
        <v>474.67484395412981</v>
      </c>
      <c r="W408" s="16">
        <f t="shared" si="61"/>
        <v>1180.4460807574537</v>
      </c>
      <c r="X408" s="37">
        <f t="shared" si="62"/>
        <v>182</v>
      </c>
      <c r="Y408" s="15" t="str">
        <f t="shared" si="63"/>
        <v>🔥 Critical</v>
      </c>
    </row>
    <row r="409" spans="1:25" x14ac:dyDescent="0.2">
      <c r="A409" t="str">
        <f>'5. KPI Baselines'!A394</f>
        <v>Polygon Group</v>
      </c>
      <c r="B409" t="str">
        <f>'5. KPI Baselines'!B394</f>
        <v>Legal</v>
      </c>
      <c r="C409" t="str">
        <f>'5. KPI Baselines'!C394</f>
        <v>Contract Review</v>
      </c>
      <c r="D409" t="str">
        <f>'5. KPI Baselines'!D394</f>
        <v>Agreement Turnaround Time</v>
      </c>
      <c r="E409" t="str">
        <f>'5. KPI Baselines'!E394</f>
        <v>4.8 days</v>
      </c>
      <c r="F409" t="str">
        <f>'5. KPI Baselines'!F394</f>
        <v>2.4 days</v>
      </c>
      <c r="G409" t="str">
        <f>'5. KPI Baselines'!G394</f>
        <v>2.1 days</v>
      </c>
      <c r="H409" t="str">
        <f>'5. KPI Baselines'!H394</f>
        <v>↓</v>
      </c>
      <c r="I409" t="str">
        <f>'5. KPI Baselines'!I394</f>
        <v>9 months</v>
      </c>
      <c r="J409" t="str">
        <f>'5. KPI Baselines'!J394</f>
        <v>Draft receipt to execution-ready version</v>
      </c>
      <c r="K409" s="15" t="str">
        <f t="shared" si="55"/>
        <v>4.8 days → 2.4 days</v>
      </c>
      <c r="L409" s="34" cm="1">
        <f t="array" ref="L409">IFERROR(_xlfn.LET(_xlpm.e,E409,_xlpm.f,F409,_xlpm.h,H409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0.49998958355034273</v>
      </c>
      <c r="M409" s="15" cm="1">
        <f t="array" ref="M409">IFERROR(_xlfn.LET(_xlpm.e,E409,_xlpm.f,F409,_xlpm.h,H409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2.8</v>
      </c>
      <c r="N409" s="15" cm="1">
        <f t="array" ref="N409">IFERROR(_xlfn.LET(_xlpm.e,E409,_xlpm.f,F409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1.84</v>
      </c>
      <c r="O409" s="15" t="str">
        <f t="shared" si="56"/>
        <v>2.1 days → 2.4 days</v>
      </c>
      <c r="P409" s="34" cm="1">
        <f t="array" ref="P409">IFERROR(_xlfn.LET(_xlpm.g,G409,_xlpm.f,F409,_xlpm.h,H409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-0.14285034045997799</v>
      </c>
      <c r="Q409" s="15" t="str" cm="1">
        <f t="array" ref="Q409">IFERROR(_xlfn.LET(_xlpm.e,E409,_xlpm.g,G409,_xlpm.h,H409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09" s="15" t="str">
        <f t="shared" si="57"/>
        <v>🔴 Lagging</v>
      </c>
      <c r="S409" s="35" cm="1">
        <f t="array" ref="S409">IFERROR(_xlfn.LET(_xlpm.e,E409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4.8</v>
      </c>
      <c r="T409" s="36">
        <f t="shared" si="58"/>
        <v>49.998958355034276</v>
      </c>
      <c r="U409" s="15">
        <f t="shared" si="59"/>
        <v>242</v>
      </c>
      <c r="V409" s="16">
        <f t="shared" si="60"/>
        <v>335.06301952042668</v>
      </c>
      <c r="W409" s="16">
        <f t="shared" si="61"/>
        <v>833.25213719955923</v>
      </c>
      <c r="X409" s="37">
        <f t="shared" si="62"/>
        <v>256</v>
      </c>
      <c r="Y409" s="15" t="str">
        <f t="shared" si="63"/>
        <v>⚠️ High</v>
      </c>
    </row>
    <row r="410" spans="1:25" x14ac:dyDescent="0.2">
      <c r="A410" t="str">
        <f>'5. KPI Baselines'!A395</f>
        <v>Polygon Group</v>
      </c>
      <c r="B410" t="str">
        <f>'5. KPI Baselines'!B395</f>
        <v>Finance</v>
      </c>
      <c r="C410" t="str">
        <f>'5. KPI Baselines'!C395</f>
        <v>Month-End Close</v>
      </c>
      <c r="D410" t="str">
        <f>'5. KPI Baselines'!D395</f>
        <v>Close Cycle Duration</v>
      </c>
      <c r="E410" t="str">
        <f>'5. KPI Baselines'!E395</f>
        <v>8 days</v>
      </c>
      <c r="F410" t="str">
        <f>'5. KPI Baselines'!F395</f>
        <v>5 days</v>
      </c>
      <c r="G410" t="str">
        <f>'5. KPI Baselines'!G395</f>
        <v>5 days</v>
      </c>
      <c r="H410" t="str">
        <f>'5. KPI Baselines'!H395</f>
        <v>↓</v>
      </c>
      <c r="I410" t="str">
        <f>'5. KPI Baselines'!I395</f>
        <v>12 months</v>
      </c>
      <c r="J410" t="str">
        <f>'5. KPI Baselines'!J395</f>
        <v>Period end to certified financials</v>
      </c>
      <c r="K410" s="15" t="str">
        <f t="shared" si="55"/>
        <v>8 days → 5 days</v>
      </c>
      <c r="L410" s="34" cm="1">
        <f t="array" ref="L410">IFERROR(_xlfn.LET(_xlpm.e,E410,_xlpm.f,F410,_xlpm.h,H410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0.37499531255859303</v>
      </c>
      <c r="M410" s="15" cm="1">
        <f t="array" ref="M410">IFERROR(_xlfn.LET(_xlpm.e,E410,_xlpm.f,F410,_xlpm.h,H410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5.5</v>
      </c>
      <c r="N410" s="15" cm="1">
        <f t="array" ref="N410">IFERROR(_xlfn.LET(_xlpm.e,E410,_xlpm.f,F410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410" s="15" t="str">
        <f t="shared" si="56"/>
        <v>5 days → 5 days</v>
      </c>
      <c r="P410" s="34" cm="1">
        <f t="array" ref="P410">IFERROR(_xlfn.LET(_xlpm.g,G410,_xlpm.f,F410,_xlpm.h,H410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410" s="15" t="str" cm="1">
        <f t="array" ref="Q410">IFERROR(_xlfn.LET(_xlpm.e,E410,_xlpm.g,G410,_xlpm.h,H410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0" s="15" t="str">
        <f t="shared" si="57"/>
        <v>🔴 Lagging</v>
      </c>
      <c r="S410" s="35" cm="1">
        <f t="array" ref="S410">IFERROR(_xlfn.LET(_xlpm.e,E410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410" s="36">
        <f t="shared" si="58"/>
        <v>37.499531255859303</v>
      </c>
      <c r="U410" s="15">
        <f t="shared" si="59"/>
        <v>332</v>
      </c>
      <c r="V410" s="16">
        <f t="shared" si="60"/>
        <v>418.83226459669248</v>
      </c>
      <c r="W410" s="16">
        <f t="shared" si="61"/>
        <v>1041.5738511007162</v>
      </c>
      <c r="X410" s="37">
        <f t="shared" si="62"/>
        <v>206</v>
      </c>
      <c r="Y410" s="15" t="str">
        <f t="shared" si="63"/>
        <v>⚠️ High</v>
      </c>
    </row>
    <row r="411" spans="1:25" x14ac:dyDescent="0.2">
      <c r="A411" t="str">
        <f>'5. KPI Baselines'!A396</f>
        <v>RED Global</v>
      </c>
      <c r="B411" t="str">
        <f>'5. KPI Baselines'!B396</f>
        <v>Trade Compliance</v>
      </c>
      <c r="C411" t="str">
        <f>'5. KPI Baselines'!C396</f>
        <v>Customs Documentation</v>
      </c>
      <c r="D411" t="str">
        <f>'5. KPI Baselines'!D396</f>
        <v>Documentation Processing Time</v>
      </c>
      <c r="E411" t="str">
        <f>'5. KPI Baselines'!E396</f>
        <v>4 days</v>
      </c>
      <c r="F411" t="str">
        <f>'5. KPI Baselines'!F396</f>
        <v>1 day</v>
      </c>
      <c r="G411" t="str">
        <f>'5. KPI Baselines'!G396</f>
        <v>2 days</v>
      </c>
      <c r="H411" t="str">
        <f>'5. KPI Baselines'!H396</f>
        <v>↓</v>
      </c>
      <c r="I411" t="str">
        <f>'5. KPI Baselines'!I396</f>
        <v>12 months</v>
      </c>
      <c r="J411" t="str">
        <f>'5. KPI Baselines'!J396</f>
        <v>Average submission to approval cycle time</v>
      </c>
      <c r="K411" s="15" t="str">
        <f t="shared" si="55"/>
        <v>4 days → 1 day</v>
      </c>
      <c r="L411" s="34" cm="1">
        <f t="array" ref="L411">IFERROR(_xlfn.LET(_xlpm.e,E411,_xlpm.f,F411,_xlpm.h,H411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0.74998125046873831</v>
      </c>
      <c r="M411" s="15" cm="1">
        <f t="array" ref="M411">IFERROR(_xlfn.LET(_xlpm.e,E411,_xlpm.f,F411,_xlpm.h,H411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1.5</v>
      </c>
      <c r="N411" s="15" cm="1">
        <f t="array" ref="N411">IFERROR(_xlfn.LET(_xlpm.e,E411,_xlpm.f,F411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411" s="15" t="str">
        <f t="shared" si="56"/>
        <v>2 days → 1 day</v>
      </c>
      <c r="P411" s="34" cm="1">
        <f t="array" ref="P411">IFERROR(_xlfn.LET(_xlpm.g,G411,_xlpm.f,F411,_xlpm.h,H411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411" s="15" t="str" cm="1">
        <f t="array" ref="Q411">IFERROR(_xlfn.LET(_xlpm.e,E411,_xlpm.g,G411,_xlpm.h,H411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1" s="15" t="str">
        <f t="shared" si="57"/>
        <v>🔴 Lagging</v>
      </c>
      <c r="S411" s="35" cm="1">
        <f t="array" ref="S411">IFERROR(_xlfn.LET(_xlpm.e,E411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</v>
      </c>
      <c r="T411" s="36">
        <f t="shared" si="58"/>
        <v>74.998125046873838</v>
      </c>
      <c r="U411" s="15">
        <f t="shared" si="59"/>
        <v>62</v>
      </c>
      <c r="V411" s="16">
        <f t="shared" si="60"/>
        <v>418.82702932426696</v>
      </c>
      <c r="W411" s="16">
        <f t="shared" si="61"/>
        <v>1041.5608317530614</v>
      </c>
      <c r="X411" s="37">
        <f t="shared" si="62"/>
        <v>206</v>
      </c>
      <c r="Y411" s="15" t="str">
        <f t="shared" si="63"/>
        <v>🔥 Critical</v>
      </c>
    </row>
    <row r="412" spans="1:25" x14ac:dyDescent="0.2">
      <c r="A412" t="str">
        <f>'5. KPI Baselines'!A397</f>
        <v>RED Global</v>
      </c>
      <c r="B412" t="str">
        <f>'5. KPI Baselines'!B397</f>
        <v>Trade Compliance</v>
      </c>
      <c r="C412" t="str">
        <f>'5. KPI Baselines'!C397</f>
        <v>Regulatory Research</v>
      </c>
      <c r="D412" t="str">
        <f>'5. KPI Baselines'!D397</f>
        <v>Research Hours per Declaration</v>
      </c>
      <c r="E412" t="str">
        <f>'5. KPI Baselines'!E397</f>
        <v>2.2 hours</v>
      </c>
      <c r="F412" t="str">
        <f>'5. KPI Baselines'!F397</f>
        <v>0.9 hours</v>
      </c>
      <c r="G412" t="str">
        <f>'5. KPI Baselines'!G397</f>
        <v>1.1 hours</v>
      </c>
      <c r="H412" t="str">
        <f>'5. KPI Baselines'!H397</f>
        <v>↓</v>
      </c>
      <c r="I412" t="str">
        <f>'5. KPI Baselines'!I397</f>
        <v>18 months</v>
      </c>
      <c r="J412" t="str">
        <f>'5. KPI Baselines'!J397</f>
        <v>Time from query to validated guidance</v>
      </c>
      <c r="K412" s="15" t="str">
        <f t="shared" si="55"/>
        <v>2.2 hours → 0.9 hours</v>
      </c>
      <c r="L412" s="34" cm="1">
        <f t="array" ref="L412">IFERROR(_xlfn.LET(_xlpm.e,E412,_xlpm.f,F412,_xlpm.h,H412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0.59088223262578976</v>
      </c>
      <c r="M412" s="15" cm="1">
        <f t="array" ref="M412">IFERROR(_xlfn.LET(_xlpm.e,E412,_xlpm.f,F412,_xlpm.h,H412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1.1000000000000001</v>
      </c>
      <c r="N412" s="15" cm="1">
        <f t="array" ref="N412">IFERROR(_xlfn.LET(_xlpm.e,E412,_xlpm.f,F412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0.99</v>
      </c>
      <c r="O412" s="15" t="str">
        <f t="shared" si="56"/>
        <v>1.1 hours → 0.9 hours</v>
      </c>
      <c r="P412" s="34" cm="1">
        <f t="array" ref="P412">IFERROR(_xlfn.LET(_xlpm.g,G412,_xlpm.f,F412,_xlpm.h,H412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0.18180165439505505</v>
      </c>
      <c r="Q412" s="15" t="str" cm="1">
        <f t="array" ref="Q412">IFERROR(_xlfn.LET(_xlpm.e,E412,_xlpm.g,G412,_xlpm.h,H412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2" s="15" t="str">
        <f t="shared" si="57"/>
        <v>🔴 Lagging</v>
      </c>
      <c r="S412" s="35" cm="1">
        <f t="array" ref="S412">IFERROR(_xlfn.LET(_xlpm.e,E412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2.2000000000000002</v>
      </c>
      <c r="T412" s="36">
        <f t="shared" si="58"/>
        <v>59.088223262578978</v>
      </c>
      <c r="U412" s="15">
        <f t="shared" si="59"/>
        <v>158</v>
      </c>
      <c r="V412" s="16">
        <f t="shared" si="60"/>
        <v>181.48800054542977</v>
      </c>
      <c r="W412" s="16">
        <f t="shared" si="61"/>
        <v>451.33379549614807</v>
      </c>
      <c r="X412" s="37">
        <f t="shared" si="62"/>
        <v>464</v>
      </c>
      <c r="Y412" s="15" t="str">
        <f t="shared" si="63"/>
        <v>🔥 Critical</v>
      </c>
    </row>
    <row r="413" spans="1:25" x14ac:dyDescent="0.2">
      <c r="A413" t="str">
        <f>'5. KPI Baselines'!A398</f>
        <v>RED Global</v>
      </c>
      <c r="B413" t="str">
        <f>'5. KPI Baselines'!B398</f>
        <v>Operations</v>
      </c>
      <c r="C413" t="str">
        <f>'5. KPI Baselines'!C398</f>
        <v>Shipment Tracking</v>
      </c>
      <c r="D413" t="str">
        <f>'5. KPI Baselines'!D398</f>
        <v>Proactive Exception Identification</v>
      </c>
      <c r="E413" t="str">
        <f>'5. KPI Baselines'!E398</f>
        <v>12%</v>
      </c>
      <c r="F413" t="str">
        <f>'5. KPI Baselines'!F398</f>
        <v>45%</v>
      </c>
      <c r="G413" t="str">
        <f>'5. KPI Baselines'!G398</f>
        <v>35%</v>
      </c>
      <c r="H413" t="str">
        <f>'5. KPI Baselines'!H398</f>
        <v>↑</v>
      </c>
      <c r="I413" t="str">
        <f>'5. KPI Baselines'!I398</f>
        <v>12 months</v>
      </c>
      <c r="J413" t="str">
        <f>'5. KPI Baselines'!J398</f>
        <v>Exceptions caught 48+ hours before impact</v>
      </c>
      <c r="K413" s="15" t="str">
        <f t="shared" si="55"/>
        <v>45% - 12%</v>
      </c>
      <c r="L413" s="34" cm="1">
        <f t="array" ref="L413">IFERROR(_xlfn.LET(_xlpm.e,E413,_xlpm.f,F413,_xlpm.h,H413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2.7499770835243038</v>
      </c>
      <c r="M413" s="15" cm="1">
        <f t="array" ref="M413">IFERROR(_xlfn.LET(_xlpm.e,E413,_xlpm.f,F413,_xlpm.h,H413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40.1</v>
      </c>
      <c r="N413" s="15" cm="1">
        <f t="array" ref="N413">IFERROR(_xlfn.LET(_xlpm.e,E413,_xlpm.f,F413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25.25</v>
      </c>
      <c r="O413" s="15" t="str">
        <f t="shared" si="56"/>
        <v>45% - 35%</v>
      </c>
      <c r="P413" s="34" cm="1">
        <f t="array" ref="P413">IFERROR(_xlfn.LET(_xlpm.g,G413,_xlpm.f,F413,_xlpm.h,H413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0.2857134693900874</v>
      </c>
      <c r="Q413" s="15" t="str" cm="1">
        <f t="array" ref="Q413">IFERROR(_xlfn.LET(_xlpm.e,E413,_xlpm.g,G413,_xlpm.h,H413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3" s="15" t="str">
        <f t="shared" si="57"/>
        <v>🔴 Lagging</v>
      </c>
      <c r="S413" s="35" cm="1">
        <f t="array" ref="S413">IFERROR(_xlfn.LET(_xlpm.e,E413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13" s="36">
        <f t="shared" si="58"/>
        <v>274.99770835243038</v>
      </c>
      <c r="U413" s="15">
        <f t="shared" si="59"/>
        <v>3</v>
      </c>
      <c r="V413" s="16">
        <f t="shared" si="60"/>
        <v>4607.1741068824422</v>
      </c>
      <c r="W413" s="16">
        <f t="shared" si="61"/>
        <v>11457.360100511569</v>
      </c>
      <c r="X413" s="37">
        <f t="shared" si="62"/>
        <v>19</v>
      </c>
      <c r="Y413" s="15" t="str">
        <f t="shared" si="63"/>
        <v>🔥 Critical</v>
      </c>
    </row>
    <row r="414" spans="1:25" x14ac:dyDescent="0.2">
      <c r="A414" t="str">
        <f>'5. KPI Baselines'!A399</f>
        <v>RED Global</v>
      </c>
      <c r="B414" t="str">
        <f>'5. KPI Baselines'!B399</f>
        <v>Operations</v>
      </c>
      <c r="C414" t="str">
        <f>'5. KPI Baselines'!C399</f>
        <v>Carrier Selection</v>
      </c>
      <c r="D414" t="str">
        <f>'5. KPI Baselines'!D399</f>
        <v>Cost per TEU</v>
      </c>
      <c r="E414" t="str">
        <f>'5. KPI Baselines'!E399</f>
        <v>$2,340</v>
      </c>
      <c r="F414" t="str">
        <f>'5. KPI Baselines'!F399</f>
        <v>$2,100</v>
      </c>
      <c r="G414" t="str">
        <f>'5. KPI Baselines'!G399</f>
        <v>$2,180</v>
      </c>
      <c r="H414" t="str">
        <f>'5. KPI Baselines'!H399</f>
        <v>↓</v>
      </c>
      <c r="I414" t="str">
        <f>'5. KPI Baselines'!I399</f>
        <v>18 months</v>
      </c>
      <c r="J414" t="str">
        <f>'5. KPI Baselines'!J399</f>
        <v>Weighted average across all lanes</v>
      </c>
      <c r="K414" s="15" t="str">
        <f t="shared" si="55"/>
        <v>$2,340 → $2,100</v>
      </c>
      <c r="L414" s="34" cm="1">
        <f t="array" ref="L414">IFERROR(_xlfn.LET(_xlpm.e,E414,_xlpm.f,F414,_xlpm.h,H414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0.10256409818102144</v>
      </c>
      <c r="M414" s="15" cm="1">
        <f t="array" ref="M414">IFERROR(_xlfn.LET(_xlpm.e,E414,_xlpm.f,F414,_xlpm.h,H414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2136</v>
      </c>
      <c r="N414" s="15" cm="1">
        <f t="array" ref="N414">IFERROR(_xlfn.LET(_xlpm.e,E414,_xlpm.f,F414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183.6</v>
      </c>
      <c r="O414" s="15" t="str">
        <f t="shared" si="56"/>
        <v>$2,180 → $2,100</v>
      </c>
      <c r="P414" s="34" cm="1">
        <f t="array" ref="P414">IFERROR(_xlfn.LET(_xlpm.g,G414,_xlpm.f,F414,_xlpm.h,H414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3.6697246023062104E-2</v>
      </c>
      <c r="Q414" s="15" t="str" cm="1">
        <f t="array" ref="Q414">IFERROR(_xlfn.LET(_xlpm.e,E414,_xlpm.g,G414,_xlpm.h,H414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4" s="15" t="str">
        <f t="shared" si="57"/>
        <v>🔴 Lagging</v>
      </c>
      <c r="S414" s="35" cm="1">
        <f t="array" ref="S414">IFERROR(_xlfn.LET(_xlpm.e,E414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2340</v>
      </c>
      <c r="T414" s="36">
        <f t="shared" si="58"/>
        <v>10.256409818102144</v>
      </c>
      <c r="U414" s="15">
        <f t="shared" si="59"/>
        <v>519</v>
      </c>
      <c r="V414" s="16">
        <f t="shared" si="60"/>
        <v>33506.998568076982</v>
      </c>
      <c r="W414" s="16">
        <f t="shared" si="61"/>
        <v>83326.946100927787</v>
      </c>
      <c r="X414" s="37">
        <f t="shared" si="62"/>
        <v>3</v>
      </c>
      <c r="Y414" s="15" t="str">
        <f t="shared" si="63"/>
        <v>📊 Medium</v>
      </c>
    </row>
    <row r="415" spans="1:25" x14ac:dyDescent="0.2">
      <c r="A415" t="str">
        <f>'5. KPI Baselines'!A400</f>
        <v>RED Global</v>
      </c>
      <c r="B415" t="str">
        <f>'5. KPI Baselines'!B400</f>
        <v>Customer Service</v>
      </c>
      <c r="C415" t="str">
        <f>'5. KPI Baselines'!C400</f>
        <v>Inquiry Resolution</v>
      </c>
      <c r="D415" t="str">
        <f>'5. KPI Baselines'!D400</f>
        <v>Average Response Time</v>
      </c>
      <c r="E415" t="str">
        <f>'5. KPI Baselines'!E400</f>
        <v>3 days</v>
      </c>
      <c r="F415" t="str">
        <f>'5. KPI Baselines'!F400</f>
        <v>4 hours</v>
      </c>
      <c r="G415" t="str">
        <f>'5. KPI Baselines'!G400</f>
        <v>8 hours</v>
      </c>
      <c r="H415" t="str">
        <f>'5. KPI Baselines'!H400</f>
        <v>↓</v>
      </c>
      <c r="I415" t="str">
        <f>'5. KPI Baselines'!I400</f>
        <v>12 months</v>
      </c>
      <c r="J415" t="str">
        <f>'5. KPI Baselines'!J400</f>
        <v>Median time from inquiry to resolution</v>
      </c>
      <c r="K415" s="15" t="str">
        <f t="shared" si="55"/>
        <v>3 days → 4 hours</v>
      </c>
      <c r="L415" s="34" cm="1">
        <f t="array" ref="L415">IFERROR(_xlfn.LET(_xlpm.e,E415,_xlpm.f,F415,_xlpm.h,H415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-0.33332222259258021</v>
      </c>
      <c r="M415" s="15" cm="1">
        <f t="array" ref="M415">IFERROR(_xlfn.LET(_xlpm.e,E415,_xlpm.f,F415,_xlpm.h,H415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415" s="15" cm="1">
        <f t="array" ref="N415">IFERROR(_xlfn.LET(_xlpm.e,E415,_xlpm.f,F415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0.77</v>
      </c>
      <c r="O415" s="15" t="str">
        <f t="shared" si="56"/>
        <v>8 hours → 4 hours</v>
      </c>
      <c r="P415" s="34" cm="1">
        <f t="array" ref="P415">IFERROR(_xlfn.LET(_xlpm.g,G415,_xlpm.f,F415,_xlpm.h,H415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0.49999375007812402</v>
      </c>
      <c r="Q415" s="15" t="str" cm="1">
        <f t="array" ref="Q415">IFERROR(_xlfn.LET(_xlpm.e,E415,_xlpm.g,G415,_xlpm.h,H415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15" s="15" t="str">
        <f t="shared" si="57"/>
        <v>🟢 Leading</v>
      </c>
      <c r="S415" s="35" cm="1">
        <f t="array" ref="S415">IFERROR(_xlfn.LET(_xlpm.e,E415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</v>
      </c>
      <c r="T415" s="36">
        <f t="shared" si="58"/>
        <v>33.332222259258018</v>
      </c>
      <c r="U415" s="15">
        <f t="shared" si="59"/>
        <v>375</v>
      </c>
      <c r="V415" s="16">
        <f t="shared" si="60"/>
        <v>139.6078464051198</v>
      </c>
      <c r="W415" s="16">
        <f t="shared" si="61"/>
        <v>347.18405078959199</v>
      </c>
      <c r="X415" s="37">
        <f t="shared" si="62"/>
        <v>596</v>
      </c>
      <c r="Y415" s="15" t="str">
        <f t="shared" si="63"/>
        <v>⚠️ High</v>
      </c>
    </row>
    <row r="416" spans="1:25" x14ac:dyDescent="0.2">
      <c r="A416" t="str">
        <f>'5. KPI Baselines'!A401</f>
        <v>RED Global</v>
      </c>
      <c r="B416" t="str">
        <f>'5. KPI Baselines'!B401</f>
        <v>Sales</v>
      </c>
      <c r="C416" t="str">
        <f>'5. KPI Baselines'!C401</f>
        <v>Quote Generation</v>
      </c>
      <c r="D416" t="str">
        <f>'5. KPI Baselines'!D401</f>
        <v>Quote Accuracy Rate</v>
      </c>
      <c r="E416" t="str">
        <f>'5. KPI Baselines'!E401</f>
        <v>60%</v>
      </c>
      <c r="F416" t="str">
        <f>'5. KPI Baselines'!F401</f>
        <v>85%</v>
      </c>
      <c r="G416" t="str">
        <f>'5. KPI Baselines'!G401</f>
        <v>78%</v>
      </c>
      <c r="H416" t="str">
        <f>'5. KPI Baselines'!H401</f>
        <v>↑</v>
      </c>
      <c r="I416" t="str">
        <f>'5. KPI Baselines'!I401</f>
        <v>18 months</v>
      </c>
      <c r="J416" t="str">
        <f>'5. KPI Baselines'!J401</f>
        <v>Quoted vs actual cost variance &lt;10%</v>
      </c>
      <c r="K416" s="15" t="str">
        <f t="shared" si="55"/>
        <v>85% - 60%</v>
      </c>
      <c r="L416" s="34" cm="1">
        <f t="array" ref="L416">IFERROR(_xlfn.LET(_xlpm.e,E416,_xlpm.f,F416,_xlpm.h,H416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0.41666597222337959</v>
      </c>
      <c r="M416" s="15" cm="1">
        <f t="array" ref="M416">IFERROR(_xlfn.LET(_xlpm.e,E416,_xlpm.f,F416,_xlpm.h,H416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81.3</v>
      </c>
      <c r="N416" s="15" cm="1">
        <f t="array" ref="N416">IFERROR(_xlfn.LET(_xlpm.e,E416,_xlpm.f,F416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416" s="15" t="str">
        <f t="shared" si="56"/>
        <v>85% - 78%</v>
      </c>
      <c r="P416" s="34" cm="1">
        <f t="array" ref="P416">IFERROR(_xlfn.LET(_xlpm.g,G416,_xlpm.f,F416,_xlpm.h,H416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8.9743474687852959E-2</v>
      </c>
      <c r="Q416" s="15" t="str" cm="1">
        <f t="array" ref="Q416">IFERROR(_xlfn.LET(_xlpm.e,E416,_xlpm.g,G416,_xlpm.h,H416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6" s="15" t="str">
        <f t="shared" si="57"/>
        <v>🔴 Lagging</v>
      </c>
      <c r="S416" s="35" cm="1">
        <f t="array" ref="S416">IFERROR(_xlfn.LET(_xlpm.e,E416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60</v>
      </c>
      <c r="T416" s="36">
        <f t="shared" si="58"/>
        <v>41.666597222337955</v>
      </c>
      <c r="U416" s="15">
        <f t="shared" si="59"/>
        <v>289</v>
      </c>
      <c r="V416" s="16">
        <f t="shared" si="60"/>
        <v>3490.3066828221949</v>
      </c>
      <c r="W416" s="16">
        <f t="shared" si="61"/>
        <v>8679.8761233219193</v>
      </c>
      <c r="X416" s="37">
        <f t="shared" si="62"/>
        <v>25</v>
      </c>
      <c r="Y416" s="15" t="str">
        <f t="shared" si="63"/>
        <v>⚠️ High</v>
      </c>
    </row>
    <row r="417" spans="1:25" x14ac:dyDescent="0.2">
      <c r="A417" t="str">
        <f>'5. KPI Baselines'!A402</f>
        <v>RED Global</v>
      </c>
      <c r="B417" t="str">
        <f>'5. KPI Baselines'!B402</f>
        <v>Finance</v>
      </c>
      <c r="C417" t="str">
        <f>'5. KPI Baselines'!C402</f>
        <v>Invoicing</v>
      </c>
      <c r="D417" t="str">
        <f>'5. KPI Baselines'!D402</f>
        <v>Invoice Cycle Time</v>
      </c>
      <c r="E417" t="str">
        <f>'5. KPI Baselines'!E402</f>
        <v>8 days</v>
      </c>
      <c r="F417" t="str">
        <f>'5. KPI Baselines'!F402</f>
        <v>3 days</v>
      </c>
      <c r="G417" t="str">
        <f>'5. KPI Baselines'!G402</f>
        <v>5 days</v>
      </c>
      <c r="H417" t="str">
        <f>'5. KPI Baselines'!H402</f>
        <v>↓</v>
      </c>
      <c r="I417" t="str">
        <f>'5. KPI Baselines'!I402</f>
        <v>12 months</v>
      </c>
      <c r="J417" t="str">
        <f>'5. KPI Baselines'!J402</f>
        <v>Shipment completion to invoice delivery</v>
      </c>
      <c r="K417" s="15" t="str">
        <f t="shared" si="55"/>
        <v>8 days → 3 days</v>
      </c>
      <c r="L417" s="34" cm="1">
        <f t="array" ref="L417">IFERROR(_xlfn.LET(_xlpm.e,E417,_xlpm.f,F417,_xlpm.h,H417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417" s="15" cm="1">
        <f t="array" ref="M417">IFERROR(_xlfn.LET(_xlpm.e,E417,_xlpm.f,F417,_xlpm.h,H417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417" s="15" cm="1">
        <f t="array" ref="N417">IFERROR(_xlfn.LET(_xlpm.e,E417,_xlpm.f,F417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417" s="15" t="str">
        <f t="shared" si="56"/>
        <v>5 days → 3 days</v>
      </c>
      <c r="P417" s="34" cm="1">
        <f t="array" ref="P417">IFERROR(_xlfn.LET(_xlpm.g,G417,_xlpm.f,F417,_xlpm.h,H417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417" s="15" t="str" cm="1">
        <f t="array" ref="Q417">IFERROR(_xlfn.LET(_xlpm.e,E417,_xlpm.g,G417,_xlpm.h,H417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7" s="15" t="str">
        <f t="shared" si="57"/>
        <v>🔴 Lagging</v>
      </c>
      <c r="S417" s="35" cm="1">
        <f t="array" ref="S417">IFERROR(_xlfn.LET(_xlpm.e,E417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417" s="36">
        <f t="shared" si="58"/>
        <v>62.499218759765505</v>
      </c>
      <c r="U417" s="15">
        <f t="shared" si="59"/>
        <v>130</v>
      </c>
      <c r="V417" s="16">
        <f t="shared" si="60"/>
        <v>698.05377432782097</v>
      </c>
      <c r="W417" s="16">
        <f t="shared" si="61"/>
        <v>1735.9564185011941</v>
      </c>
      <c r="X417" s="37">
        <f t="shared" si="62"/>
        <v>124</v>
      </c>
      <c r="Y417" s="15" t="str">
        <f t="shared" si="63"/>
        <v>🔥 Critical</v>
      </c>
    </row>
    <row r="418" spans="1:25" x14ac:dyDescent="0.2">
      <c r="A418" t="str">
        <f>'5. KPI Baselines'!A403</f>
        <v>RED Global</v>
      </c>
      <c r="B418" t="str">
        <f>'5. KPI Baselines'!B403</f>
        <v>Finance</v>
      </c>
      <c r="C418" t="str">
        <f>'5. KPI Baselines'!C403</f>
        <v>Collections</v>
      </c>
      <c r="D418" t="str">
        <f>'5. KPI Baselines'!D403</f>
        <v>Days Sales Outstanding</v>
      </c>
      <c r="E418" t="str">
        <f>'5. KPI Baselines'!E403</f>
        <v>52 days</v>
      </c>
      <c r="F418" t="str">
        <f>'5. KPI Baselines'!F403</f>
        <v>42 days</v>
      </c>
      <c r="G418" t="str">
        <f>'5. KPI Baselines'!G403</f>
        <v>45 days</v>
      </c>
      <c r="H418" t="str">
        <f>'5. KPI Baselines'!H403</f>
        <v>↓</v>
      </c>
      <c r="I418" t="str">
        <f>'5. KPI Baselines'!I403</f>
        <v>18 months</v>
      </c>
      <c r="J418" t="str">
        <f>'5. KPI Baselines'!J403</f>
        <v>Weighted average payment collection cycle</v>
      </c>
      <c r="K418" s="15" t="str">
        <f t="shared" si="55"/>
        <v>52 days → 42 days</v>
      </c>
      <c r="L418" s="34" cm="1">
        <f t="array" ref="L418">IFERROR(_xlfn.LET(_xlpm.e,E418,_xlpm.f,F418,_xlpm.h,H418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0.19230732248591828</v>
      </c>
      <c r="M418" s="15" cm="1">
        <f t="array" ref="M418">IFERROR(_xlfn.LET(_xlpm.e,E418,_xlpm.f,F418,_xlpm.h,H418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43.5</v>
      </c>
      <c r="N418" s="15" cm="1">
        <f t="array" ref="N418">IFERROR(_xlfn.LET(_xlpm.e,E418,_xlpm.f,F418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418" s="15" t="str">
        <f t="shared" si="56"/>
        <v>45 days → 42 days</v>
      </c>
      <c r="P418" s="34" cm="1">
        <f t="array" ref="P418">IFERROR(_xlfn.LET(_xlpm.g,G418,_xlpm.f,F418,_xlpm.h,H418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6.6666518518847737E-2</v>
      </c>
      <c r="Q418" s="15" t="str" cm="1">
        <f t="array" ref="Q418">IFERROR(_xlfn.LET(_xlpm.e,E418,_xlpm.g,G418,_xlpm.h,H418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8" s="15" t="str">
        <f t="shared" si="57"/>
        <v>🔴 Lagging</v>
      </c>
      <c r="S418" s="35" cm="1">
        <f t="array" ref="S418">IFERROR(_xlfn.LET(_xlpm.e,E418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418" s="36">
        <f t="shared" si="58"/>
        <v>19.230732248591828</v>
      </c>
      <c r="U418" s="15">
        <f t="shared" si="59"/>
        <v>475</v>
      </c>
      <c r="V418" s="16">
        <f t="shared" si="60"/>
        <v>1396.1223151493937</v>
      </c>
      <c r="W418" s="16">
        <f t="shared" si="61"/>
        <v>3471.9495590867746</v>
      </c>
      <c r="X418" s="37">
        <f t="shared" si="62"/>
        <v>62</v>
      </c>
      <c r="Y418" s="15" t="str">
        <f t="shared" si="63"/>
        <v>📊 Medium</v>
      </c>
    </row>
    <row r="419" spans="1:25" x14ac:dyDescent="0.2">
      <c r="A419" t="str">
        <f>'5. KPI Baselines'!A404</f>
        <v>RED Global</v>
      </c>
      <c r="B419" t="str">
        <f>'5. KPI Baselines'!B404</f>
        <v>Human Resources</v>
      </c>
      <c r="C419" t="str">
        <f>'5. KPI Baselines'!C404</f>
        <v>Training &amp; Development</v>
      </c>
      <c r="D419" t="str">
        <f>'5. KPI Baselines'!D404</f>
        <v>New Hire Time to Productivity</v>
      </c>
      <c r="E419" t="str">
        <f>'5. KPI Baselines'!E404</f>
        <v>18 months</v>
      </c>
      <c r="F419" t="str">
        <f>'5. KPI Baselines'!F404</f>
        <v>9 months</v>
      </c>
      <c r="G419" t="str">
        <f>'5. KPI Baselines'!G404</f>
        <v>12 months</v>
      </c>
      <c r="H419" t="str">
        <f>'5. KPI Baselines'!H404</f>
        <v>↓</v>
      </c>
      <c r="I419" t="str">
        <f>'5. KPI Baselines'!I404</f>
        <v>24 months</v>
      </c>
      <c r="J419" t="str">
        <f>'5. KPI Baselines'!J404</f>
        <v>Time to 80% of peer productivity metrics</v>
      </c>
      <c r="K419" s="15" t="str">
        <f t="shared" si="55"/>
        <v>18 months → 9 months</v>
      </c>
      <c r="L419" s="34" cm="1">
        <f t="array" ref="L419">IFERROR(_xlfn.LET(_xlpm.e,E419,_xlpm.f,F419,_xlpm.h,H419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0.49999722223765425</v>
      </c>
      <c r="M419" s="15" cm="1">
        <f t="array" ref="M419">IFERROR(_xlfn.LET(_xlpm.e,E419,_xlpm.f,F419,_xlpm.h,H419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10.4</v>
      </c>
      <c r="N419" s="15" cm="1">
        <f t="array" ref="N419">IFERROR(_xlfn.LET(_xlpm.e,E419,_xlpm.f,F419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419" s="15" t="str">
        <f t="shared" si="56"/>
        <v>12 months → 9 months</v>
      </c>
      <c r="P419" s="34" cm="1">
        <f t="array" ref="P419">IFERROR(_xlfn.LET(_xlpm.g,G419,_xlpm.f,F419,_xlpm.h,H419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0.24999791668402763</v>
      </c>
      <c r="Q419" s="15" t="str" cm="1">
        <f t="array" ref="Q419">IFERROR(_xlfn.LET(_xlpm.e,E419,_xlpm.g,G419,_xlpm.h,H419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19" s="15" t="str">
        <f t="shared" si="57"/>
        <v>🔴 Lagging</v>
      </c>
      <c r="S419" s="35" cm="1">
        <f t="array" ref="S419">IFERROR(_xlfn.LET(_xlpm.e,E419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419" s="36">
        <f t="shared" si="58"/>
        <v>49.999722223765424</v>
      </c>
      <c r="U419" s="15">
        <f t="shared" si="59"/>
        <v>226</v>
      </c>
      <c r="V419" s="16">
        <f t="shared" si="60"/>
        <v>1256.505519413781</v>
      </c>
      <c r="W419" s="16">
        <f t="shared" si="61"/>
        <v>3124.7432526368289</v>
      </c>
      <c r="X419" s="37">
        <f t="shared" si="62"/>
        <v>69</v>
      </c>
      <c r="Y419" s="15" t="str">
        <f t="shared" si="63"/>
        <v>⚠️ High</v>
      </c>
    </row>
    <row r="420" spans="1:25" x14ac:dyDescent="0.2">
      <c r="A420" t="str">
        <f>'5. KPI Baselines'!A405</f>
        <v>RED Global</v>
      </c>
      <c r="B420" t="str">
        <f>'5. KPI Baselines'!B405</f>
        <v>Risk &amp; Compliance</v>
      </c>
      <c r="C420" t="str">
        <f>'5. KPI Baselines'!C405</f>
        <v>Audit Preparation</v>
      </c>
      <c r="D420" t="str">
        <f>'5. KPI Baselines'!D405</f>
        <v>Audit Response Time</v>
      </c>
      <c r="E420" t="str">
        <f>'5. KPI Baselines'!E405</f>
        <v>45 days</v>
      </c>
      <c r="F420" t="str">
        <f>'5. KPI Baselines'!F405</f>
        <v>15 days</v>
      </c>
      <c r="G420" t="str">
        <f>'5. KPI Baselines'!G405</f>
        <v>30 days</v>
      </c>
      <c r="H420" t="str">
        <f>'5. KPI Baselines'!H405</f>
        <v>↓</v>
      </c>
      <c r="I420" t="str">
        <f>'5. KPI Baselines'!I405</f>
        <v>18 months</v>
      </c>
      <c r="J420" t="str">
        <f>'5. KPI Baselines'!J405</f>
        <v>Request receipt to complete documentation package</v>
      </c>
      <c r="K420" s="15" t="str">
        <f t="shared" si="55"/>
        <v>45 days → 15 days</v>
      </c>
      <c r="L420" s="34" cm="1">
        <f t="array" ref="L420">IFERROR(_xlfn.LET(_xlpm.e,E420,_xlpm.f,F420,_xlpm.h,H420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0.66666518518847728</v>
      </c>
      <c r="M420" s="15" cm="1">
        <f t="array" ref="M420">IFERROR(_xlfn.LET(_xlpm.e,E420,_xlpm.f,F420,_xlpm.h,H420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19.5</v>
      </c>
      <c r="N420" s="15" cm="1">
        <f t="array" ref="N420">IFERROR(_xlfn.LET(_xlpm.e,E420,_xlpm.f,F420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22.95</v>
      </c>
      <c r="O420" s="15" t="str">
        <f t="shared" si="56"/>
        <v>30 days → 15 days</v>
      </c>
      <c r="P420" s="34" cm="1">
        <f t="array" ref="P420">IFERROR(_xlfn.LET(_xlpm.g,G420,_xlpm.f,F420,_xlpm.h,H420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0.49999833333888888</v>
      </c>
      <c r="Q420" s="15" t="str" cm="1">
        <f t="array" ref="Q420">IFERROR(_xlfn.LET(_xlpm.e,E420,_xlpm.g,G420,_xlpm.h,H420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0" s="15" t="str">
        <f t="shared" si="57"/>
        <v>🔴 Lagging</v>
      </c>
      <c r="S420" s="35" cm="1">
        <f t="array" ref="S420">IFERROR(_xlfn.LET(_xlpm.e,E420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420" s="36">
        <f t="shared" si="58"/>
        <v>66.666518518847724</v>
      </c>
      <c r="U420" s="15">
        <f t="shared" si="59"/>
        <v>90</v>
      </c>
      <c r="V420" s="16">
        <f t="shared" si="60"/>
        <v>4188.3656925206824</v>
      </c>
      <c r="W420" s="16">
        <f t="shared" si="61"/>
        <v>10415.845561415081</v>
      </c>
      <c r="X420" s="37">
        <f t="shared" si="62"/>
        <v>21</v>
      </c>
      <c r="Y420" s="15" t="str">
        <f t="shared" si="63"/>
        <v>🔥 Critical</v>
      </c>
    </row>
    <row r="421" spans="1:25" x14ac:dyDescent="0.2">
      <c r="A421" t="str">
        <f>'5. KPI Baselines'!A406</f>
        <v>RED Global</v>
      </c>
      <c r="B421" t="str">
        <f>'5. KPI Baselines'!B406</f>
        <v>Technology</v>
      </c>
      <c r="C421" t="str">
        <f>'5. KPI Baselines'!C406</f>
        <v>System Integration</v>
      </c>
      <c r="D421" t="str">
        <f>'5. KPI Baselines'!D406</f>
        <v>API Development Cycle Time</v>
      </c>
      <c r="E421" t="str">
        <f>'5. KPI Baselines'!E406</f>
        <v>6 months</v>
      </c>
      <c r="F421" t="str">
        <f>'5. KPI Baselines'!F406</f>
        <v>2 months</v>
      </c>
      <c r="G421" t="str">
        <f>'5. KPI Baselines'!G406</f>
        <v>3 months</v>
      </c>
      <c r="H421" t="str">
        <f>'5. KPI Baselines'!H406</f>
        <v>↓</v>
      </c>
      <c r="I421" t="str">
        <f>'5. KPI Baselines'!I406</f>
        <v>24 months</v>
      </c>
      <c r="J421" t="str">
        <f>'5. KPI Baselines'!J406</f>
        <v>Requirement definition to production deployment</v>
      </c>
      <c r="K421" s="15" t="str">
        <f t="shared" si="55"/>
        <v>6 months → 2 months</v>
      </c>
      <c r="L421" s="34" cm="1">
        <f t="array" ref="L421">IFERROR(_xlfn.LET(_xlpm.e,E421,_xlpm.f,F421,_xlpm.h,H421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0.66665555574073765</v>
      </c>
      <c r="M421" s="15" cm="1">
        <f t="array" ref="M421">IFERROR(_xlfn.LET(_xlpm.e,E421,_xlpm.f,F421,_xlpm.h,H421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421" s="15" cm="1">
        <f t="array" ref="N421">IFERROR(_xlfn.LET(_xlpm.e,E421,_xlpm.f,F421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421" s="15" t="str">
        <f t="shared" si="56"/>
        <v>3 months → 2 months</v>
      </c>
      <c r="P421" s="34" cm="1">
        <f t="array" ref="P421">IFERROR(_xlfn.LET(_xlpm.g,G421,_xlpm.f,F421,_xlpm.h,H421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0.33332222259258021</v>
      </c>
      <c r="Q421" s="15" t="str" cm="1">
        <f t="array" ref="Q421">IFERROR(_xlfn.LET(_xlpm.e,E421,_xlpm.g,G421,_xlpm.h,H421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1" s="15" t="str">
        <f t="shared" si="57"/>
        <v>🔴 Lagging</v>
      </c>
      <c r="S421" s="35" cm="1">
        <f t="array" ref="S421">IFERROR(_xlfn.LET(_xlpm.e,E421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421" s="36">
        <f t="shared" si="58"/>
        <v>66.665555574073764</v>
      </c>
      <c r="U421" s="15">
        <f t="shared" si="59"/>
        <v>105</v>
      </c>
      <c r="V421" s="16">
        <f t="shared" si="60"/>
        <v>558.44069265512235</v>
      </c>
      <c r="W421" s="16">
        <f t="shared" si="61"/>
        <v>1388.7593483760004</v>
      </c>
      <c r="X421" s="37">
        <f t="shared" si="62"/>
        <v>155</v>
      </c>
      <c r="Y421" s="15" t="str">
        <f t="shared" si="63"/>
        <v>🔥 Critical</v>
      </c>
    </row>
    <row r="422" spans="1:25" x14ac:dyDescent="0.2">
      <c r="A422" t="str">
        <f>'5. KPI Baselines'!A407</f>
        <v>RED Global</v>
      </c>
      <c r="B422" t="str">
        <f>'5. KPI Baselines'!B407</f>
        <v>Procurement</v>
      </c>
      <c r="C422" t="str">
        <f>'5. KPI Baselines'!C407</f>
        <v>Vendor Management</v>
      </c>
      <c r="D422" t="str">
        <f>'5. KPI Baselines'!D407</f>
        <v>Contract Renewal Processing Time</v>
      </c>
      <c r="E422" t="str">
        <f>'5. KPI Baselines'!E407</f>
        <v>60 days</v>
      </c>
      <c r="F422" t="str">
        <f>'5. KPI Baselines'!F407</f>
        <v>30 days</v>
      </c>
      <c r="G422" t="str">
        <f>'5. KPI Baselines'!G407</f>
        <v>45 days</v>
      </c>
      <c r="H422" t="str">
        <f>'5. KPI Baselines'!H407</f>
        <v>↓</v>
      </c>
      <c r="I422" t="str">
        <f>'5. KPI Baselines'!I407</f>
        <v>18 months</v>
      </c>
      <c r="J422" t="str">
        <f>'5. KPI Baselines'!J407</f>
        <v>Negotiation start to executed agreement</v>
      </c>
      <c r="K422" s="15" t="str">
        <f t="shared" si="55"/>
        <v>60 days → 30 days</v>
      </c>
      <c r="L422" s="34" cm="1">
        <f t="array" ref="L422">IFERROR(_xlfn.LET(_xlpm.e,E422,_xlpm.f,F422,_xlpm.h,H422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0.49999916666805555</v>
      </c>
      <c r="M422" s="15" cm="1">
        <f t="array" ref="M422">IFERROR(_xlfn.LET(_xlpm.e,E422,_xlpm.f,F422,_xlpm.h,H422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34.5</v>
      </c>
      <c r="N422" s="15" cm="1">
        <f t="array" ref="N422">IFERROR(_xlfn.LET(_xlpm.e,E422,_xlpm.f,F422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22.95</v>
      </c>
      <c r="O422" s="15" t="str">
        <f t="shared" si="56"/>
        <v>45 days → 30 days</v>
      </c>
      <c r="P422" s="34" cm="1">
        <f t="array" ref="P422">IFERROR(_xlfn.LET(_xlpm.g,G422,_xlpm.f,F422,_xlpm.h,H422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0.33333259259423864</v>
      </c>
      <c r="Q422" s="15" t="str" cm="1">
        <f t="array" ref="Q422">IFERROR(_xlfn.LET(_xlpm.e,E422,_xlpm.g,G422,_xlpm.h,H422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2" s="15" t="str">
        <f t="shared" si="57"/>
        <v>🔴 Lagging</v>
      </c>
      <c r="S422" s="35" cm="1">
        <f t="array" ref="S422">IFERROR(_xlfn.LET(_xlpm.e,E422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60</v>
      </c>
      <c r="T422" s="36">
        <f t="shared" si="58"/>
        <v>49.999916666805554</v>
      </c>
      <c r="U422" s="15">
        <f t="shared" si="59"/>
        <v>222</v>
      </c>
      <c r="V422" s="16">
        <f t="shared" si="60"/>
        <v>4188.3680193866339</v>
      </c>
      <c r="W422" s="16">
        <f t="shared" si="61"/>
        <v>10415.851347986303</v>
      </c>
      <c r="X422" s="37">
        <f t="shared" si="62"/>
        <v>21</v>
      </c>
      <c r="Y422" s="15" t="str">
        <f t="shared" si="63"/>
        <v>⚠️ High</v>
      </c>
    </row>
    <row r="423" spans="1:25" x14ac:dyDescent="0.2">
      <c r="A423" t="str">
        <f>'5. KPI Baselines'!A408</f>
        <v>ROI CX Solutions</v>
      </c>
      <c r="B423" t="str">
        <f>'5. KPI Baselines'!B408</f>
        <v>Business Development</v>
      </c>
      <c r="C423" t="str">
        <f>'5. KPI Baselines'!C408</f>
        <v>Proposal Development</v>
      </c>
      <c r="D423" t="str">
        <f>'5. KPI Baselines'!D408</f>
        <v>Proposal Win Rate</v>
      </c>
      <c r="E423" t="str">
        <f>'5. KPI Baselines'!E408</f>
        <v>31%</v>
      </c>
      <c r="F423" t="str">
        <f>'5. KPI Baselines'!F408</f>
        <v>42%</v>
      </c>
      <c r="G423" t="str">
        <f>'5. KPI Baselines'!G408</f>
        <v>38% (Consulting Industry)</v>
      </c>
      <c r="H423" t="str">
        <f>'5. KPI Baselines'!H408</f>
        <v>↑</v>
      </c>
      <c r="I423" t="str">
        <f>'5. KPI Baselines'!I408</f>
        <v>18 months</v>
      </c>
      <c r="J423" t="str">
        <f>'5. KPI Baselines'!J408</f>
        <v>Won opportunities / Total submitted proposals</v>
      </c>
      <c r="K423" s="15" t="str">
        <f t="shared" si="55"/>
        <v>42% - 31%</v>
      </c>
      <c r="L423" s="34" cm="1">
        <f t="array" ref="L423">IFERROR(_xlfn.LET(_xlpm.e,E423,_xlpm.f,F423,_xlpm.h,H423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0.35483756504011277</v>
      </c>
      <c r="M423" s="15" cm="1">
        <f t="array" ref="M423">IFERROR(_xlfn.LET(_xlpm.e,E423,_xlpm.f,F423,_xlpm.h,H423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40.4</v>
      </c>
      <c r="N423" s="15" cm="1">
        <f t="array" ref="N423">IFERROR(_xlfn.LET(_xlpm.e,E423,_xlpm.f,F423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423" s="15" t="str">
        <f t="shared" si="56"/>
        <v>42% - 38% (Consulting Industry)</v>
      </c>
      <c r="P423" s="34" cm="1">
        <f t="array" ref="P423">IFERROR(_xlfn.LET(_xlpm.g,G423,_xlpm.f,F423,_xlpm.h,H423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0.10526288088715555</v>
      </c>
      <c r="Q423" s="15" t="str" cm="1">
        <f t="array" ref="Q423">IFERROR(_xlfn.LET(_xlpm.e,E423,_xlpm.g,G423,_xlpm.h,H423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3" s="15" t="str">
        <f t="shared" si="57"/>
        <v>🔴 Lagging</v>
      </c>
      <c r="S423" s="35" cm="1">
        <f t="array" ref="S423">IFERROR(_xlfn.LET(_xlpm.e,E423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31</v>
      </c>
      <c r="T423" s="36">
        <f t="shared" si="58"/>
        <v>35.483756504011275</v>
      </c>
      <c r="U423" s="15">
        <f t="shared" si="59"/>
        <v>353</v>
      </c>
      <c r="V423" s="16">
        <f t="shared" si="60"/>
        <v>1535.7325460240452</v>
      </c>
      <c r="W423" s="16">
        <f t="shared" si="61"/>
        <v>3819.1395396991688</v>
      </c>
      <c r="X423" s="37">
        <f t="shared" si="62"/>
        <v>57</v>
      </c>
      <c r="Y423" s="15" t="str">
        <f t="shared" si="63"/>
        <v>⚠️ High</v>
      </c>
    </row>
    <row r="424" spans="1:25" x14ac:dyDescent="0.2">
      <c r="A424" t="str">
        <f>'5. KPI Baselines'!A409</f>
        <v>ROI CX Solutions</v>
      </c>
      <c r="B424" t="str">
        <f>'5. KPI Baselines'!B409</f>
        <v>Business Development</v>
      </c>
      <c r="C424" t="str">
        <f>'5. KPI Baselines'!C409</f>
        <v>Proposal Development</v>
      </c>
      <c r="D424" t="str">
        <f>'5. KPI Baselines'!D409</f>
        <v>Proposal Cycle Time</v>
      </c>
      <c r="E424" t="str">
        <f>'5. KPI Baselines'!E409</f>
        <v>12 days</v>
      </c>
      <c r="F424" t="str">
        <f>'5. KPI Baselines'!F409</f>
        <v>5 days</v>
      </c>
      <c r="G424" t="str">
        <f>'5. KPI Baselines'!G409</f>
        <v>9 days (Professional Services)</v>
      </c>
      <c r="H424" t="str">
        <f>'5. KPI Baselines'!H409</f>
        <v>↓</v>
      </c>
      <c r="I424" t="str">
        <f>'5. KPI Baselines'!I409</f>
        <v>12 months</v>
      </c>
      <c r="J424" t="str">
        <f>'5. KPI Baselines'!J409</f>
        <v>Average days from RFP receipt to submission</v>
      </c>
      <c r="K424" s="15" t="str">
        <f t="shared" si="55"/>
        <v>12 days → 5 days</v>
      </c>
      <c r="L424" s="34" cm="1">
        <f t="array" ref="L424">IFERROR(_xlfn.LET(_xlpm.e,E424,_xlpm.f,F424,_xlpm.h,H424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424" s="15" cm="1">
        <f t="array" ref="M424">IFERROR(_xlfn.LET(_xlpm.e,E424,_xlpm.f,F424,_xlpm.h,H424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424" s="15" cm="1">
        <f t="array" ref="N424">IFERROR(_xlfn.LET(_xlpm.e,E424,_xlpm.f,F424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24" s="15" t="str">
        <f t="shared" si="56"/>
        <v>9 days (Professional Services) → 5 days</v>
      </c>
      <c r="P424" s="34" cm="1">
        <f t="array" ref="P424">IFERROR(_xlfn.LET(_xlpm.g,G424,_xlpm.f,F424,_xlpm.h,H424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0.44443950622770861</v>
      </c>
      <c r="Q424" s="15" t="str" cm="1">
        <f t="array" ref="Q424">IFERROR(_xlfn.LET(_xlpm.e,E424,_xlpm.g,G424,_xlpm.h,H424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4" s="15" t="str">
        <f t="shared" si="57"/>
        <v>🔴 Lagging</v>
      </c>
      <c r="S424" s="35" cm="1">
        <f t="array" ref="S424">IFERROR(_xlfn.LET(_xlpm.e,E424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24" s="36">
        <f t="shared" si="58"/>
        <v>58.33284722627311</v>
      </c>
      <c r="U424" s="15">
        <f t="shared" si="59"/>
        <v>160</v>
      </c>
      <c r="V424" s="16">
        <f t="shared" si="60"/>
        <v>977.27935600536659</v>
      </c>
      <c r="W424" s="16">
        <f t="shared" si="61"/>
        <v>2430.3491122297269</v>
      </c>
      <c r="X424" s="37">
        <f t="shared" si="62"/>
        <v>89</v>
      </c>
      <c r="Y424" s="15" t="str">
        <f t="shared" si="63"/>
        <v>🔥 Critical</v>
      </c>
    </row>
    <row r="425" spans="1:25" x14ac:dyDescent="0.2">
      <c r="A425" t="str">
        <f>'5. KPI Baselines'!A410</f>
        <v>ROI CX Solutions</v>
      </c>
      <c r="B425" t="str">
        <f>'5. KPI Baselines'!B410</f>
        <v>Business Development</v>
      </c>
      <c r="C425" t="str">
        <f>'5. KPI Baselines'!C410</f>
        <v>Pipeline Management</v>
      </c>
      <c r="D425" t="str">
        <f>'5. KPI Baselines'!D410</f>
        <v>Opportunity Decline Rate</v>
      </c>
      <c r="E425" t="str">
        <f>'5. KPI Baselines'!E410</f>
        <v>23%</v>
      </c>
      <c r="F425" t="str">
        <f>'5. KPI Baselines'!F410</f>
        <v>8%</v>
      </c>
      <c r="G425" t="str">
        <f>'5. KPI Baselines'!G410</f>
        <v>12% (Consulting Firms)</v>
      </c>
      <c r="H425" t="str">
        <f>'5. KPI Baselines'!H410</f>
        <v>↓</v>
      </c>
      <c r="I425" t="str">
        <f>'5. KPI Baselines'!I410</f>
        <v>18 months</v>
      </c>
      <c r="J425" t="str">
        <f>'5. KPI Baselines'!J410</f>
        <v>Declined opportunities / Total inbound opportunities</v>
      </c>
      <c r="K425" s="15" t="str">
        <f t="shared" si="55"/>
        <v>23% → 8%</v>
      </c>
      <c r="L425" s="34" cm="1">
        <f t="array" ref="L425">IFERROR(_xlfn.LET(_xlpm.e,E425,_xlpm.f,F425,_xlpm.h,H425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0.65217107751705428</v>
      </c>
      <c r="M425" s="15" cm="1">
        <f t="array" ref="M425">IFERROR(_xlfn.LET(_xlpm.e,E425,_xlpm.f,F425,_xlpm.h,H425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10.3</v>
      </c>
      <c r="N425" s="15" cm="1">
        <f t="array" ref="N425">IFERROR(_xlfn.LET(_xlpm.e,E425,_xlpm.f,F425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425" s="15" t="str">
        <f t="shared" si="56"/>
        <v>12% (Consulting Firms) → 8%</v>
      </c>
      <c r="P425" s="34" cm="1">
        <f t="array" ref="P425">IFERROR(_xlfn.LET(_xlpm.g,G425,_xlpm.f,F425,_xlpm.h,H425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0.3333305555787035</v>
      </c>
      <c r="Q425" s="15" t="str" cm="1">
        <f t="array" ref="Q425">IFERROR(_xlfn.LET(_xlpm.e,E425,_xlpm.g,G425,_xlpm.h,H425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5" s="15" t="str">
        <f t="shared" si="57"/>
        <v>🔴 Lagging</v>
      </c>
      <c r="S425" s="35" cm="1">
        <f t="array" ref="S425">IFERROR(_xlfn.LET(_xlpm.e,E425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425" s="36">
        <f t="shared" si="58"/>
        <v>65.217107751705427</v>
      </c>
      <c r="U425" s="15">
        <f t="shared" si="59"/>
        <v>109</v>
      </c>
      <c r="V425" s="16">
        <f t="shared" si="60"/>
        <v>2094.1783948765442</v>
      </c>
      <c r="W425" s="16">
        <f t="shared" si="61"/>
        <v>5207.9117107748807</v>
      </c>
      <c r="X425" s="37">
        <f t="shared" si="62"/>
        <v>42</v>
      </c>
      <c r="Y425" s="15" t="str">
        <f t="shared" si="63"/>
        <v>🔥 Critical</v>
      </c>
    </row>
    <row r="426" spans="1:25" x14ac:dyDescent="0.2">
      <c r="A426" t="str">
        <f>'5. KPI Baselines'!A411</f>
        <v>ROI CX Solutions</v>
      </c>
      <c r="B426" t="str">
        <f>'5. KPI Baselines'!B411</f>
        <v>Client Delivery</v>
      </c>
      <c r="C426" t="str">
        <f>'5. KPI Baselines'!C411</f>
        <v>Project Management</v>
      </c>
      <c r="D426" t="str">
        <f>'5. KPI Baselines'!D411</f>
        <v>Timeline Variance</v>
      </c>
      <c r="E426" t="str">
        <f>'5. KPI Baselines'!E411</f>
        <v>8 days extension (40% of projects)</v>
      </c>
      <c r="F426" t="str">
        <f>'5. KPI Baselines'!F411</f>
        <v>3 days extension</v>
      </c>
      <c r="G426" t="str">
        <f>'5. KPI Baselines'!G411</f>
        <v>4 days (Industry Average)</v>
      </c>
      <c r="H426" t="str">
        <f>'5. KPI Baselines'!H411</f>
        <v>↓</v>
      </c>
      <c r="I426" t="str">
        <f>'5. KPI Baselines'!I411</f>
        <v>12 months</v>
      </c>
      <c r="J426" t="str">
        <f>'5. KPI Baselines'!J411</f>
        <v>Average project delivery delay in days</v>
      </c>
      <c r="K426" s="15" t="str">
        <f t="shared" si="55"/>
        <v>8 days extension (40% of projects) → 3 days extension</v>
      </c>
      <c r="L426" s="34" t="str" cm="1">
        <f t="array" ref="L426">IFERROR(_xlfn.LET(_xlpm.e,E426,_xlpm.f,F426,_xlpm.h,H426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26" s="15" t="str" cm="1">
        <f t="array" ref="M426">IFERROR(_xlfn.LET(_xlpm.e,E426,_xlpm.f,F426,_xlpm.h,H426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26" s="15" t="str" cm="1">
        <f t="array" ref="N426">IFERROR(_xlfn.LET(_xlpm.e,E426,_xlpm.f,F426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26" s="15" t="str">
        <f t="shared" si="56"/>
        <v>4 days (Industry Average) → 3 days extension</v>
      </c>
      <c r="P426" s="34" t="str" cm="1">
        <f t="array" ref="P426">IFERROR(_xlfn.LET(_xlpm.g,G426,_xlpm.f,F426,_xlpm.h,H426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26" s="15" t="str" cm="1">
        <f t="array" ref="Q426">IFERROR(_xlfn.LET(_xlpm.e,E426,_xlpm.g,G426,_xlpm.h,H426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26" s="15" t="str">
        <f t="shared" si="57"/>
        <v>⚪ N/A</v>
      </c>
      <c r="S426" s="35" cm="1">
        <f t="array" ref="S426">IFERROR(_xlfn.LET(_xlpm.e,E426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26" s="36">
        <f t="shared" si="58"/>
        <v>0</v>
      </c>
      <c r="U426" s="15">
        <f t="shared" si="59"/>
        <v>554</v>
      </c>
      <c r="V426" s="16">
        <f t="shared" si="60"/>
        <v>0</v>
      </c>
      <c r="W426" s="16">
        <f t="shared" si="61"/>
        <v>0</v>
      </c>
      <c r="X426" s="37" t="str">
        <f t="shared" si="62"/>
        <v>-</v>
      </c>
      <c r="Y426" s="15" t="str">
        <f t="shared" si="63"/>
        <v>📉 Low</v>
      </c>
    </row>
    <row r="427" spans="1:25" x14ac:dyDescent="0.2">
      <c r="A427" t="str">
        <f>'5. KPI Baselines'!A412</f>
        <v>ROI CX Solutions</v>
      </c>
      <c r="B427" t="str">
        <f>'5. KPI Baselines'!B412</f>
        <v>Client Delivery</v>
      </c>
      <c r="C427" t="str">
        <f>'5. KPI Baselines'!C412</f>
        <v>Project Management</v>
      </c>
      <c r="D427" t="str">
        <f>'5. KPI Baselines'!D412</f>
        <v>Exception Identification Lag</v>
      </c>
      <c r="E427" t="str">
        <f>'5. KPI Baselines'!E412</f>
        <v>5 days</v>
      </c>
      <c r="F427" t="str">
        <f>'5. KPI Baselines'!F412</f>
        <v>1 day</v>
      </c>
      <c r="G427" t="str">
        <f>'5. KPI Baselines'!G412</f>
        <v>2 days (Best-in-Class)</v>
      </c>
      <c r="H427" t="str">
        <f>'5. KPI Baselines'!H412</f>
        <v>↓</v>
      </c>
      <c r="I427" t="str">
        <f>'5. KPI Baselines'!I412</f>
        <v>9 months</v>
      </c>
      <c r="J427" t="str">
        <f>'5. KPI Baselines'!J412</f>
        <v>Days between issue occurrence and escalation</v>
      </c>
      <c r="K427" s="15" t="str">
        <f t="shared" si="55"/>
        <v>5 days → 1 day</v>
      </c>
      <c r="L427" s="34" cm="1">
        <f t="array" ref="L427">IFERROR(_xlfn.LET(_xlpm.e,E427,_xlpm.f,F427,_xlpm.h,H427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0.79998400031999362</v>
      </c>
      <c r="M427" s="15" cm="1">
        <f t="array" ref="M427">IFERROR(_xlfn.LET(_xlpm.e,E427,_xlpm.f,F427,_xlpm.h,H427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1.6</v>
      </c>
      <c r="N427" s="15" cm="1">
        <f t="array" ref="N427">IFERROR(_xlfn.LET(_xlpm.e,E427,_xlpm.f,F427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427" s="15" t="str">
        <f t="shared" si="56"/>
        <v>2 days (Best-in-Class) → 1 day</v>
      </c>
      <c r="P427" s="34" cm="1">
        <f t="array" ref="P427">IFERROR(_xlfn.LET(_xlpm.g,G427,_xlpm.f,F427,_xlpm.h,H427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427" s="15" t="str" cm="1">
        <f t="array" ref="Q427">IFERROR(_xlfn.LET(_xlpm.e,E427,_xlpm.g,G427,_xlpm.h,H427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7" s="15" t="str">
        <f t="shared" si="57"/>
        <v>🔴 Lagging</v>
      </c>
      <c r="S427" s="35" cm="1">
        <f t="array" ref="S427">IFERROR(_xlfn.LET(_xlpm.e,E427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</v>
      </c>
      <c r="T427" s="36">
        <f t="shared" si="58"/>
        <v>79.998400031999367</v>
      </c>
      <c r="U427" s="15">
        <f t="shared" si="59"/>
        <v>38</v>
      </c>
      <c r="V427" s="16">
        <f t="shared" si="60"/>
        <v>558.43883122337559</v>
      </c>
      <c r="W427" s="16">
        <f t="shared" si="61"/>
        <v>1388.7547192707548</v>
      </c>
      <c r="X427" s="37">
        <f t="shared" si="62"/>
        <v>155</v>
      </c>
      <c r="Y427" s="15" t="str">
        <f t="shared" si="63"/>
        <v>🔥 Critical</v>
      </c>
    </row>
    <row r="428" spans="1:25" x14ac:dyDescent="0.2">
      <c r="A428" t="str">
        <f>'5. KPI Baselines'!A413</f>
        <v>ROI CX Solutions</v>
      </c>
      <c r="B428" t="str">
        <f>'5. KPI Baselines'!B413</f>
        <v>Client Delivery</v>
      </c>
      <c r="C428" t="str">
        <f>'5. KPI Baselines'!C413</f>
        <v>Margin Management</v>
      </c>
      <c r="D428" t="str">
        <f>'5. KPI Baselines'!D413</f>
        <v>Project Margin Erosion</v>
      </c>
      <c r="E428" t="str">
        <f>'5. KPI Baselines'!E413</f>
        <v>4.2 percentage points</v>
      </c>
      <c r="F428" t="str">
        <f>'5. KPI Baselines'!F413</f>
        <v>1.8 percentage points</v>
      </c>
      <c r="G428" t="str">
        <f>'5. KPI Baselines'!G413</f>
        <v>2.1 percentage points (Consulting)</v>
      </c>
      <c r="H428" t="str">
        <f>'5. KPI Baselines'!H413</f>
        <v>↓</v>
      </c>
      <c r="I428" t="str">
        <f>'5. KPI Baselines'!I413</f>
        <v>18 months</v>
      </c>
      <c r="J428" t="str">
        <f>'5. KPI Baselines'!J413</f>
        <v>Planned margin - Actual margin at project close</v>
      </c>
      <c r="K428" s="15" t="str">
        <f t="shared" si="55"/>
        <v>4.2 percentage points → 1.8 percentage points</v>
      </c>
      <c r="L428" s="34" t="str" cm="1">
        <f t="array" ref="L428">IFERROR(_xlfn.LET(_xlpm.e,E428,_xlpm.f,F428,_xlpm.h,H428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28" s="15" t="str" cm="1">
        <f t="array" ref="M428">IFERROR(_xlfn.LET(_xlpm.e,E428,_xlpm.f,F428,_xlpm.h,H428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28" s="15" t="str" cm="1">
        <f t="array" ref="N428">IFERROR(_xlfn.LET(_xlpm.e,E428,_xlpm.f,F428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28" s="15" t="str">
        <f t="shared" si="56"/>
        <v>2.1 percentage points (Consulting) → 1.8 percentage points</v>
      </c>
      <c r="P428" s="34" t="str" cm="1">
        <f t="array" ref="P428">IFERROR(_xlfn.LET(_xlpm.g,G428,_xlpm.f,F428,_xlpm.h,H428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28" s="15" t="str" cm="1">
        <f t="array" ref="Q428">IFERROR(_xlfn.LET(_xlpm.e,E428,_xlpm.g,G428,_xlpm.h,H428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28" s="15" t="str">
        <f t="shared" si="57"/>
        <v>⚪ N/A</v>
      </c>
      <c r="S428" s="35" cm="1">
        <f t="array" ref="S428">IFERROR(_xlfn.LET(_xlpm.e,E428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28" s="36">
        <f t="shared" si="58"/>
        <v>0</v>
      </c>
      <c r="U428" s="15">
        <f t="shared" si="59"/>
        <v>554</v>
      </c>
      <c r="V428" s="16">
        <f t="shared" si="60"/>
        <v>0</v>
      </c>
      <c r="W428" s="16">
        <f t="shared" si="61"/>
        <v>0</v>
      </c>
      <c r="X428" s="37" t="str">
        <f t="shared" si="62"/>
        <v>-</v>
      </c>
      <c r="Y428" s="15" t="str">
        <f t="shared" si="63"/>
        <v>📉 Low</v>
      </c>
    </row>
    <row r="429" spans="1:25" x14ac:dyDescent="0.2">
      <c r="A429" t="str">
        <f>'5. KPI Baselines'!A414</f>
        <v>ROI CX Solutions</v>
      </c>
      <c r="B429" t="str">
        <f>'5. KPI Baselines'!B414</f>
        <v>Knowledge Management</v>
      </c>
      <c r="C429" t="str">
        <f>'5. KPI Baselines'!C414</f>
        <v>Content Repository</v>
      </c>
      <c r="D429" t="str">
        <f>'5. KPI Baselines'!D414</f>
        <v>Deliverable Recreation Rate</v>
      </c>
      <c r="E429" t="str">
        <f>'5. KPI Baselines'!E414</f>
        <v>34%</v>
      </c>
      <c r="F429" t="str">
        <f>'5. KPI Baselines'!F414</f>
        <v>8%</v>
      </c>
      <c r="G429" t="str">
        <f>'5. KPI Baselines'!G414</f>
        <v>18% (Knowledge-Intensive Services)</v>
      </c>
      <c r="H429" t="str">
        <f>'5. KPI Baselines'!H414</f>
        <v>↓</v>
      </c>
      <c r="I429" t="str">
        <f>'5. KPI Baselines'!I414</f>
        <v>12 months</v>
      </c>
      <c r="J429" t="str">
        <f>'5. KPI Baselines'!J414</f>
        <v>Recreated assets / Total deliverables produced</v>
      </c>
      <c r="K429" s="15" t="str">
        <f t="shared" si="55"/>
        <v>34% → 8%</v>
      </c>
      <c r="L429" s="34" cm="1">
        <f t="array" ref="L429">IFERROR(_xlfn.LET(_xlpm.e,E429,_xlpm.f,F429,_xlpm.h,H429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0.7647036332246081</v>
      </c>
      <c r="M429" s="15" cm="1">
        <f t="array" ref="M429">IFERROR(_xlfn.LET(_xlpm.e,E429,_xlpm.f,F429,_xlpm.h,H429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11.9</v>
      </c>
      <c r="N429" s="15" cm="1">
        <f t="array" ref="N429">IFERROR(_xlfn.LET(_xlpm.e,E429,_xlpm.f,F429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19.89</v>
      </c>
      <c r="O429" s="15" t="str">
        <f t="shared" si="56"/>
        <v>18% (Knowledge-Intensive Services) → 8%</v>
      </c>
      <c r="P429" s="34" cm="1">
        <f t="array" ref="P429">IFERROR(_xlfn.LET(_xlpm.g,G429,_xlpm.f,F429,_xlpm.h,H429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0.5555524691529492</v>
      </c>
      <c r="Q429" s="15" t="str" cm="1">
        <f t="array" ref="Q429">IFERROR(_xlfn.LET(_xlpm.e,E429,_xlpm.g,G429,_xlpm.h,H429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29" s="15" t="str">
        <f t="shared" si="57"/>
        <v>🔴 Lagging</v>
      </c>
      <c r="S429" s="35" cm="1">
        <f t="array" ref="S429">IFERROR(_xlfn.LET(_xlpm.e,E429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429" s="36">
        <f t="shared" si="58"/>
        <v>76.470363322460813</v>
      </c>
      <c r="U429" s="15">
        <f t="shared" si="59"/>
        <v>48</v>
      </c>
      <c r="V429" s="16">
        <f t="shared" si="60"/>
        <v>3629.9143237814001</v>
      </c>
      <c r="W429" s="16">
        <f t="shared" si="61"/>
        <v>9027.0596631979297</v>
      </c>
      <c r="X429" s="37">
        <f t="shared" si="62"/>
        <v>24</v>
      </c>
      <c r="Y429" s="15" t="str">
        <f t="shared" si="63"/>
        <v>🔥 Critical</v>
      </c>
    </row>
    <row r="430" spans="1:25" x14ac:dyDescent="0.2">
      <c r="A430" t="str">
        <f>'5. KPI Baselines'!A415</f>
        <v>ROI CX Solutions</v>
      </c>
      <c r="B430" t="str">
        <f>'5. KPI Baselines'!B415</f>
        <v>Knowledge Management</v>
      </c>
      <c r="C430" t="str">
        <f>'5. KPI Baselines'!C415</f>
        <v>Content Search</v>
      </c>
      <c r="D430" t="str">
        <f>'5. KPI Baselines'!D415</f>
        <v>Knowledge Search Time</v>
      </c>
      <c r="E430" t="str">
        <f>'5. KPI Baselines'!E415</f>
        <v>6,400 hours annually</v>
      </c>
      <c r="F430" t="str">
        <f>'5. KPI Baselines'!F415</f>
        <v>2,100 hours</v>
      </c>
      <c r="G430" t="str">
        <f>'5. KPI Baselines'!G415</f>
        <v>3,200 hours (285-person firm)</v>
      </c>
      <c r="H430" t="str">
        <f>'5. KPI Baselines'!H415</f>
        <v>↓</v>
      </c>
      <c r="I430" t="str">
        <f>'5. KPI Baselines'!I415</f>
        <v>12 months</v>
      </c>
      <c r="J430" t="str">
        <f>'5. KPI Baselines'!J415</f>
        <v>Consultant hours spent searching for existing content</v>
      </c>
      <c r="K430" s="15" t="str">
        <f t="shared" si="55"/>
        <v>6,400 hours annually → 2,100 hours</v>
      </c>
      <c r="L430" s="34" cm="1">
        <f t="array" ref="L430">IFERROR(_xlfn.LET(_xlpm.e,E430,_xlpm.f,F430,_xlpm.h,H430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0.67187498950195323</v>
      </c>
      <c r="M430" s="15" cm="1">
        <f t="array" ref="M430">IFERROR(_xlfn.LET(_xlpm.e,E430,_xlpm.f,F430,_xlpm.h,H430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2745</v>
      </c>
      <c r="N430" s="15" cm="1">
        <f t="array" ref="N430">IFERROR(_xlfn.LET(_xlpm.e,E430,_xlpm.f,F430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3289.5</v>
      </c>
      <c r="O430" s="15" t="str">
        <f t="shared" si="56"/>
        <v>3,200 hours (285-person firm) → 2,100 hours</v>
      </c>
      <c r="P430" s="34" cm="1">
        <f t="array" ref="P430">IFERROR(_xlfn.LET(_xlpm.g,G430,_xlpm.f,F430,_xlpm.h,H430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0.3437499892578128</v>
      </c>
      <c r="Q430" s="15" t="str" cm="1">
        <f t="array" ref="Q430">IFERROR(_xlfn.LET(_xlpm.e,E430,_xlpm.g,G430,_xlpm.h,H430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30" s="15" t="str">
        <f t="shared" si="57"/>
        <v>🔴 Lagging</v>
      </c>
      <c r="S430" s="35" cm="1">
        <f t="array" ref="S430">IFERROR(_xlfn.LET(_xlpm.e,E430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6400</v>
      </c>
      <c r="T430" s="36">
        <f t="shared" si="58"/>
        <v>67.187498950195319</v>
      </c>
      <c r="U430" s="15">
        <f t="shared" si="59"/>
        <v>88</v>
      </c>
      <c r="V430" s="16">
        <f t="shared" si="60"/>
        <v>600333.74061978527</v>
      </c>
      <c r="W430" s="16">
        <f t="shared" si="61"/>
        <v>1492941.1581153201</v>
      </c>
      <c r="X430" s="37">
        <f t="shared" si="62"/>
        <v>0</v>
      </c>
      <c r="Y430" s="15" t="str">
        <f t="shared" si="63"/>
        <v>🔥 Critical</v>
      </c>
    </row>
    <row r="431" spans="1:25" x14ac:dyDescent="0.2">
      <c r="A431" t="str">
        <f>'5. KPI Baselines'!A416</f>
        <v>ROI CX Solutions</v>
      </c>
      <c r="B431" t="str">
        <f>'5. KPI Baselines'!B416</f>
        <v>Account Management</v>
      </c>
      <c r="C431" t="str">
        <f>'5. KPI Baselines'!C416</f>
        <v>Client Retention</v>
      </c>
      <c r="D431" t="str">
        <f>'5. KPI Baselines'!D416</f>
        <v>Annual Retention Rate</v>
      </c>
      <c r="E431" t="str">
        <f>'5. KPI Baselines'!E416</f>
        <v>78%</v>
      </c>
      <c r="F431" t="str">
        <f>'5. KPI Baselines'!F416</f>
        <v>86%</v>
      </c>
      <c r="G431" t="str">
        <f>'5. KPI Baselines'!G416</f>
        <v>84% (CX Consulting)</v>
      </c>
      <c r="H431" t="str">
        <f>'5. KPI Baselines'!H416</f>
        <v>↑</v>
      </c>
      <c r="I431" t="str">
        <f>'5. KPI Baselines'!I416</f>
        <v>24 months</v>
      </c>
      <c r="J431" t="str">
        <f>'5. KPI Baselines'!J416</f>
        <v>Retained clients / Total client base</v>
      </c>
      <c r="K431" s="15" t="str">
        <f t="shared" si="55"/>
        <v>86% - 78%</v>
      </c>
      <c r="L431" s="34" cm="1">
        <f t="array" ref="L431">IFERROR(_xlfn.LET(_xlpm.e,E431,_xlpm.f,F431,_xlpm.h,H431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0.10256397107183196</v>
      </c>
      <c r="M431" s="15" cm="1">
        <f t="array" ref="M431">IFERROR(_xlfn.LET(_xlpm.e,E431,_xlpm.f,F431,_xlpm.h,H431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84.8</v>
      </c>
      <c r="N431" s="15" cm="1">
        <f t="array" ref="N431">IFERROR(_xlfn.LET(_xlpm.e,E431,_xlpm.f,F431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431" s="15" t="str">
        <f t="shared" si="56"/>
        <v>86% - 84% (CX Consulting)</v>
      </c>
      <c r="P431" s="34" cm="1">
        <f t="array" ref="P431">IFERROR(_xlfn.LET(_xlpm.g,G431,_xlpm.f,F431,_xlpm.h,H431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2.3809495464886352E-2</v>
      </c>
      <c r="Q431" s="15" t="str" cm="1">
        <f t="array" ref="Q431">IFERROR(_xlfn.LET(_xlpm.e,E431,_xlpm.g,G431,_xlpm.h,H431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31" s="15" t="str">
        <f t="shared" si="57"/>
        <v>🔴 Lagging</v>
      </c>
      <c r="S431" s="35" cm="1">
        <f t="array" ref="S431">IFERROR(_xlfn.LET(_xlpm.e,E431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78</v>
      </c>
      <c r="T431" s="36">
        <f t="shared" si="58"/>
        <v>10.256397107183195</v>
      </c>
      <c r="U431" s="15">
        <f t="shared" si="59"/>
        <v>520</v>
      </c>
      <c r="V431" s="16">
        <f t="shared" si="60"/>
        <v>1116.8985680787591</v>
      </c>
      <c r="W431" s="16">
        <f t="shared" si="61"/>
        <v>2777.5614277540913</v>
      </c>
      <c r="X431" s="37">
        <f t="shared" si="62"/>
        <v>78</v>
      </c>
      <c r="Y431" s="15" t="str">
        <f t="shared" si="63"/>
        <v>📊 Medium</v>
      </c>
    </row>
    <row r="432" spans="1:25" x14ac:dyDescent="0.2">
      <c r="A432" t="str">
        <f>'5. KPI Baselines'!A417</f>
        <v>ROI CX Solutions</v>
      </c>
      <c r="B432" t="str">
        <f>'5. KPI Baselines'!B417</f>
        <v>Account Management</v>
      </c>
      <c r="C432" t="str">
        <f>'5. KPI Baselines'!C417</f>
        <v>Client Satisfaction</v>
      </c>
      <c r="D432" t="str">
        <f>'5. KPI Baselines'!D417</f>
        <v>CSAT Variance on Delayed Projects</v>
      </c>
      <c r="E432" t="str">
        <f>'5. KPI Baselines'!E417</f>
        <v>12-point drop</v>
      </c>
      <c r="F432" t="str">
        <f>'5. KPI Baselines'!F417</f>
        <v>4-point variance</v>
      </c>
      <c r="G432" t="str">
        <f>'5. KPI Baselines'!G417</f>
        <v>5-point variance (Industry)</v>
      </c>
      <c r="H432" t="str">
        <f>'5. KPI Baselines'!H417</f>
        <v>↓</v>
      </c>
      <c r="I432" t="str">
        <f>'5. KPI Baselines'!I417</f>
        <v>12 months</v>
      </c>
      <c r="J432" t="str">
        <f>'5. KPI Baselines'!J417</f>
        <v>CSAT score difference: on-time vs delayed projects</v>
      </c>
      <c r="K432" s="15" t="str">
        <f t="shared" si="55"/>
        <v>12-point drop → 4-point variance</v>
      </c>
      <c r="L432" s="34" t="str" cm="1">
        <f t="array" ref="L432">IFERROR(_xlfn.LET(_xlpm.e,E432,_xlpm.f,F432,_xlpm.h,H432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32" s="15" t="str" cm="1">
        <f t="array" ref="M432">IFERROR(_xlfn.LET(_xlpm.e,E432,_xlpm.f,F432,_xlpm.h,H432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32" s="15" t="str" cm="1">
        <f t="array" ref="N432">IFERROR(_xlfn.LET(_xlpm.e,E432,_xlpm.f,F432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32" s="15" t="str">
        <f t="shared" si="56"/>
        <v>5-point variance (Industry) → 4-point variance</v>
      </c>
      <c r="P432" s="34" t="str" cm="1">
        <f t="array" ref="P432">IFERROR(_xlfn.LET(_xlpm.g,G432,_xlpm.f,F432,_xlpm.h,H432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2" s="15" t="str" cm="1">
        <f t="array" ref="Q432">IFERROR(_xlfn.LET(_xlpm.e,E432,_xlpm.g,G432,_xlpm.h,H432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2" s="15" t="str">
        <f t="shared" si="57"/>
        <v>⚪ N/A</v>
      </c>
      <c r="S432" s="35" cm="1">
        <f t="array" ref="S432">IFERROR(_xlfn.LET(_xlpm.e,E432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32" s="36">
        <f t="shared" si="58"/>
        <v>0</v>
      </c>
      <c r="U432" s="15">
        <f t="shared" si="59"/>
        <v>554</v>
      </c>
      <c r="V432" s="16">
        <f t="shared" si="60"/>
        <v>0</v>
      </c>
      <c r="W432" s="16">
        <f t="shared" si="61"/>
        <v>0</v>
      </c>
      <c r="X432" s="37" t="str">
        <f t="shared" si="62"/>
        <v>-</v>
      </c>
      <c r="Y432" s="15" t="str">
        <f t="shared" si="63"/>
        <v>📉 Low</v>
      </c>
    </row>
    <row r="433" spans="1:25" x14ac:dyDescent="0.2">
      <c r="A433" t="str">
        <f>'5. KPI Baselines'!A418</f>
        <v>ROI CX Solutions</v>
      </c>
      <c r="B433" t="str">
        <f>'5. KPI Baselines'!B418</f>
        <v>Consulting Practice</v>
      </c>
      <c r="C433" t="str">
        <f>'5. KPI Baselines'!C418</f>
        <v>Capacity Utilization</v>
      </c>
      <c r="D433" t="str">
        <f>'5. KPI Baselines'!D418</f>
        <v>Senior Consultant Billable Rate</v>
      </c>
      <c r="E433" t="str">
        <f>'5. KPI Baselines'!E418</f>
        <v>65% (35% on proposals)</v>
      </c>
      <c r="F433" t="str">
        <f>'5. KPI Baselines'!F418</f>
        <v>82%</v>
      </c>
      <c r="G433" t="str">
        <f>'5. KPI Baselines'!G418</f>
        <v>78% (Consulting Benchmark)</v>
      </c>
      <c r="H433" t="str">
        <f>'5. KPI Baselines'!H418</f>
        <v>↑</v>
      </c>
      <c r="I433" t="str">
        <f>'5. KPI Baselines'!I418</f>
        <v>18 months</v>
      </c>
      <c r="J433" t="str">
        <f>'5. KPI Baselines'!J418</f>
        <v>Billable hours / Total available hours</v>
      </c>
      <c r="K433" s="15" t="str">
        <f t="shared" si="55"/>
        <v>82% - 65% (35% on proposals)</v>
      </c>
      <c r="L433" s="34" cm="1">
        <f t="array" ref="L433">IFERROR(_xlfn.LET(_xlpm.e,E433,_xlpm.f,F433,_xlpm.h,H433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0.26153805917221662</v>
      </c>
      <c r="M433" s="15" cm="1">
        <f t="array" ref="M433">IFERROR(_xlfn.LET(_xlpm.e,E433,_xlpm.f,F433,_xlpm.h,H433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79.5</v>
      </c>
      <c r="N433" s="15" cm="1">
        <f t="array" ref="N433">IFERROR(_xlfn.LET(_xlpm.e,E433,_xlpm.f,F433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433" s="15" t="str">
        <f t="shared" si="56"/>
        <v>82% - 78% (Consulting Benchmark)</v>
      </c>
      <c r="P433" s="34" cm="1">
        <f t="array" ref="P433">IFERROR(_xlfn.LET(_xlpm.g,G433,_xlpm.f,F433,_xlpm.h,H433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5.128198553591598E-2</v>
      </c>
      <c r="Q433" s="15" t="str" cm="1">
        <f t="array" ref="Q433">IFERROR(_xlfn.LET(_xlpm.e,E433,_xlpm.g,G433,_xlpm.h,H433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33" s="15" t="str">
        <f t="shared" si="57"/>
        <v>🔴 Lagging</v>
      </c>
      <c r="S433" s="35" cm="1">
        <f t="array" ref="S433">IFERROR(_xlfn.LET(_xlpm.e,E433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65</v>
      </c>
      <c r="T433" s="36">
        <f t="shared" si="58"/>
        <v>26.153805917221661</v>
      </c>
      <c r="U433" s="15">
        <f t="shared" si="59"/>
        <v>417</v>
      </c>
      <c r="V433" s="16">
        <f t="shared" si="60"/>
        <v>2373.4088486017713</v>
      </c>
      <c r="W433" s="16">
        <f t="shared" si="61"/>
        <v>5902.3165205648911</v>
      </c>
      <c r="X433" s="37">
        <f t="shared" si="62"/>
        <v>37</v>
      </c>
      <c r="Y433" s="15" t="str">
        <f t="shared" si="63"/>
        <v>⚠️ High</v>
      </c>
    </row>
    <row r="434" spans="1:25" x14ac:dyDescent="0.2">
      <c r="A434" t="str">
        <f>'5. KPI Baselines'!A419</f>
        <v>ROI CX Solutions</v>
      </c>
      <c r="B434" t="str">
        <f>'5. KPI Baselines'!B419</f>
        <v>Intellectual Property</v>
      </c>
      <c r="C434" t="str">
        <f>'5. KPI Baselines'!C419</f>
        <v>IP Monetization</v>
      </c>
      <c r="D434" t="str">
        <f>'5. KPI Baselines'!D419</f>
        <v>Framework Licensing Revenue</v>
      </c>
      <c r="E434" t="str">
        <f>'5. KPI Baselines'!E419</f>
        <v>$0</v>
      </c>
      <c r="F434" t="str">
        <f>'5. KPI Baselines'!F419</f>
        <v>$1.2M</v>
      </c>
      <c r="G434" t="str">
        <f>'5. KPI Baselines'!G419</f>
        <v>$800K (Similar Firm Size)</v>
      </c>
      <c r="H434" t="str">
        <f>'5. KPI Baselines'!H419</f>
        <v>↑</v>
      </c>
      <c r="I434" t="str">
        <f>'5. KPI Baselines'!I419</f>
        <v>24 months</v>
      </c>
      <c r="J434" t="str">
        <f>'5. KPI Baselines'!J419</f>
        <v>Annual revenue from methodology licensing</v>
      </c>
      <c r="K434" s="15" t="str">
        <f t="shared" si="55"/>
        <v>$1.2M - $0</v>
      </c>
      <c r="L434" s="34" t="str" cm="1">
        <f t="array" ref="L434">IFERROR(_xlfn.LET(_xlpm.e,E434,_xlpm.f,F434,_xlpm.h,H434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34" s="15" t="str" cm="1">
        <f t="array" ref="M434">IFERROR(_xlfn.LET(_xlpm.e,E434,_xlpm.f,F434,_xlpm.h,H434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34" s="15" t="str" cm="1">
        <f t="array" ref="N434">IFERROR(_xlfn.LET(_xlpm.e,E434,_xlpm.f,F434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34" s="15" t="str">
        <f t="shared" si="56"/>
        <v>$1.2M - $800K (Similar Firm Size)</v>
      </c>
      <c r="P434" s="34" t="str" cm="1">
        <f t="array" ref="P434">IFERROR(_xlfn.LET(_xlpm.g,G434,_xlpm.f,F434,_xlpm.h,H434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4" s="15" t="str" cm="1">
        <f t="array" ref="Q434">IFERROR(_xlfn.LET(_xlpm.e,E434,_xlpm.g,G434,_xlpm.h,H434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4" s="15" t="str">
        <f t="shared" si="57"/>
        <v>⚪ N/A</v>
      </c>
      <c r="S434" s="35" cm="1">
        <f t="array" ref="S434">IFERROR(_xlfn.LET(_xlpm.e,E434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34" s="36">
        <f t="shared" si="58"/>
        <v>0</v>
      </c>
      <c r="U434" s="15">
        <f t="shared" si="59"/>
        <v>554</v>
      </c>
      <c r="V434" s="16">
        <f t="shared" si="60"/>
        <v>0</v>
      </c>
      <c r="W434" s="16">
        <f t="shared" si="61"/>
        <v>0</v>
      </c>
      <c r="X434" s="37" t="str">
        <f t="shared" si="62"/>
        <v>-</v>
      </c>
      <c r="Y434" s="15" t="str">
        <f t="shared" si="63"/>
        <v>📉 Low</v>
      </c>
    </row>
    <row r="435" spans="1:25" x14ac:dyDescent="0.2">
      <c r="A435" t="str">
        <f>'5. KPI Baselines'!A420</f>
        <v>Redwood Logistics</v>
      </c>
      <c r="B435" t="str">
        <f>'5. KPI Baselines'!B420</f>
        <v>Sales Operations</v>
      </c>
      <c r="C435" t="str">
        <f>'5. KPI Baselines'!C420</f>
        <v>Freight Quoting</v>
      </c>
      <c r="D435" t="str">
        <f>'5. KPI Baselines'!D420</f>
        <v>Quote Turnaround Time</v>
      </c>
      <c r="E435" t="str">
        <f>'5. KPI Baselines'!E420</f>
        <v>48 hours</v>
      </c>
      <c r="F435" t="str">
        <f>'5. KPI Baselines'!F420</f>
        <v>6 hours</v>
      </c>
      <c r="G435" t="str">
        <f>'5. KPI Baselines'!G420</f>
        <v>6-12 hours (top quartile)</v>
      </c>
      <c r="H435" t="str">
        <f>'5. KPI Baselines'!H420</f>
        <v>↓</v>
      </c>
      <c r="I435" t="str">
        <f>'5. KPI Baselines'!I420</f>
        <v>12 months</v>
      </c>
      <c r="J435" t="str">
        <f>'5. KPI Baselines'!J420</f>
        <v>Median time from RFQ receipt to quote delivery</v>
      </c>
      <c r="K435" s="15" t="str">
        <f t="shared" si="55"/>
        <v>48 hours → 6 hours</v>
      </c>
      <c r="L435" s="34" cm="1">
        <f t="array" ref="L435">IFERROR(_xlfn.LET(_xlpm.e,E435,_xlpm.f,F435,_xlpm.h,H435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0.87499817708713101</v>
      </c>
      <c r="M435" s="15" cm="1">
        <f t="array" ref="M435">IFERROR(_xlfn.LET(_xlpm.e,E435,_xlpm.f,F435,_xlpm.h,H435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12.3</v>
      </c>
      <c r="N435" s="15" cm="1">
        <f t="array" ref="N435">IFERROR(_xlfn.LET(_xlpm.e,E435,_xlpm.f,F435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32.130000000000003</v>
      </c>
      <c r="O435" s="15" t="str">
        <f t="shared" si="56"/>
        <v>6-12 hours (top quartile) → 6 hours</v>
      </c>
      <c r="P435" s="34" cm="1">
        <f t="array" ref="P435">IFERROR(_xlfn.LET(_xlpm.g,G435,_xlpm.f,F435,_xlpm.h,H435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0.99987008552588486</v>
      </c>
      <c r="Q435" s="15" t="str" cm="1">
        <f t="array" ref="Q435">IFERROR(_xlfn.LET(_xlpm.e,E435,_xlpm.g,G435,_xlpm.h,H435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35" s="15" t="str">
        <f t="shared" si="57"/>
        <v>🟢 Leading</v>
      </c>
      <c r="S435" s="35" cm="1">
        <f t="array" ref="S435">IFERROR(_xlfn.LET(_xlpm.e,E435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48</v>
      </c>
      <c r="T435" s="36">
        <f t="shared" si="58"/>
        <v>87.499817708713095</v>
      </c>
      <c r="U435" s="15">
        <f t="shared" si="59"/>
        <v>20</v>
      </c>
      <c r="V435" s="16">
        <f t="shared" si="60"/>
        <v>5863.7127839317</v>
      </c>
      <c r="W435" s="16">
        <f t="shared" si="61"/>
        <v>14582.185811280198</v>
      </c>
      <c r="X435" s="37">
        <f t="shared" si="62"/>
        <v>15</v>
      </c>
      <c r="Y435" s="15" t="str">
        <f t="shared" si="63"/>
        <v>🔥 Critical</v>
      </c>
    </row>
    <row r="436" spans="1:25" x14ac:dyDescent="0.2">
      <c r="A436" t="str">
        <f>'5. KPI Baselines'!A421</f>
        <v>Redwood Logistics</v>
      </c>
      <c r="B436" t="str">
        <f>'5. KPI Baselines'!B421</f>
        <v>Sales Operations</v>
      </c>
      <c r="C436" t="str">
        <f>'5. KPI Baselines'!C421</f>
        <v>Bid Management</v>
      </c>
      <c r="D436" t="str">
        <f>'5. KPI Baselines'!D421</f>
        <v>Annual Bid Capacity</v>
      </c>
      <c r="E436" t="str">
        <f>'5. KPI Baselines'!E421</f>
        <v>185,000 bids</v>
      </c>
      <c r="F436" t="str">
        <f>'5. KPI Baselines'!F421</f>
        <v>280,000 bids</v>
      </c>
      <c r="G436" t="str">
        <f>'5. KPI Baselines'!G421</f>
        <v>250K-300K (scaled competitors)</v>
      </c>
      <c r="H436" t="str">
        <f>'5. KPI Baselines'!H421</f>
        <v>↑</v>
      </c>
      <c r="I436" t="str">
        <f>'5. KPI Baselines'!I421</f>
        <v>18 months</v>
      </c>
      <c r="J436" t="str">
        <f>'5. KPI Baselines'!J421</f>
        <v>Total RFQs processed without quality degradation</v>
      </c>
      <c r="K436" s="15" t="str">
        <f t="shared" si="55"/>
        <v>280,000 bids - 185,000 bids</v>
      </c>
      <c r="L436" s="34" cm="1">
        <f t="array" ref="L436">IFERROR(_xlfn.LET(_xlpm.e,E436,_xlpm.f,F436,_xlpm.h,H436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0.51351351323593863</v>
      </c>
      <c r="M436" s="15" cm="1">
        <f t="array" ref="M436">IFERROR(_xlfn.LET(_xlpm.e,E436,_xlpm.f,F436,_xlpm.h,H436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265750</v>
      </c>
      <c r="N436" s="15" cm="1">
        <f t="array" ref="N436">IFERROR(_xlfn.LET(_xlpm.e,E436,_xlpm.f,F436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72675</v>
      </c>
      <c r="O436" s="15" t="str">
        <f t="shared" si="56"/>
        <v>280,000 bids - 250K-300K (scaled competitors)</v>
      </c>
      <c r="P436" s="34" t="str" cm="1">
        <f t="array" ref="P436">IFERROR(_xlfn.LET(_xlpm.g,G436,_xlpm.f,F436,_xlpm.h,H436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6" s="15" t="str" cm="1">
        <f t="array" ref="Q436">IFERROR(_xlfn.LET(_xlpm.e,E436,_xlpm.g,G436,_xlpm.h,H436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6" s="15" t="str">
        <f t="shared" si="57"/>
        <v>⚪ N/A</v>
      </c>
      <c r="S436" s="35" cm="1">
        <f t="array" ref="S436">IFERROR(_xlfn.LET(_xlpm.e,E436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185000</v>
      </c>
      <c r="T436" s="36">
        <f t="shared" si="58"/>
        <v>51.35135132359386</v>
      </c>
      <c r="U436" s="15">
        <f t="shared" si="59"/>
        <v>213</v>
      </c>
      <c r="V436" s="16">
        <f t="shared" si="60"/>
        <v>13263187.492830709</v>
      </c>
      <c r="W436" s="16">
        <f t="shared" si="61"/>
        <v>32983584.223343115</v>
      </c>
      <c r="X436" s="37">
        <f t="shared" si="62"/>
        <v>0</v>
      </c>
      <c r="Y436" s="15" t="str">
        <f t="shared" si="63"/>
        <v>🔥 Critical</v>
      </c>
    </row>
    <row r="437" spans="1:25" x14ac:dyDescent="0.2">
      <c r="A437" t="str">
        <f>'5. KPI Baselines'!A422</f>
        <v>Redwood Logistics</v>
      </c>
      <c r="B437" t="str">
        <f>'5. KPI Baselines'!B422</f>
        <v>Procurement</v>
      </c>
      <c r="C437" t="str">
        <f>'5. KPI Baselines'!C422</f>
        <v>Carrier Selection</v>
      </c>
      <c r="D437" t="str">
        <f>'5. KPI Baselines'!D422</f>
        <v>Freight Gross Margin</v>
      </c>
      <c r="E437" t="str">
        <f>'5. KPI Baselines'!E422</f>
        <v>16.2%</v>
      </c>
      <c r="F437" t="str">
        <f>'5. KPI Baselines'!F422</f>
        <v>18.5%</v>
      </c>
      <c r="G437" t="str">
        <f>'5. KPI Baselines'!G422</f>
        <v>17.5-19% (efficient brokers)</v>
      </c>
      <c r="H437" t="str">
        <f>'5. KPI Baselines'!H422</f>
        <v>↑</v>
      </c>
      <c r="I437" t="str">
        <f>'5. KPI Baselines'!I422</f>
        <v>24 months</v>
      </c>
      <c r="J437" t="str">
        <f>'5. KPI Baselines'!J422</f>
        <v>Revenue minus carrier cost / Revenue</v>
      </c>
      <c r="K437" s="15" t="str">
        <f t="shared" si="55"/>
        <v>18.5% - 16.2%</v>
      </c>
      <c r="L437" s="34" cm="1">
        <f t="array" ref="L437">IFERROR(_xlfn.LET(_xlpm.e,E437,_xlpm.f,F437,_xlpm.h,H437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0.14197443225659107</v>
      </c>
      <c r="M437" s="15" cm="1">
        <f t="array" ref="M437">IFERROR(_xlfn.LET(_xlpm.e,E437,_xlpm.f,F437,_xlpm.h,H437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18.2</v>
      </c>
      <c r="N437" s="15" cm="1">
        <f t="array" ref="N437">IFERROR(_xlfn.LET(_xlpm.e,E437,_xlpm.f,F437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1.76</v>
      </c>
      <c r="O437" s="15" t="str">
        <f t="shared" si="56"/>
        <v>18.5% - 17.5-19% (efficient brokers)</v>
      </c>
      <c r="P437" s="34" t="str" cm="1">
        <f t="array" ref="P437">IFERROR(_xlfn.LET(_xlpm.g,G437,_xlpm.f,F437,_xlpm.h,H437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7" s="15" t="str" cm="1">
        <f t="array" ref="Q437">IFERROR(_xlfn.LET(_xlpm.e,E437,_xlpm.g,G437,_xlpm.h,H437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7" s="15" t="str">
        <f t="shared" si="57"/>
        <v>⚪ N/A</v>
      </c>
      <c r="S437" s="35" cm="1">
        <f t="array" ref="S437">IFERROR(_xlfn.LET(_xlpm.e,E437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16.2</v>
      </c>
      <c r="T437" s="36">
        <f t="shared" si="58"/>
        <v>14.197443225659107</v>
      </c>
      <c r="U437" s="15">
        <f t="shared" si="59"/>
        <v>503</v>
      </c>
      <c r="V437" s="16">
        <f t="shared" si="60"/>
        <v>321.10676785945776</v>
      </c>
      <c r="W437" s="16">
        <f t="shared" si="61"/>
        <v>798.54500496980177</v>
      </c>
      <c r="X437" s="37">
        <f t="shared" si="62"/>
        <v>267</v>
      </c>
      <c r="Y437" s="15" t="str">
        <f t="shared" si="63"/>
        <v>📊 Medium</v>
      </c>
    </row>
    <row r="438" spans="1:25" x14ac:dyDescent="0.2">
      <c r="A438" t="str">
        <f>'5. KPI Baselines'!A423</f>
        <v>Redwood Logistics</v>
      </c>
      <c r="B438" t="str">
        <f>'5. KPI Baselines'!B423</f>
        <v>Procurement</v>
      </c>
      <c r="C438" t="str">
        <f>'5. KPI Baselines'!C423</f>
        <v>Carrier Network</v>
      </c>
      <c r="D438" t="str">
        <f>'5. KPI Baselines'!D423</f>
        <v>Active Carrier Relationships</v>
      </c>
      <c r="E438" t="str">
        <f>'5. KPI Baselines'!E423</f>
        <v>4,800 carriers</v>
      </c>
      <c r="F438" t="str">
        <f>'5. KPI Baselines'!F423</f>
        <v>6,200 carriers</v>
      </c>
      <c r="G438" t="str">
        <f>'5. KPI Baselines'!G423</f>
        <v>5,500-7,000 (national brokers)</v>
      </c>
      <c r="H438" t="str">
        <f>'5. KPI Baselines'!H423</f>
        <v>↑</v>
      </c>
      <c r="I438" t="str">
        <f>'5. KPI Baselines'!I423</f>
        <v>18 months</v>
      </c>
      <c r="J438" t="str">
        <f>'5. KPI Baselines'!J423</f>
        <v>Carriers with activity in trailing 90 days</v>
      </c>
      <c r="K438" s="15" t="str">
        <f t="shared" si="55"/>
        <v>6,200 carriers - 4,800 carriers</v>
      </c>
      <c r="L438" s="34" t="str" cm="1">
        <f t="array" ref="L438">IFERROR(_xlfn.LET(_xlpm.e,E438,_xlpm.f,F438,_xlpm.h,H438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38" s="15" t="str" cm="1">
        <f t="array" ref="M438">IFERROR(_xlfn.LET(_xlpm.e,E438,_xlpm.f,F438,_xlpm.h,H438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38" s="15" t="str" cm="1">
        <f t="array" ref="N438">IFERROR(_xlfn.LET(_xlpm.e,E438,_xlpm.f,F438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38" s="15" t="str">
        <f t="shared" si="56"/>
        <v>6,200 carriers - 5,500-7,000 (national brokers)</v>
      </c>
      <c r="P438" s="34" t="str" cm="1">
        <f t="array" ref="P438">IFERROR(_xlfn.LET(_xlpm.g,G438,_xlpm.f,F438,_xlpm.h,H438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8" s="15" t="str" cm="1">
        <f t="array" ref="Q438">IFERROR(_xlfn.LET(_xlpm.e,E438,_xlpm.g,G438,_xlpm.h,H438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8" s="15" t="str">
        <f t="shared" si="57"/>
        <v>⚪ N/A</v>
      </c>
      <c r="S438" s="35" cm="1">
        <f t="array" ref="S438">IFERROR(_xlfn.LET(_xlpm.e,E438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38" s="36">
        <f t="shared" si="58"/>
        <v>0</v>
      </c>
      <c r="U438" s="15">
        <f t="shared" si="59"/>
        <v>554</v>
      </c>
      <c r="V438" s="16">
        <f t="shared" si="60"/>
        <v>0</v>
      </c>
      <c r="W438" s="16">
        <f t="shared" si="61"/>
        <v>0</v>
      </c>
      <c r="X438" s="37" t="str">
        <f t="shared" si="62"/>
        <v>-</v>
      </c>
      <c r="Y438" s="15" t="str">
        <f t="shared" si="63"/>
        <v>📉 Low</v>
      </c>
    </row>
    <row r="439" spans="1:25" x14ac:dyDescent="0.2">
      <c r="A439" t="str">
        <f>'5. KPI Baselines'!A424</f>
        <v>Redwood Logistics</v>
      </c>
      <c r="B439" t="str">
        <f>'5. KPI Baselines'!B424</f>
        <v>Customer Service</v>
      </c>
      <c r="C439" t="str">
        <f>'5. KPI Baselines'!C424</f>
        <v>Shipment Tracking</v>
      </c>
      <c r="D439" t="str">
        <f>'5. KPI Baselines'!D424</f>
        <v>Status Inquiry Volume</v>
      </c>
      <c r="E439" t="str">
        <f>'5. KPI Baselines'!E424</f>
        <v>340,000 annual inquiries</v>
      </c>
      <c r="F439" t="str">
        <f>'5. KPI Baselines'!F424</f>
        <v>85,000 inquiries</v>
      </c>
      <c r="G439" t="str">
        <f>'5. KPI Baselines'!G424</f>
        <v>180K-220K (automated competitors)</v>
      </c>
      <c r="H439" t="str">
        <f>'5. KPI Baselines'!H424</f>
        <v>↓</v>
      </c>
      <c r="I439" t="str">
        <f>'5. KPI Baselines'!I424</f>
        <v>12 months</v>
      </c>
      <c r="J439" t="str">
        <f>'5. KPI Baselines'!J424</f>
        <v>Total inbound calls/emails requesting shipment status</v>
      </c>
      <c r="K439" s="15" t="str">
        <f t="shared" si="55"/>
        <v>340,000 annual inquiries → 85,000 inquiries</v>
      </c>
      <c r="L439" s="34" t="str" cm="1">
        <f t="array" ref="L439">IFERROR(_xlfn.LET(_xlpm.e,E439,_xlpm.f,F439,_xlpm.h,H439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39" s="15" t="str" cm="1">
        <f t="array" ref="M439">IFERROR(_xlfn.LET(_xlpm.e,E439,_xlpm.f,F439,_xlpm.h,H439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39" s="15" t="str" cm="1">
        <f t="array" ref="N439">IFERROR(_xlfn.LET(_xlpm.e,E439,_xlpm.f,F439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39" s="15" t="str">
        <f t="shared" si="56"/>
        <v>180K-220K (automated competitors) → 85,000 inquiries</v>
      </c>
      <c r="P439" s="34" t="str" cm="1">
        <f t="array" ref="P439">IFERROR(_xlfn.LET(_xlpm.g,G439,_xlpm.f,F439,_xlpm.h,H439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39" s="15" t="str" cm="1">
        <f t="array" ref="Q439">IFERROR(_xlfn.LET(_xlpm.e,E439,_xlpm.g,G439,_xlpm.h,H439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39" s="15" t="str">
        <f t="shared" si="57"/>
        <v>⚪ N/A</v>
      </c>
      <c r="S439" s="35" cm="1">
        <f t="array" ref="S439">IFERROR(_xlfn.LET(_xlpm.e,E439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39" s="36">
        <f t="shared" si="58"/>
        <v>0</v>
      </c>
      <c r="U439" s="15">
        <f t="shared" si="59"/>
        <v>554</v>
      </c>
      <c r="V439" s="16">
        <f t="shared" si="60"/>
        <v>0</v>
      </c>
      <c r="W439" s="16">
        <f t="shared" si="61"/>
        <v>0</v>
      </c>
      <c r="X439" s="37" t="str">
        <f t="shared" si="62"/>
        <v>-</v>
      </c>
      <c r="Y439" s="15" t="str">
        <f t="shared" si="63"/>
        <v>📉 Low</v>
      </c>
    </row>
    <row r="440" spans="1:25" x14ac:dyDescent="0.2">
      <c r="A440" t="str">
        <f>'5. KPI Baselines'!A425</f>
        <v>Redwood Logistics</v>
      </c>
      <c r="B440" t="str">
        <f>'5. KPI Baselines'!B425</f>
        <v>Customer Service</v>
      </c>
      <c r="C440" t="str">
        <f>'5. KPI Baselines'!C425</f>
        <v>Account Management</v>
      </c>
      <c r="D440" t="str">
        <f>'5. KPI Baselines'!D425</f>
        <v>Proactive Client Engagement Hours</v>
      </c>
      <c r="E440" t="str">
        <f>'5. KPI Baselines'!E425</f>
        <v>8,200 hours annually</v>
      </c>
      <c r="F440" t="str">
        <f>'5. KPI Baselines'!F425</f>
        <v>12,400 hours</v>
      </c>
      <c r="G440" t="str">
        <f>'5. KPI Baselines'!G425</f>
        <v>12K-15K hours (relationship-focused)</v>
      </c>
      <c r="H440" t="str">
        <f>'5. KPI Baselines'!H425</f>
        <v>↑</v>
      </c>
      <c r="I440" t="str">
        <f>'5. KPI Baselines'!I425</f>
        <v>12 months</v>
      </c>
      <c r="J440" t="str">
        <f>'5. KPI Baselines'!J425</f>
        <v>Non-reactive client interaction time</v>
      </c>
      <c r="K440" s="15" t="str">
        <f t="shared" si="55"/>
        <v>12,400 hours - 8,200 hours annually</v>
      </c>
      <c r="L440" s="34" cm="1">
        <f t="array" ref="L440">IFERROR(_xlfn.LET(_xlpm.e,E440,_xlpm.f,F440,_xlpm.h,H440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0.5121951157049377</v>
      </c>
      <c r="M440" s="15" cm="1">
        <f t="array" ref="M440">IFERROR(_xlfn.LET(_xlpm.e,E440,_xlpm.f,F440,_xlpm.h,H440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11770</v>
      </c>
      <c r="N440" s="15" cm="1">
        <f t="array" ref="N440">IFERROR(_xlfn.LET(_xlpm.e,E440,_xlpm.f,F440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3213</v>
      </c>
      <c r="O440" s="15" t="str">
        <f t="shared" si="56"/>
        <v>12,400 hours - 12K-15K hours (relationship-focused)</v>
      </c>
      <c r="P440" s="34" t="str" cm="1">
        <f t="array" ref="P440">IFERROR(_xlfn.LET(_xlpm.g,G440,_xlpm.f,F440,_xlpm.h,H440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40" s="15" t="str" cm="1">
        <f t="array" ref="Q440">IFERROR(_xlfn.LET(_xlpm.e,E440,_xlpm.g,G440,_xlpm.h,H440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40" s="15" t="str">
        <f t="shared" si="57"/>
        <v>⚪ N/A</v>
      </c>
      <c r="S440" s="35" cm="1">
        <f t="array" ref="S440">IFERROR(_xlfn.LET(_xlpm.e,E440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8200</v>
      </c>
      <c r="T440" s="36">
        <f t="shared" si="58"/>
        <v>51.219511570493772</v>
      </c>
      <c r="U440" s="15">
        <f t="shared" si="59"/>
        <v>215</v>
      </c>
      <c r="V440" s="16">
        <f t="shared" si="60"/>
        <v>586372.49284911598</v>
      </c>
      <c r="W440" s="16">
        <f t="shared" si="61"/>
        <v>1458221.601300207</v>
      </c>
      <c r="X440" s="37">
        <f t="shared" si="62"/>
        <v>0</v>
      </c>
      <c r="Y440" s="15" t="str">
        <f t="shared" si="63"/>
        <v>🔥 Critical</v>
      </c>
    </row>
    <row r="441" spans="1:25" x14ac:dyDescent="0.2">
      <c r="A441" t="str">
        <f>'5. KPI Baselines'!A426</f>
        <v>Redwood Logistics</v>
      </c>
      <c r="B441" t="str">
        <f>'5. KPI Baselines'!B426</f>
        <v>Finance</v>
      </c>
      <c r="C441" t="str">
        <f>'5. KPI Baselines'!C426</f>
        <v>Freight Audit</v>
      </c>
      <c r="D441" t="str">
        <f>'5. KPI Baselines'!D426</f>
        <v>Invoice Exception Rate</v>
      </c>
      <c r="E441" t="str">
        <f>'5. KPI Baselines'!E426</f>
        <v>14%</v>
      </c>
      <c r="F441" t="str">
        <f>'5. KPI Baselines'!F426</f>
        <v>6%</v>
      </c>
      <c r="G441" t="str">
        <f>'5. KPI Baselines'!G426</f>
        <v>6-8% (best practice)</v>
      </c>
      <c r="H441" t="str">
        <f>'5. KPI Baselines'!H426</f>
        <v>↓</v>
      </c>
      <c r="I441" t="str">
        <f>'5. KPI Baselines'!I426</f>
        <v>18 months</v>
      </c>
      <c r="J441" t="str">
        <f>'5. KPI Baselines'!J426</f>
        <v>Invoices requiring manual investigation / Total invoices</v>
      </c>
      <c r="K441" s="15" t="str">
        <f t="shared" si="55"/>
        <v>14% → 6%</v>
      </c>
      <c r="L441" s="34" cm="1">
        <f t="array" ref="L441">IFERROR(_xlfn.LET(_xlpm.e,E441,_xlpm.f,F441,_xlpm.h,H441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0.57142448982507266</v>
      </c>
      <c r="M441" s="15" cm="1">
        <f t="array" ref="M441">IFERROR(_xlfn.LET(_xlpm.e,E441,_xlpm.f,F441,_xlpm.h,H441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7.2</v>
      </c>
      <c r="N441" s="15" cm="1">
        <f t="array" ref="N441">IFERROR(_xlfn.LET(_xlpm.e,E441,_xlpm.f,F441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441" s="15" t="str">
        <f t="shared" si="56"/>
        <v>6-8% (best practice) → 6%</v>
      </c>
      <c r="P441" s="34" cm="1">
        <f t="array" ref="P441">IFERROR(_xlfn.LET(_xlpm.g,G441,_xlpm.f,F441,_xlpm.h,H441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0.99987007427325081</v>
      </c>
      <c r="Q441" s="15" t="str" cm="1">
        <f t="array" ref="Q441">IFERROR(_xlfn.LET(_xlpm.e,E441,_xlpm.g,G441,_xlpm.h,H441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41" s="15" t="str">
        <f t="shared" si="57"/>
        <v>🟢 Leading</v>
      </c>
      <c r="S441" s="35" cm="1">
        <f t="array" ref="S441">IFERROR(_xlfn.LET(_xlpm.e,E441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441" s="36">
        <f t="shared" si="58"/>
        <v>57.142448982507268</v>
      </c>
      <c r="U441" s="15">
        <f t="shared" si="59"/>
        <v>173</v>
      </c>
      <c r="V441" s="16">
        <f t="shared" si="60"/>
        <v>1116.8920221998414</v>
      </c>
      <c r="W441" s="16">
        <f t="shared" si="61"/>
        <v>2777.5451491220724</v>
      </c>
      <c r="X441" s="37">
        <f t="shared" si="62"/>
        <v>78</v>
      </c>
      <c r="Y441" s="15" t="str">
        <f t="shared" si="63"/>
        <v>🔥 Critical</v>
      </c>
    </row>
    <row r="442" spans="1:25" x14ac:dyDescent="0.2">
      <c r="A442" t="str">
        <f>'5. KPI Baselines'!A427</f>
        <v>Redwood Logistics</v>
      </c>
      <c r="B442" t="str">
        <f>'5. KPI Baselines'!B427</f>
        <v>Finance</v>
      </c>
      <c r="C442" t="str">
        <f>'5. KPI Baselines'!C427</f>
        <v>Exception Resolution</v>
      </c>
      <c r="D442" t="str">
        <f>'5. KPI Baselines'!D427</f>
        <v>Average Resolution Cycle</v>
      </c>
      <c r="E442" t="str">
        <f>'5. KPI Baselines'!E427</f>
        <v>9 days</v>
      </c>
      <c r="F442" t="str">
        <f>'5. KPI Baselines'!F427</f>
        <v>2 days</v>
      </c>
      <c r="G442" t="str">
        <f>'5. KPI Baselines'!G427</f>
        <v>2-3 days (automated audit)</v>
      </c>
      <c r="H442" t="str">
        <f>'5. KPI Baselines'!H427</f>
        <v>↓</v>
      </c>
      <c r="I442" t="str">
        <f>'5. KPI Baselines'!I427</f>
        <v>12 months</v>
      </c>
      <c r="J442" t="str">
        <f>'5. KPI Baselines'!J427</f>
        <v>Days from exception identification to resolution</v>
      </c>
      <c r="K442" s="15" t="str">
        <f t="shared" si="55"/>
        <v>9 days → 2 days</v>
      </c>
      <c r="L442" s="34" cm="1">
        <f t="array" ref="L442">IFERROR(_xlfn.LET(_xlpm.e,E442,_xlpm.f,F442,_xlpm.h,H442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0.77776913589849006</v>
      </c>
      <c r="M442" s="15" cm="1">
        <f t="array" ref="M442">IFERROR(_xlfn.LET(_xlpm.e,E442,_xlpm.f,F442,_xlpm.h,H442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3.1</v>
      </c>
      <c r="N442" s="15" cm="1">
        <f t="array" ref="N442">IFERROR(_xlfn.LET(_xlpm.e,E442,_xlpm.f,F442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42" s="15" t="str">
        <f t="shared" si="56"/>
        <v>2-3 days (automated audit) → 2 days</v>
      </c>
      <c r="P442" s="34" cm="1">
        <f t="array" ref="P442">IFERROR(_xlfn.LET(_xlpm.g,G442,_xlpm.f,F442,_xlpm.h,H442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0.99995657243365355</v>
      </c>
      <c r="Q442" s="15" t="str" cm="1">
        <f t="array" ref="Q442">IFERROR(_xlfn.LET(_xlpm.e,E442,_xlpm.g,G442,_xlpm.h,H442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42" s="15" t="str">
        <f t="shared" si="57"/>
        <v>🟢 Leading</v>
      </c>
      <c r="S442" s="35" cm="1">
        <f t="array" ref="S442">IFERROR(_xlfn.LET(_xlpm.e,E442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442" s="36">
        <f t="shared" si="58"/>
        <v>77.776913589849002</v>
      </c>
      <c r="U442" s="15">
        <f t="shared" si="59"/>
        <v>46</v>
      </c>
      <c r="V442" s="16">
        <f t="shared" si="60"/>
        <v>977.27664137065153</v>
      </c>
      <c r="W442" s="16">
        <f t="shared" si="61"/>
        <v>2430.3423613349805</v>
      </c>
      <c r="X442" s="37">
        <f t="shared" si="62"/>
        <v>89</v>
      </c>
      <c r="Y442" s="15" t="str">
        <f t="shared" si="63"/>
        <v>🔥 Critical</v>
      </c>
    </row>
    <row r="443" spans="1:25" x14ac:dyDescent="0.2">
      <c r="A443" t="str">
        <f>'5. KPI Baselines'!A428</f>
        <v>Redwood Logistics</v>
      </c>
      <c r="B443" t="str">
        <f>'5. KPI Baselines'!B428</f>
        <v>Compliance</v>
      </c>
      <c r="C443" t="str">
        <f>'5. KPI Baselines'!C428</f>
        <v>Carrier Onboarding</v>
      </c>
      <c r="D443" t="str">
        <f>'5. KPI Baselines'!D428</f>
        <v>New Carrier Setup Time</v>
      </c>
      <c r="E443" t="str">
        <f>'5. KPI Baselines'!E428</f>
        <v>12 days</v>
      </c>
      <c r="F443" t="str">
        <f>'5. KPI Baselines'!F428</f>
        <v>5 days</v>
      </c>
      <c r="G443" t="str">
        <f>'5. KPI Baselines'!G428</f>
        <v>4-6 days (digitized process)</v>
      </c>
      <c r="H443" t="str">
        <f>'5. KPI Baselines'!H428</f>
        <v>↓</v>
      </c>
      <c r="I443" t="str">
        <f>'5. KPI Baselines'!I428</f>
        <v>9 months</v>
      </c>
      <c r="J443" t="str">
        <f>'5. KPI Baselines'!J428</f>
        <v>Days from carrier application to active status</v>
      </c>
      <c r="K443" s="15" t="str">
        <f t="shared" si="55"/>
        <v>12 days → 5 days</v>
      </c>
      <c r="L443" s="34" cm="1">
        <f t="array" ref="L443">IFERROR(_xlfn.LET(_xlpm.e,E443,_xlpm.f,F443,_xlpm.h,H443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443" s="15" cm="1">
        <f t="array" ref="M443">IFERROR(_xlfn.LET(_xlpm.e,E443,_xlpm.f,F443,_xlpm.h,H443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443" s="15" cm="1">
        <f t="array" ref="N443">IFERROR(_xlfn.LET(_xlpm.e,E443,_xlpm.f,F443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43" s="15" t="str">
        <f t="shared" si="56"/>
        <v>4-6 days (digitized process) → 5 days</v>
      </c>
      <c r="P443" s="34" cm="1">
        <f t="array" ref="P443">IFERROR(_xlfn.LET(_xlpm.g,G443,_xlpm.f,F443,_xlpm.h,H443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0.9998915802942635</v>
      </c>
      <c r="Q443" s="15" t="str" cm="1">
        <f t="array" ref="Q443">IFERROR(_xlfn.LET(_xlpm.e,E443,_xlpm.g,G443,_xlpm.h,H443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43" s="15" t="str">
        <f t="shared" si="57"/>
        <v>🟢 Leading</v>
      </c>
      <c r="S443" s="35" cm="1">
        <f t="array" ref="S443">IFERROR(_xlfn.LET(_xlpm.e,E443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43" s="36">
        <f t="shared" si="58"/>
        <v>58.33284722627311</v>
      </c>
      <c r="U443" s="15">
        <f t="shared" si="59"/>
        <v>160</v>
      </c>
      <c r="V443" s="16">
        <f t="shared" si="60"/>
        <v>977.27935600536659</v>
      </c>
      <c r="W443" s="16">
        <f t="shared" si="61"/>
        <v>2430.3491122297269</v>
      </c>
      <c r="X443" s="37">
        <f t="shared" si="62"/>
        <v>89</v>
      </c>
      <c r="Y443" s="15" t="str">
        <f t="shared" si="63"/>
        <v>🔥 Critical</v>
      </c>
    </row>
    <row r="444" spans="1:25" x14ac:dyDescent="0.2">
      <c r="A444" t="str">
        <f>'5. KPI Baselines'!A429</f>
        <v>Redwood Logistics</v>
      </c>
      <c r="B444" t="str">
        <f>'5. KPI Baselines'!B429</f>
        <v>Compliance</v>
      </c>
      <c r="C444" t="str">
        <f>'5. KPI Baselines'!C429</f>
        <v>Contract Management</v>
      </c>
      <c r="D444" t="str">
        <f>'5. KPI Baselines'!D429</f>
        <v>Carrier Agreement Reviews</v>
      </c>
      <c r="E444" t="str">
        <f>'5. KPI Baselines'!E429</f>
        <v>4,800 active agreements</v>
      </c>
      <c r="F444" t="str">
        <f>'5. KPI Baselines'!F429</f>
        <v>Continuous automated monitoring</v>
      </c>
      <c r="G444" t="str">
        <f>'5. KPI Baselines'!G429</f>
        <v>Monthly compliance verification</v>
      </c>
      <c r="H444" t="str">
        <f>'5. KPI Baselines'!H429</f>
        <v>↑</v>
      </c>
      <c r="I444" t="str">
        <f>'5. KPI Baselines'!I429</f>
        <v>12 months</v>
      </c>
      <c r="J444" t="str">
        <f>'5. KPI Baselines'!J429</f>
        <v>Percentage of agreements with current compliance status</v>
      </c>
      <c r="K444" s="15" t="str">
        <f t="shared" si="55"/>
        <v>Continuous automated monitoring - 4,800 active agreements</v>
      </c>
      <c r="L444" s="34" t="str" cm="1">
        <f t="array" ref="L444">IFERROR(_xlfn.LET(_xlpm.e,E444,_xlpm.f,F444,_xlpm.h,H444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44" s="15" t="str" cm="1">
        <f t="array" ref="M444">IFERROR(_xlfn.LET(_xlpm.e,E444,_xlpm.f,F444,_xlpm.h,H444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44" s="15" t="str" cm="1">
        <f t="array" ref="N444">IFERROR(_xlfn.LET(_xlpm.e,E444,_xlpm.f,F444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44" s="15" t="str">
        <f t="shared" si="56"/>
        <v>Continuous automated monitoring - Monthly compliance verification</v>
      </c>
      <c r="P444" s="34" t="str" cm="1">
        <f t="array" ref="P444">IFERROR(_xlfn.LET(_xlpm.g,G444,_xlpm.f,F444,_xlpm.h,H444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44" s="15" t="str" cm="1">
        <f t="array" ref="Q444">IFERROR(_xlfn.LET(_xlpm.e,E444,_xlpm.g,G444,_xlpm.h,H444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44" s="15" t="str">
        <f t="shared" si="57"/>
        <v>⚪ N/A</v>
      </c>
      <c r="S444" s="35" cm="1">
        <f t="array" ref="S444">IFERROR(_xlfn.LET(_xlpm.e,E444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44" s="36">
        <f t="shared" si="58"/>
        <v>0</v>
      </c>
      <c r="U444" s="15">
        <f t="shared" si="59"/>
        <v>554</v>
      </c>
      <c r="V444" s="16">
        <f t="shared" si="60"/>
        <v>0</v>
      </c>
      <c r="W444" s="16">
        <f t="shared" si="61"/>
        <v>0</v>
      </c>
      <c r="X444" s="37" t="str">
        <f t="shared" si="62"/>
        <v>-</v>
      </c>
      <c r="Y444" s="15" t="str">
        <f t="shared" si="63"/>
        <v>📉 Low</v>
      </c>
    </row>
    <row r="445" spans="1:25" x14ac:dyDescent="0.2">
      <c r="A445" t="str">
        <f>'5. KPI Baselines'!A430</f>
        <v>Redwood Logistics</v>
      </c>
      <c r="B445" t="str">
        <f>'5. KPI Baselines'!B430</f>
        <v>Operations</v>
      </c>
      <c r="C445" t="str">
        <f>'5. KPI Baselines'!C430</f>
        <v>Route Planning</v>
      </c>
      <c r="D445" t="str">
        <f>'5. KPI Baselines'!D430</f>
        <v>Route Optimization Coverage</v>
      </c>
      <c r="E445" t="str">
        <f>'5. KPI Baselines'!E430</f>
        <v>35% of shipments</v>
      </c>
      <c r="F445" t="str">
        <f>'5. KPI Baselines'!F430</f>
        <v>80%</v>
      </c>
      <c r="G445" t="str">
        <f>'5. KPI Baselines'!G430</f>
        <v>75-85% (optimization-focused)</v>
      </c>
      <c r="H445" t="str">
        <f>'5. KPI Baselines'!H430</f>
        <v>↑</v>
      </c>
      <c r="I445" t="str">
        <f>'5. KPI Baselines'!I430</f>
        <v>18 months</v>
      </c>
      <c r="J445" t="str">
        <f>'5. KPI Baselines'!J430</f>
        <v>Shipments with AI-validated optimal routing</v>
      </c>
      <c r="K445" s="15" t="str">
        <f t="shared" si="55"/>
        <v>80% - 35% of shipments</v>
      </c>
      <c r="L445" s="34" t="str" cm="1">
        <f t="array" ref="L445">IFERROR(_xlfn.LET(_xlpm.e,E445,_xlpm.f,F445,_xlpm.h,H445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45" s="15" t="str" cm="1">
        <f t="array" ref="M445">IFERROR(_xlfn.LET(_xlpm.e,E445,_xlpm.f,F445,_xlpm.h,H445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45" s="15" t="str" cm="1">
        <f t="array" ref="N445">IFERROR(_xlfn.LET(_xlpm.e,E445,_xlpm.f,F445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45" s="15" t="str">
        <f t="shared" si="56"/>
        <v>80% - 75-85% (optimization-focused)</v>
      </c>
      <c r="P445" s="34" t="str" cm="1">
        <f t="array" ref="P445">IFERROR(_xlfn.LET(_xlpm.g,G445,_xlpm.f,F445,_xlpm.h,H445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45" s="15" t="str" cm="1">
        <f t="array" ref="Q445">IFERROR(_xlfn.LET(_xlpm.e,E445,_xlpm.g,G445,_xlpm.h,H445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45" s="15" t="str">
        <f t="shared" si="57"/>
        <v>⚪ N/A</v>
      </c>
      <c r="S445" s="35" cm="1">
        <f t="array" ref="S445">IFERROR(_xlfn.LET(_xlpm.e,E445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45" s="36">
        <f t="shared" si="58"/>
        <v>0</v>
      </c>
      <c r="U445" s="15">
        <f t="shared" si="59"/>
        <v>554</v>
      </c>
      <c r="V445" s="16">
        <f t="shared" si="60"/>
        <v>0</v>
      </c>
      <c r="W445" s="16">
        <f t="shared" si="61"/>
        <v>0</v>
      </c>
      <c r="X445" s="37" t="str">
        <f t="shared" si="62"/>
        <v>-</v>
      </c>
      <c r="Y445" s="15" t="str">
        <f t="shared" si="63"/>
        <v>📉 Low</v>
      </c>
    </row>
    <row r="446" spans="1:25" x14ac:dyDescent="0.2">
      <c r="A446" t="str">
        <f>'5. KPI Baselines'!A431</f>
        <v>Redwood Logistics</v>
      </c>
      <c r="B446" t="str">
        <f>'5. KPI Baselines'!B431</f>
        <v>Operations</v>
      </c>
      <c r="C446" t="str">
        <f>'5. KPI Baselines'!C431</f>
        <v>Capacity Forecasting</v>
      </c>
      <c r="D446" t="str">
        <f>'5. KPI Baselines'!D431</f>
        <v>Peak Season Decline Rate</v>
      </c>
      <c r="E446" t="str">
        <f>'5. KPI Baselines'!E431</f>
        <v>23%</v>
      </c>
      <c r="F446" t="str">
        <f>'5. KPI Baselines'!F431</f>
        <v>8%</v>
      </c>
      <c r="G446" t="str">
        <f>'5. KPI Baselines'!G431</f>
        <v>8-12% (predictive capacity)</v>
      </c>
      <c r="H446" t="str">
        <f>'5. KPI Baselines'!H431</f>
        <v>↓</v>
      </c>
      <c r="I446" t="str">
        <f>'5. KPI Baselines'!I431</f>
        <v>24 months</v>
      </c>
      <c r="J446" t="str">
        <f>'5. KPI Baselines'!J431</f>
        <v>RFQs declined due to capacity constraints</v>
      </c>
      <c r="K446" s="15" t="str">
        <f t="shared" si="55"/>
        <v>23% → 8%</v>
      </c>
      <c r="L446" s="34" cm="1">
        <f t="array" ref="L446">IFERROR(_xlfn.LET(_xlpm.e,E446,_xlpm.f,F446,_xlpm.h,H446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0.65217107751705428</v>
      </c>
      <c r="M446" s="15" cm="1">
        <f t="array" ref="M446">IFERROR(_xlfn.LET(_xlpm.e,E446,_xlpm.f,F446,_xlpm.h,H446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10.3</v>
      </c>
      <c r="N446" s="15" cm="1">
        <f t="array" ref="N446">IFERROR(_xlfn.LET(_xlpm.e,E446,_xlpm.f,F446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446" s="15" t="str">
        <f t="shared" si="56"/>
        <v>8-12% (predictive capacity) → 8%</v>
      </c>
      <c r="P446" s="34" cm="1">
        <f t="array" ref="P446">IFERROR(_xlfn.LET(_xlpm.g,G446,_xlpm.f,F446,_xlpm.h,H446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0.99982700990393336</v>
      </c>
      <c r="Q446" s="15" t="str" cm="1">
        <f t="array" ref="Q446">IFERROR(_xlfn.LET(_xlpm.e,E446,_xlpm.g,G446,_xlpm.h,H446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Above Industry</v>
      </c>
      <c r="R446" s="15" t="str">
        <f t="shared" si="57"/>
        <v>🟢 Leading</v>
      </c>
      <c r="S446" s="35" cm="1">
        <f t="array" ref="S446">IFERROR(_xlfn.LET(_xlpm.e,E446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446" s="36">
        <f t="shared" si="58"/>
        <v>65.217107751705427</v>
      </c>
      <c r="U446" s="15">
        <f t="shared" si="59"/>
        <v>109</v>
      </c>
      <c r="V446" s="16">
        <f t="shared" si="60"/>
        <v>2094.1783948765442</v>
      </c>
      <c r="W446" s="16">
        <f t="shared" si="61"/>
        <v>5207.9117107748807</v>
      </c>
      <c r="X446" s="37">
        <f t="shared" si="62"/>
        <v>42</v>
      </c>
      <c r="Y446" s="15" t="str">
        <f t="shared" si="63"/>
        <v>🔥 Critical</v>
      </c>
    </row>
    <row r="447" spans="1:25" x14ac:dyDescent="0.2">
      <c r="A447" t="str">
        <f>'5. KPI Baselines'!A432</f>
        <v>Rees Scientific</v>
      </c>
      <c r="B447" t="str">
        <f>'5. KPI Baselines'!B432</f>
        <v>Quality Assurance</v>
      </c>
      <c r="C447" t="str">
        <f>'5. KPI Baselines'!C432</f>
        <v>Regulatory Documentation</v>
      </c>
      <c r="D447" t="str">
        <f>'5. KPI Baselines'!D432</f>
        <v>Documentation Cycle Time</v>
      </c>
      <c r="E447" t="str">
        <f>'5. KPI Baselines'!E432</f>
        <v>45 days average</v>
      </c>
      <c r="F447" t="str">
        <f>'5. KPI Baselines'!F432</f>
        <v>28 days</v>
      </c>
      <c r="G447" t="str">
        <f>'5. KPI Baselines'!G432</f>
        <v>38 days</v>
      </c>
      <c r="H447" t="str">
        <f>'5. KPI Baselines'!H432</f>
        <v>↓</v>
      </c>
      <c r="I447" t="str">
        <f>'5. KPI Baselines'!I432</f>
        <v>18 months</v>
      </c>
      <c r="J447" t="str">
        <f>'5. KPI Baselines'!J432</f>
        <v>Time from design change submission to regulatory approval</v>
      </c>
      <c r="K447" s="15" t="str">
        <f t="shared" si="55"/>
        <v>45 days average → 28 days</v>
      </c>
      <c r="L447" s="34" cm="1">
        <f t="array" ref="L447">IFERROR(_xlfn.LET(_xlpm.e,E447,_xlpm.f,F447,_xlpm.h,H447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0.37777693827347048</v>
      </c>
      <c r="M447" s="15" cm="1">
        <f t="array" ref="M447">IFERROR(_xlfn.LET(_xlpm.e,E447,_xlpm.f,F447,_xlpm.h,H447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30.6</v>
      </c>
      <c r="N447" s="15" cm="1">
        <f t="array" ref="N447">IFERROR(_xlfn.LET(_xlpm.e,E447,_xlpm.f,F447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447" s="15" t="str">
        <f t="shared" si="56"/>
        <v>38 days → 28 days</v>
      </c>
      <c r="P447" s="34" cm="1">
        <f t="array" ref="P447">IFERROR(_xlfn.LET(_xlpm.g,G447,_xlpm.f,F447,_xlpm.h,H447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0.26315720221788885</v>
      </c>
      <c r="Q447" s="15" t="str" cm="1">
        <f t="array" ref="Q447">IFERROR(_xlfn.LET(_xlpm.e,E447,_xlpm.g,G447,_xlpm.h,H447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47" s="15" t="str">
        <f t="shared" si="57"/>
        <v>🔴 Lagging</v>
      </c>
      <c r="S447" s="35" cm="1">
        <f t="array" ref="S447">IFERROR(_xlfn.LET(_xlpm.e,E447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447" s="36">
        <f t="shared" si="58"/>
        <v>37.777693827347051</v>
      </c>
      <c r="U447" s="15">
        <f t="shared" si="59"/>
        <v>325</v>
      </c>
      <c r="V447" s="16">
        <f t="shared" si="60"/>
        <v>2373.4072257617199</v>
      </c>
      <c r="W447" s="16">
        <f t="shared" si="61"/>
        <v>5902.3124848018779</v>
      </c>
      <c r="X447" s="37">
        <f t="shared" si="62"/>
        <v>37</v>
      </c>
      <c r="Y447" s="15" t="str">
        <f t="shared" si="63"/>
        <v>⚠️ High</v>
      </c>
    </row>
    <row r="448" spans="1:25" x14ac:dyDescent="0.2">
      <c r="A448" t="str">
        <f>'5. KPI Baselines'!A433</f>
        <v>Rees Scientific</v>
      </c>
      <c r="B448" t="str">
        <f>'5. KPI Baselines'!B433</f>
        <v>Quality Assurance</v>
      </c>
      <c r="C448" t="str">
        <f>'5. KPI Baselines'!C433</f>
        <v>Compliance Auditing</v>
      </c>
      <c r="D448" t="str">
        <f>'5. KPI Baselines'!D433</f>
        <v>Non-Conformance Rate</v>
      </c>
      <c r="E448" t="str">
        <f>'5. KPI Baselines'!E433</f>
        <v>8.2 findings per audit</v>
      </c>
      <c r="F448" t="str">
        <f>'5. KPI Baselines'!F433</f>
        <v>5.3 findings</v>
      </c>
      <c r="G448" t="str">
        <f>'5. KPI Baselines'!G433</f>
        <v>6.1 findings</v>
      </c>
      <c r="H448" t="str">
        <f>'5. KPI Baselines'!H433</f>
        <v>↓</v>
      </c>
      <c r="I448" t="str">
        <f>'5. KPI Baselines'!I433</f>
        <v>24 months</v>
      </c>
      <c r="J448" t="str">
        <f>'5. KPI Baselines'!J433</f>
        <v>Average findings per third-party regulatory audit</v>
      </c>
      <c r="K448" s="15" t="str">
        <f t="shared" si="55"/>
        <v>8.2 findings per audit → 5.3 findings</v>
      </c>
      <c r="L448" s="34" t="str" cm="1">
        <f t="array" ref="L448">IFERROR(_xlfn.LET(_xlpm.e,E448,_xlpm.f,F448,_xlpm.h,H448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48" s="15" t="str" cm="1">
        <f t="array" ref="M448">IFERROR(_xlfn.LET(_xlpm.e,E448,_xlpm.f,F448,_xlpm.h,H448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48" s="15" t="str" cm="1">
        <f t="array" ref="N448">IFERROR(_xlfn.LET(_xlpm.e,E448,_xlpm.f,F448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48" s="15" t="str">
        <f t="shared" si="56"/>
        <v>6.1 findings → 5.3 findings</v>
      </c>
      <c r="P448" s="34" cm="1">
        <f t="array" ref="P448">IFERROR(_xlfn.LET(_xlpm.g,G448,_xlpm.f,F448,_xlpm.h,H448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0.13114539105916295</v>
      </c>
      <c r="Q448" s="15" t="str" cm="1">
        <f t="array" ref="Q448">IFERROR(_xlfn.LET(_xlpm.e,E448,_xlpm.g,G448,_xlpm.h,H448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48" s="15" t="str">
        <f t="shared" si="57"/>
        <v>⚪ N/A</v>
      </c>
      <c r="S448" s="35" cm="1">
        <f t="array" ref="S448">IFERROR(_xlfn.LET(_xlpm.e,E448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48" s="36">
        <f t="shared" si="58"/>
        <v>0</v>
      </c>
      <c r="U448" s="15">
        <f t="shared" si="59"/>
        <v>554</v>
      </c>
      <c r="V448" s="16">
        <f t="shared" si="60"/>
        <v>0</v>
      </c>
      <c r="W448" s="16">
        <f t="shared" si="61"/>
        <v>0</v>
      </c>
      <c r="X448" s="37" t="str">
        <f t="shared" si="62"/>
        <v>-</v>
      </c>
      <c r="Y448" s="15" t="str">
        <f t="shared" si="63"/>
        <v>📉 Low</v>
      </c>
    </row>
    <row r="449" spans="1:25" x14ac:dyDescent="0.2">
      <c r="A449" t="str">
        <f>'5. KPI Baselines'!A434</f>
        <v>Rees Scientific</v>
      </c>
      <c r="B449" t="str">
        <f>'5. KPI Baselines'!B434</f>
        <v>Manufacturing</v>
      </c>
      <c r="C449" t="str">
        <f>'5. KPI Baselines'!C434</f>
        <v>Equipment Maintenance</v>
      </c>
      <c r="D449" t="str">
        <f>'5. KPI Baselines'!D434</f>
        <v>Unplanned Downtime Hours</v>
      </c>
      <c r="E449" t="str">
        <f>'5. KPI Baselines'!E434</f>
        <v>12,400 hours/year</v>
      </c>
      <c r="F449" t="str">
        <f>'5. KPI Baselines'!F434</f>
        <v>7,440 hours</v>
      </c>
      <c r="G449" t="str">
        <f>'5. KPI Baselines'!G434</f>
        <v>9,800 hours</v>
      </c>
      <c r="H449" t="str">
        <f>'5. KPI Baselines'!H434</f>
        <v>↓</v>
      </c>
      <c r="I449" t="str">
        <f>'5. KPI Baselines'!I434</f>
        <v>12 months</v>
      </c>
      <c r="J449" t="str">
        <f>'5. KPI Baselines'!J434</f>
        <v>Total unscheduled equipment failure hours</v>
      </c>
      <c r="K449" s="15" t="str">
        <f t="shared" si="55"/>
        <v>12,400 hours/year → 7,440 hours</v>
      </c>
      <c r="L449" s="34" t="str" cm="1">
        <f t="array" ref="L449">IFERROR(_xlfn.LET(_xlpm.e,E449,_xlpm.f,F449,_xlpm.h,H449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49" s="15" t="str" cm="1">
        <f t="array" ref="M449">IFERROR(_xlfn.LET(_xlpm.e,E449,_xlpm.f,F449,_xlpm.h,H449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49" s="15" t="str" cm="1">
        <f t="array" ref="N449">IFERROR(_xlfn.LET(_xlpm.e,E449,_xlpm.f,F449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49" s="15" t="str">
        <f t="shared" si="56"/>
        <v>9,800 hours → 7,440 hours</v>
      </c>
      <c r="P449" s="34" cm="1">
        <f t="array" ref="P449">IFERROR(_xlfn.LET(_xlpm.g,G449,_xlpm.f,F449,_xlpm.h,H449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0.24081632407330283</v>
      </c>
      <c r="Q449" s="15" t="str" cm="1">
        <f t="array" ref="Q449">IFERROR(_xlfn.LET(_xlpm.e,E449,_xlpm.g,G449,_xlpm.h,H449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49" s="15" t="str">
        <f t="shared" si="57"/>
        <v>⚪ N/A</v>
      </c>
      <c r="S449" s="35" cm="1">
        <f t="array" ref="S449">IFERROR(_xlfn.LET(_xlpm.e,E449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49" s="36">
        <f t="shared" si="58"/>
        <v>0</v>
      </c>
      <c r="U449" s="15">
        <f t="shared" si="59"/>
        <v>554</v>
      </c>
      <c r="V449" s="16">
        <f t="shared" si="60"/>
        <v>0</v>
      </c>
      <c r="W449" s="16">
        <f t="shared" si="61"/>
        <v>0</v>
      </c>
      <c r="X449" s="37" t="str">
        <f t="shared" si="62"/>
        <v>-</v>
      </c>
      <c r="Y449" s="15" t="str">
        <f t="shared" si="63"/>
        <v>📉 Low</v>
      </c>
    </row>
    <row r="450" spans="1:25" x14ac:dyDescent="0.2">
      <c r="A450" t="str">
        <f>'5. KPI Baselines'!A435</f>
        <v>Rees Scientific</v>
      </c>
      <c r="B450" t="str">
        <f>'5. KPI Baselines'!B435</f>
        <v>Manufacturing</v>
      </c>
      <c r="C450" t="str">
        <f>'5. KPI Baselines'!C435</f>
        <v>Production Planning</v>
      </c>
      <c r="D450" t="str">
        <f>'5. KPI Baselines'!D435</f>
        <v>Schedule Adherence</v>
      </c>
      <c r="E450" t="str">
        <f>'5. KPI Baselines'!E435</f>
        <v>78% on-time completion</v>
      </c>
      <c r="F450" t="str">
        <f>'5. KPI Baselines'!F435</f>
        <v>88%</v>
      </c>
      <c r="G450" t="str">
        <f>'5. KPI Baselines'!G435</f>
        <v>84%</v>
      </c>
      <c r="H450" t="str">
        <f>'5. KPI Baselines'!H435</f>
        <v>↑</v>
      </c>
      <c r="I450" t="str">
        <f>'5. KPI Baselines'!I435</f>
        <v>12 months</v>
      </c>
      <c r="J450" t="str">
        <f>'5. KPI Baselines'!J435</f>
        <v>Percentage of production runs completing within scheduled window</v>
      </c>
      <c r="K450" s="15" t="str">
        <f t="shared" si="55"/>
        <v>88% - 78% on-time completion</v>
      </c>
      <c r="L450" s="34" t="str" cm="1">
        <f t="array" ref="L450">IFERROR(_xlfn.LET(_xlpm.e,E450,_xlpm.f,F450,_xlpm.h,H450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50" s="15" t="str" cm="1">
        <f t="array" ref="M450">IFERROR(_xlfn.LET(_xlpm.e,E450,_xlpm.f,F450,_xlpm.h,H450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50" s="15" t="str" cm="1">
        <f t="array" ref="N450">IFERROR(_xlfn.LET(_xlpm.e,E450,_xlpm.f,F450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50" s="15" t="str">
        <f t="shared" si="56"/>
        <v>88% - 84%</v>
      </c>
      <c r="P450" s="34" cm="1">
        <f t="array" ref="P450">IFERROR(_xlfn.LET(_xlpm.g,G450,_xlpm.f,F450,_xlpm.h,H450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4.7618990929772703E-2</v>
      </c>
      <c r="Q450" s="15" t="str" cm="1">
        <f t="array" ref="Q450">IFERROR(_xlfn.LET(_xlpm.e,E450,_xlpm.g,G450,_xlpm.h,H450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50" s="15" t="str">
        <f t="shared" si="57"/>
        <v>⚪ N/A</v>
      </c>
      <c r="S450" s="35" cm="1">
        <f t="array" ref="S450">IFERROR(_xlfn.LET(_xlpm.e,E450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50" s="36">
        <f t="shared" si="58"/>
        <v>0</v>
      </c>
      <c r="U450" s="15">
        <f t="shared" si="59"/>
        <v>554</v>
      </c>
      <c r="V450" s="16">
        <f t="shared" si="60"/>
        <v>0</v>
      </c>
      <c r="W450" s="16">
        <f t="shared" si="61"/>
        <v>0</v>
      </c>
      <c r="X450" s="37" t="str">
        <f t="shared" si="62"/>
        <v>-</v>
      </c>
      <c r="Y450" s="15" t="str">
        <f t="shared" si="63"/>
        <v>📉 Low</v>
      </c>
    </row>
    <row r="451" spans="1:25" x14ac:dyDescent="0.2">
      <c r="A451" t="str">
        <f>'5. KPI Baselines'!A436</f>
        <v>Rees Scientific</v>
      </c>
      <c r="B451" t="str">
        <f>'5. KPI Baselines'!B436</f>
        <v>Sales</v>
      </c>
      <c r="C451" t="str">
        <f>'5. KPI Baselines'!C436</f>
        <v>Proposal Engineering</v>
      </c>
      <c r="D451" t="str">
        <f>'5. KPI Baselines'!D436</f>
        <v>Proposal Development Time</v>
      </c>
      <c r="E451" t="str">
        <f>'5. KPI Baselines'!E436</f>
        <v>28 days average</v>
      </c>
      <c r="F451" t="str">
        <f>'5. KPI Baselines'!F436</f>
        <v>17 days</v>
      </c>
      <c r="G451" t="str">
        <f>'5. KPI Baselines'!G436</f>
        <v>22 days</v>
      </c>
      <c r="H451" t="str">
        <f>'5. KPI Baselines'!H436</f>
        <v>↓</v>
      </c>
      <c r="I451" t="str">
        <f>'5. KPI Baselines'!I436</f>
        <v>9 months</v>
      </c>
      <c r="J451" t="str">
        <f>'5. KPI Baselines'!J436</f>
        <v>Time from RFP receipt to proposal submission</v>
      </c>
      <c r="K451" s="15" t="str">
        <f t="shared" si="55"/>
        <v>28 days average → 17 days</v>
      </c>
      <c r="L451" s="34" cm="1">
        <f t="array" ref="L451">IFERROR(_xlfn.LET(_xlpm.e,E451,_xlpm.f,F451,_xlpm.h,H451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0.3928557398009293</v>
      </c>
      <c r="M451" s="15" cm="1">
        <f t="array" ref="M451">IFERROR(_xlfn.LET(_xlpm.e,E451,_xlpm.f,F451,_xlpm.h,H451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18.7</v>
      </c>
      <c r="N451" s="15" cm="1">
        <f t="array" ref="N451">IFERROR(_xlfn.LET(_xlpm.e,E451,_xlpm.f,F451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451" s="15" t="str">
        <f t="shared" si="56"/>
        <v>22 days → 17 days</v>
      </c>
      <c r="P451" s="34" cm="1">
        <f t="array" ref="P451">IFERROR(_xlfn.LET(_xlpm.g,G451,_xlpm.f,F451,_xlpm.h,H451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0.22727169421957172</v>
      </c>
      <c r="Q451" s="15" t="str" cm="1">
        <f t="array" ref="Q451">IFERROR(_xlfn.LET(_xlpm.e,E451,_xlpm.g,G451,_xlpm.h,H451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1" s="15" t="str">
        <f t="shared" si="57"/>
        <v>🔴 Lagging</v>
      </c>
      <c r="S451" s="35" cm="1">
        <f t="array" ref="S451">IFERROR(_xlfn.LET(_xlpm.e,E451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451" s="36">
        <f t="shared" si="58"/>
        <v>39.285573980092927</v>
      </c>
      <c r="U451" s="15">
        <f t="shared" si="59"/>
        <v>314</v>
      </c>
      <c r="V451" s="16">
        <f t="shared" si="60"/>
        <v>1535.7320152428028</v>
      </c>
      <c r="W451" s="16">
        <f t="shared" si="61"/>
        <v>3819.1382197247799</v>
      </c>
      <c r="X451" s="37">
        <f t="shared" si="62"/>
        <v>57</v>
      </c>
      <c r="Y451" s="15" t="str">
        <f t="shared" si="63"/>
        <v>⚠️ High</v>
      </c>
    </row>
    <row r="452" spans="1:25" x14ac:dyDescent="0.2">
      <c r="A452" t="str">
        <f>'5. KPI Baselines'!A437</f>
        <v>Rees Scientific</v>
      </c>
      <c r="B452" t="str">
        <f>'5. KPI Baselines'!B437</f>
        <v>Sales</v>
      </c>
      <c r="C452" t="str">
        <f>'5. KPI Baselines'!C437</f>
        <v>Pipeline Management</v>
      </c>
      <c r="D452" t="str">
        <f>'5. KPI Baselines'!D437</f>
        <v>Sales Cycle Duration</v>
      </c>
      <c r="E452" t="str">
        <f>'5. KPI Baselines'!E437</f>
        <v>18 months average</v>
      </c>
      <c r="F452" t="str">
        <f>'5. KPI Baselines'!F437</f>
        <v>14 months</v>
      </c>
      <c r="G452" t="str">
        <f>'5. KPI Baselines'!G437</f>
        <v>16 months</v>
      </c>
      <c r="H452" t="str">
        <f>'5. KPI Baselines'!H437</f>
        <v>↓</v>
      </c>
      <c r="I452" t="str">
        <f>'5. KPI Baselines'!I437</f>
        <v>24 months</v>
      </c>
      <c r="J452" t="str">
        <f>'5. KPI Baselines'!J437</f>
        <v>Time from qualified lead to contract signature</v>
      </c>
      <c r="K452" s="15" t="str">
        <f t="shared" si="55"/>
        <v>18 months average → 14 months</v>
      </c>
      <c r="L452" s="34" cm="1">
        <f t="array" ref="L452">IFERROR(_xlfn.LET(_xlpm.e,E452,_xlpm.f,F452,_xlpm.h,H452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0.22222098766117968</v>
      </c>
      <c r="M452" s="15" cm="1">
        <f t="array" ref="M452">IFERROR(_xlfn.LET(_xlpm.e,E452,_xlpm.f,F452,_xlpm.h,H452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14.6</v>
      </c>
      <c r="N452" s="15" cm="1">
        <f t="array" ref="N452">IFERROR(_xlfn.LET(_xlpm.e,E452,_xlpm.f,F452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452" s="15" t="str">
        <f t="shared" si="56"/>
        <v>16 months → 14 months</v>
      </c>
      <c r="P452" s="34" cm="1">
        <f t="array" ref="P452">IFERROR(_xlfn.LET(_xlpm.g,G452,_xlpm.f,F452,_xlpm.h,H452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0.12499921875488279</v>
      </c>
      <c r="Q452" s="15" t="str" cm="1">
        <f t="array" ref="Q452">IFERROR(_xlfn.LET(_xlpm.e,E452,_xlpm.g,G452,_xlpm.h,H452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2" s="15" t="str">
        <f t="shared" si="57"/>
        <v>🔴 Lagging</v>
      </c>
      <c r="S452" s="35" cm="1">
        <f t="array" ref="S452">IFERROR(_xlfn.LET(_xlpm.e,E452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452" s="36">
        <f t="shared" si="58"/>
        <v>22.222098766117966</v>
      </c>
      <c r="U452" s="15">
        <f t="shared" si="59"/>
        <v>449</v>
      </c>
      <c r="V452" s="16">
        <f t="shared" si="60"/>
        <v>558.44689751723604</v>
      </c>
      <c r="W452" s="16">
        <f t="shared" si="61"/>
        <v>1388.7747789497014</v>
      </c>
      <c r="X452" s="37">
        <f t="shared" si="62"/>
        <v>155</v>
      </c>
      <c r="Y452" s="15" t="str">
        <f t="shared" si="63"/>
        <v>📊 Medium</v>
      </c>
    </row>
    <row r="453" spans="1:25" x14ac:dyDescent="0.2">
      <c r="A453" t="str">
        <f>'5. KPI Baselines'!A438</f>
        <v>Rees Scientific</v>
      </c>
      <c r="B453" t="str">
        <f>'5. KPI Baselines'!B438</f>
        <v>Customer Service</v>
      </c>
      <c r="C453" t="str">
        <f>'5. KPI Baselines'!C438</f>
        <v>Technical Support</v>
      </c>
      <c r="D453" t="str">
        <f>'5. KPI Baselines'!D438</f>
        <v>First-Contact Resolution Rate</v>
      </c>
      <c r="E453" t="str">
        <f>'5. KPI Baselines'!E438</f>
        <v>66% resolved without escalation</v>
      </c>
      <c r="F453" t="str">
        <f>'5. KPI Baselines'!F438</f>
        <v>81%</v>
      </c>
      <c r="G453" t="str">
        <f>'5. KPI Baselines'!G438</f>
        <v>72%</v>
      </c>
      <c r="H453" t="str">
        <f>'5. KPI Baselines'!H438</f>
        <v>↑</v>
      </c>
      <c r="I453" t="str">
        <f>'5. KPI Baselines'!I438</f>
        <v>12 months</v>
      </c>
      <c r="J453" t="str">
        <f>'5. KPI Baselines'!J438</f>
        <v>Percentage of inquiries resolved by initial support tier</v>
      </c>
      <c r="K453" s="15" t="str">
        <f t="shared" si="55"/>
        <v>81% - 66% resolved without escalation</v>
      </c>
      <c r="L453" s="34" t="str" cm="1">
        <f t="array" ref="L453">IFERROR(_xlfn.LET(_xlpm.e,E453,_xlpm.f,F453,_xlpm.h,H453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53" s="15" t="str" cm="1">
        <f t="array" ref="M453">IFERROR(_xlfn.LET(_xlpm.e,E453,_xlpm.f,F453,_xlpm.h,H453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53" s="15" t="str" cm="1">
        <f t="array" ref="N453">IFERROR(_xlfn.LET(_xlpm.e,E453,_xlpm.f,F453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53" s="15" t="str">
        <f t="shared" si="56"/>
        <v>81% - 72%</v>
      </c>
      <c r="P453" s="34" cm="1">
        <f t="array" ref="P453">IFERROR(_xlfn.LET(_xlpm.g,G453,_xlpm.f,F453,_xlpm.h,H453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0.12499982638913001</v>
      </c>
      <c r="Q453" s="15" t="str" cm="1">
        <f t="array" ref="Q453">IFERROR(_xlfn.LET(_xlpm.e,E453,_xlpm.g,G453,_xlpm.h,H453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53" s="15" t="str">
        <f t="shared" si="57"/>
        <v>⚪ N/A</v>
      </c>
      <c r="S453" s="35" cm="1">
        <f t="array" ref="S453">IFERROR(_xlfn.LET(_xlpm.e,E453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53" s="36">
        <f t="shared" si="58"/>
        <v>0</v>
      </c>
      <c r="U453" s="15">
        <f t="shared" si="59"/>
        <v>554</v>
      </c>
      <c r="V453" s="16">
        <f t="shared" si="60"/>
        <v>0</v>
      </c>
      <c r="W453" s="16">
        <f t="shared" si="61"/>
        <v>0</v>
      </c>
      <c r="X453" s="37" t="str">
        <f t="shared" si="62"/>
        <v>-</v>
      </c>
      <c r="Y453" s="15" t="str">
        <f t="shared" si="63"/>
        <v>📉 Low</v>
      </c>
    </row>
    <row r="454" spans="1:25" x14ac:dyDescent="0.2">
      <c r="A454" t="str">
        <f>'5. KPI Baselines'!A439</f>
        <v>Rees Scientific</v>
      </c>
      <c r="B454" t="str">
        <f>'5. KPI Baselines'!B439</f>
        <v>Customer Service</v>
      </c>
      <c r="C454" t="str">
        <f>'5. KPI Baselines'!C439</f>
        <v>Field Service</v>
      </c>
      <c r="D454" t="str">
        <f>'5. KPI Baselines'!D439</f>
        <v>Mean Time to Resolution</v>
      </c>
      <c r="E454" t="str">
        <f>'5. KPI Baselines'!E439</f>
        <v>4.8 days average</v>
      </c>
      <c r="F454" t="str">
        <f>'5. KPI Baselines'!F439</f>
        <v>3.2 days</v>
      </c>
      <c r="G454" t="str">
        <f>'5. KPI Baselines'!G439</f>
        <v>3.9 days</v>
      </c>
      <c r="H454" t="str">
        <f>'5. KPI Baselines'!H439</f>
        <v>↓</v>
      </c>
      <c r="I454" t="str">
        <f>'5. KPI Baselines'!I439</f>
        <v>18 months</v>
      </c>
      <c r="J454" t="str">
        <f>'5. KPI Baselines'!J439</f>
        <v>Time from service ticket creation to customer acceptance</v>
      </c>
      <c r="K454" s="15" t="str">
        <f t="shared" si="55"/>
        <v>4.8 days average → 3.2 days</v>
      </c>
      <c r="L454" s="34" cm="1">
        <f t="array" ref="L454">IFERROR(_xlfn.LET(_xlpm.e,E454,_xlpm.f,F454,_xlpm.h,H454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0.33332638903356177</v>
      </c>
      <c r="M454" s="15" cm="1">
        <f t="array" ref="M454">IFERROR(_xlfn.LET(_xlpm.e,E454,_xlpm.f,F454,_xlpm.h,H454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3.4</v>
      </c>
      <c r="N454" s="15" cm="1">
        <f t="array" ref="N454">IFERROR(_xlfn.LET(_xlpm.e,E454,_xlpm.f,F454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1.22</v>
      </c>
      <c r="O454" s="15" t="str">
        <f t="shared" si="56"/>
        <v>3.9 days → 3.2 days</v>
      </c>
      <c r="P454" s="34" cm="1">
        <f t="array" ref="P454">IFERROR(_xlfn.LET(_xlpm.g,G454,_xlpm.f,F454,_xlpm.h,H454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0.17948257736981096</v>
      </c>
      <c r="Q454" s="15" t="str" cm="1">
        <f t="array" ref="Q454">IFERROR(_xlfn.LET(_xlpm.e,E454,_xlpm.g,G454,_xlpm.h,H454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4" s="15" t="str">
        <f t="shared" si="57"/>
        <v>🔴 Lagging</v>
      </c>
      <c r="S454" s="35" cm="1">
        <f t="array" ref="S454">IFERROR(_xlfn.LET(_xlpm.e,E454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4.8</v>
      </c>
      <c r="T454" s="36">
        <f t="shared" si="58"/>
        <v>33.332638903356177</v>
      </c>
      <c r="U454" s="15">
        <f t="shared" si="59"/>
        <v>373</v>
      </c>
      <c r="V454" s="16">
        <f t="shared" si="60"/>
        <v>223.37534634695109</v>
      </c>
      <c r="W454" s="16">
        <f t="shared" si="61"/>
        <v>555.501424799706</v>
      </c>
      <c r="X454" s="37">
        <f t="shared" si="62"/>
        <v>380</v>
      </c>
      <c r="Y454" s="15" t="str">
        <f t="shared" si="63"/>
        <v>⚠️ High</v>
      </c>
    </row>
    <row r="455" spans="1:25" x14ac:dyDescent="0.2">
      <c r="A455" t="str">
        <f>'5. KPI Baselines'!A440</f>
        <v>Rees Scientific</v>
      </c>
      <c r="B455" t="str">
        <f>'5. KPI Baselines'!B440</f>
        <v>Product Development</v>
      </c>
      <c r="C455" t="str">
        <f>'5. KPI Baselines'!C440</f>
        <v>Requirements Engineering</v>
      </c>
      <c r="D455" t="str">
        <f>'5. KPI Baselines'!D440</f>
        <v>Requirements Completeness</v>
      </c>
      <c r="E455" t="str">
        <f>'5. KPI Baselines'!E440</f>
        <v>72% complete at design freeze</v>
      </c>
      <c r="F455" t="str">
        <f>'5. KPI Baselines'!F440</f>
        <v>87%</v>
      </c>
      <c r="G455" t="str">
        <f>'5. KPI Baselines'!G440</f>
        <v>81%</v>
      </c>
      <c r="H455" t="str">
        <f>'5. KPI Baselines'!H440</f>
        <v>↑</v>
      </c>
      <c r="I455" t="str">
        <f>'5. KPI Baselines'!I440</f>
        <v>18 months</v>
      </c>
      <c r="J455" t="str">
        <f>'5. KPI Baselines'!J440</f>
        <v>Percentage of requirements fully specified with acceptance criteria</v>
      </c>
      <c r="K455" s="15" t="str">
        <f t="shared" si="55"/>
        <v>87% - 72% complete at design freeze</v>
      </c>
      <c r="L455" s="34" t="str" cm="1">
        <f t="array" ref="L455">IFERROR(_xlfn.LET(_xlpm.e,E455,_xlpm.f,F455,_xlpm.h,H455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55" s="15" t="str" cm="1">
        <f t="array" ref="M455">IFERROR(_xlfn.LET(_xlpm.e,E455,_xlpm.f,F455,_xlpm.h,H455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55" s="15" t="str" cm="1">
        <f t="array" ref="N455">IFERROR(_xlfn.LET(_xlpm.e,E455,_xlpm.f,F455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55" s="15" t="str">
        <f t="shared" si="56"/>
        <v>87% - 81%</v>
      </c>
      <c r="P455" s="34" cm="1">
        <f t="array" ref="P455">IFERROR(_xlfn.LET(_xlpm.g,G455,_xlpm.f,F455,_xlpm.h,H455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7.4073982624712806E-2</v>
      </c>
      <c r="Q455" s="15" t="str" cm="1">
        <f t="array" ref="Q455">IFERROR(_xlfn.LET(_xlpm.e,E455,_xlpm.g,G455,_xlpm.h,H455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55" s="15" t="str">
        <f t="shared" si="57"/>
        <v>⚪ N/A</v>
      </c>
      <c r="S455" s="35" cm="1">
        <f t="array" ref="S455">IFERROR(_xlfn.LET(_xlpm.e,E455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55" s="36">
        <f t="shared" si="58"/>
        <v>0</v>
      </c>
      <c r="U455" s="15">
        <f t="shared" si="59"/>
        <v>554</v>
      </c>
      <c r="V455" s="16">
        <f t="shared" si="60"/>
        <v>0</v>
      </c>
      <c r="W455" s="16">
        <f t="shared" si="61"/>
        <v>0</v>
      </c>
      <c r="X455" s="37" t="str">
        <f t="shared" si="62"/>
        <v>-</v>
      </c>
      <c r="Y455" s="15" t="str">
        <f t="shared" si="63"/>
        <v>📉 Low</v>
      </c>
    </row>
    <row r="456" spans="1:25" x14ac:dyDescent="0.2">
      <c r="A456" t="str">
        <f>'5. KPI Baselines'!A441</f>
        <v>Rees Scientific</v>
      </c>
      <c r="B456" t="str">
        <f>'5. KPI Baselines'!B441</f>
        <v>Product Development</v>
      </c>
      <c r="C456" t="str">
        <f>'5. KPI Baselines'!C441</f>
        <v>Time-to-Market</v>
      </c>
      <c r="D456" t="str">
        <f>'5. KPI Baselines'!D441</f>
        <v>Development Cycle Time</v>
      </c>
      <c r="E456" t="str">
        <f>'5. KPI Baselines'!E441</f>
        <v>24 months average</v>
      </c>
      <c r="F456" t="str">
        <f>'5. KPI Baselines'!F441</f>
        <v>19 months</v>
      </c>
      <c r="G456" t="str">
        <f>'5. KPI Baselines'!G441</f>
        <v>21 months</v>
      </c>
      <c r="H456" t="str">
        <f>'5. KPI Baselines'!H441</f>
        <v>↓</v>
      </c>
      <c r="I456" t="str">
        <f>'5. KPI Baselines'!I441</f>
        <v>36 months</v>
      </c>
      <c r="J456" t="str">
        <f>'5. KPI Baselines'!J441</f>
        <v>Time from concept approval to commercial release</v>
      </c>
      <c r="K456" s="15" t="str">
        <f t="shared" si="55"/>
        <v>24 months average → 19 months</v>
      </c>
      <c r="L456" s="34" cm="1">
        <f t="array" ref="L456">IFERROR(_xlfn.LET(_xlpm.e,E456,_xlpm.f,F456,_xlpm.h,H456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0.20833246528139465</v>
      </c>
      <c r="M456" s="15" cm="1">
        <f t="array" ref="M456">IFERROR(_xlfn.LET(_xlpm.e,E456,_xlpm.f,F456,_xlpm.h,H456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19.8</v>
      </c>
      <c r="N456" s="15" cm="1">
        <f t="array" ref="N456">IFERROR(_xlfn.LET(_xlpm.e,E456,_xlpm.f,F456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456" s="15" t="str">
        <f t="shared" si="56"/>
        <v>21 months → 19 months</v>
      </c>
      <c r="P456" s="34" cm="1">
        <f t="array" ref="P456">IFERROR(_xlfn.LET(_xlpm.g,G456,_xlpm.f,F456,_xlpm.h,H456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9.523764172551559E-2</v>
      </c>
      <c r="Q456" s="15" t="str" cm="1">
        <f t="array" ref="Q456">IFERROR(_xlfn.LET(_xlpm.e,E456,_xlpm.g,G456,_xlpm.h,H456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6" s="15" t="str">
        <f t="shared" si="57"/>
        <v>🔴 Lagging</v>
      </c>
      <c r="S456" s="35" cm="1">
        <f t="array" ref="S456">IFERROR(_xlfn.LET(_xlpm.e,E456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24</v>
      </c>
      <c r="T456" s="36">
        <f t="shared" si="58"/>
        <v>20.833246528139465</v>
      </c>
      <c r="U456" s="15">
        <f t="shared" si="59"/>
        <v>460</v>
      </c>
      <c r="V456" s="16">
        <f t="shared" si="60"/>
        <v>698.059591418369</v>
      </c>
      <c r="W456" s="16">
        <f t="shared" si="61"/>
        <v>1735.9708847444053</v>
      </c>
      <c r="X456" s="37">
        <f t="shared" si="62"/>
        <v>124</v>
      </c>
      <c r="Y456" s="15" t="str">
        <f t="shared" si="63"/>
        <v>📊 Medium</v>
      </c>
    </row>
    <row r="457" spans="1:25" x14ac:dyDescent="0.2">
      <c r="A457" t="str">
        <f>'5. KPI Baselines'!A442</f>
        <v>Rees Scientific</v>
      </c>
      <c r="B457" t="str">
        <f>'5. KPI Baselines'!B442</f>
        <v>Supply Chain</v>
      </c>
      <c r="C457" t="str">
        <f>'5. KPI Baselines'!C442</f>
        <v>Procurement</v>
      </c>
      <c r="D457" t="str">
        <f>'5. KPI Baselines'!D442</f>
        <v>Supplier Lead Time Variability</v>
      </c>
      <c r="E457" t="str">
        <f>'5. KPI Baselines'!E442</f>
        <v>±18 days standard deviation</v>
      </c>
      <c r="F457" t="str">
        <f>'5. KPI Baselines'!F442</f>
        <v>±11 days</v>
      </c>
      <c r="G457" t="str">
        <f>'5. KPI Baselines'!G442</f>
        <v>±14 days</v>
      </c>
      <c r="H457" t="str">
        <f>'5. KPI Baselines'!H442</f>
        <v>↓</v>
      </c>
      <c r="I457" t="str">
        <f>'5. KPI Baselines'!I442</f>
        <v>18 months</v>
      </c>
      <c r="J457" t="str">
        <f>'5. KPI Baselines'!J442</f>
        <v>Standard deviation of actual vs promised delivery dates</v>
      </c>
      <c r="K457" s="15" t="str">
        <f t="shared" si="55"/>
        <v>±18 days standard deviation → ±11 days</v>
      </c>
      <c r="L457" s="34" t="str" cm="1">
        <f t="array" ref="L457">IFERROR(_xlfn.LET(_xlpm.e,E457,_xlpm.f,F457,_xlpm.h,H457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57" s="15" t="str" cm="1">
        <f t="array" ref="M457">IFERROR(_xlfn.LET(_xlpm.e,E457,_xlpm.f,F457,_xlpm.h,H457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57" s="15" t="str" cm="1">
        <f t="array" ref="N457">IFERROR(_xlfn.LET(_xlpm.e,E457,_xlpm.f,F457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57" s="15" t="str">
        <f t="shared" si="56"/>
        <v>±14 days → ±11 days</v>
      </c>
      <c r="P457" s="34" t="str" cm="1">
        <f t="array" ref="P457">IFERROR(_xlfn.LET(_xlpm.g,G457,_xlpm.f,F457,_xlpm.h,H457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57" s="15" t="str" cm="1">
        <f t="array" ref="Q457">IFERROR(_xlfn.LET(_xlpm.e,E457,_xlpm.g,G457,_xlpm.h,H457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57" s="15" t="str">
        <f t="shared" si="57"/>
        <v>⚪ N/A</v>
      </c>
      <c r="S457" s="35" cm="1">
        <f t="array" ref="S457">IFERROR(_xlfn.LET(_xlpm.e,E457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57" s="36">
        <f t="shared" si="58"/>
        <v>0</v>
      </c>
      <c r="U457" s="15">
        <f t="shared" si="59"/>
        <v>554</v>
      </c>
      <c r="V457" s="16">
        <f t="shared" si="60"/>
        <v>0</v>
      </c>
      <c r="W457" s="16">
        <f t="shared" si="61"/>
        <v>0</v>
      </c>
      <c r="X457" s="37" t="str">
        <f t="shared" si="62"/>
        <v>-</v>
      </c>
      <c r="Y457" s="15" t="str">
        <f t="shared" si="63"/>
        <v>📉 Low</v>
      </c>
    </row>
    <row r="458" spans="1:25" x14ac:dyDescent="0.2">
      <c r="A458" t="str">
        <f>'5. KPI Baselines'!A443</f>
        <v>Rees Scientific</v>
      </c>
      <c r="B458" t="str">
        <f>'5. KPI Baselines'!B443</f>
        <v>Finance</v>
      </c>
      <c r="C458" t="str">
        <f>'5. KPI Baselines'!C443</f>
        <v>Accounts Receivable</v>
      </c>
      <c r="D458" t="str">
        <f>'5. KPI Baselines'!D443</f>
        <v>Days Sales Outstanding</v>
      </c>
      <c r="E458" t="str">
        <f>'5. KPI Baselines'!E443</f>
        <v>68 days</v>
      </c>
      <c r="F458" t="str">
        <f>'5. KPI Baselines'!F443</f>
        <v>52 days</v>
      </c>
      <c r="G458" t="str">
        <f>'5. KPI Baselines'!G443</f>
        <v>58 days</v>
      </c>
      <c r="H458" t="str">
        <f>'5. KPI Baselines'!H443</f>
        <v>↓</v>
      </c>
      <c r="I458" t="str">
        <f>'5. KPI Baselines'!I443</f>
        <v>12 months</v>
      </c>
      <c r="J458" t="str">
        <f>'5. KPI Baselines'!J443</f>
        <v>Average collection period for invoiced revenue</v>
      </c>
      <c r="K458" s="15" t="str">
        <f t="shared" si="55"/>
        <v>68 days → 52 days</v>
      </c>
      <c r="L458" s="34" cm="1">
        <f t="array" ref="L458">IFERROR(_xlfn.LET(_xlpm.e,E458,_xlpm.f,F458,_xlpm.h,H458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0.23529377162680642</v>
      </c>
      <c r="M458" s="15" cm="1">
        <f t="array" ref="M458">IFERROR(_xlfn.LET(_xlpm.e,E458,_xlpm.f,F458,_xlpm.h,H458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54.4</v>
      </c>
      <c r="N458" s="15" cm="1">
        <f t="array" ref="N458">IFERROR(_xlfn.LET(_xlpm.e,E458,_xlpm.f,F458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458" s="15" t="str">
        <f t="shared" si="56"/>
        <v>58 days → 52 days</v>
      </c>
      <c r="P458" s="34" cm="1">
        <f t="array" ref="P458">IFERROR(_xlfn.LET(_xlpm.g,G458,_xlpm.f,F458,_xlpm.h,H458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0.10344809750328016</v>
      </c>
      <c r="Q458" s="15" t="str" cm="1">
        <f t="array" ref="Q458">IFERROR(_xlfn.LET(_xlpm.e,E458,_xlpm.g,G458,_xlpm.h,H458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8" s="15" t="str">
        <f t="shared" si="57"/>
        <v>🔴 Lagging</v>
      </c>
      <c r="S458" s="35" cm="1">
        <f t="array" ref="S458">IFERROR(_xlfn.LET(_xlpm.e,E458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458" s="36">
        <f t="shared" si="58"/>
        <v>23.529377162680642</v>
      </c>
      <c r="U458" s="15">
        <f t="shared" si="59"/>
        <v>433</v>
      </c>
      <c r="V458" s="16">
        <f t="shared" si="60"/>
        <v>2233.7967150048307</v>
      </c>
      <c r="W458" s="16">
        <f t="shared" si="61"/>
        <v>5555.1218081637835</v>
      </c>
      <c r="X458" s="37">
        <f t="shared" si="62"/>
        <v>39</v>
      </c>
      <c r="Y458" s="15" t="str">
        <f t="shared" si="63"/>
        <v>📊 Medium</v>
      </c>
    </row>
    <row r="459" spans="1:25" x14ac:dyDescent="0.2">
      <c r="A459" t="str">
        <f>'5. KPI Baselines'!A444</f>
        <v>SCIO Automation</v>
      </c>
      <c r="B459" t="str">
        <f>'5. KPI Baselines'!B444</f>
        <v>Engineering</v>
      </c>
      <c r="C459" t="str">
        <f>'5. KPI Baselines'!C444</f>
        <v>Technical Documentation</v>
      </c>
      <c r="D459" t="str">
        <f>'5. KPI Baselines'!D444</f>
        <v>Hours per System Manual</v>
      </c>
      <c r="E459" t="str">
        <f>'5. KPI Baselines'!E444</f>
        <v>42 hours</v>
      </c>
      <c r="F459" t="str">
        <f>'5. KPI Baselines'!F444</f>
        <v>18 hours</v>
      </c>
      <c r="G459" t="str">
        <f>'5. KPI Baselines'!G444</f>
        <v>38 hours (integrated systems)</v>
      </c>
      <c r="H459" t="str">
        <f>'5. KPI Baselines'!H444</f>
        <v>↓</v>
      </c>
      <c r="I459" t="str">
        <f>'5. KPI Baselines'!I444</f>
        <v>18 months</v>
      </c>
      <c r="J459" t="str">
        <f>'5. KPI Baselines'!J444</f>
        <v>Time tracking per completed manual</v>
      </c>
      <c r="K459" s="15" t="str">
        <f t="shared" si="55"/>
        <v>42 hours → 18 hours</v>
      </c>
      <c r="L459" s="34" cm="1">
        <f t="array" ref="L459">IFERROR(_xlfn.LET(_xlpm.e,E459,_xlpm.f,F459,_xlpm.h,H459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0.57142721088759307</v>
      </c>
      <c r="M459" s="15" cm="1">
        <f t="array" ref="M459">IFERROR(_xlfn.LET(_xlpm.e,E459,_xlpm.f,F459,_xlpm.h,H459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21.6</v>
      </c>
      <c r="N459" s="15" cm="1">
        <f t="array" ref="N459">IFERROR(_xlfn.LET(_xlpm.e,E459,_xlpm.f,F459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18.36</v>
      </c>
      <c r="O459" s="15" t="str">
        <f t="shared" si="56"/>
        <v>38 hours (integrated systems) → 18 hours</v>
      </c>
      <c r="P459" s="34" cm="1">
        <f t="array" ref="P459">IFERROR(_xlfn.LET(_xlpm.g,G459,_xlpm.f,F459,_xlpm.h,H459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0.52631440443577771</v>
      </c>
      <c r="Q459" s="15" t="str" cm="1">
        <f t="array" ref="Q459">IFERROR(_xlfn.LET(_xlpm.e,E459,_xlpm.g,G459,_xlpm.h,H459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59" s="15" t="str">
        <f t="shared" si="57"/>
        <v>🔴 Lagging</v>
      </c>
      <c r="S459" s="35" cm="1">
        <f t="array" ref="S459">IFERROR(_xlfn.LET(_xlpm.e,E459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459" s="36">
        <f t="shared" si="58"/>
        <v>57.142721088759309</v>
      </c>
      <c r="U459" s="15">
        <f t="shared" si="59"/>
        <v>171</v>
      </c>
      <c r="V459" s="16">
        <f t="shared" si="60"/>
        <v>3350.692022161852</v>
      </c>
      <c r="W459" s="16">
        <f t="shared" si="61"/>
        <v>8332.6751264881586</v>
      </c>
      <c r="X459" s="37">
        <f t="shared" si="62"/>
        <v>26</v>
      </c>
      <c r="Y459" s="15" t="str">
        <f t="shared" si="63"/>
        <v>🔥 Critical</v>
      </c>
    </row>
    <row r="460" spans="1:25" x14ac:dyDescent="0.2">
      <c r="A460" t="str">
        <f>'5. KPI Baselines'!A445</f>
        <v>SCIO Automation</v>
      </c>
      <c r="B460" t="str">
        <f>'5. KPI Baselines'!B445</f>
        <v>Engineering</v>
      </c>
      <c r="C460" t="str">
        <f>'5. KPI Baselines'!C445</f>
        <v>Proposal Development</v>
      </c>
      <c r="D460" t="str">
        <f>'5. KPI Baselines'!D445</f>
        <v>Hours per Major Bid</v>
      </c>
      <c r="E460" t="str">
        <f>'5. KPI Baselines'!E445</f>
        <v>180 hours</v>
      </c>
      <c r="F460" t="str">
        <f>'5. KPI Baselines'!F445</f>
        <v>90 hours</v>
      </c>
      <c r="G460" t="str">
        <f>'5. KPI Baselines'!G445</f>
        <v>160 hours (advanced systems)</v>
      </c>
      <c r="H460" t="str">
        <f>'5. KPI Baselines'!H445</f>
        <v>↓</v>
      </c>
      <c r="I460" t="str">
        <f>'5. KPI Baselines'!I445</f>
        <v>12 months</v>
      </c>
      <c r="J460" t="str">
        <f>'5. KPI Baselines'!J445</f>
        <v>Cross-functional effort tracking</v>
      </c>
      <c r="K460" s="15" t="str">
        <f t="shared" si="55"/>
        <v>180 hours → 90 hours</v>
      </c>
      <c r="L460" s="34" cm="1">
        <f t="array" ref="L460">IFERROR(_xlfn.LET(_xlpm.e,E460,_xlpm.f,F460,_xlpm.h,H460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0.49999972222237654</v>
      </c>
      <c r="M460" s="15" cm="1">
        <f t="array" ref="M460">IFERROR(_xlfn.LET(_xlpm.e,E460,_xlpm.f,F460,_xlpm.h,H460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103.5</v>
      </c>
      <c r="N460" s="15" cm="1">
        <f t="array" ref="N460">IFERROR(_xlfn.LET(_xlpm.e,E460,_xlpm.f,F460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68.849999999999994</v>
      </c>
      <c r="O460" s="15" t="str">
        <f t="shared" si="56"/>
        <v>160 hours (advanced systems) → 90 hours</v>
      </c>
      <c r="P460" s="34" cm="1">
        <f t="array" ref="P460">IFERROR(_xlfn.LET(_xlpm.g,G460,_xlpm.f,F460,_xlpm.h,H460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0.43749972656267089</v>
      </c>
      <c r="Q460" s="15" t="str" cm="1">
        <f t="array" ref="Q460">IFERROR(_xlfn.LET(_xlpm.e,E460,_xlpm.g,G460,_xlpm.h,H460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0" s="15" t="str">
        <f t="shared" si="57"/>
        <v>🔴 Lagging</v>
      </c>
      <c r="S460" s="35" cm="1">
        <f t="array" ref="S460">IFERROR(_xlfn.LET(_xlpm.e,E460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180</v>
      </c>
      <c r="T460" s="36">
        <f t="shared" si="58"/>
        <v>49.999972222237652</v>
      </c>
      <c r="U460" s="15">
        <f t="shared" si="59"/>
        <v>219</v>
      </c>
      <c r="V460" s="16">
        <f t="shared" si="60"/>
        <v>12565.118019378879</v>
      </c>
      <c r="W460" s="16">
        <f t="shared" si="61"/>
        <v>31247.588763444121</v>
      </c>
      <c r="X460" s="37">
        <f t="shared" si="62"/>
        <v>7</v>
      </c>
      <c r="Y460" s="15" t="str">
        <f t="shared" si="63"/>
        <v>⚠️ High</v>
      </c>
    </row>
    <row r="461" spans="1:25" x14ac:dyDescent="0.2">
      <c r="A461" t="str">
        <f>'5. KPI Baselines'!A446</f>
        <v>SCIO Automation</v>
      </c>
      <c r="B461" t="str">
        <f>'5. KPI Baselines'!B446</f>
        <v>Sales</v>
      </c>
      <c r="C461" t="str">
        <f>'5. KPI Baselines'!C446</f>
        <v>Proposal Win Rate</v>
      </c>
      <c r="D461" t="str">
        <f>'5. KPI Baselines'!D446</f>
        <v>Conversion Rate</v>
      </c>
      <c r="E461" t="str">
        <f>'5. KPI Baselines'!E446</f>
        <v>23%</v>
      </c>
      <c r="F461" t="str">
        <f>'5. KPI Baselines'!F446</f>
        <v>32%</v>
      </c>
      <c r="G461" t="str">
        <f>'5. KPI Baselines'!G446</f>
        <v>28% (automation integrators)</v>
      </c>
      <c r="H461" t="str">
        <f>'5. KPI Baselines'!H446</f>
        <v>↑</v>
      </c>
      <c r="I461" t="str">
        <f>'5. KPI Baselines'!I446</f>
        <v>18 months</v>
      </c>
      <c r="J461" t="str">
        <f>'5. KPI Baselines'!J446</f>
        <v>Proposals submitted vs. contracts signed</v>
      </c>
      <c r="K461" s="15" t="str">
        <f t="shared" si="55"/>
        <v>32% - 23%</v>
      </c>
      <c r="L461" s="34" cm="1">
        <f t="array" ref="L461">IFERROR(_xlfn.LET(_xlpm.e,E461,_xlpm.f,F461,_xlpm.h,H461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0.39130264651023255</v>
      </c>
      <c r="M461" s="15" cm="1">
        <f t="array" ref="M461">IFERROR(_xlfn.LET(_xlpm.e,E461,_xlpm.f,F461,_xlpm.h,H461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30.7</v>
      </c>
      <c r="N461" s="15" cm="1">
        <f t="array" ref="N461">IFERROR(_xlfn.LET(_xlpm.e,E461,_xlpm.f,F461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461" s="15" t="str">
        <f t="shared" si="56"/>
        <v>32% - 28% (automation integrators)</v>
      </c>
      <c r="P461" s="34" cm="1">
        <f t="array" ref="P461">IFERROR(_xlfn.LET(_xlpm.g,G461,_xlpm.f,F461,_xlpm.h,H461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0.14285663265488338</v>
      </c>
      <c r="Q461" s="15" t="str" cm="1">
        <f t="array" ref="Q461">IFERROR(_xlfn.LET(_xlpm.e,E461,_xlpm.g,G461,_xlpm.h,H461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1" s="15" t="str">
        <f t="shared" si="57"/>
        <v>🔴 Lagging</v>
      </c>
      <c r="S461" s="35" cm="1">
        <f t="array" ref="S461">IFERROR(_xlfn.LET(_xlpm.e,E461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461" s="36">
        <f t="shared" si="58"/>
        <v>39.130264651023253</v>
      </c>
      <c r="U461" s="15">
        <f t="shared" si="59"/>
        <v>315</v>
      </c>
      <c r="V461" s="16">
        <f t="shared" si="60"/>
        <v>1256.5070369259263</v>
      </c>
      <c r="W461" s="16">
        <f t="shared" si="61"/>
        <v>3124.7470264649282</v>
      </c>
      <c r="X461" s="37">
        <f t="shared" si="62"/>
        <v>69</v>
      </c>
      <c r="Y461" s="15" t="str">
        <f t="shared" si="63"/>
        <v>⚠️ High</v>
      </c>
    </row>
    <row r="462" spans="1:25" x14ac:dyDescent="0.2">
      <c r="A462" t="str">
        <f>'5. KPI Baselines'!A447</f>
        <v>SCIO Automation</v>
      </c>
      <c r="B462" t="str">
        <f>'5. KPI Baselines'!B447</f>
        <v>Field Service</v>
      </c>
      <c r="C462" t="str">
        <f>'5. KPI Baselines'!C447</f>
        <v>Maintenance Operations</v>
      </c>
      <c r="D462" t="str">
        <f>'5. KPI Baselines'!D447</f>
        <v>Preventive vs. Reactive Ratio</v>
      </c>
      <c r="E462" t="str">
        <f>'5. KPI Baselines'!E447</f>
        <v>35% preventive</v>
      </c>
      <c r="F462" t="str">
        <f>'5. KPI Baselines'!F447</f>
        <v>60% preventive</v>
      </c>
      <c r="G462" t="str">
        <f>'5. KPI Baselines'!G447</f>
        <v>55% preventive (mature ops)</v>
      </c>
      <c r="H462" t="str">
        <f>'5. KPI Baselines'!H447</f>
        <v>↑</v>
      </c>
      <c r="I462" t="str">
        <f>'5. KPI Baselines'!I447</f>
        <v>24 months</v>
      </c>
      <c r="J462" t="str">
        <f>'5. KPI Baselines'!J447</f>
        <v>Service ticket classification</v>
      </c>
      <c r="K462" s="15" t="str">
        <f t="shared" si="55"/>
        <v>60% preventive - 35% preventive</v>
      </c>
      <c r="L462" s="34" t="str" cm="1">
        <f t="array" ref="L462">IFERROR(_xlfn.LET(_xlpm.e,E462,_xlpm.f,F462,_xlpm.h,H462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62" s="15" t="str" cm="1">
        <f t="array" ref="M462">IFERROR(_xlfn.LET(_xlpm.e,E462,_xlpm.f,F462,_xlpm.h,H462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62" s="15" t="str" cm="1">
        <f t="array" ref="N462">IFERROR(_xlfn.LET(_xlpm.e,E462,_xlpm.f,F462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62" s="15" t="str">
        <f t="shared" si="56"/>
        <v>60% preventive - 55% preventive (mature ops)</v>
      </c>
      <c r="P462" s="34" t="str" cm="1">
        <f t="array" ref="P462">IFERROR(_xlfn.LET(_xlpm.g,G462,_xlpm.f,F462,_xlpm.h,H462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62" s="15" t="str" cm="1">
        <f t="array" ref="Q462">IFERROR(_xlfn.LET(_xlpm.e,E462,_xlpm.g,G462,_xlpm.h,H462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62" s="15" t="str">
        <f t="shared" si="57"/>
        <v>⚪ N/A</v>
      </c>
      <c r="S462" s="35" cm="1">
        <f t="array" ref="S462">IFERROR(_xlfn.LET(_xlpm.e,E462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62" s="36">
        <f t="shared" si="58"/>
        <v>0</v>
      </c>
      <c r="U462" s="15">
        <f t="shared" si="59"/>
        <v>554</v>
      </c>
      <c r="V462" s="16">
        <f t="shared" si="60"/>
        <v>0</v>
      </c>
      <c r="W462" s="16">
        <f t="shared" si="61"/>
        <v>0</v>
      </c>
      <c r="X462" s="37" t="str">
        <f t="shared" si="62"/>
        <v>-</v>
      </c>
      <c r="Y462" s="15" t="str">
        <f t="shared" si="63"/>
        <v>📉 Low</v>
      </c>
    </row>
    <row r="463" spans="1:25" x14ac:dyDescent="0.2">
      <c r="A463" t="str">
        <f>'5. KPI Baselines'!A448</f>
        <v>SCIO Automation</v>
      </c>
      <c r="B463" t="str">
        <f>'5. KPI Baselines'!B448</f>
        <v>Field Service</v>
      </c>
      <c r="C463" t="str">
        <f>'5. KPI Baselines'!C448</f>
        <v>Dispatch Efficiency</v>
      </c>
      <c r="D463" t="str">
        <f>'5. KPI Baselines'!D448</f>
        <v>Travel Time % of Billable Hours</v>
      </c>
      <c r="E463" t="str">
        <f>'5. KPI Baselines'!E448</f>
        <v>28%</v>
      </c>
      <c r="F463" t="str">
        <f>'5. KPI Baselines'!F448</f>
        <v>15%</v>
      </c>
      <c r="G463" t="str">
        <f>'5. KPI Baselines'!G448</f>
        <v>18% (optimized routing)</v>
      </c>
      <c r="H463" t="str">
        <f>'5. KPI Baselines'!H448</f>
        <v>↓</v>
      </c>
      <c r="I463" t="str">
        <f>'5. KPI Baselines'!I448</f>
        <v>12 months</v>
      </c>
      <c r="J463" t="str">
        <f>'5. KPI Baselines'!J448</f>
        <v>GPS tracking vs. billable time logs</v>
      </c>
      <c r="K463" s="15" t="str">
        <f t="shared" si="55"/>
        <v>28% → 15%</v>
      </c>
      <c r="L463" s="34" cm="1">
        <f t="array" ref="L463">IFERROR(_xlfn.LET(_xlpm.e,E463,_xlpm.f,F463,_xlpm.h,H463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0.46428405612837098</v>
      </c>
      <c r="M463" s="15" cm="1">
        <f t="array" ref="M463">IFERROR(_xlfn.LET(_xlpm.e,E463,_xlpm.f,F463,_xlpm.h,H463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</v>
      </c>
      <c r="N463" s="15" cm="1">
        <f t="array" ref="N463">IFERROR(_xlfn.LET(_xlpm.e,E463,_xlpm.f,F463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463" s="15" t="str">
        <f t="shared" si="56"/>
        <v>18% (optimized routing) → 15%</v>
      </c>
      <c r="P463" s="34" cm="1">
        <f t="array" ref="P463">IFERROR(_xlfn.LET(_xlpm.g,G463,_xlpm.f,F463,_xlpm.h,H463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0.16666574074588475</v>
      </c>
      <c r="Q463" s="15" t="str" cm="1">
        <f t="array" ref="Q463">IFERROR(_xlfn.LET(_xlpm.e,E463,_xlpm.g,G463,_xlpm.h,H463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3" s="15" t="str">
        <f t="shared" si="57"/>
        <v>🔴 Lagging</v>
      </c>
      <c r="S463" s="35" cm="1">
        <f t="array" ref="S463">IFERROR(_xlfn.LET(_xlpm.e,E463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463" s="36">
        <f t="shared" si="58"/>
        <v>46.428405612837096</v>
      </c>
      <c r="U463" s="15">
        <f t="shared" si="59"/>
        <v>260</v>
      </c>
      <c r="V463" s="16">
        <f t="shared" si="60"/>
        <v>1814.9560180142214</v>
      </c>
      <c r="W463" s="16">
        <f t="shared" si="61"/>
        <v>4513.526986947466</v>
      </c>
      <c r="X463" s="37">
        <f t="shared" si="62"/>
        <v>48</v>
      </c>
      <c r="Y463" s="15" t="str">
        <f t="shared" si="63"/>
        <v>⚠️ High</v>
      </c>
    </row>
    <row r="464" spans="1:25" x14ac:dyDescent="0.2">
      <c r="A464" t="str">
        <f>'5. KPI Baselines'!A449</f>
        <v>SCIO Automation</v>
      </c>
      <c r="B464" t="str">
        <f>'5. KPI Baselines'!B449</f>
        <v>Supply Chain</v>
      </c>
      <c r="C464" t="str">
        <f>'5. KPI Baselines'!C449</f>
        <v>Inventory Management</v>
      </c>
      <c r="D464" t="str">
        <f>'5. KPI Baselines'!D449</f>
        <v>Parts Lead Time (Days)</v>
      </c>
      <c r="E464" t="str">
        <f>'5. KPI Baselines'!E449</f>
        <v>12 days</v>
      </c>
      <c r="F464" t="str">
        <f>'5. KPI Baselines'!F449</f>
        <v>5 days</v>
      </c>
      <c r="G464" t="str">
        <f>'5. KPI Baselines'!G449</f>
        <v>7 days (demand sensing)</v>
      </c>
      <c r="H464" t="str">
        <f>'5. KPI Baselines'!H449</f>
        <v>↓</v>
      </c>
      <c r="I464" t="str">
        <f>'5. KPI Baselines'!I449</f>
        <v>18 months</v>
      </c>
      <c r="J464" t="str">
        <f>'5. KPI Baselines'!J449</f>
        <v>Order-to-delivery tracking</v>
      </c>
      <c r="K464" s="15" t="str">
        <f t="shared" si="55"/>
        <v>12 days → 5 days</v>
      </c>
      <c r="L464" s="34" cm="1">
        <f t="array" ref="L464">IFERROR(_xlfn.LET(_xlpm.e,E464,_xlpm.f,F464,_xlpm.h,H464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0.5833284722627311</v>
      </c>
      <c r="M464" s="15" cm="1">
        <f t="array" ref="M464">IFERROR(_xlfn.LET(_xlpm.e,E464,_xlpm.f,F464,_xlpm.h,H464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6.1</v>
      </c>
      <c r="N464" s="15" cm="1">
        <f t="array" ref="N464">IFERROR(_xlfn.LET(_xlpm.e,E464,_xlpm.f,F464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64" s="15" t="str">
        <f t="shared" si="56"/>
        <v>7 days (demand sensing) → 5 days</v>
      </c>
      <c r="P464" s="34" cm="1">
        <f t="array" ref="P464">IFERROR(_xlfn.LET(_xlpm.g,G464,_xlpm.f,F464,_xlpm.h,H464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0.28571020413994086</v>
      </c>
      <c r="Q464" s="15" t="str" cm="1">
        <f t="array" ref="Q464">IFERROR(_xlfn.LET(_xlpm.e,E464,_xlpm.g,G464,_xlpm.h,H464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4" s="15" t="str">
        <f t="shared" si="57"/>
        <v>🔴 Lagging</v>
      </c>
      <c r="S464" s="35" cm="1">
        <f t="array" ref="S464">IFERROR(_xlfn.LET(_xlpm.e,E464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64" s="36">
        <f t="shared" si="58"/>
        <v>58.33284722627311</v>
      </c>
      <c r="U464" s="15">
        <f t="shared" si="59"/>
        <v>160</v>
      </c>
      <c r="V464" s="16">
        <f t="shared" si="60"/>
        <v>977.27935600536659</v>
      </c>
      <c r="W464" s="16">
        <f t="shared" si="61"/>
        <v>2430.3491122297269</v>
      </c>
      <c r="X464" s="37">
        <f t="shared" si="62"/>
        <v>89</v>
      </c>
      <c r="Y464" s="15" t="str">
        <f t="shared" si="63"/>
        <v>🔥 Critical</v>
      </c>
    </row>
    <row r="465" spans="1:25" x14ac:dyDescent="0.2">
      <c r="A465" t="str">
        <f>'5. KPI Baselines'!A450</f>
        <v>SCIO Automation</v>
      </c>
      <c r="B465" t="str">
        <f>'5. KPI Baselines'!B450</f>
        <v>Supply Chain</v>
      </c>
      <c r="C465" t="str">
        <f>'5. KPI Baselines'!C450</f>
        <v>Inventory Optimization</v>
      </c>
      <c r="D465" t="str">
        <f>'5. KPI Baselines'!D450</f>
        <v>Excess Safety Stock Value</v>
      </c>
      <c r="E465" t="str">
        <f>'5. KPI Baselines'!E450</f>
        <v>$4.2M</v>
      </c>
      <c r="F465" t="str">
        <f>'5. KPI Baselines'!F450</f>
        <v>$2.1M</v>
      </c>
      <c r="G465" t="str">
        <f>'5. KPI Baselines'!G450</f>
        <v>$2.8M (predictive models)</v>
      </c>
      <c r="H465" t="str">
        <f>'5. KPI Baselines'!H450</f>
        <v>↓</v>
      </c>
      <c r="I465" t="str">
        <f>'5. KPI Baselines'!I450</f>
        <v>24 months</v>
      </c>
      <c r="J465" t="str">
        <f>'5. KPI Baselines'!J450</f>
        <v>Slow-moving inventory audit</v>
      </c>
      <c r="K465" s="15" t="str">
        <f t="shared" si="55"/>
        <v>$4.2M → $2.1M</v>
      </c>
      <c r="L465" s="34" cm="1">
        <f t="array" ref="L465">IFERROR(_xlfn.LET(_xlpm.e,E465,_xlpm.f,F465,_xlpm.h,H465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0.49998809552153523</v>
      </c>
      <c r="M465" s="15" cm="1">
        <f t="array" ref="M465">IFERROR(_xlfn.LET(_xlpm.e,E465,_xlpm.f,F465,_xlpm.h,H465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2.4</v>
      </c>
      <c r="N465" s="15" cm="1">
        <f t="array" ref="N465">IFERROR(_xlfn.LET(_xlpm.e,E465,_xlpm.f,F465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1.61</v>
      </c>
      <c r="O465" s="15" t="str">
        <f t="shared" si="56"/>
        <v>$2.8M (predictive models) → $2.1M</v>
      </c>
      <c r="P465" s="34" cm="1">
        <f t="array" ref="P465">IFERROR(_xlfn.LET(_xlpm.g,G465,_xlpm.f,F465,_xlpm.h,H465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0.24999107174743748</v>
      </c>
      <c r="Q465" s="15" t="str" cm="1">
        <f t="array" ref="Q465">IFERROR(_xlfn.LET(_xlpm.e,E465,_xlpm.g,G465,_xlpm.h,H465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5" s="15" t="str">
        <f t="shared" si="57"/>
        <v>🔴 Lagging</v>
      </c>
      <c r="S465" s="35" cm="1">
        <f t="array" ref="S465">IFERROR(_xlfn.LET(_xlpm.e,E465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465" s="36">
        <f t="shared" si="58"/>
        <v>49.998809552153524</v>
      </c>
      <c r="U465" s="15">
        <f t="shared" si="59"/>
        <v>243</v>
      </c>
      <c r="V465" s="16">
        <f t="shared" si="60"/>
        <v>293.17926954120139</v>
      </c>
      <c r="W465" s="16">
        <f t="shared" si="61"/>
        <v>729.09345017383725</v>
      </c>
      <c r="X465" s="37">
        <f t="shared" si="62"/>
        <v>292</v>
      </c>
      <c r="Y465" s="15" t="str">
        <f t="shared" si="63"/>
        <v>⚠️ High</v>
      </c>
    </row>
    <row r="466" spans="1:25" x14ac:dyDescent="0.2">
      <c r="A466" t="str">
        <f>'5. KPI Baselines'!A451</f>
        <v>SCIO Automation</v>
      </c>
      <c r="B466" t="str">
        <f>'5. KPI Baselines'!B451</f>
        <v>Compliance</v>
      </c>
      <c r="C466" t="str">
        <f>'5. KPI Baselines'!C451</f>
        <v>Regulatory Certification</v>
      </c>
      <c r="D466" t="str">
        <f>'5. KPI Baselines'!D451</f>
        <v>Certification Cycle Time (Days)</v>
      </c>
      <c r="E466" t="str">
        <f>'5. KPI Baselines'!E451</f>
        <v>90 days</v>
      </c>
      <c r="F466" t="str">
        <f>'5. KPI Baselines'!F451</f>
        <v>35 days</v>
      </c>
      <c r="G466" t="str">
        <f>'5. KPI Baselines'!G451</f>
        <v>60 days (automated tracking)</v>
      </c>
      <c r="H466" t="str">
        <f>'5. KPI Baselines'!H451</f>
        <v>↓</v>
      </c>
      <c r="I466" t="str">
        <f>'5. KPI Baselines'!I451</f>
        <v>18 months</v>
      </c>
      <c r="J466" t="str">
        <f>'5. KPI Baselines'!J451</f>
        <v>Submission to approval duration</v>
      </c>
      <c r="K466" s="15" t="str">
        <f t="shared" ref="K466:K529" si="64">IFERROR(IF(OR(E466="",F466=""),"-",IF(H466="↓",E466&amp;" → "&amp;F466,F466&amp;" - "&amp;E466)),"-")</f>
        <v>90 days → 35 days</v>
      </c>
      <c r="L466" s="34" cm="1">
        <f t="array" ref="L466">IFERROR(_xlfn.LET(_xlpm.e,E466,_xlpm.f,F466,_xlpm.h,H466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0.61111043209951987</v>
      </c>
      <c r="M466" s="15" cm="1">
        <f t="array" ref="M466">IFERROR(_xlfn.LET(_xlpm.e,E466,_xlpm.f,F466,_xlpm.h,H466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43.3</v>
      </c>
      <c r="N466" s="15" cm="1">
        <f t="array" ref="N466">IFERROR(_xlfn.LET(_xlpm.e,E466,_xlpm.f,F466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42.08</v>
      </c>
      <c r="O466" s="15" t="str">
        <f t="shared" ref="O466:O529" si="65">IFERROR(IF(OR(G466="",G466="Not Available",F466=""),"-",IF(H466="↓",G466&amp;" → "&amp;F466,F466&amp;" - "&amp;G466)),"-")</f>
        <v>60 days (automated tracking) → 35 days</v>
      </c>
      <c r="P466" s="34" cm="1">
        <f t="array" ref="P466">IFERROR(_xlfn.LET(_xlpm.g,G466,_xlpm.f,F466,_xlpm.h,H466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0.41666597222337959</v>
      </c>
      <c r="Q466" s="15" t="str" cm="1">
        <f t="array" ref="Q466">IFERROR(_xlfn.LET(_xlpm.e,E466,_xlpm.g,G466,_xlpm.h,H466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6" s="15" t="str">
        <f t="shared" ref="R466:R529" si="66">IFERROR(IF(Q466="Below Industry","🔴 Lagging",IF(Q466="Above Industry","🟢 Leading","⚪ N/A")),"⚪ N/A")</f>
        <v>🔴 Lagging</v>
      </c>
      <c r="S466" s="35" cm="1">
        <f t="array" ref="S466">IFERROR(_xlfn.LET(_xlpm.e,E466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90</v>
      </c>
      <c r="T466" s="36">
        <f t="shared" ref="T466:T529" si="67">IFERROR(IF(L466="-",0,ABS(L466)*100),0)</f>
        <v>61.111043209951987</v>
      </c>
      <c r="U466" s="15">
        <f t="shared" ref="U466:U529" si="68">IFERROR(RANK(T466,$T$17:$T$662,0),"-")</f>
        <v>145</v>
      </c>
      <c r="V466" s="16">
        <f t="shared" ref="V466:V529" si="69">IFERROR(IF(OR(L466="-",S466=0),0,S466*ABS(L466)*$F$9*$B$5*$B$7),0)</f>
        <v>7678.6789681344799</v>
      </c>
      <c r="W466" s="16">
        <f t="shared" ref="W466:W529" si="70">IFERROR(IF(V466=0,0,V466*(1-(1/(1+$B$11)^$B$10))/$B$11),0)</f>
        <v>19095.738080033923</v>
      </c>
      <c r="X466" s="37">
        <f t="shared" ref="X466:X529" si="71">IFERROR(IF(V466=0,"-",ROUND(12/(V466/($F$9*40)+0.001),0)),"-")</f>
        <v>11</v>
      </c>
      <c r="Y466" s="15" t="str">
        <f t="shared" ref="Y466:Y529" si="72">IF(T466&gt;=50,"🔥 Critical",IF(T466&gt;=25,"⚠️ High",IF(T466&gt;=10,"📊 Medium","📉 Low")))</f>
        <v>🔥 Critical</v>
      </c>
    </row>
    <row r="467" spans="1:25" x14ac:dyDescent="0.2">
      <c r="A467" t="str">
        <f>'5. KPI Baselines'!A452</f>
        <v>SCIO Automation</v>
      </c>
      <c r="B467" t="str">
        <f>'5. KPI Baselines'!B452</f>
        <v>Customer Success</v>
      </c>
      <c r="C467" t="str">
        <f>'5. KPI Baselines'!C452</f>
        <v>Technical Support</v>
      </c>
      <c r="D467" t="str">
        <f>'5. KPI Baselines'!D452</f>
        <v>First-Contact Resolution Rate</v>
      </c>
      <c r="E467" t="str">
        <f>'5. KPI Baselines'!E452</f>
        <v>41%</v>
      </c>
      <c r="F467" t="str">
        <f>'5. KPI Baselines'!F452</f>
        <v>65%</v>
      </c>
      <c r="G467" t="str">
        <f>'5. KPI Baselines'!G452</f>
        <v>58% (knowledge systems)</v>
      </c>
      <c r="H467" t="str">
        <f>'5. KPI Baselines'!H452</f>
        <v>↑</v>
      </c>
      <c r="I467" t="str">
        <f>'5. KPI Baselines'!I452</f>
        <v>12 months</v>
      </c>
      <c r="J467" t="str">
        <f>'5. KPI Baselines'!J452</f>
        <v>Support ticket closure analysis</v>
      </c>
      <c r="K467" s="15" t="str">
        <f t="shared" si="64"/>
        <v>65% - 41%</v>
      </c>
      <c r="L467" s="34" cm="1">
        <f t="array" ref="L467">IFERROR(_xlfn.LET(_xlpm.e,E467,_xlpm.f,F467,_xlpm.h,H467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0.58536442594042448</v>
      </c>
      <c r="M467" s="15" cm="1">
        <f t="array" ref="M467">IFERROR(_xlfn.LET(_xlpm.e,E467,_xlpm.f,F467,_xlpm.h,H467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61.4</v>
      </c>
      <c r="N467" s="15" cm="1">
        <f t="array" ref="N467">IFERROR(_xlfn.LET(_xlpm.e,E467,_xlpm.f,F467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18.36</v>
      </c>
      <c r="O467" s="15" t="str">
        <f t="shared" si="65"/>
        <v>65% - 58% (knowledge systems)</v>
      </c>
      <c r="P467" s="34" cm="1">
        <f t="array" ref="P467">IFERROR(_xlfn.LET(_xlpm.g,G467,_xlpm.f,F467,_xlpm.h,H467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0.12068944708716019</v>
      </c>
      <c r="Q467" s="15" t="str" cm="1">
        <f t="array" ref="Q467">IFERROR(_xlfn.LET(_xlpm.e,E467,_xlpm.g,G467,_xlpm.h,H467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7" s="15" t="str">
        <f t="shared" si="66"/>
        <v>🔴 Lagging</v>
      </c>
      <c r="S467" s="35" cm="1">
        <f t="array" ref="S467">IFERROR(_xlfn.LET(_xlpm.e,E467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41</v>
      </c>
      <c r="T467" s="36">
        <f t="shared" si="67"/>
        <v>58.536442594042448</v>
      </c>
      <c r="U467" s="15">
        <f t="shared" si="68"/>
        <v>159</v>
      </c>
      <c r="V467" s="16">
        <f t="shared" si="69"/>
        <v>3350.691827580908</v>
      </c>
      <c r="W467" s="16">
        <f t="shared" si="70"/>
        <v>8332.674642594151</v>
      </c>
      <c r="X467" s="37">
        <f t="shared" si="71"/>
        <v>26</v>
      </c>
      <c r="Y467" s="15" t="str">
        <f t="shared" si="72"/>
        <v>🔥 Critical</v>
      </c>
    </row>
    <row r="468" spans="1:25" x14ac:dyDescent="0.2">
      <c r="A468" t="str">
        <f>'5. KPI Baselines'!A453</f>
        <v>SCIO Automation</v>
      </c>
      <c r="B468" t="str">
        <f>'5. KPI Baselines'!B453</f>
        <v>Project Management</v>
      </c>
      <c r="C468" t="str">
        <f>'5. KPI Baselines'!C453</f>
        <v>Implementation Delivery</v>
      </c>
      <c r="D468" t="str">
        <f>'5. KPI Baselines'!D453</f>
        <v>Average Project Duration (Months)</v>
      </c>
      <c r="E468" t="str">
        <f>'5. KPI Baselines'!E453</f>
        <v>7.2 months</v>
      </c>
      <c r="F468" t="str">
        <f>'5. KPI Baselines'!F453</f>
        <v>5.8 months</v>
      </c>
      <c r="G468" t="str">
        <f>'5. KPI Baselines'!G453</f>
        <v>6.1 months (standardized processes)</v>
      </c>
      <c r="H468" t="str">
        <f>'5. KPI Baselines'!H453</f>
        <v>↓</v>
      </c>
      <c r="I468" t="str">
        <f>'5. KPI Baselines'!I453</f>
        <v>24 months</v>
      </c>
      <c r="J468" t="str">
        <f>'5. KPI Baselines'!J453</f>
        <v>Contract signing to final acceptance</v>
      </c>
      <c r="K468" s="15" t="str">
        <f t="shared" si="64"/>
        <v>7.2 months → 5.8 months</v>
      </c>
      <c r="L468" s="34" cm="1">
        <f t="array" ref="L468">IFERROR(_xlfn.LET(_xlpm.e,E468,_xlpm.f,F468,_xlpm.h,H468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0.19444174386466859</v>
      </c>
      <c r="M468" s="15" cm="1">
        <f t="array" ref="M468">IFERROR(_xlfn.LET(_xlpm.e,E468,_xlpm.f,F468,_xlpm.h,H468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</v>
      </c>
      <c r="N468" s="15" cm="1">
        <f t="array" ref="N468">IFERROR(_xlfn.LET(_xlpm.e,E468,_xlpm.f,F468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468" s="15" t="str">
        <f t="shared" si="65"/>
        <v>6.1 months (standardized processes) → 5.8 months</v>
      </c>
      <c r="P468" s="34" cm="1">
        <f t="array" ref="P468">IFERROR(_xlfn.LET(_xlpm.g,G468,_xlpm.f,F468,_xlpm.h,H468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4.9179521647186086E-2</v>
      </c>
      <c r="Q468" s="15" t="str" cm="1">
        <f t="array" ref="Q468">IFERROR(_xlfn.LET(_xlpm.e,E468,_xlpm.g,G468,_xlpm.h,H468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8" s="15" t="str">
        <f t="shared" si="66"/>
        <v>🔴 Lagging</v>
      </c>
      <c r="S468" s="35" cm="1">
        <f t="array" ref="S468">IFERROR(_xlfn.LET(_xlpm.e,E468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7.2</v>
      </c>
      <c r="T468" s="36">
        <f t="shared" si="67"/>
        <v>19.444174386466859</v>
      </c>
      <c r="U468" s="15">
        <f t="shared" si="68"/>
        <v>474</v>
      </c>
      <c r="V468" s="16">
        <f t="shared" si="69"/>
        <v>195.45478535020351</v>
      </c>
      <c r="W468" s="16">
        <f t="shared" si="70"/>
        <v>486.06712209554786</v>
      </c>
      <c r="X468" s="37">
        <f t="shared" si="71"/>
        <v>432</v>
      </c>
      <c r="Y468" s="15" t="str">
        <f t="shared" si="72"/>
        <v>📊 Medium</v>
      </c>
    </row>
    <row r="469" spans="1:25" x14ac:dyDescent="0.2">
      <c r="A469" t="str">
        <f>'5. KPI Baselines'!A454</f>
        <v>SCIO Automation</v>
      </c>
      <c r="B469" t="str">
        <f>'5. KPI Baselines'!B454</f>
        <v>Finance</v>
      </c>
      <c r="C469" t="str">
        <f>'5. KPI Baselines'!C454</f>
        <v>Revenue Recognition</v>
      </c>
      <c r="D469" t="str">
        <f>'5. KPI Baselines'!D454</f>
        <v>Invoice-to-Cash Days</v>
      </c>
      <c r="E469" t="str">
        <f>'5. KPI Baselines'!E454</f>
        <v>47 days</v>
      </c>
      <c r="F469" t="str">
        <f>'5. KPI Baselines'!F454</f>
        <v>32 days</v>
      </c>
      <c r="G469" t="str">
        <f>'5. KPI Baselines'!G454</f>
        <v>38 days (automated validation)</v>
      </c>
      <c r="H469" t="str">
        <f>'5. KPI Baselines'!H454</f>
        <v>↓</v>
      </c>
      <c r="I469" t="str">
        <f>'5. KPI Baselines'!I454</f>
        <v>18 months</v>
      </c>
      <c r="J469" t="str">
        <f>'5. KPI Baselines'!J454</f>
        <v>Invoice date to payment receipt</v>
      </c>
      <c r="K469" s="15" t="str">
        <f t="shared" si="64"/>
        <v>47 days → 32 days</v>
      </c>
      <c r="L469" s="34" cm="1">
        <f t="array" ref="L469">IFERROR(_xlfn.LET(_xlpm.e,E469,_xlpm.f,F469,_xlpm.h,H469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0.3191482571313678</v>
      </c>
      <c r="M469" s="15" cm="1">
        <f t="array" ref="M469">IFERROR(_xlfn.LET(_xlpm.e,E469,_xlpm.f,F469,_xlpm.h,H469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34.299999999999997</v>
      </c>
      <c r="N469" s="15" cm="1">
        <f t="array" ref="N469">IFERROR(_xlfn.LET(_xlpm.e,E469,_xlpm.f,F469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469" s="15" t="str">
        <f t="shared" si="65"/>
        <v>38 days (automated validation) → 32 days</v>
      </c>
      <c r="P469" s="34" cm="1">
        <f t="array" ref="P469">IFERROR(_xlfn.LET(_xlpm.g,G469,_xlpm.f,F469,_xlpm.h,H469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0.15789432133073333</v>
      </c>
      <c r="Q469" s="15" t="str" cm="1">
        <f t="array" ref="Q469">IFERROR(_xlfn.LET(_xlpm.e,E469,_xlpm.g,G469,_xlpm.h,H469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69" s="15" t="str">
        <f t="shared" si="66"/>
        <v>🔴 Lagging</v>
      </c>
      <c r="S469" s="35" cm="1">
        <f t="array" ref="S469">IFERROR(_xlfn.LET(_xlpm.e,E469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469" s="36">
        <f t="shared" si="67"/>
        <v>31.914825713136779</v>
      </c>
      <c r="U469" s="15">
        <f t="shared" si="68"/>
        <v>379</v>
      </c>
      <c r="V469" s="16">
        <f t="shared" si="69"/>
        <v>2094.1830442913952</v>
      </c>
      <c r="W469" s="16">
        <f t="shared" si="70"/>
        <v>5207.92327318146</v>
      </c>
      <c r="X469" s="37">
        <f t="shared" si="71"/>
        <v>42</v>
      </c>
      <c r="Y469" s="15" t="str">
        <f t="shared" si="72"/>
        <v>⚠️ High</v>
      </c>
    </row>
    <row r="470" spans="1:25" x14ac:dyDescent="0.2">
      <c r="A470" t="str">
        <f>'5. KPI Baselines'!A455</f>
        <v>SCIO Automation</v>
      </c>
      <c r="B470" t="str">
        <f>'5. KPI Baselines'!B455</f>
        <v>Human Resources</v>
      </c>
      <c r="C470" t="str">
        <f>'5. KPI Baselines'!C455</f>
        <v>Technician Onboarding</v>
      </c>
      <c r="D470" t="str">
        <f>'5. KPI Baselines'!D455</f>
        <v>Time to Full Productivity (Days)</v>
      </c>
      <c r="E470" t="str">
        <f>'5. KPI Baselines'!E455</f>
        <v>120 days</v>
      </c>
      <c r="F470" t="str">
        <f>'5. KPI Baselines'!F455</f>
        <v>75 days</v>
      </c>
      <c r="G470" t="str">
        <f>'5. KPI Baselines'!G455</f>
        <v>85 days (structured training)</v>
      </c>
      <c r="H470" t="str">
        <f>'5. KPI Baselines'!H455</f>
        <v>↓</v>
      </c>
      <c r="I470" t="str">
        <f>'5. KPI Baselines'!I455</f>
        <v>18 months</v>
      </c>
      <c r="J470" t="str">
        <f>'5. KPI Baselines'!J455</f>
        <v>Hire date to independent service capability</v>
      </c>
      <c r="K470" s="15" t="str">
        <f t="shared" si="64"/>
        <v>120 days → 75 days</v>
      </c>
      <c r="L470" s="34" cm="1">
        <f t="array" ref="L470">IFERROR(_xlfn.LET(_xlpm.e,E470,_xlpm.f,F470,_xlpm.h,H470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0.37499968750026041</v>
      </c>
      <c r="M470" s="15" cm="1">
        <f t="array" ref="M470">IFERROR(_xlfn.LET(_xlpm.e,E470,_xlpm.f,F470,_xlpm.h,H470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81.8</v>
      </c>
      <c r="N470" s="15" cm="1">
        <f t="array" ref="N470">IFERROR(_xlfn.LET(_xlpm.e,E470,_xlpm.f,F470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34.43</v>
      </c>
      <c r="O470" s="15" t="str">
        <f t="shared" si="65"/>
        <v>85 days (structured training) → 75 days</v>
      </c>
      <c r="P470" s="34" cm="1">
        <f t="array" ref="P470">IFERROR(_xlfn.LET(_xlpm.g,G470,_xlpm.f,F470,_xlpm.h,H470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0.11764692041538774</v>
      </c>
      <c r="Q470" s="15" t="str" cm="1">
        <f t="array" ref="Q470">IFERROR(_xlfn.LET(_xlpm.e,E470,_xlpm.g,G470,_xlpm.h,H470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0" s="15" t="str">
        <f t="shared" si="66"/>
        <v>🔴 Lagging</v>
      </c>
      <c r="S470" s="35" cm="1">
        <f t="array" ref="S470">IFERROR(_xlfn.LET(_xlpm.e,E470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120</v>
      </c>
      <c r="T470" s="36">
        <f t="shared" si="67"/>
        <v>37.499968750026042</v>
      </c>
      <c r="U470" s="15">
        <f t="shared" si="68"/>
        <v>328</v>
      </c>
      <c r="V470" s="16">
        <f t="shared" si="69"/>
        <v>6282.5572645356133</v>
      </c>
      <c r="W470" s="16">
        <f t="shared" si="70"/>
        <v>15623.790041782791</v>
      </c>
      <c r="X470" s="37">
        <f t="shared" si="71"/>
        <v>14</v>
      </c>
      <c r="Y470" s="15" t="str">
        <f t="shared" si="72"/>
        <v>⚠️ High</v>
      </c>
    </row>
    <row r="471" spans="1:25" x14ac:dyDescent="0.2">
      <c r="A471" t="str">
        <f>'5. KPI Baselines'!A456</f>
        <v>Scan Global Logistics</v>
      </c>
      <c r="B471" t="str">
        <f>'5. KPI Baselines'!B456</f>
        <v>Customs &amp; Trade Compliance</v>
      </c>
      <c r="C471" t="str">
        <f>'5. KPI Baselines'!C456</f>
        <v>Documentation Preparation</v>
      </c>
      <c r="D471" t="str">
        <f>'5. KPI Baselines'!D456</f>
        <v>Documentation Accuracy Rate</v>
      </c>
      <c r="E471" t="str">
        <f>'5. KPI Baselines'!E456</f>
        <v>95.8%</v>
      </c>
      <c r="F471" t="str">
        <f>'5. KPI Baselines'!F456</f>
        <v>98.5%</v>
      </c>
      <c r="G471" t="str">
        <f>'5. KPI Baselines'!G456</f>
        <v>97.5%</v>
      </c>
      <c r="H471" t="str">
        <f>'5. KPI Baselines'!H456</f>
        <v>↑</v>
      </c>
      <c r="I471" t="str">
        <f>'5. KPI Baselines'!I456</f>
        <v>18 months</v>
      </c>
      <c r="J471" t="str">
        <f>'5. KPI Baselines'!J456</f>
        <v>Error rate in customs declarations per 1,000 shipments</v>
      </c>
      <c r="K471" s="15" t="str">
        <f t="shared" si="64"/>
        <v>98.5% - 95.8%</v>
      </c>
      <c r="L471" s="34" cm="1">
        <f t="array" ref="L471">IFERROR(_xlfn.LET(_xlpm.e,E471,_xlpm.f,F471,_xlpm.h,H471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2.818368665585947E-2</v>
      </c>
      <c r="M471" s="15" cm="1">
        <f t="array" ref="M471">IFERROR(_xlfn.LET(_xlpm.e,E471,_xlpm.f,F471,_xlpm.h,H471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98.1</v>
      </c>
      <c r="N471" s="15" cm="1">
        <f t="array" ref="N471">IFERROR(_xlfn.LET(_xlpm.e,E471,_xlpm.f,F471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471" s="15" t="str">
        <f t="shared" si="65"/>
        <v>98.5% - 97.5%</v>
      </c>
      <c r="P471" s="34" cm="1">
        <f t="array" ref="P471">IFERROR(_xlfn.LET(_xlpm.g,G471,_xlpm.f,F471,_xlpm.h,H471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1.025639973702591E-2</v>
      </c>
      <c r="Q471" s="15" t="str" cm="1">
        <f t="array" ref="Q471">IFERROR(_xlfn.LET(_xlpm.e,E471,_xlpm.g,G471,_xlpm.h,H471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1" s="15" t="str">
        <f t="shared" si="66"/>
        <v>🔴 Lagging</v>
      </c>
      <c r="S471" s="35" cm="1">
        <f t="array" ref="S471">IFERROR(_xlfn.LET(_xlpm.e,E471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95.8</v>
      </c>
      <c r="T471" s="36">
        <f t="shared" si="67"/>
        <v>2.8183686655859472</v>
      </c>
      <c r="U471" s="15">
        <f t="shared" si="68"/>
        <v>552</v>
      </c>
      <c r="V471" s="16">
        <f t="shared" si="69"/>
        <v>376.95335652050505</v>
      </c>
      <c r="W471" s="16">
        <f t="shared" si="70"/>
        <v>937.42720517120415</v>
      </c>
      <c r="X471" s="37">
        <f t="shared" si="71"/>
        <v>228</v>
      </c>
      <c r="Y471" s="15" t="str">
        <f t="shared" si="72"/>
        <v>📉 Low</v>
      </c>
    </row>
    <row r="472" spans="1:25" x14ac:dyDescent="0.2">
      <c r="A472" t="str">
        <f>'5. KPI Baselines'!A457</f>
        <v>Scan Global Logistics</v>
      </c>
      <c r="B472" t="str">
        <f>'5. KPI Baselines'!B457</f>
        <v>Customs &amp; Trade Compliance</v>
      </c>
      <c r="C472" t="str">
        <f>'5. KPI Baselines'!C457</f>
        <v>Regulatory Research</v>
      </c>
      <c r="D472" t="str">
        <f>'5. KPI Baselines'!D457</f>
        <v>Research Hours per Trade Lane</v>
      </c>
      <c r="E472" t="str">
        <f>'5. KPI Baselines'!E457</f>
        <v>24 hours</v>
      </c>
      <c r="F472" t="str">
        <f>'5. KPI Baselines'!F457</f>
        <v>14 hours</v>
      </c>
      <c r="G472" t="str">
        <f>'5. KPI Baselines'!G457</f>
        <v>18 hours</v>
      </c>
      <c r="H472" t="str">
        <f>'5. KPI Baselines'!H457</f>
        <v>↓</v>
      </c>
      <c r="I472" t="str">
        <f>'5. KPI Baselines'!I457</f>
        <v>12 months</v>
      </c>
      <c r="J472" t="str">
        <f>'5. KPI Baselines'!J457</f>
        <v>Analyst hours spent on regulatory updates per corridor</v>
      </c>
      <c r="K472" s="15" t="str">
        <f t="shared" si="64"/>
        <v>24 hours → 14 hours</v>
      </c>
      <c r="L472" s="34" cm="1">
        <f t="array" ref="L472">IFERROR(_xlfn.LET(_xlpm.e,E472,_xlpm.f,F472,_xlpm.h,H472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0.4166649305627893</v>
      </c>
      <c r="M472" s="15" cm="1">
        <f t="array" ref="M472">IFERROR(_xlfn.LET(_xlpm.e,E472,_xlpm.f,F472,_xlpm.h,H472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15.5</v>
      </c>
      <c r="N472" s="15" cm="1">
        <f t="array" ref="N472">IFERROR(_xlfn.LET(_xlpm.e,E472,_xlpm.f,F472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472" s="15" t="str">
        <f t="shared" si="65"/>
        <v>18 hours → 14 hours</v>
      </c>
      <c r="P472" s="34" cm="1">
        <f t="array" ref="P472">IFERROR(_xlfn.LET(_xlpm.g,G472,_xlpm.f,F472,_xlpm.h,H472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0.22222098766117968</v>
      </c>
      <c r="Q472" s="15" t="str" cm="1">
        <f t="array" ref="Q472">IFERROR(_xlfn.LET(_xlpm.e,E472,_xlpm.g,G472,_xlpm.h,H472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2" s="15" t="str">
        <f t="shared" si="66"/>
        <v>🔴 Lagging</v>
      </c>
      <c r="S472" s="35" cm="1">
        <f t="array" ref="S472">IFERROR(_xlfn.LET(_xlpm.e,E472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24</v>
      </c>
      <c r="T472" s="36">
        <f t="shared" si="67"/>
        <v>41.666493056278931</v>
      </c>
      <c r="U472" s="15">
        <f t="shared" si="68"/>
        <v>291</v>
      </c>
      <c r="V472" s="16">
        <f t="shared" si="69"/>
        <v>1396.119182836738</v>
      </c>
      <c r="W472" s="16">
        <f t="shared" si="70"/>
        <v>3471.9417694888107</v>
      </c>
      <c r="X472" s="37">
        <f t="shared" si="71"/>
        <v>62</v>
      </c>
      <c r="Y472" s="15" t="str">
        <f t="shared" si="72"/>
        <v>⚠️ High</v>
      </c>
    </row>
    <row r="473" spans="1:25" x14ac:dyDescent="0.2">
      <c r="A473" t="str">
        <f>'5. KPI Baselines'!A458</f>
        <v>Scan Global Logistics</v>
      </c>
      <c r="B473" t="str">
        <f>'5. KPI Baselines'!B458</f>
        <v>Carrier Management</v>
      </c>
      <c r="C473" t="str">
        <f>'5. KPI Baselines'!C458</f>
        <v>Spot Market Procurement</v>
      </c>
      <c r="D473" t="str">
        <f>'5. KPI Baselines'!D458</f>
        <v>First-Choice Carrier Allocation</v>
      </c>
      <c r="E473" t="str">
        <f>'5. KPI Baselines'!E458</f>
        <v>73%</v>
      </c>
      <c r="F473" t="str">
        <f>'5. KPI Baselines'!F458</f>
        <v>89%</v>
      </c>
      <c r="G473" t="str">
        <f>'5. KPI Baselines'!G458</f>
        <v>82%</v>
      </c>
      <c r="H473" t="str">
        <f>'5. KPI Baselines'!H458</f>
        <v>↑</v>
      </c>
      <c r="I473" t="str">
        <f>'5. KPI Baselines'!I458</f>
        <v>12 months</v>
      </c>
      <c r="J473" t="str">
        <f>'5. KPI Baselines'!J458</f>
        <v>Percentage of shipments with preferred carrier selection</v>
      </c>
      <c r="K473" s="15" t="str">
        <f t="shared" si="64"/>
        <v>89% - 73%</v>
      </c>
      <c r="L473" s="34" cm="1">
        <f t="array" ref="L473">IFERROR(_xlfn.LET(_xlpm.e,E473,_xlpm.f,F473,_xlpm.h,H473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0.21917778194824389</v>
      </c>
      <c r="M473" s="15" cm="1">
        <f t="array" ref="M473">IFERROR(_xlfn.LET(_xlpm.e,E473,_xlpm.f,F473,_xlpm.h,H473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86.6</v>
      </c>
      <c r="N473" s="15" cm="1">
        <f t="array" ref="N473">IFERROR(_xlfn.LET(_xlpm.e,E473,_xlpm.f,F473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473" s="15" t="str">
        <f t="shared" si="65"/>
        <v>89% - 82%</v>
      </c>
      <c r="P473" s="34" cm="1">
        <f t="array" ref="P473">IFERROR(_xlfn.LET(_xlpm.g,G473,_xlpm.f,F473,_xlpm.h,H473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8.5365749553963949E-2</v>
      </c>
      <c r="Q473" s="15" t="str" cm="1">
        <f t="array" ref="Q473">IFERROR(_xlfn.LET(_xlpm.e,E473,_xlpm.g,G473,_xlpm.h,H473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3" s="15" t="str">
        <f t="shared" si="66"/>
        <v>🔴 Lagging</v>
      </c>
      <c r="S473" s="35" cm="1">
        <f t="array" ref="S473">IFERROR(_xlfn.LET(_xlpm.e,E473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473" s="36">
        <f t="shared" si="67"/>
        <v>21.91777819482439</v>
      </c>
      <c r="U473" s="15">
        <f t="shared" si="68"/>
        <v>451</v>
      </c>
      <c r="V473" s="16">
        <f t="shared" si="69"/>
        <v>2233.7969400041916</v>
      </c>
      <c r="W473" s="16">
        <f t="shared" si="70"/>
        <v>5555.1223677038915</v>
      </c>
      <c r="X473" s="37">
        <f t="shared" si="71"/>
        <v>39</v>
      </c>
      <c r="Y473" s="15" t="str">
        <f t="shared" si="72"/>
        <v>📊 Medium</v>
      </c>
    </row>
    <row r="474" spans="1:25" x14ac:dyDescent="0.2">
      <c r="A474" t="str">
        <f>'5. KPI Baselines'!A459</f>
        <v>Scan Global Logistics</v>
      </c>
      <c r="B474" t="str">
        <f>'5. KPI Baselines'!B459</f>
        <v>Carrier Management</v>
      </c>
      <c r="C474" t="str">
        <f>'5. KPI Baselines'!C459</f>
        <v>Rate Negotiation</v>
      </c>
      <c r="D474" t="str">
        <f>'5. KPI Baselines'!D459</f>
        <v>Booking Cycle Time</v>
      </c>
      <c r="E474" t="str">
        <f>'5. KPI Baselines'!E459</f>
        <v>3.2 days</v>
      </c>
      <c r="F474" t="str">
        <f>'5. KPI Baselines'!F459</f>
        <v>1.8 days</v>
      </c>
      <c r="G474" t="str">
        <f>'5. KPI Baselines'!G459</f>
        <v>2.4 days</v>
      </c>
      <c r="H474" t="str">
        <f>'5. KPI Baselines'!H459</f>
        <v>↓</v>
      </c>
      <c r="I474" t="str">
        <f>'5. KPI Baselines'!I459</f>
        <v>9 months</v>
      </c>
      <c r="J474" t="str">
        <f>'5. KPI Baselines'!J459</f>
        <v>Days from quote request to confirmed booking</v>
      </c>
      <c r="K474" s="15" t="str">
        <f t="shared" si="64"/>
        <v>3.2 days → 1.8 days</v>
      </c>
      <c r="L474" s="34" cm="1">
        <f t="array" ref="L474">IFERROR(_xlfn.LET(_xlpm.e,E474,_xlpm.f,F474,_xlpm.h,H474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0.43748632855223274</v>
      </c>
      <c r="M474" s="15" cm="1">
        <f t="array" ref="M474">IFERROR(_xlfn.LET(_xlpm.e,E474,_xlpm.f,F474,_xlpm.h,H474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</v>
      </c>
      <c r="N474" s="15" cm="1">
        <f t="array" ref="N474">IFERROR(_xlfn.LET(_xlpm.e,E474,_xlpm.f,F474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1.07</v>
      </c>
      <c r="O474" s="15" t="str">
        <f t="shared" si="65"/>
        <v>2.4 days → 1.8 days</v>
      </c>
      <c r="P474" s="34" cm="1">
        <f t="array" ref="P474">IFERROR(_xlfn.LET(_xlpm.g,G474,_xlpm.f,F474,_xlpm.h,H474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0.24998958376734295</v>
      </c>
      <c r="Q474" s="15" t="str" cm="1">
        <f t="array" ref="Q474">IFERROR(_xlfn.LET(_xlpm.e,E474,_xlpm.g,G474,_xlpm.h,H474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4" s="15" t="str">
        <f t="shared" si="66"/>
        <v>🔴 Lagging</v>
      </c>
      <c r="S474" s="35" cm="1">
        <f t="array" ref="S474">IFERROR(_xlfn.LET(_xlpm.e,E474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474" s="36">
        <f t="shared" si="67"/>
        <v>43.748632855223271</v>
      </c>
      <c r="U474" s="15">
        <f t="shared" si="68"/>
        <v>277</v>
      </c>
      <c r="V474" s="16">
        <f t="shared" si="69"/>
        <v>195.45139214399552</v>
      </c>
      <c r="W474" s="16">
        <f t="shared" si="70"/>
        <v>486.05868369393369</v>
      </c>
      <c r="X474" s="37">
        <f t="shared" si="71"/>
        <v>432</v>
      </c>
      <c r="Y474" s="15" t="str">
        <f t="shared" si="72"/>
        <v>⚠️ High</v>
      </c>
    </row>
    <row r="475" spans="1:25" x14ac:dyDescent="0.2">
      <c r="A475" t="str">
        <f>'5. KPI Baselines'!A460</f>
        <v>Scan Global Logistics</v>
      </c>
      <c r="B475" t="str">
        <f>'5. KPI Baselines'!B460</f>
        <v>Customer Service</v>
      </c>
      <c r="C475" t="str">
        <f>'5. KPI Baselines'!C460</f>
        <v>Inquiry Management</v>
      </c>
      <c r="D475" t="str">
        <f>'5. KPI Baselines'!D460</f>
        <v>Self-Service Deflection Rate</v>
      </c>
      <c r="E475" t="str">
        <f>'5. KPI Baselines'!E460</f>
        <v>31%</v>
      </c>
      <c r="F475" t="str">
        <f>'5. KPI Baselines'!F460</f>
        <v>62%</v>
      </c>
      <c r="G475" t="str">
        <f>'5. KPI Baselines'!G460</f>
        <v>48%</v>
      </c>
      <c r="H475" t="str">
        <f>'5. KPI Baselines'!H460</f>
        <v>↑</v>
      </c>
      <c r="I475" t="str">
        <f>'5. KPI Baselines'!I460</f>
        <v>15 months</v>
      </c>
      <c r="J475" t="str">
        <f>'5. KPI Baselines'!J460</f>
        <v>Percentage of inquiries resolved without agent contact</v>
      </c>
      <c r="K475" s="15" t="str">
        <f t="shared" si="64"/>
        <v>62% - 31%</v>
      </c>
      <c r="L475" s="34" cm="1">
        <f t="array" ref="L475">IFERROR(_xlfn.LET(_xlpm.e,E475,_xlpm.f,F475,_xlpm.h,H475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0.99999677420395416</v>
      </c>
      <c r="M475" s="15" cm="1">
        <f t="array" ref="M475">IFERROR(_xlfn.LET(_xlpm.e,E475,_xlpm.f,F475,_xlpm.h,H475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57.4</v>
      </c>
      <c r="N475" s="15" cm="1">
        <f t="array" ref="N475">IFERROR(_xlfn.LET(_xlpm.e,E475,_xlpm.f,F475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23.72</v>
      </c>
      <c r="O475" s="15" t="str">
        <f t="shared" si="65"/>
        <v>62% - 48%</v>
      </c>
      <c r="P475" s="34" cm="1">
        <f t="array" ref="P475">IFERROR(_xlfn.LET(_xlpm.g,G475,_xlpm.f,F475,_xlpm.h,H475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0.29166605902904369</v>
      </c>
      <c r="Q475" s="15" t="str" cm="1">
        <f t="array" ref="Q475">IFERROR(_xlfn.LET(_xlpm.e,E475,_xlpm.g,G475,_xlpm.h,H475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5" s="15" t="str">
        <f t="shared" si="66"/>
        <v>🔴 Lagging</v>
      </c>
      <c r="S475" s="35" cm="1">
        <f t="array" ref="S475">IFERROR(_xlfn.LET(_xlpm.e,E475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31</v>
      </c>
      <c r="T475" s="36">
        <f t="shared" si="67"/>
        <v>99.999677420395415</v>
      </c>
      <c r="U475" s="15">
        <f t="shared" si="68"/>
        <v>10</v>
      </c>
      <c r="V475" s="16">
        <f t="shared" si="69"/>
        <v>4327.9735387950368</v>
      </c>
      <c r="W475" s="16">
        <f t="shared" si="70"/>
        <v>10763.029611879478</v>
      </c>
      <c r="X475" s="37">
        <f t="shared" si="71"/>
        <v>20</v>
      </c>
      <c r="Y475" s="15" t="str">
        <f t="shared" si="72"/>
        <v>🔥 Critical</v>
      </c>
    </row>
    <row r="476" spans="1:25" x14ac:dyDescent="0.2">
      <c r="A476" t="str">
        <f>'5. KPI Baselines'!A461</f>
        <v>Scan Global Logistics</v>
      </c>
      <c r="B476" t="str">
        <f>'5. KPI Baselines'!B461</f>
        <v>Customer Service</v>
      </c>
      <c r="C476" t="str">
        <f>'5. KPI Baselines'!C461</f>
        <v>Response Management</v>
      </c>
      <c r="D476" t="str">
        <f>'5. KPI Baselines'!D461</f>
        <v>Average Response Time</v>
      </c>
      <c r="E476" t="str">
        <f>'5. KPI Baselines'!E461</f>
        <v>4.1 hours</v>
      </c>
      <c r="F476" t="str">
        <f>'5. KPI Baselines'!F461</f>
        <v>1.8 hours</v>
      </c>
      <c r="G476" t="str">
        <f>'5. KPI Baselines'!G461</f>
        <v>2.8 hours</v>
      </c>
      <c r="H476" t="str">
        <f>'5. KPI Baselines'!H461</f>
        <v>↓</v>
      </c>
      <c r="I476" t="str">
        <f>'5. KPI Baselines'!I461</f>
        <v>12 months</v>
      </c>
      <c r="J476" t="str">
        <f>'5. KPI Baselines'!J461</f>
        <v>Hours from inquiry submission to first response</v>
      </c>
      <c r="K476" s="15" t="str">
        <f t="shared" si="64"/>
        <v>4.1 hours → 1.8 hours</v>
      </c>
      <c r="L476" s="34" cm="1">
        <f t="array" ref="L476">IFERROR(_xlfn.LET(_xlpm.e,E476,_xlpm.f,F476,_xlpm.h,H476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0.56096192775785958</v>
      </c>
      <c r="M476" s="15" cm="1">
        <f t="array" ref="M476">IFERROR(_xlfn.LET(_xlpm.e,E476,_xlpm.f,F476,_xlpm.h,H476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2.1</v>
      </c>
      <c r="N476" s="15" cm="1">
        <f t="array" ref="N476">IFERROR(_xlfn.LET(_xlpm.e,E476,_xlpm.f,F476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1.76</v>
      </c>
      <c r="O476" s="15" t="str">
        <f t="shared" si="65"/>
        <v>2.8 hours → 1.8 hours</v>
      </c>
      <c r="P476" s="34" cm="1">
        <f t="array" ref="P476">IFERROR(_xlfn.LET(_xlpm.g,G476,_xlpm.f,F476,_xlpm.h,H476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0.35713010249633931</v>
      </c>
      <c r="Q476" s="15" t="str" cm="1">
        <f t="array" ref="Q476">IFERROR(_xlfn.LET(_xlpm.e,E476,_xlpm.g,G476,_xlpm.h,H476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6" s="15" t="str">
        <f t="shared" si="66"/>
        <v>🔴 Lagging</v>
      </c>
      <c r="S476" s="35" cm="1">
        <f t="array" ref="S476">IFERROR(_xlfn.LET(_xlpm.e,E476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4.0999999999999996</v>
      </c>
      <c r="T476" s="36">
        <f t="shared" si="67"/>
        <v>56.096192775785958</v>
      </c>
      <c r="U476" s="15">
        <f t="shared" si="68"/>
        <v>186</v>
      </c>
      <c r="V476" s="16">
        <f t="shared" si="69"/>
        <v>321.10091827028606</v>
      </c>
      <c r="W476" s="16">
        <f t="shared" si="70"/>
        <v>798.53045790732358</v>
      </c>
      <c r="X476" s="37">
        <f t="shared" si="71"/>
        <v>267</v>
      </c>
      <c r="Y476" s="15" t="str">
        <f t="shared" si="72"/>
        <v>🔥 Critical</v>
      </c>
    </row>
    <row r="477" spans="1:25" x14ac:dyDescent="0.2">
      <c r="A477" t="str">
        <f>'5. KPI Baselines'!A462</f>
        <v>Scan Global Logistics</v>
      </c>
      <c r="B477" t="str">
        <f>'5. KPI Baselines'!B462</f>
        <v>Sales Operations</v>
      </c>
      <c r="C477" t="str">
        <f>'5. KPI Baselines'!C462</f>
        <v>Quote Generation</v>
      </c>
      <c r="D477" t="str">
        <f>'5. KPI Baselines'!D462</f>
        <v>Quote-to-Close Conversion</v>
      </c>
      <c r="E477" t="str">
        <f>'5. KPI Baselines'!E462</f>
        <v>68%</v>
      </c>
      <c r="F477" t="str">
        <f>'5. KPI Baselines'!F462</f>
        <v>79%</v>
      </c>
      <c r="G477" t="str">
        <f>'5. KPI Baselines'!G462</f>
        <v>74%</v>
      </c>
      <c r="H477" t="str">
        <f>'5. KPI Baselines'!H462</f>
        <v>↑</v>
      </c>
      <c r="I477" t="str">
        <f>'5. KPI Baselines'!I462</f>
        <v>18 months</v>
      </c>
      <c r="J477" t="str">
        <f>'5. KPI Baselines'!J462</f>
        <v>Percentage of quotes resulting in booked shipments</v>
      </c>
      <c r="K477" s="15" t="str">
        <f t="shared" si="64"/>
        <v>79% - 68%</v>
      </c>
      <c r="L477" s="34" cm="1">
        <f t="array" ref="L477">IFERROR(_xlfn.LET(_xlpm.e,E477,_xlpm.f,F477,_xlpm.h,H477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0.16176446799342942</v>
      </c>
      <c r="M477" s="15" cm="1">
        <f t="array" ref="M477">IFERROR(_xlfn.LET(_xlpm.e,E477,_xlpm.f,F477,_xlpm.h,H477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77.400000000000006</v>
      </c>
      <c r="N477" s="15" cm="1">
        <f t="array" ref="N477">IFERROR(_xlfn.LET(_xlpm.e,E477,_xlpm.f,F477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477" s="15" t="str">
        <f t="shared" si="65"/>
        <v>79% - 74%</v>
      </c>
      <c r="P477" s="34" cm="1">
        <f t="array" ref="P477">IFERROR(_xlfn.LET(_xlpm.g,G477,_xlpm.f,F477,_xlpm.h,H477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6.7567476260167209E-2</v>
      </c>
      <c r="Q477" s="15" t="str" cm="1">
        <f t="array" ref="Q477">IFERROR(_xlfn.LET(_xlpm.e,E477,_xlpm.g,G477,_xlpm.h,H477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7" s="15" t="str">
        <f t="shared" si="66"/>
        <v>🔴 Lagging</v>
      </c>
      <c r="S477" s="35" cm="1">
        <f t="array" ref="S477">IFERROR(_xlfn.LET(_xlpm.e,E477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477" s="36">
        <f t="shared" si="67"/>
        <v>16.176446799342941</v>
      </c>
      <c r="U477" s="15">
        <f t="shared" si="68"/>
        <v>494</v>
      </c>
      <c r="V477" s="16">
        <f t="shared" si="69"/>
        <v>1535.7352415658213</v>
      </c>
      <c r="W477" s="16">
        <f t="shared" si="70"/>
        <v>3819.1462431126015</v>
      </c>
      <c r="X477" s="37">
        <f t="shared" si="71"/>
        <v>57</v>
      </c>
      <c r="Y477" s="15" t="str">
        <f t="shared" si="72"/>
        <v>📊 Medium</v>
      </c>
    </row>
    <row r="478" spans="1:25" x14ac:dyDescent="0.2">
      <c r="A478" t="str">
        <f>'5. KPI Baselines'!A463</f>
        <v>Scan Global Logistics</v>
      </c>
      <c r="B478" t="str">
        <f>'5. KPI Baselines'!B463</f>
        <v>Sales Operations</v>
      </c>
      <c r="C478" t="str">
        <f>'5. KPI Baselines'!C463</f>
        <v>Pricing Analysis</v>
      </c>
      <c r="D478" t="str">
        <f>'5. KPI Baselines'!D463</f>
        <v>Quote Turnaround Time</v>
      </c>
      <c r="E478" t="str">
        <f>'5. KPI Baselines'!E463</f>
        <v>5.2 days</v>
      </c>
      <c r="F478" t="str">
        <f>'5. KPI Baselines'!F463</f>
        <v>2.1 days</v>
      </c>
      <c r="G478" t="str">
        <f>'5. KPI Baselines'!G463</f>
        <v>3.1 days</v>
      </c>
      <c r="H478" t="str">
        <f>'5. KPI Baselines'!H463</f>
        <v>↓</v>
      </c>
      <c r="I478" t="str">
        <f>'5. KPI Baselines'!I463</f>
        <v>12 months</v>
      </c>
      <c r="J478" t="str">
        <f>'5. KPI Baselines'!J463</f>
        <v>Days from quote request to customer delivery</v>
      </c>
      <c r="K478" s="15" t="str">
        <f t="shared" si="64"/>
        <v>5.2 days → 2.1 days</v>
      </c>
      <c r="L478" s="34" cm="1">
        <f t="array" ref="L478">IFERROR(_xlfn.LET(_xlpm.e,E478,_xlpm.f,F478,_xlpm.h,H478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0.59614238187727164</v>
      </c>
      <c r="M478" s="15" cm="1">
        <f t="array" ref="M478">IFERROR(_xlfn.LET(_xlpm.e,E478,_xlpm.f,F478,_xlpm.h,H478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2.6</v>
      </c>
      <c r="N478" s="15" cm="1">
        <f t="array" ref="N478">IFERROR(_xlfn.LET(_xlpm.e,E478,_xlpm.f,F478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2.37</v>
      </c>
      <c r="O478" s="15" t="str">
        <f t="shared" si="65"/>
        <v>3.1 days → 2.1 days</v>
      </c>
      <c r="P478" s="34" cm="1">
        <f t="array" ref="P478">IFERROR(_xlfn.LET(_xlpm.g,G478,_xlpm.f,F478,_xlpm.h,H478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0.32257023966968806</v>
      </c>
      <c r="Q478" s="15" t="str" cm="1">
        <f t="array" ref="Q478">IFERROR(_xlfn.LET(_xlpm.e,E478,_xlpm.g,G478,_xlpm.h,H478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8" s="15" t="str">
        <f t="shared" si="66"/>
        <v>🔴 Lagging</v>
      </c>
      <c r="S478" s="35" cm="1">
        <f t="array" ref="S478">IFERROR(_xlfn.LET(_xlpm.e,E478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5.2</v>
      </c>
      <c r="T478" s="36">
        <f t="shared" si="67"/>
        <v>59.614238187727167</v>
      </c>
      <c r="U478" s="15">
        <f t="shared" si="68"/>
        <v>156</v>
      </c>
      <c r="V478" s="16">
        <f t="shared" si="69"/>
        <v>432.79042710717113</v>
      </c>
      <c r="W478" s="16">
        <f t="shared" si="70"/>
        <v>1076.2857353303814</v>
      </c>
      <c r="X478" s="37">
        <f t="shared" si="71"/>
        <v>199</v>
      </c>
      <c r="Y478" s="15" t="str">
        <f t="shared" si="72"/>
        <v>🔥 Critical</v>
      </c>
    </row>
    <row r="479" spans="1:25" x14ac:dyDescent="0.2">
      <c r="A479" t="str">
        <f>'5. KPI Baselines'!A464</f>
        <v>Scan Global Logistics</v>
      </c>
      <c r="B479" t="str">
        <f>'5. KPI Baselines'!B464</f>
        <v>Finance &amp; Billing</v>
      </c>
      <c r="C479" t="str">
        <f>'5. KPI Baselines'!C464</f>
        <v>Invoice Processing</v>
      </c>
      <c r="D479" t="str">
        <f>'5. KPI Baselines'!D464</f>
        <v>Invoice Dispute Rate</v>
      </c>
      <c r="E479" t="str">
        <f>'5. KPI Baselines'!E464</f>
        <v>8.4%</v>
      </c>
      <c r="F479" t="str">
        <f>'5. KPI Baselines'!F464</f>
        <v>3.8%</v>
      </c>
      <c r="G479" t="str">
        <f>'5. KPI Baselines'!G464</f>
        <v>5.2%</v>
      </c>
      <c r="H479" t="str">
        <f>'5. KPI Baselines'!H464</f>
        <v>↓</v>
      </c>
      <c r="I479" t="str">
        <f>'5. KPI Baselines'!I464</f>
        <v>15 months</v>
      </c>
      <c r="J479" t="str">
        <f>'5. KPI Baselines'!J464</f>
        <v>Percentage of invoices generating customer disputes</v>
      </c>
      <c r="K479" s="15" t="str">
        <f t="shared" si="64"/>
        <v>8.4% → 3.8%</v>
      </c>
      <c r="L479" s="34" cm="1">
        <f t="array" ref="L479">IFERROR(_xlfn.LET(_xlpm.e,E479,_xlpm.f,F479,_xlpm.h,H479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0.5476125284222807</v>
      </c>
      <c r="M479" s="15" cm="1">
        <f t="array" ref="M479">IFERROR(_xlfn.LET(_xlpm.e,E479,_xlpm.f,F479,_xlpm.h,H479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4.5</v>
      </c>
      <c r="N479" s="15" cm="1">
        <f t="array" ref="N479">IFERROR(_xlfn.LET(_xlpm.e,E479,_xlpm.f,F479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3.52</v>
      </c>
      <c r="O479" s="15" t="str">
        <f t="shared" si="65"/>
        <v>5.2% → 3.8%</v>
      </c>
      <c r="P479" s="34" cm="1">
        <f t="array" ref="P479">IFERROR(_xlfn.LET(_xlpm.g,G479,_xlpm.f,F479,_xlpm.h,H479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0.26922559181554206</v>
      </c>
      <c r="Q479" s="15" t="str" cm="1">
        <f t="array" ref="Q479">IFERROR(_xlfn.LET(_xlpm.e,E479,_xlpm.g,G479,_xlpm.h,H479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79" s="15" t="str">
        <f t="shared" si="66"/>
        <v>🔴 Lagging</v>
      </c>
      <c r="S479" s="35" cm="1">
        <f t="array" ref="S479">IFERROR(_xlfn.LET(_xlpm.e,E479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8.4</v>
      </c>
      <c r="T479" s="36">
        <f t="shared" si="67"/>
        <v>54.761252842228068</v>
      </c>
      <c r="U479" s="15">
        <f t="shared" si="68"/>
        <v>199</v>
      </c>
      <c r="V479" s="16">
        <f t="shared" si="69"/>
        <v>642.20985464458749</v>
      </c>
      <c r="W479" s="16">
        <f t="shared" si="70"/>
        <v>1597.0808556525817</v>
      </c>
      <c r="X479" s="37">
        <f t="shared" si="71"/>
        <v>135</v>
      </c>
      <c r="Y479" s="15" t="str">
        <f t="shared" si="72"/>
        <v>🔥 Critical</v>
      </c>
    </row>
    <row r="480" spans="1:25" x14ac:dyDescent="0.2">
      <c r="A480" t="str">
        <f>'5. KPI Baselines'!A465</f>
        <v>Scan Global Logistics</v>
      </c>
      <c r="B480" t="str">
        <f>'5. KPI Baselines'!B465</f>
        <v>Finance &amp; Billing</v>
      </c>
      <c r="C480" t="str">
        <f>'5. KPI Baselines'!C465</f>
        <v>Receivables Management</v>
      </c>
      <c r="D480" t="str">
        <f>'5. KPI Baselines'!D465</f>
        <v>Days Sales Outstanding</v>
      </c>
      <c r="E480" t="str">
        <f>'5. KPI Baselines'!E465</f>
        <v>47 days</v>
      </c>
      <c r="F480" t="str">
        <f>'5. KPI Baselines'!F465</f>
        <v>32 days</v>
      </c>
      <c r="G480" t="str">
        <f>'5. KPI Baselines'!G465</f>
        <v>38 days</v>
      </c>
      <c r="H480" t="str">
        <f>'5. KPI Baselines'!H465</f>
        <v>↓</v>
      </c>
      <c r="I480" t="str">
        <f>'5. KPI Baselines'!I465</f>
        <v>18 months</v>
      </c>
      <c r="J480" t="str">
        <f>'5. KPI Baselines'!J465</f>
        <v>Average days between invoice and payment receipt</v>
      </c>
      <c r="K480" s="15" t="str">
        <f t="shared" si="64"/>
        <v>47 days → 32 days</v>
      </c>
      <c r="L480" s="34" cm="1">
        <f t="array" ref="L480">IFERROR(_xlfn.LET(_xlpm.e,E480,_xlpm.f,F480,_xlpm.h,H480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0.3191482571313678</v>
      </c>
      <c r="M480" s="15" cm="1">
        <f t="array" ref="M480">IFERROR(_xlfn.LET(_xlpm.e,E480,_xlpm.f,F480,_xlpm.h,H480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34.299999999999997</v>
      </c>
      <c r="N480" s="15" cm="1">
        <f t="array" ref="N480">IFERROR(_xlfn.LET(_xlpm.e,E480,_xlpm.f,F480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480" s="15" t="str">
        <f t="shared" si="65"/>
        <v>38 days → 32 days</v>
      </c>
      <c r="P480" s="34" cm="1">
        <f t="array" ref="P480">IFERROR(_xlfn.LET(_xlpm.g,G480,_xlpm.f,F480,_xlpm.h,H480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0.15789432133073333</v>
      </c>
      <c r="Q480" s="15" t="str" cm="1">
        <f t="array" ref="Q480">IFERROR(_xlfn.LET(_xlpm.e,E480,_xlpm.g,G480,_xlpm.h,H480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0" s="15" t="str">
        <f t="shared" si="66"/>
        <v>🔴 Lagging</v>
      </c>
      <c r="S480" s="35" cm="1">
        <f t="array" ref="S480">IFERROR(_xlfn.LET(_xlpm.e,E480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480" s="36">
        <f t="shared" si="67"/>
        <v>31.914825713136779</v>
      </c>
      <c r="U480" s="15">
        <f t="shared" si="68"/>
        <v>379</v>
      </c>
      <c r="V480" s="16">
        <f t="shared" si="69"/>
        <v>2094.1830442913952</v>
      </c>
      <c r="W480" s="16">
        <f t="shared" si="70"/>
        <v>5207.92327318146</v>
      </c>
      <c r="X480" s="37">
        <f t="shared" si="71"/>
        <v>42</v>
      </c>
      <c r="Y480" s="15" t="str">
        <f t="shared" si="72"/>
        <v>⚠️ High</v>
      </c>
    </row>
    <row r="481" spans="1:25" x14ac:dyDescent="0.2">
      <c r="A481" t="str">
        <f>'5. KPI Baselines'!A466</f>
        <v>Scan Global Logistics</v>
      </c>
      <c r="B481" t="str">
        <f>'5. KPI Baselines'!B466</f>
        <v>Operations Planning</v>
      </c>
      <c r="C481" t="str">
        <f>'5. KPI Baselines'!C466</f>
        <v>Capacity Forecasting</v>
      </c>
      <c r="D481" t="str">
        <f>'5. KPI Baselines'!D466</f>
        <v>Forecast Accuracy (60-day)</v>
      </c>
      <c r="E481" t="str">
        <f>'5. KPI Baselines'!E466</f>
        <v>64%</v>
      </c>
      <c r="F481" t="str">
        <f>'5. KPI Baselines'!F466</f>
        <v>81%</v>
      </c>
      <c r="G481" t="str">
        <f>'5. KPI Baselines'!G466</f>
        <v>73%</v>
      </c>
      <c r="H481" t="str">
        <f>'5. KPI Baselines'!H466</f>
        <v>↑</v>
      </c>
      <c r="I481" t="str">
        <f>'5. KPI Baselines'!I466</f>
        <v>15 months</v>
      </c>
      <c r="J481" t="str">
        <f>'5. KPI Baselines'!J466</f>
        <v>Percentage variance between forecasted and actual volumes</v>
      </c>
      <c r="K481" s="15" t="str">
        <f t="shared" si="64"/>
        <v>81% - 64%</v>
      </c>
      <c r="L481" s="34" cm="1">
        <f t="array" ref="L481">IFERROR(_xlfn.LET(_xlpm.e,E481,_xlpm.f,F481,_xlpm.h,H481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0.26562458496158597</v>
      </c>
      <c r="M481" s="15" cm="1">
        <f t="array" ref="M481">IFERROR(_xlfn.LET(_xlpm.e,E481,_xlpm.f,F481,_xlpm.h,H481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78.5</v>
      </c>
      <c r="N481" s="15" cm="1">
        <f t="array" ref="N481">IFERROR(_xlfn.LET(_xlpm.e,E481,_xlpm.f,F481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481" s="15" t="str">
        <f t="shared" si="65"/>
        <v>81% - 73%</v>
      </c>
      <c r="P481" s="34" cm="1">
        <f t="array" ref="P481">IFERROR(_xlfn.LET(_xlpm.g,G481,_xlpm.f,F481,_xlpm.h,H481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0.10958889097412194</v>
      </c>
      <c r="Q481" s="15" t="str" cm="1">
        <f t="array" ref="Q481">IFERROR(_xlfn.LET(_xlpm.e,E481,_xlpm.g,G481,_xlpm.h,H481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1" s="15" t="str">
        <f t="shared" si="66"/>
        <v>🔴 Lagging</v>
      </c>
      <c r="S481" s="35" cm="1">
        <f t="array" ref="S481">IFERROR(_xlfn.LET(_xlpm.e,E481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64</v>
      </c>
      <c r="T481" s="36">
        <f t="shared" si="67"/>
        <v>26.562458496158598</v>
      </c>
      <c r="U481" s="15">
        <f t="shared" si="68"/>
        <v>414</v>
      </c>
      <c r="V481" s="16">
        <f t="shared" si="69"/>
        <v>2373.408791548763</v>
      </c>
      <c r="W481" s="16">
        <f t="shared" si="70"/>
        <v>5902.3163786825035</v>
      </c>
      <c r="X481" s="37">
        <f t="shared" si="71"/>
        <v>37</v>
      </c>
      <c r="Y481" s="15" t="str">
        <f t="shared" si="72"/>
        <v>⚠️ High</v>
      </c>
    </row>
    <row r="482" spans="1:25" x14ac:dyDescent="0.2">
      <c r="A482" t="str">
        <f>'5. KPI Baselines'!A467</f>
        <v>Scan Global Logistics</v>
      </c>
      <c r="B482" t="str">
        <f>'5. KPI Baselines'!B467</f>
        <v>Operations Planning</v>
      </c>
      <c r="C482" t="str">
        <f>'5. KPI Baselines'!C467</f>
        <v>Cost Management</v>
      </c>
      <c r="D482" t="str">
        <f>'5. KPI Baselines'!D467</f>
        <v>Operational Cost Overrun Rate</v>
      </c>
      <c r="E482" t="str">
        <f>'5. KPI Baselines'!E467</f>
        <v>18%</v>
      </c>
      <c r="F482" t="str">
        <f>'5. KPI Baselines'!F467</f>
        <v>9%</v>
      </c>
      <c r="G482" t="str">
        <f>'5. KPI Baselines'!G467</f>
        <v>12%</v>
      </c>
      <c r="H482" t="str">
        <f>'5. KPI Baselines'!H467</f>
        <v>↓</v>
      </c>
      <c r="I482" t="str">
        <f>'5. KPI Baselines'!I467</f>
        <v>12 months</v>
      </c>
      <c r="J482" t="str">
        <f>'5. KPI Baselines'!J467</f>
        <v>Percentage of shipments exceeding budgeted costs</v>
      </c>
      <c r="K482" s="15" t="str">
        <f t="shared" si="64"/>
        <v>18% → 9%</v>
      </c>
      <c r="L482" s="34" cm="1">
        <f t="array" ref="L482">IFERROR(_xlfn.LET(_xlpm.e,E482,_xlpm.f,F482,_xlpm.h,H482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0.49999722223765425</v>
      </c>
      <c r="M482" s="15" cm="1">
        <f t="array" ref="M482">IFERROR(_xlfn.LET(_xlpm.e,E482,_xlpm.f,F482,_xlpm.h,H482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10.4</v>
      </c>
      <c r="N482" s="15" cm="1">
        <f t="array" ref="N482">IFERROR(_xlfn.LET(_xlpm.e,E482,_xlpm.f,F482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482" s="15" t="str">
        <f t="shared" si="65"/>
        <v>12% → 9%</v>
      </c>
      <c r="P482" s="34" cm="1">
        <f t="array" ref="P482">IFERROR(_xlfn.LET(_xlpm.g,G482,_xlpm.f,F482,_xlpm.h,H482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0.24999791668402763</v>
      </c>
      <c r="Q482" s="15" t="str" cm="1">
        <f t="array" ref="Q482">IFERROR(_xlfn.LET(_xlpm.e,E482,_xlpm.g,G482,_xlpm.h,H482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2" s="15" t="str">
        <f t="shared" si="66"/>
        <v>🔴 Lagging</v>
      </c>
      <c r="S482" s="35" cm="1">
        <f t="array" ref="S482">IFERROR(_xlfn.LET(_xlpm.e,E482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482" s="36">
        <f t="shared" si="67"/>
        <v>49.999722223765424</v>
      </c>
      <c r="U482" s="15">
        <f t="shared" si="68"/>
        <v>226</v>
      </c>
      <c r="V482" s="16">
        <f t="shared" si="69"/>
        <v>1256.505519413781</v>
      </c>
      <c r="W482" s="16">
        <f t="shared" si="70"/>
        <v>3124.7432526368289</v>
      </c>
      <c r="X482" s="37">
        <f t="shared" si="71"/>
        <v>69</v>
      </c>
      <c r="Y482" s="15" t="str">
        <f t="shared" si="72"/>
        <v>⚠️ High</v>
      </c>
    </row>
    <row r="483" spans="1:25" x14ac:dyDescent="0.2">
      <c r="A483" t="str">
        <f>'5. KPI Baselines'!A468</f>
        <v>Singer Industrial</v>
      </c>
      <c r="B483" t="str">
        <f>'5. KPI Baselines'!B468</f>
        <v>Sales</v>
      </c>
      <c r="C483" t="str">
        <f>'5. KPI Baselines'!C468</f>
        <v>Technical Proposals</v>
      </c>
      <c r="D483" t="str">
        <f>'5. KPI Baselines'!D468</f>
        <v>Proposal Cycle Time</v>
      </c>
      <c r="E483" t="str">
        <f>'5. KPI Baselines'!E468</f>
        <v>47 days</v>
      </c>
      <c r="F483" t="str">
        <f>'5. KPI Baselines'!F468</f>
        <v>28 days</v>
      </c>
      <c r="G483" t="str">
        <f>'5. KPI Baselines'!G468</f>
        <v>32 days</v>
      </c>
      <c r="H483" t="str">
        <f>'5. KPI Baselines'!H468</f>
        <v>↓</v>
      </c>
      <c r="I483" t="str">
        <f>'5. KPI Baselines'!I468</f>
        <v>12 months</v>
      </c>
      <c r="J483" t="str">
        <f>'5. KPI Baselines'!J468</f>
        <v>RFP receipt to proposal submission</v>
      </c>
      <c r="K483" s="15" t="str">
        <f t="shared" si="64"/>
        <v>47 days → 28 days</v>
      </c>
      <c r="L483" s="34" cm="1">
        <f t="array" ref="L483">IFERROR(_xlfn.LET(_xlpm.e,E483,_xlpm.f,F483,_xlpm.h,H483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0.40425445903306584</v>
      </c>
      <c r="M483" s="15" cm="1">
        <f t="array" ref="M483">IFERROR(_xlfn.LET(_xlpm.e,E483,_xlpm.f,F483,_xlpm.h,H483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30.9</v>
      </c>
      <c r="N483" s="15" cm="1">
        <f t="array" ref="N483">IFERROR(_xlfn.LET(_xlpm.e,E483,_xlpm.f,F483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483" s="15" t="str">
        <f t="shared" si="65"/>
        <v>32 days → 28 days</v>
      </c>
      <c r="P483" s="34" cm="1">
        <f t="array" ref="P483">IFERROR(_xlfn.LET(_xlpm.g,G483,_xlpm.f,F483,_xlpm.h,H483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0.12499960937622069</v>
      </c>
      <c r="Q483" s="15" t="str" cm="1">
        <f t="array" ref="Q483">IFERROR(_xlfn.LET(_xlpm.e,E483,_xlpm.g,G483,_xlpm.h,H483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3" s="15" t="str">
        <f t="shared" si="66"/>
        <v>🔴 Lagging</v>
      </c>
      <c r="S483" s="35" cm="1">
        <f t="array" ref="S483">IFERROR(_xlfn.LET(_xlpm.e,E483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483" s="36">
        <f t="shared" si="67"/>
        <v>40.425445903306581</v>
      </c>
      <c r="U483" s="15">
        <f t="shared" si="68"/>
        <v>311</v>
      </c>
      <c r="V483" s="16">
        <f t="shared" si="69"/>
        <v>2652.6318561024336</v>
      </c>
      <c r="W483" s="16">
        <f t="shared" si="70"/>
        <v>6596.7028126965151</v>
      </c>
      <c r="X483" s="37">
        <f t="shared" si="71"/>
        <v>33</v>
      </c>
      <c r="Y483" s="15" t="str">
        <f t="shared" si="72"/>
        <v>⚠️ High</v>
      </c>
    </row>
    <row r="484" spans="1:25" x14ac:dyDescent="0.2">
      <c r="A484" t="str">
        <f>'5. KPI Baselines'!A469</f>
        <v>Singer Industrial</v>
      </c>
      <c r="B484" t="str">
        <f>'5. KPI Baselines'!B469</f>
        <v>Sales</v>
      </c>
      <c r="C484" t="str">
        <f>'5. KPI Baselines'!C469</f>
        <v>Bid Management</v>
      </c>
      <c r="D484" t="str">
        <f>'5. KPI Baselines'!D469</f>
        <v>Win Rate</v>
      </c>
      <c r="E484" t="str">
        <f>'5. KPI Baselines'!E469</f>
        <v>28%</v>
      </c>
      <c r="F484" t="str">
        <f>'5. KPI Baselines'!F469</f>
        <v>34%</v>
      </c>
      <c r="G484" t="str">
        <f>'5. KPI Baselines'!G469</f>
        <v>35%</v>
      </c>
      <c r="H484" t="str">
        <f>'5. KPI Baselines'!H469</f>
        <v>↑</v>
      </c>
      <c r="I484" t="str">
        <f>'5. KPI Baselines'!I469</f>
        <v>18 months</v>
      </c>
      <c r="J484" t="str">
        <f>'5. KPI Baselines'!J469</f>
        <v>Won deals / Total qualified proposals</v>
      </c>
      <c r="K484" s="15" t="str">
        <f t="shared" si="64"/>
        <v>34% - 28%</v>
      </c>
      <c r="L484" s="34" cm="1">
        <f t="array" ref="L484">IFERROR(_xlfn.LET(_xlpm.e,E484,_xlpm.f,F484,_xlpm.h,H484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0.21428494898232506</v>
      </c>
      <c r="M484" s="15" cm="1">
        <f t="array" ref="M484">IFERROR(_xlfn.LET(_xlpm.e,E484,_xlpm.f,F484,_xlpm.h,H484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33.1</v>
      </c>
      <c r="N484" s="15" cm="1">
        <f t="array" ref="N484">IFERROR(_xlfn.LET(_xlpm.e,E484,_xlpm.f,F484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484" s="15" t="str">
        <f t="shared" si="65"/>
        <v>34% - 35%</v>
      </c>
      <c r="P484" s="34" cm="1">
        <f t="array" ref="P484">IFERROR(_xlfn.LET(_xlpm.g,G484,_xlpm.f,F484,_xlpm.h,H484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-2.8571346939008743E-2</v>
      </c>
      <c r="Q484" s="15" t="str" cm="1">
        <f t="array" ref="Q484">IFERROR(_xlfn.LET(_xlpm.e,E484,_xlpm.g,G484,_xlpm.h,H484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4" s="15" t="str">
        <f t="shared" si="66"/>
        <v>🔴 Lagging</v>
      </c>
      <c r="S484" s="35" cm="1">
        <f t="array" ref="S484">IFERROR(_xlfn.LET(_xlpm.e,E484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484" s="36">
        <f t="shared" si="67"/>
        <v>21.428494898232504</v>
      </c>
      <c r="U484" s="15">
        <f t="shared" si="68"/>
        <v>456</v>
      </c>
      <c r="V484" s="16">
        <f t="shared" si="69"/>
        <v>837.672008314256</v>
      </c>
      <c r="W484" s="16">
        <f t="shared" si="70"/>
        <v>2083.1663016680614</v>
      </c>
      <c r="X484" s="37">
        <f t="shared" si="71"/>
        <v>104</v>
      </c>
      <c r="Y484" s="15" t="str">
        <f t="shared" si="72"/>
        <v>📊 Medium</v>
      </c>
    </row>
    <row r="485" spans="1:25" x14ac:dyDescent="0.2">
      <c r="A485" t="str">
        <f>'5. KPI Baselines'!A470</f>
        <v>Singer Industrial</v>
      </c>
      <c r="B485" t="str">
        <f>'5. KPI Baselines'!B470</f>
        <v>Service Operations</v>
      </c>
      <c r="C485" t="str">
        <f>'5. KPI Baselines'!C470</f>
        <v>Field Service</v>
      </c>
      <c r="D485" t="str">
        <f>'5. KPI Baselines'!D470</f>
        <v>Emergency Call Rate</v>
      </c>
      <c r="E485" t="str">
        <f>'5. KPI Baselines'!E470</f>
        <v>34%</v>
      </c>
      <c r="F485" t="str">
        <f>'5. KPI Baselines'!F470</f>
        <v>20%</v>
      </c>
      <c r="G485" t="str">
        <f>'5. KPI Baselines'!G470</f>
        <v>18%</v>
      </c>
      <c r="H485" t="str">
        <f>'5. KPI Baselines'!H470</f>
        <v>↓</v>
      </c>
      <c r="I485" t="str">
        <f>'5. KPI Baselines'!I470</f>
        <v>12 months</v>
      </c>
      <c r="J485" t="str">
        <f>'5. KPI Baselines'!J470</f>
        <v>Emergency calls / Total service calls</v>
      </c>
      <c r="K485" s="15" t="str">
        <f t="shared" si="64"/>
        <v>34% → 20%</v>
      </c>
      <c r="L485" s="34" cm="1">
        <f t="array" ref="L485">IFERROR(_xlfn.LET(_xlpm.e,E485,_xlpm.f,F485,_xlpm.h,H485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0.41176349481325053</v>
      </c>
      <c r="M485" s="15" cm="1">
        <f t="array" ref="M485">IFERROR(_xlfn.LET(_xlpm.e,E485,_xlpm.f,F485,_xlpm.h,H485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22.1</v>
      </c>
      <c r="N485" s="15" cm="1">
        <f t="array" ref="N485">IFERROR(_xlfn.LET(_xlpm.e,E485,_xlpm.f,F485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485" s="15" t="str">
        <f t="shared" si="65"/>
        <v>18% → 20%</v>
      </c>
      <c r="P485" s="34" cm="1">
        <f t="array" ref="P485">IFERROR(_xlfn.LET(_xlpm.g,G485,_xlpm.f,F485,_xlpm.h,H485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-0.11111049383058984</v>
      </c>
      <c r="Q485" s="15" t="str" cm="1">
        <f t="array" ref="Q485">IFERROR(_xlfn.LET(_xlpm.e,E485,_xlpm.g,G485,_xlpm.h,H485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5" s="15" t="str">
        <f t="shared" si="66"/>
        <v>🔴 Lagging</v>
      </c>
      <c r="S485" s="35" cm="1">
        <f t="array" ref="S485">IFERROR(_xlfn.LET(_xlpm.e,E485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485" s="36">
        <f t="shared" si="67"/>
        <v>41.176349481325055</v>
      </c>
      <c r="U485" s="15">
        <f t="shared" si="68"/>
        <v>303</v>
      </c>
      <c r="V485" s="16">
        <f t="shared" si="69"/>
        <v>1954.5692512669082</v>
      </c>
      <c r="W485" s="16">
        <f t="shared" si="70"/>
        <v>4860.7244340296556</v>
      </c>
      <c r="X485" s="37">
        <f t="shared" si="71"/>
        <v>45</v>
      </c>
      <c r="Y485" s="15" t="str">
        <f t="shared" si="72"/>
        <v>⚠️ High</v>
      </c>
    </row>
    <row r="486" spans="1:25" x14ac:dyDescent="0.2">
      <c r="A486" t="str">
        <f>'5. KPI Baselines'!A471</f>
        <v>Singer Industrial</v>
      </c>
      <c r="B486" t="str">
        <f>'5. KPI Baselines'!B471</f>
        <v>Service Operations</v>
      </c>
      <c r="C486" t="str">
        <f>'5. KPI Baselines'!C471</f>
        <v>Customer Success</v>
      </c>
      <c r="D486" t="str">
        <f>'5. KPI Baselines'!D471</f>
        <v>Net Promoter Score</v>
      </c>
      <c r="E486" t="str">
        <f>'5. KPI Baselines'!E471</f>
        <v>42</v>
      </c>
      <c r="F486" t="str">
        <f>'5. KPI Baselines'!F471</f>
        <v>60</v>
      </c>
      <c r="G486" t="str">
        <f>'5. KPI Baselines'!G471</f>
        <v>58</v>
      </c>
      <c r="H486" t="str">
        <f>'5. KPI Baselines'!H471</f>
        <v>↑</v>
      </c>
      <c r="I486" t="str">
        <f>'5. KPI Baselines'!I471</f>
        <v>18 months</v>
      </c>
      <c r="J486" t="str">
        <f>'5. KPI Baselines'!J471</f>
        <v>Quarterly customer surveys</v>
      </c>
      <c r="K486" s="15" t="str">
        <f t="shared" si="64"/>
        <v>60 - 42</v>
      </c>
      <c r="L486" s="34" cm="1">
        <f t="array" ref="L486">IFERROR(_xlfn.LET(_xlpm.e,E486,_xlpm.f,F486,_xlpm.h,H486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0.42857040816569481</v>
      </c>
      <c r="M486" s="15" cm="1">
        <f t="array" ref="M486">IFERROR(_xlfn.LET(_xlpm.e,E486,_xlpm.f,F486,_xlpm.h,H486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57.3</v>
      </c>
      <c r="N486" s="15" cm="1">
        <f t="array" ref="N486">IFERROR(_xlfn.LET(_xlpm.e,E486,_xlpm.f,F486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486" s="15" t="str">
        <f t="shared" si="65"/>
        <v>60 - 58</v>
      </c>
      <c r="P486" s="34" cm="1">
        <f t="array" ref="P486">IFERROR(_xlfn.LET(_xlpm.g,G486,_xlpm.f,F486,_xlpm.h,H486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3.4482699167760054E-2</v>
      </c>
      <c r="Q486" s="15" t="str" cm="1">
        <f t="array" ref="Q486">IFERROR(_xlfn.LET(_xlpm.e,E486,_xlpm.g,G486,_xlpm.h,H486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6" s="15" t="str">
        <f t="shared" si="66"/>
        <v>🔴 Lagging</v>
      </c>
      <c r="S486" s="35" cm="1">
        <f t="array" ref="S486">IFERROR(_xlfn.LET(_xlpm.e,E486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486" s="36">
        <f t="shared" si="67"/>
        <v>42.85704081656948</v>
      </c>
      <c r="U486" s="15">
        <f t="shared" si="68"/>
        <v>280</v>
      </c>
      <c r="V486" s="16">
        <f t="shared" si="69"/>
        <v>2513.0190166213888</v>
      </c>
      <c r="W486" s="16">
        <f t="shared" si="70"/>
        <v>6249.5063448661185</v>
      </c>
      <c r="X486" s="37">
        <f t="shared" si="71"/>
        <v>35</v>
      </c>
      <c r="Y486" s="15" t="str">
        <f t="shared" si="72"/>
        <v>⚠️ High</v>
      </c>
    </row>
    <row r="487" spans="1:25" x14ac:dyDescent="0.2">
      <c r="A487" t="str">
        <f>'5. KPI Baselines'!A472</f>
        <v>Singer Industrial</v>
      </c>
      <c r="B487" t="str">
        <f>'5. KPI Baselines'!B472</f>
        <v>Supply Chain</v>
      </c>
      <c r="C487" t="str">
        <f>'5. KPI Baselines'!C472</f>
        <v>Demand Planning</v>
      </c>
      <c r="D487" t="str">
        <f>'5. KPI Baselines'!D472</f>
        <v>Forecast Accuracy</v>
      </c>
      <c r="E487" t="str">
        <f>'5. KPI Baselines'!E472</f>
        <v>67%</v>
      </c>
      <c r="F487" t="str">
        <f>'5. KPI Baselines'!F472</f>
        <v>82%</v>
      </c>
      <c r="G487" t="str">
        <f>'5. KPI Baselines'!G472</f>
        <v>78%</v>
      </c>
      <c r="H487" t="str">
        <f>'5. KPI Baselines'!H472</f>
        <v>↑</v>
      </c>
      <c r="I487" t="str">
        <f>'5. KPI Baselines'!I472</f>
        <v>12 months</v>
      </c>
      <c r="J487" t="str">
        <f>'5. KPI Baselines'!J472</f>
        <v>SKU-level MAPE monthly</v>
      </c>
      <c r="K487" s="15" t="str">
        <f t="shared" si="64"/>
        <v>82% - 67%</v>
      </c>
      <c r="L487" s="34" cm="1">
        <f t="array" ref="L487">IFERROR(_xlfn.LET(_xlpm.e,E487,_xlpm.f,F487,_xlpm.h,H487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0.22388026286527929</v>
      </c>
      <c r="M487" s="15" cm="1">
        <f t="array" ref="M487">IFERROR(_xlfn.LET(_xlpm.e,E487,_xlpm.f,F487,_xlpm.h,H487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79.8</v>
      </c>
      <c r="N487" s="15" cm="1">
        <f t="array" ref="N487">IFERROR(_xlfn.LET(_xlpm.e,E487,_xlpm.f,F487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487" s="15" t="str">
        <f t="shared" si="65"/>
        <v>82% - 78%</v>
      </c>
      <c r="P487" s="34" cm="1">
        <f t="array" ref="P487">IFERROR(_xlfn.LET(_xlpm.g,G487,_xlpm.f,F487,_xlpm.h,H487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5.128198553591598E-2</v>
      </c>
      <c r="Q487" s="15" t="str" cm="1">
        <f t="array" ref="Q487">IFERROR(_xlfn.LET(_xlpm.e,E487,_xlpm.g,G487,_xlpm.h,H487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7" s="15" t="str">
        <f t="shared" si="66"/>
        <v>🔴 Lagging</v>
      </c>
      <c r="S487" s="35" cm="1">
        <f t="array" ref="S487">IFERROR(_xlfn.LET(_xlpm.e,E487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487" s="36">
        <f t="shared" si="67"/>
        <v>22.388026286527928</v>
      </c>
      <c r="U487" s="15">
        <f t="shared" si="68"/>
        <v>443</v>
      </c>
      <c r="V487" s="16">
        <f t="shared" si="69"/>
        <v>2094.1843743516802</v>
      </c>
      <c r="W487" s="16">
        <f t="shared" si="70"/>
        <v>5207.9265808445289</v>
      </c>
      <c r="X487" s="37">
        <f t="shared" si="71"/>
        <v>42</v>
      </c>
      <c r="Y487" s="15" t="str">
        <f t="shared" si="72"/>
        <v>📊 Medium</v>
      </c>
    </row>
    <row r="488" spans="1:25" x14ac:dyDescent="0.2">
      <c r="A488" t="str">
        <f>'5. KPI Baselines'!A473</f>
        <v>Singer Industrial</v>
      </c>
      <c r="B488" t="str">
        <f>'5. KPI Baselines'!B473</f>
        <v>Supply Chain</v>
      </c>
      <c r="C488" t="str">
        <f>'5. KPI Baselines'!C473</f>
        <v>Inventory Management</v>
      </c>
      <c r="D488" t="str">
        <f>'5. KPI Baselines'!D473</f>
        <v>Days Inventory Outstanding</v>
      </c>
      <c r="E488" t="str">
        <f>'5. KPI Baselines'!E473</f>
        <v>127 days</v>
      </c>
      <c r="F488" t="str">
        <f>'5. KPI Baselines'!F473</f>
        <v>95 days</v>
      </c>
      <c r="G488" t="str">
        <f>'5. KPI Baselines'!G473</f>
        <v>86 days</v>
      </c>
      <c r="H488" t="str">
        <f>'5. KPI Baselines'!H473</f>
        <v>↓</v>
      </c>
      <c r="I488" t="str">
        <f>'5. KPI Baselines'!I473</f>
        <v>18 months</v>
      </c>
      <c r="J488" t="str">
        <f>'5. KPI Baselines'!J473</f>
        <v>Average inventory / Daily COGS</v>
      </c>
      <c r="K488" s="15" t="str">
        <f t="shared" si="64"/>
        <v>127 days → 95 days</v>
      </c>
      <c r="L488" s="34" cm="1">
        <f t="array" ref="L488">IFERROR(_xlfn.LET(_xlpm.e,E488,_xlpm.f,F488,_xlpm.h,H488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0.2519683055367673</v>
      </c>
      <c r="M488" s="15" cm="1">
        <f t="array" ref="M488">IFERROR(_xlfn.LET(_xlpm.e,E488,_xlpm.f,F488,_xlpm.h,H488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99.8</v>
      </c>
      <c r="N488" s="15" cm="1">
        <f t="array" ref="N488">IFERROR(_xlfn.LET(_xlpm.e,E488,_xlpm.f,F488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24.48</v>
      </c>
      <c r="O488" s="15" t="str">
        <f t="shared" si="65"/>
        <v>86 days → 95 days</v>
      </c>
      <c r="P488" s="34" cm="1">
        <f t="array" ref="P488">IFERROR(_xlfn.LET(_xlpm.g,G488,_xlpm.f,F488,_xlpm.h,H488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-0.10465104110344058</v>
      </c>
      <c r="Q488" s="15" t="str" cm="1">
        <f t="array" ref="Q488">IFERROR(_xlfn.LET(_xlpm.e,E488,_xlpm.g,G488,_xlpm.h,H488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8" s="15" t="str">
        <f t="shared" si="66"/>
        <v>🔴 Lagging</v>
      </c>
      <c r="S488" s="35" cm="1">
        <f t="array" ref="S488">IFERROR(_xlfn.LET(_xlpm.e,E488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127</v>
      </c>
      <c r="T488" s="36">
        <f t="shared" si="67"/>
        <v>25.19683055367673</v>
      </c>
      <c r="U488" s="15">
        <f t="shared" si="68"/>
        <v>419</v>
      </c>
      <c r="V488" s="16">
        <f t="shared" si="69"/>
        <v>4467.5964822074948</v>
      </c>
      <c r="W488" s="16">
        <f t="shared" si="70"/>
        <v>11110.251206691824</v>
      </c>
      <c r="X488" s="37">
        <f t="shared" si="71"/>
        <v>20</v>
      </c>
      <c r="Y488" s="15" t="str">
        <f t="shared" si="72"/>
        <v>⚠️ High</v>
      </c>
    </row>
    <row r="489" spans="1:25" x14ac:dyDescent="0.2">
      <c r="A489" t="str">
        <f>'5. KPI Baselines'!A474</f>
        <v>Singer Industrial</v>
      </c>
      <c r="B489" t="str">
        <f>'5. KPI Baselines'!B474</f>
        <v>Manufacturing</v>
      </c>
      <c r="C489" t="str">
        <f>'5. KPI Baselines'!C474</f>
        <v>Quality Control</v>
      </c>
      <c r="D489" t="str">
        <f>'5. KPI Baselines'!D474</f>
        <v>First-Pass Yield</v>
      </c>
      <c r="E489" t="str">
        <f>'5. KPI Baselines'!E474</f>
        <v>91%</v>
      </c>
      <c r="F489" t="str">
        <f>'5. KPI Baselines'!F474</f>
        <v>95%</v>
      </c>
      <c r="G489" t="str">
        <f>'5. KPI Baselines'!G474</f>
        <v>94%</v>
      </c>
      <c r="H489" t="str">
        <f>'5. KPI Baselines'!H474</f>
        <v>↑</v>
      </c>
      <c r="I489" t="str">
        <f>'5. KPI Baselines'!I474</f>
        <v>12 months</v>
      </c>
      <c r="J489" t="str">
        <f>'5. KPI Baselines'!J474</f>
        <v>Units passed / Total units inspected</v>
      </c>
      <c r="K489" s="15" t="str">
        <f t="shared" si="64"/>
        <v>95% - 91%</v>
      </c>
      <c r="L489" s="34" cm="1">
        <f t="array" ref="L489">IFERROR(_xlfn.LET(_xlpm.e,E489,_xlpm.f,F489,_xlpm.h,H489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4.3955995652752031E-2</v>
      </c>
      <c r="M489" s="15" cm="1">
        <f t="array" ref="M489">IFERROR(_xlfn.LET(_xlpm.e,E489,_xlpm.f,F489,_xlpm.h,H489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94.4</v>
      </c>
      <c r="N489" s="15" cm="1">
        <f t="array" ref="N489">IFERROR(_xlfn.LET(_xlpm.e,E489,_xlpm.f,F489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489" s="15" t="str">
        <f t="shared" si="65"/>
        <v>95% - 94%</v>
      </c>
      <c r="P489" s="34" cm="1">
        <f t="array" ref="P489">IFERROR(_xlfn.LET(_xlpm.g,G489,_xlpm.f,F489,_xlpm.h,H489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1.0638286555014302E-2</v>
      </c>
      <c r="Q489" s="15" t="str" cm="1">
        <f t="array" ref="Q489">IFERROR(_xlfn.LET(_xlpm.e,E489,_xlpm.g,G489,_xlpm.h,H489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89" s="15" t="str">
        <f t="shared" si="66"/>
        <v>🔴 Lagging</v>
      </c>
      <c r="S489" s="35" cm="1">
        <f t="array" ref="S489">IFERROR(_xlfn.LET(_xlpm.e,E489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</v>
      </c>
      <c r="T489" s="36">
        <f t="shared" si="67"/>
        <v>4.3955995652752033</v>
      </c>
      <c r="U489" s="15">
        <f t="shared" si="68"/>
        <v>546</v>
      </c>
      <c r="V489" s="16">
        <f t="shared" si="69"/>
        <v>558.44938631935565</v>
      </c>
      <c r="W489" s="16">
        <f t="shared" si="70"/>
        <v>1388.7809682322079</v>
      </c>
      <c r="X489" s="37">
        <f t="shared" si="71"/>
        <v>155</v>
      </c>
      <c r="Y489" s="15" t="str">
        <f t="shared" si="72"/>
        <v>📉 Low</v>
      </c>
    </row>
    <row r="490" spans="1:25" x14ac:dyDescent="0.2">
      <c r="A490" t="str">
        <f>'5. KPI Baselines'!A475</f>
        <v>Singer Industrial</v>
      </c>
      <c r="B490" t="str">
        <f>'5. KPI Baselines'!B475</f>
        <v>Manufacturing</v>
      </c>
      <c r="C490" t="str">
        <f>'5. KPI Baselines'!C475</f>
        <v>Production Planning</v>
      </c>
      <c r="D490" t="str">
        <f>'5. KPI Baselines'!D475</f>
        <v>Schedule Adherence</v>
      </c>
      <c r="E490" t="str">
        <f>'5. KPI Baselines'!E475</f>
        <v>83%</v>
      </c>
      <c r="F490" t="str">
        <f>'5. KPI Baselines'!F475</f>
        <v>90%</v>
      </c>
      <c r="G490" t="str">
        <f>'5. KPI Baselines'!G475</f>
        <v>88%</v>
      </c>
      <c r="H490" t="str">
        <f>'5. KPI Baselines'!H475</f>
        <v>↑</v>
      </c>
      <c r="I490" t="str">
        <f>'5. KPI Baselines'!I475</f>
        <v>12 months</v>
      </c>
      <c r="J490" t="str">
        <f>'5. KPI Baselines'!J475</f>
        <v>Jobs completed on-time / Total jobs</v>
      </c>
      <c r="K490" s="15" t="str">
        <f t="shared" si="64"/>
        <v>90% - 83%</v>
      </c>
      <c r="L490" s="34" cm="1">
        <f t="array" ref="L490">IFERROR(_xlfn.LET(_xlpm.e,E490,_xlpm.f,F490,_xlpm.h,H490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8.4337247786448452E-2</v>
      </c>
      <c r="M490" s="15" cm="1">
        <f t="array" ref="M490">IFERROR(_xlfn.LET(_xlpm.e,E490,_xlpm.f,F490,_xlpm.h,H490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89</v>
      </c>
      <c r="N490" s="15" cm="1">
        <f t="array" ref="N490">IFERROR(_xlfn.LET(_xlpm.e,E490,_xlpm.f,F490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490" s="15" t="str">
        <f t="shared" si="65"/>
        <v>90% - 88%</v>
      </c>
      <c r="P490" s="34" cm="1">
        <f t="array" ref="P490">IFERROR(_xlfn.LET(_xlpm.g,G490,_xlpm.f,F490,_xlpm.h,H490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2.2727246900855792E-2</v>
      </c>
      <c r="Q490" s="15" t="str" cm="1">
        <f t="array" ref="Q490">IFERROR(_xlfn.LET(_xlpm.e,E490,_xlpm.g,G490,_xlpm.h,H490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0" s="15" t="str">
        <f t="shared" si="66"/>
        <v>🔴 Lagging</v>
      </c>
      <c r="S490" s="35" cm="1">
        <f t="array" ref="S490">IFERROR(_xlfn.LET(_xlpm.e,E490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83</v>
      </c>
      <c r="T490" s="36">
        <f t="shared" si="67"/>
        <v>8.4337247786448444</v>
      </c>
      <c r="U490" s="15">
        <f t="shared" si="68"/>
        <v>528</v>
      </c>
      <c r="V490" s="16">
        <f t="shared" si="69"/>
        <v>977.28632254659942</v>
      </c>
      <c r="W490" s="16">
        <f t="shared" si="70"/>
        <v>2430.3664369866615</v>
      </c>
      <c r="X490" s="37">
        <f t="shared" si="71"/>
        <v>89</v>
      </c>
      <c r="Y490" s="15" t="str">
        <f t="shared" si="72"/>
        <v>📉 Low</v>
      </c>
    </row>
    <row r="491" spans="1:25" x14ac:dyDescent="0.2">
      <c r="A491" t="str">
        <f>'5. KPI Baselines'!A476</f>
        <v>Singer Industrial</v>
      </c>
      <c r="B491" t="str">
        <f>'5. KPI Baselines'!B476</f>
        <v>Finance</v>
      </c>
      <c r="C491" t="str">
        <f>'5. KPI Baselines'!C476</f>
        <v>Accounts Receivable</v>
      </c>
      <c r="D491" t="str">
        <f>'5. KPI Baselines'!D476</f>
        <v>Days Sales Outstanding</v>
      </c>
      <c r="E491" t="str">
        <f>'5. KPI Baselines'!E476</f>
        <v>58 days</v>
      </c>
      <c r="F491" t="str">
        <f>'5. KPI Baselines'!F476</f>
        <v>48 days</v>
      </c>
      <c r="G491" t="str">
        <f>'5. KPI Baselines'!G476</f>
        <v>45 days</v>
      </c>
      <c r="H491" t="str">
        <f>'5. KPI Baselines'!H476</f>
        <v>↓</v>
      </c>
      <c r="I491" t="str">
        <f>'5. KPI Baselines'!I476</f>
        <v>12 months</v>
      </c>
      <c r="J491" t="str">
        <f>'5. KPI Baselines'!J476</f>
        <v>AR balance / Daily revenue</v>
      </c>
      <c r="K491" s="15" t="str">
        <f t="shared" si="64"/>
        <v>58 days → 48 days</v>
      </c>
      <c r="L491" s="34" cm="1">
        <f t="array" ref="L491">IFERROR(_xlfn.LET(_xlpm.e,E491,_xlpm.f,F491,_xlpm.h,H491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0.17241349583880028</v>
      </c>
      <c r="M491" s="15" cm="1">
        <f t="array" ref="M491">IFERROR(_xlfn.LET(_xlpm.e,E491,_xlpm.f,F491,_xlpm.h,H491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49.5</v>
      </c>
      <c r="N491" s="15" cm="1">
        <f t="array" ref="N491">IFERROR(_xlfn.LET(_xlpm.e,E491,_xlpm.f,F491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491" s="15" t="str">
        <f t="shared" si="65"/>
        <v>45 days → 48 days</v>
      </c>
      <c r="P491" s="34" cm="1">
        <f t="array" ref="P491">IFERROR(_xlfn.LET(_xlpm.g,G491,_xlpm.f,F491,_xlpm.h,H491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-6.6666518518847737E-2</v>
      </c>
      <c r="Q491" s="15" t="str" cm="1">
        <f t="array" ref="Q491">IFERROR(_xlfn.LET(_xlpm.e,E491,_xlpm.g,G491,_xlpm.h,H491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1" s="15" t="str">
        <f t="shared" si="66"/>
        <v>🔴 Lagging</v>
      </c>
      <c r="S491" s="35" cm="1">
        <f t="array" ref="S491">IFERROR(_xlfn.LET(_xlpm.e,E491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491" s="36">
        <f t="shared" si="67"/>
        <v>17.241349583880027</v>
      </c>
      <c r="U491" s="15">
        <f t="shared" si="68"/>
        <v>489</v>
      </c>
      <c r="V491" s="16">
        <f t="shared" si="69"/>
        <v>1396.1225928920815</v>
      </c>
      <c r="W491" s="16">
        <f t="shared" si="70"/>
        <v>3471.9502497917306</v>
      </c>
      <c r="X491" s="37">
        <f t="shared" si="71"/>
        <v>62</v>
      </c>
      <c r="Y491" s="15" t="str">
        <f t="shared" si="72"/>
        <v>📊 Medium</v>
      </c>
    </row>
    <row r="492" spans="1:25" x14ac:dyDescent="0.2">
      <c r="A492" t="str">
        <f>'5. KPI Baselines'!A477</f>
        <v>Singer Industrial</v>
      </c>
      <c r="B492" t="str">
        <f>'5. KPI Baselines'!B477</f>
        <v>Human Resources</v>
      </c>
      <c r="C492" t="str">
        <f>'5. KPI Baselines'!C477</f>
        <v>Talent Development</v>
      </c>
      <c r="D492" t="str">
        <f>'5. KPI Baselines'!D477</f>
        <v>Time to Productivity</v>
      </c>
      <c r="E492" t="str">
        <f>'5. KPI Baselines'!E477</f>
        <v>45 days</v>
      </c>
      <c r="F492" t="str">
        <f>'5. KPI Baselines'!F477</f>
        <v>28 days</v>
      </c>
      <c r="G492" t="str">
        <f>'5. KPI Baselines'!G477</f>
        <v>35 days</v>
      </c>
      <c r="H492" t="str">
        <f>'5. KPI Baselines'!H477</f>
        <v>↓</v>
      </c>
      <c r="I492" t="str">
        <f>'5. KPI Baselines'!I477</f>
        <v>12 months</v>
      </c>
      <c r="J492" t="str">
        <f>'5. KPI Baselines'!J477</f>
        <v>Hire date to independent task completion</v>
      </c>
      <c r="K492" s="15" t="str">
        <f t="shared" si="64"/>
        <v>45 days → 28 days</v>
      </c>
      <c r="L492" s="34" cm="1">
        <f t="array" ref="L492">IFERROR(_xlfn.LET(_xlpm.e,E492,_xlpm.f,F492,_xlpm.h,H492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0.37777693827347048</v>
      </c>
      <c r="M492" s="15" cm="1">
        <f t="array" ref="M492">IFERROR(_xlfn.LET(_xlpm.e,E492,_xlpm.f,F492,_xlpm.h,H492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30.6</v>
      </c>
      <c r="N492" s="15" cm="1">
        <f t="array" ref="N492">IFERROR(_xlfn.LET(_xlpm.e,E492,_xlpm.f,F492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492" s="15" t="str">
        <f t="shared" si="65"/>
        <v>35 days → 28 days</v>
      </c>
      <c r="P492" s="34" cm="1">
        <f t="array" ref="P492">IFERROR(_xlfn.LET(_xlpm.g,G492,_xlpm.f,F492,_xlpm.h,H492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0.19999942857306119</v>
      </c>
      <c r="Q492" s="15" t="str" cm="1">
        <f t="array" ref="Q492">IFERROR(_xlfn.LET(_xlpm.e,E492,_xlpm.g,G492,_xlpm.h,H492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2" s="15" t="str">
        <f t="shared" si="66"/>
        <v>🔴 Lagging</v>
      </c>
      <c r="S492" s="35" cm="1">
        <f t="array" ref="S492">IFERROR(_xlfn.LET(_xlpm.e,E492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492" s="36">
        <f t="shared" si="67"/>
        <v>37.777693827347051</v>
      </c>
      <c r="U492" s="15">
        <f t="shared" si="68"/>
        <v>325</v>
      </c>
      <c r="V492" s="16">
        <f t="shared" si="69"/>
        <v>2373.4072257617199</v>
      </c>
      <c r="W492" s="16">
        <f t="shared" si="70"/>
        <v>5902.3124848018779</v>
      </c>
      <c r="X492" s="37">
        <f t="shared" si="71"/>
        <v>37</v>
      </c>
      <c r="Y492" s="15" t="str">
        <f t="shared" si="72"/>
        <v>⚠️ High</v>
      </c>
    </row>
    <row r="493" spans="1:25" x14ac:dyDescent="0.2">
      <c r="A493" t="str">
        <f>'5. KPI Baselines'!A478</f>
        <v>Singer Industrial</v>
      </c>
      <c r="B493" t="str">
        <f>'5. KPI Baselines'!B478</f>
        <v>Legal &amp; Compliance</v>
      </c>
      <c r="C493" t="str">
        <f>'5. KPI Baselines'!C478</f>
        <v>Contract Management</v>
      </c>
      <c r="D493" t="str">
        <f>'5. KPI Baselines'!D478</f>
        <v>Contract Review Cycle</v>
      </c>
      <c r="E493" t="str">
        <f>'5. KPI Baselines'!E478</f>
        <v>12 days</v>
      </c>
      <c r="F493" t="str">
        <f>'5. KPI Baselines'!F478</f>
        <v>6 days</v>
      </c>
      <c r="G493" t="str">
        <f>'5. KPI Baselines'!G478</f>
        <v>7 days</v>
      </c>
      <c r="H493" t="str">
        <f>'5. KPI Baselines'!H478</f>
        <v>↓</v>
      </c>
      <c r="I493" t="str">
        <f>'5. KPI Baselines'!I478</f>
        <v>9 months</v>
      </c>
      <c r="J493" t="str">
        <f>'5. KPI Baselines'!J478</f>
        <v>Submission to approval signature</v>
      </c>
      <c r="K493" s="15" t="str">
        <f t="shared" si="64"/>
        <v>12 days → 6 days</v>
      </c>
      <c r="L493" s="34" cm="1">
        <f t="array" ref="L493">IFERROR(_xlfn.LET(_xlpm.e,E493,_xlpm.f,F493,_xlpm.h,H493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0.49999583336805525</v>
      </c>
      <c r="M493" s="15" cm="1">
        <f t="array" ref="M493">IFERROR(_xlfn.LET(_xlpm.e,E493,_xlpm.f,F493,_xlpm.h,H493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6.9</v>
      </c>
      <c r="N493" s="15" cm="1">
        <f t="array" ref="N493">IFERROR(_xlfn.LET(_xlpm.e,E493,_xlpm.f,F493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493" s="15" t="str">
        <f t="shared" si="65"/>
        <v>7 days → 6 days</v>
      </c>
      <c r="P493" s="34" cm="1">
        <f t="array" ref="P493">IFERROR(_xlfn.LET(_xlpm.g,G493,_xlpm.f,F493,_xlpm.h,H493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0.14285510206997043</v>
      </c>
      <c r="Q493" s="15" t="str" cm="1">
        <f t="array" ref="Q493">IFERROR(_xlfn.LET(_xlpm.e,E493,_xlpm.g,G493,_xlpm.h,H493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3" s="15" t="str">
        <f t="shared" si="66"/>
        <v>🔴 Lagging</v>
      </c>
      <c r="S493" s="35" cm="1">
        <f t="array" ref="S493">IFERROR(_xlfn.LET(_xlpm.e,E493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493" s="36">
        <f t="shared" si="67"/>
        <v>49.999583336805529</v>
      </c>
      <c r="U493" s="15">
        <f t="shared" si="68"/>
        <v>231</v>
      </c>
      <c r="V493" s="16">
        <f t="shared" si="69"/>
        <v>837.66801943317137</v>
      </c>
      <c r="W493" s="16">
        <f t="shared" si="70"/>
        <v>2083.1563819111943</v>
      </c>
      <c r="X493" s="37">
        <f t="shared" si="71"/>
        <v>104</v>
      </c>
      <c r="Y493" s="15" t="str">
        <f t="shared" si="72"/>
        <v>⚠️ High</v>
      </c>
    </row>
    <row r="494" spans="1:25" x14ac:dyDescent="0.2">
      <c r="A494" t="str">
        <f>'5. KPI Baselines'!A479</f>
        <v>Singer Industrial</v>
      </c>
      <c r="B494" t="str">
        <f>'5. KPI Baselines'!B479</f>
        <v>Engineering</v>
      </c>
      <c r="C494" t="str">
        <f>'5. KPI Baselines'!C479</f>
        <v>Product Documentation</v>
      </c>
      <c r="D494" t="str">
        <f>'5. KPI Baselines'!D479</f>
        <v>Documentation Accuracy</v>
      </c>
      <c r="E494" t="str">
        <f>'5. KPI Baselines'!E479</f>
        <v>87%</v>
      </c>
      <c r="F494" t="str">
        <f>'5. KPI Baselines'!F479</f>
        <v>96%</v>
      </c>
      <c r="G494" t="str">
        <f>'5. KPI Baselines'!G479</f>
        <v>95%</v>
      </c>
      <c r="H494" t="str">
        <f>'5. KPI Baselines'!H479</f>
        <v>↑</v>
      </c>
      <c r="I494" t="str">
        <f>'5. KPI Baselines'!I479</f>
        <v>12 months</v>
      </c>
      <c r="J494" t="str">
        <f>'5. KPI Baselines'!J479</f>
        <v>Field-reported doc errors / Total installations</v>
      </c>
      <c r="K494" s="15" t="str">
        <f t="shared" si="64"/>
        <v>96% - 87%</v>
      </c>
      <c r="L494" s="34" cm="1">
        <f t="array" ref="L494">IFERROR(_xlfn.LET(_xlpm.e,E494,_xlpm.f,F494,_xlpm.h,H494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0.10344815695614143</v>
      </c>
      <c r="M494" s="15" cm="1">
        <f t="array" ref="M494">IFERROR(_xlfn.LET(_xlpm.e,E494,_xlpm.f,F494,_xlpm.h,H494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94.7</v>
      </c>
      <c r="N494" s="15" cm="1">
        <f t="array" ref="N494">IFERROR(_xlfn.LET(_xlpm.e,E494,_xlpm.f,F494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494" s="15" t="str">
        <f t="shared" si="65"/>
        <v>96% - 95%</v>
      </c>
      <c r="P494" s="34" cm="1">
        <f t="array" ref="P494">IFERROR(_xlfn.LET(_xlpm.g,G494,_xlpm.f,F494,_xlpm.h,H494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1.0526304709152938E-2</v>
      </c>
      <c r="Q494" s="15" t="str" cm="1">
        <f t="array" ref="Q494">IFERROR(_xlfn.LET(_xlpm.e,E494,_xlpm.g,G494,_xlpm.h,H494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4" s="15" t="str">
        <f t="shared" si="66"/>
        <v>🔴 Lagging</v>
      </c>
      <c r="S494" s="35" cm="1">
        <f t="array" ref="S494">IFERROR(_xlfn.LET(_xlpm.e,E494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494" s="36">
        <f t="shared" si="67"/>
        <v>10.344815695614143</v>
      </c>
      <c r="U494" s="15">
        <f t="shared" si="68"/>
        <v>517</v>
      </c>
      <c r="V494" s="16">
        <f t="shared" si="69"/>
        <v>1256.5110557344185</v>
      </c>
      <c r="W494" s="16">
        <f t="shared" si="70"/>
        <v>3124.7570206468286</v>
      </c>
      <c r="X494" s="37">
        <f t="shared" si="71"/>
        <v>69</v>
      </c>
      <c r="Y494" s="15" t="str">
        <f t="shared" si="72"/>
        <v>📊 Medium</v>
      </c>
    </row>
    <row r="495" spans="1:25" x14ac:dyDescent="0.2">
      <c r="A495" t="str">
        <f>'5. KPI Baselines'!A480</f>
        <v>SitelogIQ</v>
      </c>
      <c r="B495" t="str">
        <f>'5. KPI Baselines'!B480</f>
        <v>Project Support</v>
      </c>
      <c r="C495" t="str">
        <f>'5. KPI Baselines'!C480</f>
        <v>RFI Management</v>
      </c>
      <c r="D495" t="str">
        <f>'5. KPI Baselines'!D480</f>
        <v>Average RFI Response Time</v>
      </c>
      <c r="E495" t="str">
        <f>'5. KPI Baselines'!E480</f>
        <v>4.2 days</v>
      </c>
      <c r="F495" t="str">
        <f>'5. KPI Baselines'!F480</f>
        <v>1.8 days</v>
      </c>
      <c r="G495" t="str">
        <f>'5. KPI Baselines'!G480</f>
        <v>2.1 days</v>
      </c>
      <c r="H495" t="str">
        <f>'5. KPI Baselines'!H480</f>
        <v>↓</v>
      </c>
      <c r="I495" t="str">
        <f>'5. KPI Baselines'!I480</f>
        <v>12 months</v>
      </c>
      <c r="J495" t="str">
        <f>'5. KPI Baselines'!J480</f>
        <v>Timestamp delta between submission and approved response</v>
      </c>
      <c r="K495" s="15" t="str">
        <f t="shared" si="64"/>
        <v>4.2 days → 1.8 days</v>
      </c>
      <c r="L495" s="34" cm="1">
        <f t="array" ref="L495">IFERROR(_xlfn.LET(_xlpm.e,E495,_xlpm.f,F495,_xlpm.h,H495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0.57141496631032607</v>
      </c>
      <c r="M495" s="15" cm="1">
        <f t="array" ref="M495">IFERROR(_xlfn.LET(_xlpm.e,E495,_xlpm.f,F495,_xlpm.h,H495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495" s="15" cm="1">
        <f t="array" ref="N495">IFERROR(_xlfn.LET(_xlpm.e,E495,_xlpm.f,F495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1.84</v>
      </c>
      <c r="O495" s="15" t="str">
        <f t="shared" si="65"/>
        <v>2.1 days → 1.8 days</v>
      </c>
      <c r="P495" s="34" cm="1">
        <f t="array" ref="P495">IFERROR(_xlfn.LET(_xlpm.g,G495,_xlpm.f,F495,_xlpm.h,H495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0.1428503404599781</v>
      </c>
      <c r="Q495" s="15" t="str" cm="1">
        <f t="array" ref="Q495">IFERROR(_xlfn.LET(_xlpm.e,E495,_xlpm.g,G495,_xlpm.h,H495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5" s="15" t="str">
        <f t="shared" si="66"/>
        <v>🔴 Lagging</v>
      </c>
      <c r="S495" s="35" cm="1">
        <f t="array" ref="S495">IFERROR(_xlfn.LET(_xlpm.e,E495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495" s="36">
        <f t="shared" si="67"/>
        <v>57.141496631032609</v>
      </c>
      <c r="U495" s="15">
        <f t="shared" si="68"/>
        <v>177</v>
      </c>
      <c r="V495" s="16">
        <f t="shared" si="69"/>
        <v>335.06202233280169</v>
      </c>
      <c r="W495" s="16">
        <f t="shared" si="70"/>
        <v>833.24965734152852</v>
      </c>
      <c r="X495" s="37">
        <f t="shared" si="71"/>
        <v>256</v>
      </c>
      <c r="Y495" s="15" t="str">
        <f t="shared" si="72"/>
        <v>🔥 Critical</v>
      </c>
    </row>
    <row r="496" spans="1:25" x14ac:dyDescent="0.2">
      <c r="A496" t="str">
        <f>'5. KPI Baselines'!A481</f>
        <v>SitelogIQ</v>
      </c>
      <c r="B496" t="str">
        <f>'5. KPI Baselines'!B481</f>
        <v>Project Support</v>
      </c>
      <c r="C496" t="str">
        <f>'5. KPI Baselines'!C481</f>
        <v>RFI Management</v>
      </c>
      <c r="D496" t="str">
        <f>'5. KPI Baselines'!D481</f>
        <v>Monthly RFI Volume</v>
      </c>
      <c r="E496" t="str">
        <f>'5. KPI Baselines'!E481</f>
        <v>38,500 requests</v>
      </c>
      <c r="F496" t="str">
        <f>'5. KPI Baselines'!F481</f>
        <v>13,500 escalated requests</v>
      </c>
      <c r="G496" t="str">
        <f>'5. KPI Baselines'!G481</f>
        <v>N/A - company specific</v>
      </c>
      <c r="H496" t="str">
        <f>'5. KPI Baselines'!H481</f>
        <v>↓</v>
      </c>
      <c r="I496" t="str">
        <f>'5. KPI Baselines'!I481</f>
        <v>12 months</v>
      </c>
      <c r="J496" t="str">
        <f>'5. KPI Baselines'!J481</f>
        <v>Count of RFIs requiring project manager intervention</v>
      </c>
      <c r="K496" s="15" t="str">
        <f t="shared" si="64"/>
        <v>38,500 requests → 13,500 escalated requests</v>
      </c>
      <c r="L496" s="34" t="str" cm="1">
        <f t="array" ref="L496">IFERROR(_xlfn.LET(_xlpm.e,E496,_xlpm.f,F496,_xlpm.h,H496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96" s="15" t="str" cm="1">
        <f t="array" ref="M496">IFERROR(_xlfn.LET(_xlpm.e,E496,_xlpm.f,F496,_xlpm.h,H496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96" s="15" t="str" cm="1">
        <f t="array" ref="N496">IFERROR(_xlfn.LET(_xlpm.e,E496,_xlpm.f,F496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96" s="15" t="str">
        <f t="shared" si="65"/>
        <v>N/A - company specific → 13,500 escalated requests</v>
      </c>
      <c r="P496" s="34" t="str" cm="1">
        <f t="array" ref="P496">IFERROR(_xlfn.LET(_xlpm.g,G496,_xlpm.f,F496,_xlpm.h,H496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96" s="15" t="str" cm="1">
        <f t="array" ref="Q496">IFERROR(_xlfn.LET(_xlpm.e,E496,_xlpm.g,G496,_xlpm.h,H496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96" s="15" t="str">
        <f t="shared" si="66"/>
        <v>⚪ N/A</v>
      </c>
      <c r="S496" s="35" cm="1">
        <f t="array" ref="S496">IFERROR(_xlfn.LET(_xlpm.e,E496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96" s="36">
        <f t="shared" si="67"/>
        <v>0</v>
      </c>
      <c r="U496" s="15">
        <f t="shared" si="68"/>
        <v>554</v>
      </c>
      <c r="V496" s="16">
        <f t="shared" si="69"/>
        <v>0</v>
      </c>
      <c r="W496" s="16">
        <f t="shared" si="70"/>
        <v>0</v>
      </c>
      <c r="X496" s="37" t="str">
        <f t="shared" si="71"/>
        <v>-</v>
      </c>
      <c r="Y496" s="15" t="str">
        <f t="shared" si="72"/>
        <v>📉 Low</v>
      </c>
    </row>
    <row r="497" spans="1:25" x14ac:dyDescent="0.2">
      <c r="A497" t="str">
        <f>'5. KPI Baselines'!A482</f>
        <v>SitelogIQ</v>
      </c>
      <c r="B497" t="str">
        <f>'5. KPI Baselines'!B482</f>
        <v>Document Control</v>
      </c>
      <c r="C497" t="str">
        <f>'5. KPI Baselines'!C482</f>
        <v>Drawing Management</v>
      </c>
      <c r="D497" t="str">
        <f>'5. KPI Baselines'!D482</f>
        <v>Drawing Conflict Rate</v>
      </c>
      <c r="E497" t="str">
        <f>'5. KPI Baselines'!E482</f>
        <v>22% of projects</v>
      </c>
      <c r="F497" t="str">
        <f>'5. KPI Baselines'!F482</f>
        <v>8% of projects</v>
      </c>
      <c r="G497" t="str">
        <f>'5. KPI Baselines'!G482</f>
        <v>12% of projects</v>
      </c>
      <c r="H497" t="str">
        <f>'5. KPI Baselines'!H482</f>
        <v>↓</v>
      </c>
      <c r="I497" t="str">
        <f>'5. KPI Baselines'!I482</f>
        <v>18 months</v>
      </c>
      <c r="J497" t="str">
        <f>'5. KPI Baselines'!J482</f>
        <v>Projects with conflicts discovered during construction divided by total active projects</v>
      </c>
      <c r="K497" s="15" t="str">
        <f t="shared" si="64"/>
        <v>22% of projects → 8% of projects</v>
      </c>
      <c r="L497" s="34" t="str" cm="1">
        <f t="array" ref="L497">IFERROR(_xlfn.LET(_xlpm.e,E497,_xlpm.f,F497,_xlpm.h,H497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97" s="15" t="str" cm="1">
        <f t="array" ref="M497">IFERROR(_xlfn.LET(_xlpm.e,E497,_xlpm.f,F497,_xlpm.h,H497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97" s="15" t="str" cm="1">
        <f t="array" ref="N497">IFERROR(_xlfn.LET(_xlpm.e,E497,_xlpm.f,F497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97" s="15" t="str">
        <f t="shared" si="65"/>
        <v>12% of projects → 8% of projects</v>
      </c>
      <c r="P497" s="34" t="str" cm="1">
        <f t="array" ref="P497">IFERROR(_xlfn.LET(_xlpm.g,G497,_xlpm.f,F497,_xlpm.h,H497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97" s="15" t="str" cm="1">
        <f t="array" ref="Q497">IFERROR(_xlfn.LET(_xlpm.e,E497,_xlpm.g,G497,_xlpm.h,H497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97" s="15" t="str">
        <f t="shared" si="66"/>
        <v>⚪ N/A</v>
      </c>
      <c r="S497" s="35" cm="1">
        <f t="array" ref="S497">IFERROR(_xlfn.LET(_xlpm.e,E497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97" s="36">
        <f t="shared" si="67"/>
        <v>0</v>
      </c>
      <c r="U497" s="15">
        <f t="shared" si="68"/>
        <v>554</v>
      </c>
      <c r="V497" s="16">
        <f t="shared" si="69"/>
        <v>0</v>
      </c>
      <c r="W497" s="16">
        <f t="shared" si="70"/>
        <v>0</v>
      </c>
      <c r="X497" s="37" t="str">
        <f t="shared" si="71"/>
        <v>-</v>
      </c>
      <c r="Y497" s="15" t="str">
        <f t="shared" si="72"/>
        <v>📉 Low</v>
      </c>
    </row>
    <row r="498" spans="1:25" x14ac:dyDescent="0.2">
      <c r="A498" t="str">
        <f>'5. KPI Baselines'!A483</f>
        <v>SitelogIQ</v>
      </c>
      <c r="B498" t="str">
        <f>'5. KPI Baselines'!B483</f>
        <v>Document Control</v>
      </c>
      <c r="C498" t="str">
        <f>'5. KPI Baselines'!C483</f>
        <v>Submittal Tracking</v>
      </c>
      <c r="D498" t="str">
        <f>'5. KPI Baselines'!D483</f>
        <v>Submittal Processing Time</v>
      </c>
      <c r="E498" t="str">
        <f>'5. KPI Baselines'!E483</f>
        <v>8.7 days</v>
      </c>
      <c r="F498" t="str">
        <f>'5. KPI Baselines'!F483</f>
        <v>4.5 days</v>
      </c>
      <c r="G498" t="str">
        <f>'5. KPI Baselines'!G483</f>
        <v>5.2 days</v>
      </c>
      <c r="H498" t="str">
        <f>'5. KPI Baselines'!H483</f>
        <v>↓</v>
      </c>
      <c r="I498" t="str">
        <f>'5. KPI Baselines'!I483</f>
        <v>12 months</v>
      </c>
      <c r="J498" t="str">
        <f>'5. KPI Baselines'!J483</f>
        <v>Average days from submission to approval or rejection</v>
      </c>
      <c r="K498" s="15" t="str">
        <f t="shared" si="64"/>
        <v>8.7 days → 4.5 days</v>
      </c>
      <c r="L498" s="34" cm="1">
        <f t="array" ref="L498">IFERROR(_xlfn.LET(_xlpm.e,E498,_xlpm.f,F498,_xlpm.h,H498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0.48275307180377236</v>
      </c>
      <c r="M498" s="15" cm="1">
        <f t="array" ref="M498">IFERROR(_xlfn.LET(_xlpm.e,E498,_xlpm.f,F498,_xlpm.h,H498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498" s="15" cm="1">
        <f t="array" ref="N498">IFERROR(_xlfn.LET(_xlpm.e,E498,_xlpm.f,F498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3.21</v>
      </c>
      <c r="O498" s="15" t="str">
        <f t="shared" si="65"/>
        <v>5.2 days → 4.5 days</v>
      </c>
      <c r="P498" s="34" cm="1">
        <f t="array" ref="P498">IFERROR(_xlfn.LET(_xlpm.g,G498,_xlpm.f,F498,_xlpm.h,H498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0.13461279590777103</v>
      </c>
      <c r="Q498" s="15" t="str" cm="1">
        <f t="array" ref="Q498">IFERROR(_xlfn.LET(_xlpm.e,E498,_xlpm.g,G498,_xlpm.h,H498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498" s="15" t="str">
        <f t="shared" si="66"/>
        <v>🔴 Lagging</v>
      </c>
      <c r="S498" s="35" cm="1">
        <f t="array" ref="S498">IFERROR(_xlfn.LET(_xlpm.e,E498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8.6999999999999993</v>
      </c>
      <c r="T498" s="36">
        <f t="shared" si="67"/>
        <v>48.275307180377233</v>
      </c>
      <c r="U498" s="15">
        <f t="shared" si="68"/>
        <v>249</v>
      </c>
      <c r="V498" s="16">
        <f t="shared" si="69"/>
        <v>586.36576016367621</v>
      </c>
      <c r="W498" s="16">
        <f t="shared" si="70"/>
        <v>1458.2048581080164</v>
      </c>
      <c r="X498" s="37">
        <f t="shared" si="71"/>
        <v>148</v>
      </c>
      <c r="Y498" s="15" t="str">
        <f t="shared" si="72"/>
        <v>⚠️ High</v>
      </c>
    </row>
    <row r="499" spans="1:25" x14ac:dyDescent="0.2">
      <c r="A499" t="str">
        <f>'5. KPI Baselines'!A484</f>
        <v>SitelogIQ</v>
      </c>
      <c r="B499" t="str">
        <f>'5. KPI Baselines'!B484</f>
        <v>Safety &amp; Compliance</v>
      </c>
      <c r="C499" t="str">
        <f>'5. KPI Baselines'!C484</f>
        <v>Inspection Administration</v>
      </c>
      <c r="D499" t="str">
        <f>'5. KPI Baselines'!D484</f>
        <v>Inspection Hours per Project</v>
      </c>
      <c r="E499" t="str">
        <f>'5. KPI Baselines'!E484</f>
        <v>18.4 hours monthly</v>
      </c>
      <c r="F499" t="str">
        <f>'5. KPI Baselines'!F484</f>
        <v>9.8 hours monthly</v>
      </c>
      <c r="G499" t="str">
        <f>'5. KPI Baselines'!G484</f>
        <v>11.2 hours monthly</v>
      </c>
      <c r="H499" t="str">
        <f>'5. KPI Baselines'!H484</f>
        <v>↓</v>
      </c>
      <c r="I499" t="str">
        <f>'5. KPI Baselines'!I484</f>
        <v>9 months</v>
      </c>
      <c r="J499" t="str">
        <f>'5. KPI Baselines'!J484</f>
        <v>Total safety manager hours on documentation divided by active project count</v>
      </c>
      <c r="K499" s="15" t="str">
        <f t="shared" si="64"/>
        <v>18.4 hours monthly → 9.8 hours monthly</v>
      </c>
      <c r="L499" s="34" t="str" cm="1">
        <f t="array" ref="L499">IFERROR(_xlfn.LET(_xlpm.e,E499,_xlpm.f,F499,_xlpm.h,H499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499" s="15" t="str" cm="1">
        <f t="array" ref="M499">IFERROR(_xlfn.LET(_xlpm.e,E499,_xlpm.f,F499,_xlpm.h,H499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499" s="15" t="str" cm="1">
        <f t="array" ref="N499">IFERROR(_xlfn.LET(_xlpm.e,E499,_xlpm.f,F499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499" s="15" t="str">
        <f t="shared" si="65"/>
        <v>11.2 hours monthly → 9.8 hours monthly</v>
      </c>
      <c r="P499" s="34" t="str" cm="1">
        <f t="array" ref="P499">IFERROR(_xlfn.LET(_xlpm.g,G499,_xlpm.f,F499,_xlpm.h,H499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499" s="15" t="str" cm="1">
        <f t="array" ref="Q499">IFERROR(_xlfn.LET(_xlpm.e,E499,_xlpm.g,G499,_xlpm.h,H499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499" s="15" t="str">
        <f t="shared" si="66"/>
        <v>⚪ N/A</v>
      </c>
      <c r="S499" s="35" cm="1">
        <f t="array" ref="S499">IFERROR(_xlfn.LET(_xlpm.e,E499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499" s="36">
        <f t="shared" si="67"/>
        <v>0</v>
      </c>
      <c r="U499" s="15">
        <f t="shared" si="68"/>
        <v>554</v>
      </c>
      <c r="V499" s="16">
        <f t="shared" si="69"/>
        <v>0</v>
      </c>
      <c r="W499" s="16">
        <f t="shared" si="70"/>
        <v>0</v>
      </c>
      <c r="X499" s="37" t="str">
        <f t="shared" si="71"/>
        <v>-</v>
      </c>
      <c r="Y499" s="15" t="str">
        <f t="shared" si="72"/>
        <v>📉 Low</v>
      </c>
    </row>
    <row r="500" spans="1:25" x14ac:dyDescent="0.2">
      <c r="A500" t="str">
        <f>'5. KPI Baselines'!A485</f>
        <v>SitelogIQ</v>
      </c>
      <c r="B500" t="str">
        <f>'5. KPI Baselines'!B485</f>
        <v>Safety &amp; Compliance</v>
      </c>
      <c r="C500" t="str">
        <f>'5. KPI Baselines'!C485</f>
        <v>Incident Investigation</v>
      </c>
      <c r="D500" t="str">
        <f>'5. KPI Baselines'!D485</f>
        <v>Incident Rate (TRIR)</v>
      </c>
      <c r="E500" t="str">
        <f>'5. KPI Baselines'!E485</f>
        <v>3.8 per 100 workers</v>
      </c>
      <c r="F500" t="str">
        <f>'5. KPI Baselines'!F485</f>
        <v>3.0 per 100 workers</v>
      </c>
      <c r="G500" t="str">
        <f>'5. KPI Baselines'!G485</f>
        <v>3.2 per 100 workers</v>
      </c>
      <c r="H500" t="str">
        <f>'5. KPI Baselines'!H485</f>
        <v>↓</v>
      </c>
      <c r="I500" t="str">
        <f>'5. KPI Baselines'!I485</f>
        <v>24 months</v>
      </c>
      <c r="J500" t="str">
        <f>'5. KPI Baselines'!J485</f>
        <v>OSHA recordable incidents per 100 full-time equivalent workers</v>
      </c>
      <c r="K500" s="15" t="str">
        <f t="shared" si="64"/>
        <v>3.8 per 100 workers → 3.0 per 100 workers</v>
      </c>
      <c r="L500" s="34" t="str" cm="1">
        <f t="array" ref="L500">IFERROR(_xlfn.LET(_xlpm.e,E500,_xlpm.f,F500,_xlpm.h,H500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00" s="15" t="str" cm="1">
        <f t="array" ref="M500">IFERROR(_xlfn.LET(_xlpm.e,E500,_xlpm.f,F500,_xlpm.h,H500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00" s="15" t="str" cm="1">
        <f t="array" ref="N500">IFERROR(_xlfn.LET(_xlpm.e,E500,_xlpm.f,F500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00" s="15" t="str">
        <f t="shared" si="65"/>
        <v>3.2 per 100 workers → 3.0 per 100 workers</v>
      </c>
      <c r="P500" s="34" t="str" cm="1">
        <f t="array" ref="P500">IFERROR(_xlfn.LET(_xlpm.g,G500,_xlpm.f,F500,_xlpm.h,H500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00" s="15" t="str" cm="1">
        <f t="array" ref="Q500">IFERROR(_xlfn.LET(_xlpm.e,E500,_xlpm.g,G500,_xlpm.h,H500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00" s="15" t="str">
        <f t="shared" si="66"/>
        <v>⚪ N/A</v>
      </c>
      <c r="S500" s="35" cm="1">
        <f t="array" ref="S500">IFERROR(_xlfn.LET(_xlpm.e,E500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00" s="36">
        <f t="shared" si="67"/>
        <v>0</v>
      </c>
      <c r="U500" s="15">
        <f t="shared" si="68"/>
        <v>554</v>
      </c>
      <c r="V500" s="16">
        <f t="shared" si="69"/>
        <v>0</v>
      </c>
      <c r="W500" s="16">
        <f t="shared" si="70"/>
        <v>0</v>
      </c>
      <c r="X500" s="37" t="str">
        <f t="shared" si="71"/>
        <v>-</v>
      </c>
      <c r="Y500" s="15" t="str">
        <f t="shared" si="72"/>
        <v>📉 Low</v>
      </c>
    </row>
    <row r="501" spans="1:25" x14ac:dyDescent="0.2">
      <c r="A501" t="str">
        <f>'5. KPI Baselines'!A486</f>
        <v>SitelogIQ</v>
      </c>
      <c r="B501" t="str">
        <f>'5. KPI Baselines'!B486</f>
        <v>Customer Success</v>
      </c>
      <c r="C501" t="str">
        <f>'5. KPI Baselines'!C486</f>
        <v>Onboarding</v>
      </c>
      <c r="D501" t="str">
        <f>'5. KPI Baselines'!D486</f>
        <v>Time to First Value</v>
      </c>
      <c r="E501" t="str">
        <f>'5. KPI Baselines'!E486</f>
        <v>47 days</v>
      </c>
      <c r="F501" t="str">
        <f>'5. KPI Baselines'!F486</f>
        <v>28 days</v>
      </c>
      <c r="G501" t="str">
        <f>'5. KPI Baselines'!G486</f>
        <v>32 days</v>
      </c>
      <c r="H501" t="str">
        <f>'5. KPI Baselines'!H486</f>
        <v>↓</v>
      </c>
      <c r="I501" t="str">
        <f>'5. KPI Baselines'!I486</f>
        <v>12 months</v>
      </c>
      <c r="J501" t="str">
        <f>'5. KPI Baselines'!J486</f>
        <v>Days from contract signature to first production project launch</v>
      </c>
      <c r="K501" s="15" t="str">
        <f t="shared" si="64"/>
        <v>47 days → 28 days</v>
      </c>
      <c r="L501" s="34" cm="1">
        <f t="array" ref="L501">IFERROR(_xlfn.LET(_xlpm.e,E501,_xlpm.f,F501,_xlpm.h,H501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0.40425445903306584</v>
      </c>
      <c r="M501" s="15" cm="1">
        <f t="array" ref="M501">IFERROR(_xlfn.LET(_xlpm.e,E501,_xlpm.f,F501,_xlpm.h,H501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30.9</v>
      </c>
      <c r="N501" s="15" cm="1">
        <f t="array" ref="N501">IFERROR(_xlfn.LET(_xlpm.e,E501,_xlpm.f,F501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501" s="15" t="str">
        <f t="shared" si="65"/>
        <v>32 days → 28 days</v>
      </c>
      <c r="P501" s="34" cm="1">
        <f t="array" ref="P501">IFERROR(_xlfn.LET(_xlpm.g,G501,_xlpm.f,F501,_xlpm.h,H501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0.12499960937622069</v>
      </c>
      <c r="Q501" s="15" t="str" cm="1">
        <f t="array" ref="Q501">IFERROR(_xlfn.LET(_xlpm.e,E501,_xlpm.g,G501,_xlpm.h,H501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1" s="15" t="str">
        <f t="shared" si="66"/>
        <v>🔴 Lagging</v>
      </c>
      <c r="S501" s="35" cm="1">
        <f t="array" ref="S501">IFERROR(_xlfn.LET(_xlpm.e,E501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501" s="36">
        <f t="shared" si="67"/>
        <v>40.425445903306581</v>
      </c>
      <c r="U501" s="15">
        <f t="shared" si="68"/>
        <v>311</v>
      </c>
      <c r="V501" s="16">
        <f t="shared" si="69"/>
        <v>2652.6318561024336</v>
      </c>
      <c r="W501" s="16">
        <f t="shared" si="70"/>
        <v>6596.7028126965151</v>
      </c>
      <c r="X501" s="37">
        <f t="shared" si="71"/>
        <v>33</v>
      </c>
      <c r="Y501" s="15" t="str">
        <f t="shared" si="72"/>
        <v>⚠️ High</v>
      </c>
    </row>
    <row r="502" spans="1:25" x14ac:dyDescent="0.2">
      <c r="A502" t="str">
        <f>'5. KPI Baselines'!A487</f>
        <v>SitelogIQ</v>
      </c>
      <c r="B502" t="str">
        <f>'5. KPI Baselines'!B487</f>
        <v>Customer Success</v>
      </c>
      <c r="C502" t="str">
        <f>'5. KPI Baselines'!C487</f>
        <v>Support Operations</v>
      </c>
      <c r="D502" t="str">
        <f>'5. KPI Baselines'!D487</f>
        <v>Tier 1 Resolution Rate</v>
      </c>
      <c r="E502" t="str">
        <f>'5. KPI Baselines'!E487</f>
        <v>58%</v>
      </c>
      <c r="F502" t="str">
        <f>'5. KPI Baselines'!F487</f>
        <v>78%</v>
      </c>
      <c r="G502" t="str">
        <f>'5. KPI Baselines'!G487</f>
        <v>72%</v>
      </c>
      <c r="H502" t="str">
        <f>'5. KPI Baselines'!H487</f>
        <v>↑</v>
      </c>
      <c r="I502" t="str">
        <f>'5. KPI Baselines'!I487</f>
        <v>9 months</v>
      </c>
      <c r="J502" t="str">
        <f>'5. KPI Baselines'!J487</f>
        <v>Support tickets resolved without escalation divided by total tickets</v>
      </c>
      <c r="K502" s="15" t="str">
        <f t="shared" si="64"/>
        <v>78% - 58%</v>
      </c>
      <c r="L502" s="34" cm="1">
        <f t="array" ref="L502">IFERROR(_xlfn.LET(_xlpm.e,E502,_xlpm.f,F502,_xlpm.h,H502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0.34482699167760056</v>
      </c>
      <c r="M502" s="15" cm="1">
        <f t="array" ref="M502">IFERROR(_xlfn.LET(_xlpm.e,E502,_xlpm.f,F502,_xlpm.h,H502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75</v>
      </c>
      <c r="N502" s="15" cm="1">
        <f t="array" ref="N502">IFERROR(_xlfn.LET(_xlpm.e,E502,_xlpm.f,F502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15.3</v>
      </c>
      <c r="O502" s="15" t="str">
        <f t="shared" si="65"/>
        <v>78% - 72%</v>
      </c>
      <c r="P502" s="34" cm="1">
        <f t="array" ref="P502">IFERROR(_xlfn.LET(_xlpm.g,G502,_xlpm.f,F502,_xlpm.h,H502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8.3333217592753334E-2</v>
      </c>
      <c r="Q502" s="15" t="str" cm="1">
        <f t="array" ref="Q502">IFERROR(_xlfn.LET(_xlpm.e,E502,_xlpm.g,G502,_xlpm.h,H502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2" s="15" t="str">
        <f t="shared" si="66"/>
        <v>🔴 Lagging</v>
      </c>
      <c r="S502" s="35" cm="1">
        <f t="array" ref="S502">IFERROR(_xlfn.LET(_xlpm.e,E502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502" s="36">
        <f t="shared" si="67"/>
        <v>34.482699167760053</v>
      </c>
      <c r="U502" s="15">
        <f t="shared" si="68"/>
        <v>358</v>
      </c>
      <c r="V502" s="16">
        <f t="shared" si="69"/>
        <v>2792.2451857841629</v>
      </c>
      <c r="W502" s="16">
        <f t="shared" si="70"/>
        <v>6943.9004995834612</v>
      </c>
      <c r="X502" s="37">
        <f t="shared" si="71"/>
        <v>31</v>
      </c>
      <c r="Y502" s="15" t="str">
        <f t="shared" si="72"/>
        <v>⚠️ High</v>
      </c>
    </row>
    <row r="503" spans="1:25" x14ac:dyDescent="0.2">
      <c r="A503" t="str">
        <f>'5. KPI Baselines'!A488</f>
        <v>SitelogIQ</v>
      </c>
      <c r="B503" t="str">
        <f>'5. KPI Baselines'!B488</f>
        <v>Sales &amp; Marketing</v>
      </c>
      <c r="C503" t="str">
        <f>'5. KPI Baselines'!C488</f>
        <v>Lead Qualification</v>
      </c>
      <c r="D503" t="str">
        <f>'5. KPI Baselines'!D488</f>
        <v>Lead to Opportunity Conversion</v>
      </c>
      <c r="E503" t="str">
        <f>'5. KPI Baselines'!E488</f>
        <v>12%</v>
      </c>
      <c r="F503" t="str">
        <f>'5. KPI Baselines'!F488</f>
        <v>22%</v>
      </c>
      <c r="G503" t="str">
        <f>'5. KPI Baselines'!G488</f>
        <v>18%</v>
      </c>
      <c r="H503" t="str">
        <f>'5. KPI Baselines'!H488</f>
        <v>↑</v>
      </c>
      <c r="I503" t="str">
        <f>'5. KPI Baselines'!I488</f>
        <v>12 months</v>
      </c>
      <c r="J503" t="str">
        <f>'5. KPI Baselines'!J488</f>
        <v>Marketing qualified leads converted to sales opportunities</v>
      </c>
      <c r="K503" s="15" t="str">
        <f t="shared" si="64"/>
        <v>22% - 12%</v>
      </c>
      <c r="L503" s="34" cm="1">
        <f t="array" ref="L503">IFERROR(_xlfn.LET(_xlpm.e,E503,_xlpm.f,F503,_xlpm.h,H503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0.83332638894675881</v>
      </c>
      <c r="M503" s="15" cm="1">
        <f t="array" ref="M503">IFERROR(_xlfn.LET(_xlpm.e,E503,_xlpm.f,F503,_xlpm.h,H503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20.5</v>
      </c>
      <c r="N503" s="15" cm="1">
        <f t="array" ref="N503">IFERROR(_xlfn.LET(_xlpm.e,E503,_xlpm.f,F503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03" s="15" t="str">
        <f t="shared" si="65"/>
        <v>22% - 18%</v>
      </c>
      <c r="P503" s="34" cm="1">
        <f t="array" ref="P503">IFERROR(_xlfn.LET(_xlpm.g,G503,_xlpm.f,F503,_xlpm.h,H503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0.22222098766117968</v>
      </c>
      <c r="Q503" s="15" t="str" cm="1">
        <f t="array" ref="Q503">IFERROR(_xlfn.LET(_xlpm.e,E503,_xlpm.g,G503,_xlpm.h,H503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3" s="15" t="str">
        <f t="shared" si="66"/>
        <v>🔴 Lagging</v>
      </c>
      <c r="S503" s="35" cm="1">
        <f t="array" ref="S503">IFERROR(_xlfn.LET(_xlpm.e,E503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03" s="36">
        <f t="shared" si="67"/>
        <v>83.332638894675881</v>
      </c>
      <c r="U503" s="15">
        <f t="shared" si="68"/>
        <v>31</v>
      </c>
      <c r="V503" s="16">
        <f t="shared" si="69"/>
        <v>1396.1133657219525</v>
      </c>
      <c r="W503" s="16">
        <f t="shared" si="70"/>
        <v>3471.927303185324</v>
      </c>
      <c r="X503" s="37">
        <f t="shared" si="71"/>
        <v>62</v>
      </c>
      <c r="Y503" s="15" t="str">
        <f t="shared" si="72"/>
        <v>🔥 Critical</v>
      </c>
    </row>
    <row r="504" spans="1:25" x14ac:dyDescent="0.2">
      <c r="A504" t="str">
        <f>'5. KPI Baselines'!A489</f>
        <v>SitelogIQ</v>
      </c>
      <c r="B504" t="str">
        <f>'5. KPI Baselines'!B489</f>
        <v>Finance</v>
      </c>
      <c r="C504" t="str">
        <f>'5. KPI Baselines'!C489</f>
        <v>Revenue Recognition</v>
      </c>
      <c r="D504" t="str">
        <f>'5. KPI Baselines'!D489</f>
        <v>Month-End Close Cycle</v>
      </c>
      <c r="E504" t="str">
        <f>'5. KPI Baselines'!E489</f>
        <v>8.5 days</v>
      </c>
      <c r="F504" t="str">
        <f>'5. KPI Baselines'!F489</f>
        <v>4.8 days</v>
      </c>
      <c r="G504" t="str">
        <f>'5. KPI Baselines'!G489</f>
        <v>5.2 days</v>
      </c>
      <c r="H504" t="str">
        <f>'5. KPI Baselines'!H489</f>
        <v>↓</v>
      </c>
      <c r="I504" t="str">
        <f>'5. KPI Baselines'!I489</f>
        <v>15 months</v>
      </c>
      <c r="J504" t="str">
        <f>'5. KPI Baselines'!J489</f>
        <v>Calendar days from period end to financial statement publication</v>
      </c>
      <c r="K504" s="15" t="str">
        <f t="shared" si="64"/>
        <v>8.5 days → 4.8 days</v>
      </c>
      <c r="L504" s="34" cm="1">
        <f t="array" ref="L504">IFERROR(_xlfn.LET(_xlpm.e,E504,_xlpm.f,F504,_xlpm.h,H504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0.43528899660004006</v>
      </c>
      <c r="M504" s="15" cm="1">
        <f t="array" ref="M504">IFERROR(_xlfn.LET(_xlpm.e,E504,_xlpm.f,F504,_xlpm.h,H504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5.4</v>
      </c>
      <c r="N504" s="15" cm="1">
        <f t="array" ref="N504">IFERROR(_xlfn.LET(_xlpm.e,E504,_xlpm.f,F504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2.83</v>
      </c>
      <c r="O504" s="15" t="str">
        <f t="shared" si="65"/>
        <v>5.2 days → 4.8 days</v>
      </c>
      <c r="P504" s="34" cm="1">
        <f t="array" ref="P504">IFERROR(_xlfn.LET(_xlpm.g,G504,_xlpm.f,F504,_xlpm.h,H504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7.6921597661583505E-2</v>
      </c>
      <c r="Q504" s="15" t="str" cm="1">
        <f t="array" ref="Q504">IFERROR(_xlfn.LET(_xlpm.e,E504,_xlpm.g,G504,_xlpm.h,H504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4" s="15" t="str">
        <f t="shared" si="66"/>
        <v>🔴 Lagging</v>
      </c>
      <c r="S504" s="35" cm="1">
        <f t="array" ref="S504">IFERROR(_xlfn.LET(_xlpm.e,E504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8.5</v>
      </c>
      <c r="T504" s="36">
        <f t="shared" si="67"/>
        <v>43.528899660004008</v>
      </c>
      <c r="U504" s="15">
        <f t="shared" si="68"/>
        <v>279</v>
      </c>
      <c r="V504" s="16">
        <f t="shared" si="69"/>
        <v>516.56017282149628</v>
      </c>
      <c r="W504" s="16">
        <f t="shared" si="70"/>
        <v>1284.608694244293</v>
      </c>
      <c r="X504" s="37">
        <f t="shared" si="71"/>
        <v>167</v>
      </c>
      <c r="Y504" s="15" t="str">
        <f t="shared" si="72"/>
        <v>⚠️ High</v>
      </c>
    </row>
    <row r="505" spans="1:25" x14ac:dyDescent="0.2">
      <c r="A505" t="str">
        <f>'5. KPI Baselines'!A490</f>
        <v>SitelogIQ</v>
      </c>
      <c r="B505" t="str">
        <f>'5. KPI Baselines'!B490</f>
        <v>Product Development</v>
      </c>
      <c r="C505" t="str">
        <f>'5. KPI Baselines'!C490</f>
        <v>Feature Delivery</v>
      </c>
      <c r="D505" t="str">
        <f>'5. KPI Baselines'!D490</f>
        <v>Requirements to Code Time</v>
      </c>
      <c r="E505" t="str">
        <f>'5. KPI Baselines'!E490</f>
        <v>23 days</v>
      </c>
      <c r="F505" t="str">
        <f>'5. KPI Baselines'!F490</f>
        <v>11 days</v>
      </c>
      <c r="G505" t="str">
        <f>'5. KPI Baselines'!G490</f>
        <v>14 days</v>
      </c>
      <c r="H505" t="str">
        <f>'5. KPI Baselines'!H490</f>
        <v>↓</v>
      </c>
      <c r="I505" t="str">
        <f>'5. KPI Baselines'!I490</f>
        <v>12 months</v>
      </c>
      <c r="J505" t="str">
        <f>'5. KPI Baselines'!J490</f>
        <v>Average days from finalized requirements to code review completion</v>
      </c>
      <c r="K505" s="15" t="str">
        <f t="shared" si="64"/>
        <v>23 days → 11 days</v>
      </c>
      <c r="L505" s="34" cm="1">
        <f t="array" ref="L505">IFERROR(_xlfn.LET(_xlpm.e,E505,_xlpm.f,F505,_xlpm.h,H505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0.52173686201364344</v>
      </c>
      <c r="M505" s="15" cm="1">
        <f t="array" ref="M505">IFERROR(_xlfn.LET(_xlpm.e,E505,_xlpm.f,F505,_xlpm.h,H505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12.8</v>
      </c>
      <c r="N505" s="15" cm="1">
        <f t="array" ref="N505">IFERROR(_xlfn.LET(_xlpm.e,E505,_xlpm.f,F505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505" s="15" t="str">
        <f t="shared" si="65"/>
        <v>14 days → 11 days</v>
      </c>
      <c r="P505" s="34" cm="1">
        <f t="array" ref="P505">IFERROR(_xlfn.LET(_xlpm.g,G505,_xlpm.f,F505,_xlpm.h,H505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0.21428418368440225</v>
      </c>
      <c r="Q505" s="15" t="str" cm="1">
        <f t="array" ref="Q505">IFERROR(_xlfn.LET(_xlpm.e,E505,_xlpm.g,G505,_xlpm.h,H505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5" s="15" t="str">
        <f t="shared" si="66"/>
        <v>🔴 Lagging</v>
      </c>
      <c r="S505" s="35" cm="1">
        <f t="array" ref="S505">IFERROR(_xlfn.LET(_xlpm.e,E505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505" s="36">
        <f t="shared" si="67"/>
        <v>52.173686201364347</v>
      </c>
      <c r="U505" s="15">
        <f t="shared" si="68"/>
        <v>211</v>
      </c>
      <c r="V505" s="16">
        <f t="shared" si="69"/>
        <v>1675.3427159012349</v>
      </c>
      <c r="W505" s="16">
        <f t="shared" si="70"/>
        <v>4166.329368619904</v>
      </c>
      <c r="X505" s="37">
        <f t="shared" si="71"/>
        <v>52</v>
      </c>
      <c r="Y505" s="15" t="str">
        <f t="shared" si="72"/>
        <v>🔥 Critical</v>
      </c>
    </row>
    <row r="506" spans="1:25" x14ac:dyDescent="0.2">
      <c r="A506" t="str">
        <f>'5. KPI Baselines'!A491</f>
        <v>SitelogIQ</v>
      </c>
      <c r="B506" t="str">
        <f>'5. KPI Baselines'!B491</f>
        <v>Legal &amp; Compliance</v>
      </c>
      <c r="C506" t="str">
        <f>'5. KPI Baselines'!C491</f>
        <v>Contract Review</v>
      </c>
      <c r="D506" t="str">
        <f>'5. KPI Baselines'!D491</f>
        <v>Contract Turnaround Time</v>
      </c>
      <c r="E506" t="str">
        <f>'5. KPI Baselines'!E491</f>
        <v>5.8 days</v>
      </c>
      <c r="F506" t="str">
        <f>'5. KPI Baselines'!F491</f>
        <v>2.5 days</v>
      </c>
      <c r="G506" t="str">
        <f>'5. KPI Baselines'!G491</f>
        <v>3.2 days</v>
      </c>
      <c r="H506" t="str">
        <f>'5. KPI Baselines'!H491</f>
        <v>↓</v>
      </c>
      <c r="I506" t="str">
        <f>'5. KPI Baselines'!I491</f>
        <v>9 months</v>
      </c>
      <c r="J506" t="str">
        <f>'5. KPI Baselines'!J491</f>
        <v>Days from sales submission to legal approval or redline return</v>
      </c>
      <c r="K506" s="15" t="str">
        <f t="shared" si="64"/>
        <v>5.8 days → 2.5 days</v>
      </c>
      <c r="L506" s="34" cm="1">
        <f t="array" ref="L506">IFERROR(_xlfn.LET(_xlpm.e,E506,_xlpm.f,F506,_xlpm.h,H506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0.56895570766021275</v>
      </c>
      <c r="M506" s="15" cm="1">
        <f t="array" ref="M506">IFERROR(_xlfn.LET(_xlpm.e,E506,_xlpm.f,F506,_xlpm.h,H506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</v>
      </c>
      <c r="N506" s="15" cm="1">
        <f t="array" ref="N506">IFERROR(_xlfn.LET(_xlpm.e,E506,_xlpm.f,F506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2.52</v>
      </c>
      <c r="O506" s="15" t="str">
        <f t="shared" si="65"/>
        <v>3.2 days → 2.5 days</v>
      </c>
      <c r="P506" s="34" cm="1">
        <f t="array" ref="P506">IFERROR(_xlfn.LET(_xlpm.g,G506,_xlpm.f,F506,_xlpm.h,H506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0.2187431642761164</v>
      </c>
      <c r="Q506" s="15" t="str" cm="1">
        <f t="array" ref="Q506">IFERROR(_xlfn.LET(_xlpm.e,E506,_xlpm.g,G506,_xlpm.h,H506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6" s="15" t="str">
        <f t="shared" si="66"/>
        <v>🔴 Lagging</v>
      </c>
      <c r="S506" s="35" cm="1">
        <f t="array" ref="S506">IFERROR(_xlfn.LET(_xlpm.e,E506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5.8</v>
      </c>
      <c r="T506" s="36">
        <f t="shared" si="67"/>
        <v>56.895570766021272</v>
      </c>
      <c r="U506" s="15">
        <f t="shared" si="68"/>
        <v>179</v>
      </c>
      <c r="V506" s="16">
        <f t="shared" si="69"/>
        <v>460.71330666712646</v>
      </c>
      <c r="W506" s="16">
        <f t="shared" si="70"/>
        <v>1145.725803958069</v>
      </c>
      <c r="X506" s="37">
        <f t="shared" si="71"/>
        <v>187</v>
      </c>
      <c r="Y506" s="15" t="str">
        <f t="shared" si="72"/>
        <v>🔥 Critical</v>
      </c>
    </row>
    <row r="507" spans="1:25" x14ac:dyDescent="0.2">
      <c r="A507" t="str">
        <f>'5. KPI Baselines'!A492</f>
        <v>Spectrum Control</v>
      </c>
      <c r="B507" t="str">
        <f>'5. KPI Baselines'!B492</f>
        <v>Engineering</v>
      </c>
      <c r="C507" t="str">
        <f>'5. KPI Baselines'!C492</f>
        <v>Product Development</v>
      </c>
      <c r="D507" t="str">
        <f>'5. KPI Baselines'!D492</f>
        <v>Design Change Cycle Time</v>
      </c>
      <c r="E507" t="str">
        <f>'5. KPI Baselines'!E492</f>
        <v>42 days</v>
      </c>
      <c r="F507" t="str">
        <f>'5. KPI Baselines'!F492</f>
        <v>20 days</v>
      </c>
      <c r="G507" t="str">
        <f>'5. KPI Baselines'!G492</f>
        <v>18 days</v>
      </c>
      <c r="H507" t="str">
        <f>'5. KPI Baselines'!H492</f>
        <v>↓</v>
      </c>
      <c r="I507" t="str">
        <f>'5. KPI Baselines'!I492</f>
        <v>12 months</v>
      </c>
      <c r="J507" t="str">
        <f>'5. KPI Baselines'!J492</f>
        <v>Average days from change request submission to approved documentation release</v>
      </c>
      <c r="K507" s="15" t="str">
        <f t="shared" si="64"/>
        <v>42 days → 20 days</v>
      </c>
      <c r="L507" s="34" cm="1">
        <f t="array" ref="L507">IFERROR(_xlfn.LET(_xlpm.e,E507,_xlpm.f,F507,_xlpm.h,H507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0.52380827664696028</v>
      </c>
      <c r="M507" s="15" cm="1">
        <f t="array" ref="M507">IFERROR(_xlfn.LET(_xlpm.e,E507,_xlpm.f,F507,_xlpm.h,H507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23.3</v>
      </c>
      <c r="N507" s="15" cm="1">
        <f t="array" ref="N507">IFERROR(_xlfn.LET(_xlpm.e,E507,_xlpm.f,F507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16.829999999999998</v>
      </c>
      <c r="O507" s="15" t="str">
        <f t="shared" si="65"/>
        <v>18 days → 20 days</v>
      </c>
      <c r="P507" s="34" cm="1">
        <f t="array" ref="P507">IFERROR(_xlfn.LET(_xlpm.g,G507,_xlpm.f,F507,_xlpm.h,H507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-0.11111049383058984</v>
      </c>
      <c r="Q507" s="15" t="str" cm="1">
        <f t="array" ref="Q507">IFERROR(_xlfn.LET(_xlpm.e,E507,_xlpm.g,G507,_xlpm.h,H507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7" s="15" t="str">
        <f t="shared" si="66"/>
        <v>🔴 Lagging</v>
      </c>
      <c r="S507" s="35" cm="1">
        <f t="array" ref="S507">IFERROR(_xlfn.LET(_xlpm.e,E507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507" s="36">
        <f t="shared" si="67"/>
        <v>52.380827664696028</v>
      </c>
      <c r="U507" s="15">
        <f t="shared" si="68"/>
        <v>210</v>
      </c>
      <c r="V507" s="16">
        <f t="shared" si="69"/>
        <v>3071.4676869816972</v>
      </c>
      <c r="W507" s="16">
        <f t="shared" si="70"/>
        <v>7638.2855326141453</v>
      </c>
      <c r="X507" s="37">
        <f t="shared" si="71"/>
        <v>28</v>
      </c>
      <c r="Y507" s="15" t="str">
        <f t="shared" si="72"/>
        <v>🔥 Critical</v>
      </c>
    </row>
    <row r="508" spans="1:25" x14ac:dyDescent="0.2">
      <c r="A508" t="str">
        <f>'5. KPI Baselines'!A493</f>
        <v>Spectrum Control</v>
      </c>
      <c r="B508" t="str">
        <f>'5. KPI Baselines'!B493</f>
        <v>Engineering</v>
      </c>
      <c r="C508" t="str">
        <f>'5. KPI Baselines'!C493</f>
        <v>Technical Documentation</v>
      </c>
      <c r="D508" t="str">
        <f>'5. KPI Baselines'!D493</f>
        <v>Documentation Hours per Design</v>
      </c>
      <c r="E508" t="str">
        <f>'5. KPI Baselines'!E493</f>
        <v>185 hours</v>
      </c>
      <c r="F508" t="str">
        <f>'5. KPI Baselines'!F493</f>
        <v>110 hours</v>
      </c>
      <c r="G508" t="str">
        <f>'5. KPI Baselines'!G493</f>
        <v>95 hours</v>
      </c>
      <c r="H508" t="str">
        <f>'5. KPI Baselines'!H493</f>
        <v>↓</v>
      </c>
      <c r="I508" t="str">
        <f>'5. KPI Baselines'!I493</f>
        <v>18 months</v>
      </c>
      <c r="J508" t="str">
        <f>'5. KPI Baselines'!J493</f>
        <v>Engineering hours spent on specifications, test reports, and compliance documentation per new design</v>
      </c>
      <c r="K508" s="15" t="str">
        <f t="shared" si="64"/>
        <v>185 hours → 110 hours</v>
      </c>
      <c r="L508" s="34" cm="1">
        <f t="array" ref="L508">IFERROR(_xlfn.LET(_xlpm.e,E508,_xlpm.f,F508,_xlpm.h,H508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0.40540518626746685</v>
      </c>
      <c r="M508" s="15" cm="1">
        <f t="array" ref="M508">IFERROR(_xlfn.LET(_xlpm.e,E508,_xlpm.f,F508,_xlpm.h,H508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121.3</v>
      </c>
      <c r="N508" s="15" cm="1">
        <f t="array" ref="N508">IFERROR(_xlfn.LET(_xlpm.e,E508,_xlpm.f,F508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57.38</v>
      </c>
      <c r="O508" s="15" t="str">
        <f t="shared" si="65"/>
        <v>95 hours → 110 hours</v>
      </c>
      <c r="P508" s="34" cm="1">
        <f t="array" ref="P508">IFERROR(_xlfn.LET(_xlpm.g,G508,_xlpm.f,F508,_xlpm.h,H508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-0.15789457063729406</v>
      </c>
      <c r="Q508" s="15" t="str" cm="1">
        <f t="array" ref="Q508">IFERROR(_xlfn.LET(_xlpm.e,E508,_xlpm.g,G508,_xlpm.h,H508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8" s="15" t="str">
        <f t="shared" si="66"/>
        <v>🔴 Lagging</v>
      </c>
      <c r="S508" s="35" cm="1">
        <f t="array" ref="S508">IFERROR(_xlfn.LET(_xlpm.e,E508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185</v>
      </c>
      <c r="T508" s="36">
        <f t="shared" si="67"/>
        <v>40.540518626746689</v>
      </c>
      <c r="U508" s="15">
        <f t="shared" si="68"/>
        <v>307</v>
      </c>
      <c r="V508" s="16">
        <f t="shared" si="69"/>
        <v>10470.931840036843</v>
      </c>
      <c r="W508" s="16">
        <f t="shared" si="70"/>
        <v>26039.657693855734</v>
      </c>
      <c r="X508" s="37">
        <f t="shared" si="71"/>
        <v>8</v>
      </c>
      <c r="Y508" s="15" t="str">
        <f t="shared" si="72"/>
        <v>⚠️ High</v>
      </c>
    </row>
    <row r="509" spans="1:25" x14ac:dyDescent="0.2">
      <c r="A509" t="str">
        <f>'5. KPI Baselines'!A494</f>
        <v>Spectrum Control</v>
      </c>
      <c r="B509" t="str">
        <f>'5. KPI Baselines'!B494</f>
        <v>Quality</v>
      </c>
      <c r="C509" t="str">
        <f>'5. KPI Baselines'!C494</f>
        <v>Non-Conformance Management</v>
      </c>
      <c r="D509" t="str">
        <f>'5. KPI Baselines'!D494</f>
        <v>Root Cause Analysis Cycle Time</v>
      </c>
      <c r="E509" t="str">
        <f>'5. KPI Baselines'!E494</f>
        <v>18 days</v>
      </c>
      <c r="F509" t="str">
        <f>'5. KPI Baselines'!F494</f>
        <v>8 days</v>
      </c>
      <c r="G509" t="str">
        <f>'5. KPI Baselines'!G494</f>
        <v>7 days</v>
      </c>
      <c r="H509" t="str">
        <f>'5. KPI Baselines'!H494</f>
        <v>↓</v>
      </c>
      <c r="I509" t="str">
        <f>'5. KPI Baselines'!I494</f>
        <v>9 months</v>
      </c>
      <c r="J509" t="str">
        <f>'5. KPI Baselines'!J494</f>
        <v>Days from non-conformance detection to completed root cause analysis and CAPA implementation</v>
      </c>
      <c r="K509" s="15" t="str">
        <f t="shared" si="64"/>
        <v>18 days → 8 days</v>
      </c>
      <c r="L509" s="34" cm="1">
        <f t="array" ref="L509">IFERROR(_xlfn.LET(_xlpm.e,E509,_xlpm.f,F509,_xlpm.h,H509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509" s="15" cm="1">
        <f t="array" ref="M509">IFERROR(_xlfn.LET(_xlpm.e,E509,_xlpm.f,F509,_xlpm.h,H509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9.5</v>
      </c>
      <c r="N509" s="15" cm="1">
        <f t="array" ref="N509">IFERROR(_xlfn.LET(_xlpm.e,E509,_xlpm.f,F509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09" s="15" t="str">
        <f t="shared" si="65"/>
        <v>7 days → 8 days</v>
      </c>
      <c r="P509" s="34" cm="1">
        <f t="array" ref="P509">IFERROR(_xlfn.LET(_xlpm.g,G509,_xlpm.f,F509,_xlpm.h,H509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-0.14285510206997043</v>
      </c>
      <c r="Q509" s="15" t="str" cm="1">
        <f t="array" ref="Q509">IFERROR(_xlfn.LET(_xlpm.e,E509,_xlpm.g,G509,_xlpm.h,H509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09" s="15" t="str">
        <f t="shared" si="66"/>
        <v>🔴 Lagging</v>
      </c>
      <c r="S509" s="35" cm="1">
        <f t="array" ref="S509">IFERROR(_xlfn.LET(_xlpm.e,E509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09" s="36">
        <f t="shared" si="67"/>
        <v>55.555246915294923</v>
      </c>
      <c r="U509" s="15">
        <f t="shared" si="68"/>
        <v>188</v>
      </c>
      <c r="V509" s="16">
        <f t="shared" si="69"/>
        <v>1396.11724379309</v>
      </c>
      <c r="W509" s="16">
        <f t="shared" si="70"/>
        <v>3471.936947374254</v>
      </c>
      <c r="X509" s="37">
        <f t="shared" si="71"/>
        <v>62</v>
      </c>
      <c r="Y509" s="15" t="str">
        <f t="shared" si="72"/>
        <v>🔥 Critical</v>
      </c>
    </row>
    <row r="510" spans="1:25" x14ac:dyDescent="0.2">
      <c r="A510" t="str">
        <f>'5. KPI Baselines'!A495</f>
        <v>Spectrum Control</v>
      </c>
      <c r="B510" t="str">
        <f>'5. KPI Baselines'!B495</f>
        <v>Quality</v>
      </c>
      <c r="C510" t="str">
        <f>'5. KPI Baselines'!C495</f>
        <v>Process Control</v>
      </c>
      <c r="D510" t="str">
        <f>'5. KPI Baselines'!D495</f>
        <v>First Pass Yield</v>
      </c>
      <c r="E510" t="str">
        <f>'5. KPI Baselines'!E495</f>
        <v>97.2%</v>
      </c>
      <c r="F510" t="str">
        <f>'5. KPI Baselines'!F495</f>
        <v>98.5%</v>
      </c>
      <c r="G510" t="str">
        <f>'5. KPI Baselines'!G495</f>
        <v>98.8%</v>
      </c>
      <c r="H510" t="str">
        <f>'5. KPI Baselines'!H495</f>
        <v>↑</v>
      </c>
      <c r="I510" t="str">
        <f>'5. KPI Baselines'!I495</f>
        <v>12 months</v>
      </c>
      <c r="J510" t="str">
        <f>'5. KPI Baselines'!J495</f>
        <v>Percentage of units passing all quality checks on first inspection</v>
      </c>
      <c r="K510" s="15" t="str">
        <f t="shared" si="64"/>
        <v>98.5% - 97.2%</v>
      </c>
      <c r="L510" s="34" cm="1">
        <f t="array" ref="L510">IFERROR(_xlfn.LET(_xlpm.e,E510,_xlpm.f,F510,_xlpm.h,H510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1.33744718369631E-2</v>
      </c>
      <c r="M510" s="15" cm="1">
        <f t="array" ref="M510">IFERROR(_xlfn.LET(_xlpm.e,E510,_xlpm.f,F510,_xlpm.h,H510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98.3</v>
      </c>
      <c r="N510" s="15" cm="1">
        <f t="array" ref="N510">IFERROR(_xlfn.LET(_xlpm.e,E510,_xlpm.f,F510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0.99</v>
      </c>
      <c r="O510" s="15" t="str">
        <f t="shared" si="65"/>
        <v>98.5% - 98.8%</v>
      </c>
      <c r="P510" s="34" cm="1">
        <f t="array" ref="P510">IFERROR(_xlfn.LET(_xlpm.g,G510,_xlpm.f,F510,_xlpm.h,H510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-3.0364341736495932E-3</v>
      </c>
      <c r="Q510" s="15" t="str" cm="1">
        <f t="array" ref="Q510">IFERROR(_xlfn.LET(_xlpm.e,E510,_xlpm.g,G510,_xlpm.h,H510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0" s="15" t="str">
        <f t="shared" si="66"/>
        <v>🔴 Lagging</v>
      </c>
      <c r="S510" s="35" cm="1">
        <f t="array" ref="S510">IFERROR(_xlfn.LET(_xlpm.e,E510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97.2</v>
      </c>
      <c r="T510" s="36">
        <f t="shared" si="67"/>
        <v>1.33744718369631</v>
      </c>
      <c r="U510" s="15">
        <f t="shared" si="68"/>
        <v>553</v>
      </c>
      <c r="V510" s="16">
        <f t="shared" si="69"/>
        <v>181.49606327565462</v>
      </c>
      <c r="W510" s="16">
        <f t="shared" si="70"/>
        <v>451.35384631286047</v>
      </c>
      <c r="X510" s="37">
        <f t="shared" si="71"/>
        <v>464</v>
      </c>
      <c r="Y510" s="15" t="str">
        <f t="shared" si="72"/>
        <v>📉 Low</v>
      </c>
    </row>
    <row r="511" spans="1:25" x14ac:dyDescent="0.2">
      <c r="A511" t="str">
        <f>'5. KPI Baselines'!A496</f>
        <v>Spectrum Control</v>
      </c>
      <c r="B511" t="str">
        <f>'5. KPI Baselines'!B496</f>
        <v>Sales</v>
      </c>
      <c r="C511" t="str">
        <f>'5. KPI Baselines'!C496</f>
        <v>Proposal Management</v>
      </c>
      <c r="D511" t="str">
        <f>'5. KPI Baselines'!D496</f>
        <v>RFQ Response Time</v>
      </c>
      <c r="E511" t="str">
        <f>'5. KPI Baselines'!E496</f>
        <v>45 days</v>
      </c>
      <c r="F511" t="str">
        <f>'5. KPI Baselines'!F496</f>
        <v>18 days</v>
      </c>
      <c r="G511" t="str">
        <f>'5. KPI Baselines'!G496</f>
        <v>21 days</v>
      </c>
      <c r="H511" t="str">
        <f>'5. KPI Baselines'!H496</f>
        <v>↓</v>
      </c>
      <c r="I511" t="str">
        <f>'5. KPI Baselines'!I496</f>
        <v>6 months</v>
      </c>
      <c r="J511" t="str">
        <f>'5. KPI Baselines'!J496</f>
        <v>Average days from RFQ receipt to proposal submission</v>
      </c>
      <c r="K511" s="15" t="str">
        <f t="shared" si="64"/>
        <v>45 days → 18 days</v>
      </c>
      <c r="L511" s="34" cm="1">
        <f t="array" ref="L511">IFERROR(_xlfn.LET(_xlpm.e,E511,_xlpm.f,F511,_xlpm.h,H511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0.59999866666962953</v>
      </c>
      <c r="M511" s="15" cm="1">
        <f t="array" ref="M511">IFERROR(_xlfn.LET(_xlpm.e,E511,_xlpm.f,F511,_xlpm.h,H511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22.1</v>
      </c>
      <c r="N511" s="15" cm="1">
        <f t="array" ref="N511">IFERROR(_xlfn.LET(_xlpm.e,E511,_xlpm.f,F511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20.66</v>
      </c>
      <c r="O511" s="15" t="str">
        <f t="shared" si="65"/>
        <v>21 days → 18 days</v>
      </c>
      <c r="P511" s="34" cm="1">
        <f t="array" ref="P511">IFERROR(_xlfn.LET(_xlpm.g,G511,_xlpm.f,F511,_xlpm.h,H511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0.14285646258827339</v>
      </c>
      <c r="Q511" s="15" t="str" cm="1">
        <f t="array" ref="Q511">IFERROR(_xlfn.LET(_xlpm.e,E511,_xlpm.g,G511,_xlpm.h,H511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1" s="15" t="str">
        <f t="shared" si="66"/>
        <v>🔴 Lagging</v>
      </c>
      <c r="S511" s="35" cm="1">
        <f t="array" ref="S511">IFERROR(_xlfn.LET(_xlpm.e,E511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511" s="36">
        <f t="shared" si="67"/>
        <v>59.999866666962951</v>
      </c>
      <c r="U511" s="15">
        <f t="shared" si="68"/>
        <v>154</v>
      </c>
      <c r="V511" s="16">
        <f t="shared" si="69"/>
        <v>3769.5291232686141</v>
      </c>
      <c r="W511" s="16">
        <f t="shared" si="70"/>
        <v>9374.2610052735708</v>
      </c>
      <c r="X511" s="37">
        <f t="shared" si="71"/>
        <v>23</v>
      </c>
      <c r="Y511" s="15" t="str">
        <f t="shared" si="72"/>
        <v>🔥 Critical</v>
      </c>
    </row>
    <row r="512" spans="1:25" x14ac:dyDescent="0.2">
      <c r="A512" t="str">
        <f>'5. KPI Baselines'!A497</f>
        <v>Spectrum Control</v>
      </c>
      <c r="B512" t="str">
        <f>'5. KPI Baselines'!B497</f>
        <v>Sales</v>
      </c>
      <c r="C512" t="str">
        <f>'5. KPI Baselines'!C497</f>
        <v>New Business Development</v>
      </c>
      <c r="D512" t="str">
        <f>'5. KPI Baselines'!D497</f>
        <v>Win Rate on New Programs</v>
      </c>
      <c r="E512" t="str">
        <f>'5. KPI Baselines'!E497</f>
        <v>23%</v>
      </c>
      <c r="F512" t="str">
        <f>'5. KPI Baselines'!F497</f>
        <v>35%</v>
      </c>
      <c r="G512" t="str">
        <f>'5. KPI Baselines'!G497</f>
        <v>32%</v>
      </c>
      <c r="H512" t="str">
        <f>'5. KPI Baselines'!H497</f>
        <v>↑</v>
      </c>
      <c r="I512" t="str">
        <f>'5. KPI Baselines'!I497</f>
        <v>24 months</v>
      </c>
      <c r="J512" t="str">
        <f>'5. KPI Baselines'!J497</f>
        <v>Percentage of submitted proposals resulting in contract awards for new programs</v>
      </c>
      <c r="K512" s="15" t="str">
        <f t="shared" si="64"/>
        <v>35% - 23%</v>
      </c>
      <c r="L512" s="34" cm="1">
        <f t="array" ref="L512">IFERROR(_xlfn.LET(_xlpm.e,E512,_xlpm.f,F512,_xlpm.h,H512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0.52173686201364344</v>
      </c>
      <c r="M512" s="15" cm="1">
        <f t="array" ref="M512">IFERROR(_xlfn.LET(_xlpm.e,E512,_xlpm.f,F512,_xlpm.h,H512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33.200000000000003</v>
      </c>
      <c r="N512" s="15" cm="1">
        <f t="array" ref="N512">IFERROR(_xlfn.LET(_xlpm.e,E512,_xlpm.f,F512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512" s="15" t="str">
        <f t="shared" si="65"/>
        <v>35% - 32%</v>
      </c>
      <c r="P512" s="34" cm="1">
        <f t="array" ref="P512">IFERROR(_xlfn.LET(_xlpm.g,G512,_xlpm.f,F512,_xlpm.h,H512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9.3749707032165508E-2</v>
      </c>
      <c r="Q512" s="15" t="str" cm="1">
        <f t="array" ref="Q512">IFERROR(_xlfn.LET(_xlpm.e,E512,_xlpm.g,G512,_xlpm.h,H512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2" s="15" t="str">
        <f t="shared" si="66"/>
        <v>🔴 Lagging</v>
      </c>
      <c r="S512" s="35" cm="1">
        <f t="array" ref="S512">IFERROR(_xlfn.LET(_xlpm.e,E512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512" s="36">
        <f t="shared" si="67"/>
        <v>52.173686201364347</v>
      </c>
      <c r="U512" s="15">
        <f t="shared" si="68"/>
        <v>211</v>
      </c>
      <c r="V512" s="16">
        <f t="shared" si="69"/>
        <v>1675.3427159012349</v>
      </c>
      <c r="W512" s="16">
        <f t="shared" si="70"/>
        <v>4166.329368619904</v>
      </c>
      <c r="X512" s="37">
        <f t="shared" si="71"/>
        <v>52</v>
      </c>
      <c r="Y512" s="15" t="str">
        <f t="shared" si="72"/>
        <v>🔥 Critical</v>
      </c>
    </row>
    <row r="513" spans="1:25" x14ac:dyDescent="0.2">
      <c r="A513" t="str">
        <f>'5. KPI Baselines'!A498</f>
        <v>Spectrum Control</v>
      </c>
      <c r="B513" t="str">
        <f>'5. KPI Baselines'!B498</f>
        <v>Supply Chain</v>
      </c>
      <c r="C513" t="str">
        <f>'5. KPI Baselines'!C498</f>
        <v>Supplier Management</v>
      </c>
      <c r="D513" t="str">
        <f>'5. KPI Baselines'!D498</f>
        <v>Supplier Onboarding Time</v>
      </c>
      <c r="E513" t="str">
        <f>'5. KPI Baselines'!E498</f>
        <v>120 days</v>
      </c>
      <c r="F513" t="str">
        <f>'5. KPI Baselines'!F498</f>
        <v>45 days</v>
      </c>
      <c r="G513" t="str">
        <f>'5. KPI Baselines'!G498</f>
        <v>60 days</v>
      </c>
      <c r="H513" t="str">
        <f>'5. KPI Baselines'!H498</f>
        <v>↓</v>
      </c>
      <c r="I513" t="str">
        <f>'5. KPI Baselines'!I498</f>
        <v>12 months</v>
      </c>
      <c r="J513" t="str">
        <f>'5. KPI Baselines'!J498</f>
        <v>Days from initial supplier contact to approved vendor status with completed qualification</v>
      </c>
      <c r="K513" s="15" t="str">
        <f t="shared" si="64"/>
        <v>120 days → 45 days</v>
      </c>
      <c r="L513" s="34" cm="1">
        <f t="array" ref="L513">IFERROR(_xlfn.LET(_xlpm.e,E513,_xlpm.f,F513,_xlpm.h,H513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0.62499947916710064</v>
      </c>
      <c r="M513" s="15" cm="1">
        <f t="array" ref="M513">IFERROR(_xlfn.LET(_xlpm.e,E513,_xlpm.f,F513,_xlpm.h,H513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56.3</v>
      </c>
      <c r="N513" s="15" cm="1">
        <f t="array" ref="N513">IFERROR(_xlfn.LET(_xlpm.e,E513,_xlpm.f,F513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57.38</v>
      </c>
      <c r="O513" s="15" t="str">
        <f t="shared" si="65"/>
        <v>60 days → 45 days</v>
      </c>
      <c r="P513" s="34" cm="1">
        <f t="array" ref="P513">IFERROR(_xlfn.LET(_xlpm.g,G513,_xlpm.f,F513,_xlpm.h,H513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0.24999958333402778</v>
      </c>
      <c r="Q513" s="15" t="str" cm="1">
        <f t="array" ref="Q513">IFERROR(_xlfn.LET(_xlpm.e,E513,_xlpm.g,G513,_xlpm.h,H513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3" s="15" t="str">
        <f t="shared" si="66"/>
        <v>🔴 Lagging</v>
      </c>
      <c r="S513" s="35" cm="1">
        <f t="array" ref="S513">IFERROR(_xlfn.LET(_xlpm.e,E513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120</v>
      </c>
      <c r="T513" s="36">
        <f t="shared" si="67"/>
        <v>62.499947916710063</v>
      </c>
      <c r="U513" s="15">
        <f t="shared" si="68"/>
        <v>129</v>
      </c>
      <c r="V513" s="16">
        <f t="shared" si="69"/>
        <v>10470.92877422602</v>
      </c>
      <c r="W513" s="16">
        <f t="shared" si="70"/>
        <v>26039.650069637984</v>
      </c>
      <c r="X513" s="37">
        <f t="shared" si="71"/>
        <v>8</v>
      </c>
      <c r="Y513" s="15" t="str">
        <f t="shared" si="72"/>
        <v>🔥 Critical</v>
      </c>
    </row>
    <row r="514" spans="1:25" x14ac:dyDescent="0.2">
      <c r="A514" t="str">
        <f>'5. KPI Baselines'!A499</f>
        <v>Spectrum Control</v>
      </c>
      <c r="B514" t="str">
        <f>'5. KPI Baselines'!B499</f>
        <v>Supply Chain</v>
      </c>
      <c r="C514" t="str">
        <f>'5. KPI Baselines'!C499</f>
        <v>Materials Management</v>
      </c>
      <c r="D514" t="str">
        <f>'5. KPI Baselines'!D499</f>
        <v>Materials Traceability Documentation Hours</v>
      </c>
      <c r="E514" t="str">
        <f>'5. KPI Baselines'!E499</f>
        <v>8,200 hours/year</v>
      </c>
      <c r="F514" t="str">
        <f>'5. KPI Baselines'!F499</f>
        <v>4,000 hours/year</v>
      </c>
      <c r="G514" t="str">
        <f>'5. KPI Baselines'!G499</f>
        <v>3,500 hours/year</v>
      </c>
      <c r="H514" t="str">
        <f>'5. KPI Baselines'!H499</f>
        <v>↓</v>
      </c>
      <c r="I514" t="str">
        <f>'5. KPI Baselines'!I499</f>
        <v>15 months</v>
      </c>
      <c r="J514" t="str">
        <f>'5. KPI Baselines'!J499</f>
        <v>Annual hours spent on lot traceability documentation and certification management</v>
      </c>
      <c r="K514" s="15" t="str">
        <f t="shared" si="64"/>
        <v>8,200 hours/year → 4,000 hours/year</v>
      </c>
      <c r="L514" s="34" t="str" cm="1">
        <f t="array" ref="L514">IFERROR(_xlfn.LET(_xlpm.e,E514,_xlpm.f,F514,_xlpm.h,H514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14" s="15" t="str" cm="1">
        <f t="array" ref="M514">IFERROR(_xlfn.LET(_xlpm.e,E514,_xlpm.f,F514,_xlpm.h,H514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14" s="15" t="str" cm="1">
        <f t="array" ref="N514">IFERROR(_xlfn.LET(_xlpm.e,E514,_xlpm.f,F514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14" s="15" t="str">
        <f t="shared" si="65"/>
        <v>3,500 hours/year → 4,000 hours/year</v>
      </c>
      <c r="P514" s="34" t="str" cm="1">
        <f t="array" ref="P514">IFERROR(_xlfn.LET(_xlpm.g,G514,_xlpm.f,F514,_xlpm.h,H514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14" s="15" t="str" cm="1">
        <f t="array" ref="Q514">IFERROR(_xlfn.LET(_xlpm.e,E514,_xlpm.g,G514,_xlpm.h,H514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14" s="15" t="str">
        <f t="shared" si="66"/>
        <v>⚪ N/A</v>
      </c>
      <c r="S514" s="35" cm="1">
        <f t="array" ref="S514">IFERROR(_xlfn.LET(_xlpm.e,E514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14" s="36">
        <f t="shared" si="67"/>
        <v>0</v>
      </c>
      <c r="U514" s="15">
        <f t="shared" si="68"/>
        <v>554</v>
      </c>
      <c r="V514" s="16">
        <f t="shared" si="69"/>
        <v>0</v>
      </c>
      <c r="W514" s="16">
        <f t="shared" si="70"/>
        <v>0</v>
      </c>
      <c r="X514" s="37" t="str">
        <f t="shared" si="71"/>
        <v>-</v>
      </c>
      <c r="Y514" s="15" t="str">
        <f t="shared" si="72"/>
        <v>📉 Low</v>
      </c>
    </row>
    <row r="515" spans="1:25" x14ac:dyDescent="0.2">
      <c r="A515" t="str">
        <f>'5. KPI Baselines'!A500</f>
        <v>Spectrum Control</v>
      </c>
      <c r="B515" t="str">
        <f>'5. KPI Baselines'!B500</f>
        <v>Compliance</v>
      </c>
      <c r="C515" t="str">
        <f>'5. KPI Baselines'!C500</f>
        <v>Regulatory Audit Management</v>
      </c>
      <c r="D515" t="str">
        <f>'5. KPI Baselines'!D500</f>
        <v>Audit Response Preparation Time</v>
      </c>
      <c r="E515" t="str">
        <f>'5. KPI Baselines'!E500</f>
        <v>90 days</v>
      </c>
      <c r="F515" t="str">
        <f>'5. KPI Baselines'!F500</f>
        <v>20 days</v>
      </c>
      <c r="G515" t="str">
        <f>'5. KPI Baselines'!G500</f>
        <v>30 days</v>
      </c>
      <c r="H515" t="str">
        <f>'5. KPI Baselines'!H500</f>
        <v>↓</v>
      </c>
      <c r="I515" t="str">
        <f>'5. KPI Baselines'!I500</f>
        <v>12 months</v>
      </c>
      <c r="J515" t="str">
        <f>'5. KPI Baselines'!J500</f>
        <v>Days required to compile audit evidence packages for FAA, FDA, or ISO certification audits</v>
      </c>
      <c r="K515" s="15" t="str">
        <f t="shared" si="64"/>
        <v>90 days → 20 days</v>
      </c>
      <c r="L515" s="34" cm="1">
        <f t="array" ref="L515">IFERROR(_xlfn.LET(_xlpm.e,E515,_xlpm.f,F515,_xlpm.h,H515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0.77777691358120715</v>
      </c>
      <c r="M515" s="15" cm="1">
        <f t="array" ref="M515">IFERROR(_xlfn.LET(_xlpm.e,E515,_xlpm.f,F515,_xlpm.h,H515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30.5</v>
      </c>
      <c r="N515" s="15" cm="1">
        <f t="array" ref="N515">IFERROR(_xlfn.LET(_xlpm.e,E515,_xlpm.f,F515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53.55</v>
      </c>
      <c r="O515" s="15" t="str">
        <f t="shared" si="65"/>
        <v>30 days → 20 days</v>
      </c>
      <c r="P515" s="34" cm="1">
        <f t="array" ref="P515">IFERROR(_xlfn.LET(_xlpm.g,G515,_xlpm.f,F515,_xlpm.h,H515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0.3333322222259259</v>
      </c>
      <c r="Q515" s="15" t="str" cm="1">
        <f t="array" ref="Q515">IFERROR(_xlfn.LET(_xlpm.e,E515,_xlpm.g,G515,_xlpm.h,H515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5" s="15" t="str">
        <f t="shared" si="66"/>
        <v>🔴 Lagging</v>
      </c>
      <c r="S515" s="35" cm="1">
        <f t="array" ref="S515">IFERROR(_xlfn.LET(_xlpm.e,E515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90</v>
      </c>
      <c r="T515" s="36">
        <f t="shared" si="67"/>
        <v>77.77769135812072</v>
      </c>
      <c r="U515" s="15">
        <f t="shared" si="68"/>
        <v>43</v>
      </c>
      <c r="V515" s="16">
        <f t="shared" si="69"/>
        <v>9772.8641412620655</v>
      </c>
      <c r="W515" s="16">
        <f t="shared" si="70"/>
        <v>24303.666647315902</v>
      </c>
      <c r="X515" s="37">
        <f t="shared" si="71"/>
        <v>9</v>
      </c>
      <c r="Y515" s="15" t="str">
        <f t="shared" si="72"/>
        <v>🔥 Critical</v>
      </c>
    </row>
    <row r="516" spans="1:25" x14ac:dyDescent="0.2">
      <c r="A516" t="str">
        <f>'5. KPI Baselines'!A501</f>
        <v>Spectrum Control</v>
      </c>
      <c r="B516" t="str">
        <f>'5. KPI Baselines'!B501</f>
        <v>Finance</v>
      </c>
      <c r="C516" t="str">
        <f>'5. KPI Baselines'!C501</f>
        <v>Program Accounting</v>
      </c>
      <c r="D516" t="str">
        <f>'5. KPI Baselines'!D501</f>
        <v>Contract Variance Analysis Cycle</v>
      </c>
      <c r="E516" t="str">
        <f>'5. KPI Baselines'!E501</f>
        <v>35 days</v>
      </c>
      <c r="F516" t="str">
        <f>'5. KPI Baselines'!F501</f>
        <v>10 days</v>
      </c>
      <c r="G516" t="str">
        <f>'5. KPI Baselines'!G501</f>
        <v>12 days</v>
      </c>
      <c r="H516" t="str">
        <f>'5. KPI Baselines'!H501</f>
        <v>↓</v>
      </c>
      <c r="I516" t="str">
        <f>'5. KPI Baselines'!I501</f>
        <v>9 months</v>
      </c>
      <c r="J516" t="str">
        <f>'5. KPI Baselines'!J501</f>
        <v>Days from period close to completed variance analysis and EAC updates for active contracts</v>
      </c>
      <c r="K516" s="15" t="str">
        <f t="shared" si="64"/>
        <v>35 days → 10 days</v>
      </c>
      <c r="L516" s="34" cm="1">
        <f t="array" ref="L516">IFERROR(_xlfn.LET(_xlpm.e,E516,_xlpm.f,F516,_xlpm.h,H516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0.71428367347521859</v>
      </c>
      <c r="M516" s="15" cm="1">
        <f t="array" ref="M516">IFERROR(_xlfn.LET(_xlpm.e,E516,_xlpm.f,F516,_xlpm.h,H516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13.8</v>
      </c>
      <c r="N516" s="15" cm="1">
        <f t="array" ref="N516">IFERROR(_xlfn.LET(_xlpm.e,E516,_xlpm.f,F516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516" s="15" t="str">
        <f t="shared" si="65"/>
        <v>12 days → 10 days</v>
      </c>
      <c r="P516" s="34" cm="1">
        <f t="array" ref="P516">IFERROR(_xlfn.LET(_xlpm.g,G516,_xlpm.f,F516,_xlpm.h,H516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0.16666527778935175</v>
      </c>
      <c r="Q516" s="15" t="str" cm="1">
        <f t="array" ref="Q516">IFERROR(_xlfn.LET(_xlpm.e,E516,_xlpm.g,G516,_xlpm.h,H516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6" s="15" t="str">
        <f t="shared" si="66"/>
        <v>🔴 Lagging</v>
      </c>
      <c r="S516" s="35" cm="1">
        <f t="array" ref="S516">IFERROR(_xlfn.LET(_xlpm.e,E516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35</v>
      </c>
      <c r="T516" s="36">
        <f t="shared" si="67"/>
        <v>71.428367347521856</v>
      </c>
      <c r="U516" s="15">
        <f t="shared" si="68"/>
        <v>73</v>
      </c>
      <c r="V516" s="16">
        <f t="shared" si="69"/>
        <v>3490.3025277070633</v>
      </c>
      <c r="W516" s="16">
        <f t="shared" si="70"/>
        <v>8679.8657901655824</v>
      </c>
      <c r="X516" s="37">
        <f t="shared" si="71"/>
        <v>25</v>
      </c>
      <c r="Y516" s="15" t="str">
        <f t="shared" si="72"/>
        <v>🔥 Critical</v>
      </c>
    </row>
    <row r="517" spans="1:25" x14ac:dyDescent="0.2">
      <c r="A517" t="str">
        <f>'5. KPI Baselines'!A502</f>
        <v>Spectrum Control</v>
      </c>
      <c r="B517" t="str">
        <f>'5. KPI Baselines'!B502</f>
        <v>Manufacturing</v>
      </c>
      <c r="C517" t="str">
        <f>'5. KPI Baselines'!C502</f>
        <v>Production Planning</v>
      </c>
      <c r="D517" t="str">
        <f>'5. KPI Baselines'!D502</f>
        <v>Schedule Attainment</v>
      </c>
      <c r="E517" t="str">
        <f>'5. KPI Baselines'!E502</f>
        <v>82%</v>
      </c>
      <c r="F517" t="str">
        <f>'5. KPI Baselines'!F502</f>
        <v>90%</v>
      </c>
      <c r="G517" t="str">
        <f>'5. KPI Baselines'!G502</f>
        <v>92%</v>
      </c>
      <c r="H517" t="str">
        <f>'5. KPI Baselines'!H502</f>
        <v>↑</v>
      </c>
      <c r="I517" t="str">
        <f>'5. KPI Baselines'!I502</f>
        <v>18 months</v>
      </c>
      <c r="J517" t="str">
        <f>'5. KPI Baselines'!J502</f>
        <v>Percentage of customer orders shipped on or before committed delivery date</v>
      </c>
      <c r="K517" s="15" t="str">
        <f t="shared" si="64"/>
        <v>90% - 82%</v>
      </c>
      <c r="L517" s="34" cm="1">
        <f t="array" ref="L517">IFERROR(_xlfn.LET(_xlpm.e,E517,_xlpm.f,F517,_xlpm.h,H517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9.756085663310167E-2</v>
      </c>
      <c r="M517" s="15" cm="1">
        <f t="array" ref="M517">IFERROR(_xlfn.LET(_xlpm.e,E517,_xlpm.f,F517,_xlpm.h,H517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88.8</v>
      </c>
      <c r="N517" s="15" cm="1">
        <f t="array" ref="N517">IFERROR(_xlfn.LET(_xlpm.e,E517,_xlpm.f,F517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517" s="15" t="str">
        <f t="shared" si="65"/>
        <v>90% - 92%</v>
      </c>
      <c r="P517" s="34" cm="1">
        <f t="array" ref="P517">IFERROR(_xlfn.LET(_xlpm.g,G517,_xlpm.f,F517,_xlpm.h,H517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-2.1739106805318688E-2</v>
      </c>
      <c r="Q517" s="15" t="str" cm="1">
        <f t="array" ref="Q517">IFERROR(_xlfn.LET(_xlpm.e,E517,_xlpm.g,G517,_xlpm.h,H517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7" s="15" t="str">
        <f t="shared" si="66"/>
        <v>🔴 Lagging</v>
      </c>
      <c r="S517" s="35" cm="1">
        <f t="array" ref="S517">IFERROR(_xlfn.LET(_xlpm.e,E517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82</v>
      </c>
      <c r="T517" s="36">
        <f t="shared" si="67"/>
        <v>9.7560856633101665</v>
      </c>
      <c r="U517" s="15">
        <f t="shared" si="68"/>
        <v>521</v>
      </c>
      <c r="V517" s="16">
        <f t="shared" si="69"/>
        <v>1116.8986379284904</v>
      </c>
      <c r="W517" s="16">
        <f t="shared" si="70"/>
        <v>2777.5616014600346</v>
      </c>
      <c r="X517" s="37">
        <f t="shared" si="71"/>
        <v>78</v>
      </c>
      <c r="Y517" s="15" t="str">
        <f t="shared" si="72"/>
        <v>📉 Low</v>
      </c>
    </row>
    <row r="518" spans="1:25" x14ac:dyDescent="0.2">
      <c r="A518" t="str">
        <f>'5. KPI Baselines'!A503</f>
        <v>Spectrum Control</v>
      </c>
      <c r="B518" t="str">
        <f>'5. KPI Baselines'!B503</f>
        <v>Customer Service</v>
      </c>
      <c r="C518" t="str">
        <f>'5. KPI Baselines'!C503</f>
        <v>Technical Support</v>
      </c>
      <c r="D518" t="str">
        <f>'5. KPI Baselines'!D503</f>
        <v>First Contact Resolution Rate</v>
      </c>
      <c r="E518" t="str">
        <f>'5. KPI Baselines'!E503</f>
        <v>38%</v>
      </c>
      <c r="F518" t="str">
        <f>'5. KPI Baselines'!F503</f>
        <v>65%</v>
      </c>
      <c r="G518" t="str">
        <f>'5. KPI Baselines'!G503</f>
        <v>62%</v>
      </c>
      <c r="H518" t="str">
        <f>'5. KPI Baselines'!H503</f>
        <v>↑</v>
      </c>
      <c r="I518" t="str">
        <f>'5. KPI Baselines'!I503</f>
        <v>12 months</v>
      </c>
      <c r="J518" t="str">
        <f>'5. KPI Baselines'!J503</f>
        <v>Percentage of technical inquiries resolved without escalation to engineering</v>
      </c>
      <c r="K518" s="15" t="str">
        <f t="shared" si="64"/>
        <v>65% - 38%</v>
      </c>
      <c r="L518" s="34" cm="1">
        <f t="array" ref="L518">IFERROR(_xlfn.LET(_xlpm.e,E518,_xlpm.f,F518,_xlpm.h,H518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0.7105244459883</v>
      </c>
      <c r="M518" s="15" cm="1">
        <f t="array" ref="M518">IFERROR(_xlfn.LET(_xlpm.e,E518,_xlpm.f,F518,_xlpm.h,H518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61</v>
      </c>
      <c r="N518" s="15" cm="1">
        <f t="array" ref="N518">IFERROR(_xlfn.LET(_xlpm.e,E518,_xlpm.f,F518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20.66</v>
      </c>
      <c r="O518" s="15" t="str">
        <f t="shared" si="65"/>
        <v>65% - 62%</v>
      </c>
      <c r="P518" s="34" cm="1">
        <f t="array" ref="P518">IFERROR(_xlfn.LET(_xlpm.g,G518,_xlpm.f,F518,_xlpm.h,H518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4.8387018730614947E-2</v>
      </c>
      <c r="Q518" s="15" t="str" cm="1">
        <f t="array" ref="Q518">IFERROR(_xlfn.LET(_xlpm.e,E518,_xlpm.g,G518,_xlpm.h,H518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8" s="15" t="str">
        <f t="shared" si="66"/>
        <v>🔴 Lagging</v>
      </c>
      <c r="S518" s="35" cm="1">
        <f t="array" ref="S518">IFERROR(_xlfn.LET(_xlpm.e,E518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518" s="36">
        <f t="shared" si="67"/>
        <v>71.052444598829993</v>
      </c>
      <c r="U518" s="15">
        <f t="shared" si="68"/>
        <v>80</v>
      </c>
      <c r="V518" s="16">
        <f t="shared" si="69"/>
        <v>3769.5275801905782</v>
      </c>
      <c r="W518" s="16">
        <f t="shared" si="70"/>
        <v>9374.2571678668846</v>
      </c>
      <c r="X518" s="37">
        <f t="shared" si="71"/>
        <v>23</v>
      </c>
      <c r="Y518" s="15" t="str">
        <f t="shared" si="72"/>
        <v>🔥 Critical</v>
      </c>
    </row>
    <row r="519" spans="1:25" x14ac:dyDescent="0.2">
      <c r="A519" t="str">
        <f>'5. KPI Baselines'!A504</f>
        <v>Splash Car Wash</v>
      </c>
      <c r="B519" t="str">
        <f>'5. KPI Baselines'!B504</f>
        <v>Membership Operations</v>
      </c>
      <c r="C519" t="str">
        <f>'5. KPI Baselines'!C504</f>
        <v>Retention Management</v>
      </c>
      <c r="D519" t="str">
        <f>'5. KPI Baselines'!D504</f>
        <v>Monthly Member Retention Rate</v>
      </c>
      <c r="E519" t="str">
        <f>'5. KPI Baselines'!E504</f>
        <v>91%</v>
      </c>
      <c r="F519" t="str">
        <f>'5. KPI Baselines'!F504</f>
        <v>94%</v>
      </c>
      <c r="G519" t="str">
        <f>'5. KPI Baselines'!G504</f>
        <v>93%</v>
      </c>
      <c r="H519" t="str">
        <f>'5. KPI Baselines'!H504</f>
        <v>↑</v>
      </c>
      <c r="I519" t="str">
        <f>'5. KPI Baselines'!I504</f>
        <v>12 months</v>
      </c>
      <c r="J519" t="str">
        <f>'5. KPI Baselines'!J504</f>
        <v>Active members month-end / Active members prior month-end</v>
      </c>
      <c r="K519" s="15" t="str">
        <f t="shared" si="64"/>
        <v>94% - 91%</v>
      </c>
      <c r="L519" s="34" cm="1">
        <f t="array" ref="L519">IFERROR(_xlfn.LET(_xlpm.e,E519,_xlpm.f,F519,_xlpm.h,H519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3.296699673956402E-2</v>
      </c>
      <c r="M519" s="15" cm="1">
        <f t="array" ref="M519">IFERROR(_xlfn.LET(_xlpm.e,E519,_xlpm.f,F519,_xlpm.h,H519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93.6</v>
      </c>
      <c r="N519" s="15" cm="1">
        <f t="array" ref="N519">IFERROR(_xlfn.LET(_xlpm.e,E519,_xlpm.f,F519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519" s="15" t="str">
        <f t="shared" si="65"/>
        <v>94% - 93%</v>
      </c>
      <c r="P519" s="34" cm="1">
        <f t="array" ref="P519">IFERROR(_xlfn.LET(_xlpm.g,G519,_xlpm.f,F519,_xlpm.h,H519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1.0752676610025149E-2</v>
      </c>
      <c r="Q519" s="15" t="str" cm="1">
        <f t="array" ref="Q519">IFERROR(_xlfn.LET(_xlpm.e,E519,_xlpm.g,G519,_xlpm.h,H519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19" s="15" t="str">
        <f t="shared" si="66"/>
        <v>🔴 Lagging</v>
      </c>
      <c r="S519" s="35" cm="1">
        <f t="array" ref="S519">IFERROR(_xlfn.LET(_xlpm.e,E519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91</v>
      </c>
      <c r="T519" s="36">
        <f t="shared" si="67"/>
        <v>3.2966996739564021</v>
      </c>
      <c r="U519" s="15">
        <f t="shared" si="68"/>
        <v>551</v>
      </c>
      <c r="V519" s="16">
        <f t="shared" si="69"/>
        <v>418.83703973951674</v>
      </c>
      <c r="W519" s="16">
        <f t="shared" si="70"/>
        <v>1041.585726174156</v>
      </c>
      <c r="X519" s="37">
        <f t="shared" si="71"/>
        <v>206</v>
      </c>
      <c r="Y519" s="15" t="str">
        <f t="shared" si="72"/>
        <v>📉 Low</v>
      </c>
    </row>
    <row r="520" spans="1:25" x14ac:dyDescent="0.2">
      <c r="A520" t="str">
        <f>'5. KPI Baselines'!A505</f>
        <v>Splash Car Wash</v>
      </c>
      <c r="B520" t="str">
        <f>'5. KPI Baselines'!B505</f>
        <v>Membership Operations</v>
      </c>
      <c r="C520" t="str">
        <f>'5. KPI Baselines'!C505</f>
        <v>Acquisition</v>
      </c>
      <c r="D520" t="str">
        <f>'5. KPI Baselines'!D505</f>
        <v>Single-Wash to Membership Conversion</v>
      </c>
      <c r="E520" t="str">
        <f>'5. KPI Baselines'!E505</f>
        <v>14%</v>
      </c>
      <c r="F520" t="str">
        <f>'5. KPI Baselines'!F505</f>
        <v>19%</v>
      </c>
      <c r="G520" t="str">
        <f>'5. KPI Baselines'!G505</f>
        <v>18%</v>
      </c>
      <c r="H520" t="str">
        <f>'5. KPI Baselines'!H505</f>
        <v>↑</v>
      </c>
      <c r="I520" t="str">
        <f>'5. KPI Baselines'!I505</f>
        <v>12 months</v>
      </c>
      <c r="J520" t="str">
        <f>'5. KPI Baselines'!J505</f>
        <v>New memberships from single-wash customers / Total single-wash transactions</v>
      </c>
      <c r="K520" s="15" t="str">
        <f t="shared" si="64"/>
        <v>19% - 14%</v>
      </c>
      <c r="L520" s="34" cm="1">
        <f t="array" ref="L520">IFERROR(_xlfn.LET(_xlpm.e,E520,_xlpm.f,F520,_xlpm.h,H520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0.35714030614067044</v>
      </c>
      <c r="M520" s="15" cm="1">
        <f t="array" ref="M520">IFERROR(_xlfn.LET(_xlpm.e,E520,_xlpm.f,F520,_xlpm.h,H520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18.3</v>
      </c>
      <c r="N520" s="15" cm="1">
        <f t="array" ref="N520">IFERROR(_xlfn.LET(_xlpm.e,E520,_xlpm.f,F520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20" s="15" t="str">
        <f t="shared" si="65"/>
        <v>19% - 18%</v>
      </c>
      <c r="P520" s="34" cm="1">
        <f t="array" ref="P520">IFERROR(_xlfn.LET(_xlpm.g,G520,_xlpm.f,F520,_xlpm.h,H520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5.5555246915294919E-2</v>
      </c>
      <c r="Q520" s="15" t="str" cm="1">
        <f t="array" ref="Q520">IFERROR(_xlfn.LET(_xlpm.e,E520,_xlpm.g,G520,_xlpm.h,H520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0" s="15" t="str">
        <f t="shared" si="66"/>
        <v>🔴 Lagging</v>
      </c>
      <c r="S520" s="35" cm="1">
        <f t="array" ref="S520">IFERROR(_xlfn.LET(_xlpm.e,E520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520" s="36">
        <f t="shared" si="67"/>
        <v>35.714030614067042</v>
      </c>
      <c r="U520" s="15">
        <f t="shared" si="68"/>
        <v>351</v>
      </c>
      <c r="V520" s="16">
        <f t="shared" si="69"/>
        <v>698.05751387490091</v>
      </c>
      <c r="W520" s="16">
        <f t="shared" si="70"/>
        <v>1735.9657182012952</v>
      </c>
      <c r="X520" s="37">
        <f t="shared" si="71"/>
        <v>124</v>
      </c>
      <c r="Y520" s="15" t="str">
        <f t="shared" si="72"/>
        <v>⚠️ High</v>
      </c>
    </row>
    <row r="521" spans="1:25" x14ac:dyDescent="0.2">
      <c r="A521" t="str">
        <f>'5. KPI Baselines'!A506</f>
        <v>Splash Car Wash</v>
      </c>
      <c r="B521" t="str">
        <f>'5. KPI Baselines'!B506</f>
        <v>Site Operations</v>
      </c>
      <c r="C521" t="str">
        <f>'5. KPI Baselines'!C506</f>
        <v>Equipment Reliability</v>
      </c>
      <c r="D521" t="str">
        <f>'5. KPI Baselines'!D506</f>
        <v>Unplanned Downtime Hours per Site Monthly</v>
      </c>
      <c r="E521" t="str">
        <f>'5. KPI Baselines'!E506</f>
        <v>18 hours</v>
      </c>
      <c r="F521" t="str">
        <f>'5. KPI Baselines'!F506</f>
        <v>8 hours</v>
      </c>
      <c r="G521" t="str">
        <f>'5. KPI Baselines'!G506</f>
        <v>12 hours</v>
      </c>
      <c r="H521" t="str">
        <f>'5. KPI Baselines'!H506</f>
        <v>↓</v>
      </c>
      <c r="I521" t="str">
        <f>'5. KPI Baselines'!I506</f>
        <v>18 months</v>
      </c>
      <c r="J521" t="str">
        <f>'5. KPI Baselines'!J506</f>
        <v>Monthly equipment failure hours / Total operating hours</v>
      </c>
      <c r="K521" s="15" t="str">
        <f t="shared" si="64"/>
        <v>18 hours → 8 hours</v>
      </c>
      <c r="L521" s="34" cm="1">
        <f t="array" ref="L521">IFERROR(_xlfn.LET(_xlpm.e,E521,_xlpm.f,F521,_xlpm.h,H521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521" s="15" cm="1">
        <f t="array" ref="M521">IFERROR(_xlfn.LET(_xlpm.e,E521,_xlpm.f,F521,_xlpm.h,H521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9.5</v>
      </c>
      <c r="N521" s="15" cm="1">
        <f t="array" ref="N521">IFERROR(_xlfn.LET(_xlpm.e,E521,_xlpm.f,F521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21" s="15" t="str">
        <f t="shared" si="65"/>
        <v>12 hours → 8 hours</v>
      </c>
      <c r="P521" s="34" cm="1">
        <f t="array" ref="P521">IFERROR(_xlfn.LET(_xlpm.g,G521,_xlpm.f,F521,_xlpm.h,H521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0.3333305555787035</v>
      </c>
      <c r="Q521" s="15" t="str" cm="1">
        <f t="array" ref="Q521">IFERROR(_xlfn.LET(_xlpm.e,E521,_xlpm.g,G521,_xlpm.h,H521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1" s="15" t="str">
        <f t="shared" si="66"/>
        <v>🔴 Lagging</v>
      </c>
      <c r="S521" s="35" cm="1">
        <f t="array" ref="S521">IFERROR(_xlfn.LET(_xlpm.e,E521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21" s="36">
        <f t="shared" si="67"/>
        <v>55.555246915294923</v>
      </c>
      <c r="U521" s="15">
        <f t="shared" si="68"/>
        <v>188</v>
      </c>
      <c r="V521" s="16">
        <f t="shared" si="69"/>
        <v>1396.11724379309</v>
      </c>
      <c r="W521" s="16">
        <f t="shared" si="70"/>
        <v>3471.936947374254</v>
      </c>
      <c r="X521" s="37">
        <f t="shared" si="71"/>
        <v>62</v>
      </c>
      <c r="Y521" s="15" t="str">
        <f t="shared" si="72"/>
        <v>🔥 Critical</v>
      </c>
    </row>
    <row r="522" spans="1:25" x14ac:dyDescent="0.2">
      <c r="A522" t="str">
        <f>'5. KPI Baselines'!A507</f>
        <v>Splash Car Wash</v>
      </c>
      <c r="B522" t="str">
        <f>'5. KPI Baselines'!B507</f>
        <v>Site Operations</v>
      </c>
      <c r="C522" t="str">
        <f>'5. KPI Baselines'!C507</f>
        <v>Throughput</v>
      </c>
      <c r="D522" t="str">
        <f>'5. KPI Baselines'!D507</f>
        <v>Average Daily Washes per Location</v>
      </c>
      <c r="E522" t="str">
        <f>'5. KPI Baselines'!E507</f>
        <v>300 washes</v>
      </c>
      <c r="F522" t="str">
        <f>'5. KPI Baselines'!F507</f>
        <v>340 washes</v>
      </c>
      <c r="G522" t="str">
        <f>'5. KPI Baselines'!G507</f>
        <v>325 washes</v>
      </c>
      <c r="H522" t="str">
        <f>'5. KPI Baselines'!H507</f>
        <v>↑</v>
      </c>
      <c r="I522" t="str">
        <f>'5. KPI Baselines'!I507</f>
        <v>12 months</v>
      </c>
      <c r="J522" t="str">
        <f>'5. KPI Baselines'!J507</f>
        <v>Total daily wash transactions / Number of operating locations</v>
      </c>
      <c r="K522" s="15" t="str">
        <f t="shared" si="64"/>
        <v>340 washes - 300 washes</v>
      </c>
      <c r="L522" s="34" t="str" cm="1">
        <f t="array" ref="L522">IFERROR(_xlfn.LET(_xlpm.e,E522,_xlpm.f,F522,_xlpm.h,H522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22" s="15" t="str" cm="1">
        <f t="array" ref="M522">IFERROR(_xlfn.LET(_xlpm.e,E522,_xlpm.f,F522,_xlpm.h,H522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22" s="15" t="str" cm="1">
        <f t="array" ref="N522">IFERROR(_xlfn.LET(_xlpm.e,E522,_xlpm.f,F522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22" s="15" t="str">
        <f t="shared" si="65"/>
        <v>340 washes - 325 washes</v>
      </c>
      <c r="P522" s="34" t="str" cm="1">
        <f t="array" ref="P522">IFERROR(_xlfn.LET(_xlpm.g,G522,_xlpm.f,F522,_xlpm.h,H522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22" s="15" t="str" cm="1">
        <f t="array" ref="Q522">IFERROR(_xlfn.LET(_xlpm.e,E522,_xlpm.g,G522,_xlpm.h,H522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22" s="15" t="str">
        <f t="shared" si="66"/>
        <v>⚪ N/A</v>
      </c>
      <c r="S522" s="35" cm="1">
        <f t="array" ref="S522">IFERROR(_xlfn.LET(_xlpm.e,E522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22" s="36">
        <f t="shared" si="67"/>
        <v>0</v>
      </c>
      <c r="U522" s="15">
        <f t="shared" si="68"/>
        <v>554</v>
      </c>
      <c r="V522" s="16">
        <f t="shared" si="69"/>
        <v>0</v>
      </c>
      <c r="W522" s="16">
        <f t="shared" si="70"/>
        <v>0</v>
      </c>
      <c r="X522" s="37" t="str">
        <f t="shared" si="71"/>
        <v>-</v>
      </c>
      <c r="Y522" s="15" t="str">
        <f t="shared" si="72"/>
        <v>📉 Low</v>
      </c>
    </row>
    <row r="523" spans="1:25" x14ac:dyDescent="0.2">
      <c r="A523" t="str">
        <f>'5. KPI Baselines'!A508</f>
        <v>Splash Car Wash</v>
      </c>
      <c r="B523" t="str">
        <f>'5. KPI Baselines'!B508</f>
        <v>Regional Management</v>
      </c>
      <c r="C523" t="str">
        <f>'5. KPI Baselines'!C508</f>
        <v>Oversight</v>
      </c>
      <c r="D523" t="str">
        <f>'5. KPI Baselines'!D508</f>
        <v>Site Visit Hours per Regional Manager Annually</v>
      </c>
      <c r="E523" t="str">
        <f>'5. KPI Baselines'!E508</f>
        <v>1,840 hours</v>
      </c>
      <c r="F523" t="str">
        <f>'5. KPI Baselines'!F508</f>
        <v>1,200 hours</v>
      </c>
      <c r="G523" t="str">
        <f>'5. KPI Baselines'!G508</f>
        <v>1,200 hours</v>
      </c>
      <c r="H523" t="str">
        <f>'5. KPI Baselines'!H508</f>
        <v>↓</v>
      </c>
      <c r="I523" t="str">
        <f>'5. KPI Baselines'!I508</f>
        <v>12 months</v>
      </c>
      <c r="J523" t="str">
        <f>'5. KPI Baselines'!J508</f>
        <v>Total annual site visit hours / Number of regional managers</v>
      </c>
      <c r="K523" s="15" t="str">
        <f t="shared" si="64"/>
        <v>1,840 hours → 1,200 hours</v>
      </c>
      <c r="L523" s="34" cm="1">
        <f t="array" ref="L523">IFERROR(_xlfn.LET(_xlpm.e,E523,_xlpm.f,F523,_xlpm.h,H523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0.34782606805293109</v>
      </c>
      <c r="M523" s="15" cm="1">
        <f t="array" ref="M523">IFERROR(_xlfn.LET(_xlpm.e,E523,_xlpm.f,F523,_xlpm.h,H523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1296</v>
      </c>
      <c r="N523" s="15" cm="1">
        <f t="array" ref="N523">IFERROR(_xlfn.LET(_xlpm.e,E523,_xlpm.f,F523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489.6</v>
      </c>
      <c r="O523" s="15" t="str">
        <f t="shared" si="65"/>
        <v>1,200 hours → 1,200 hours</v>
      </c>
      <c r="P523" s="34" cm="1">
        <f t="array" ref="P523">IFERROR(_xlfn.LET(_xlpm.g,G523,_xlpm.f,F523,_xlpm.h,H523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523" s="15" t="str" cm="1">
        <f t="array" ref="Q523">IFERROR(_xlfn.LET(_xlpm.e,E523,_xlpm.g,G523,_xlpm.h,H523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3" s="15" t="str">
        <f t="shared" si="66"/>
        <v>🔴 Lagging</v>
      </c>
      <c r="S523" s="35" cm="1">
        <f t="array" ref="S523">IFERROR(_xlfn.LET(_xlpm.e,E523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1840</v>
      </c>
      <c r="T523" s="36">
        <f t="shared" si="67"/>
        <v>34.782606805293106</v>
      </c>
      <c r="U523" s="15">
        <f t="shared" si="68"/>
        <v>355</v>
      </c>
      <c r="V523" s="16">
        <f t="shared" si="69"/>
        <v>89351.995143913315</v>
      </c>
      <c r="W523" s="16">
        <f t="shared" si="70"/>
        <v>222205.18702205358</v>
      </c>
      <c r="X523" s="37">
        <f t="shared" si="71"/>
        <v>1</v>
      </c>
      <c r="Y523" s="15" t="str">
        <f t="shared" si="72"/>
        <v>⚠️ High</v>
      </c>
    </row>
    <row r="524" spans="1:25" x14ac:dyDescent="0.2">
      <c r="A524" t="str">
        <f>'5. KPI Baselines'!A509</f>
        <v>Splash Car Wash</v>
      </c>
      <c r="B524" t="str">
        <f>'5. KPI Baselines'!B509</f>
        <v>Regional Management</v>
      </c>
      <c r="C524" t="str">
        <f>'5. KPI Baselines'!C509</f>
        <v>Issue Resolution</v>
      </c>
      <c r="D524" t="str">
        <f>'5. KPI Baselines'!D509</f>
        <v>Equipment Issue Response Time</v>
      </c>
      <c r="E524" t="str">
        <f>'5. KPI Baselines'!E509</f>
        <v>12 days</v>
      </c>
      <c r="F524" t="str">
        <f>'5. KPI Baselines'!F509</f>
        <v>3 days</v>
      </c>
      <c r="G524" t="str">
        <f>'5. KPI Baselines'!G509</f>
        <v>5 days</v>
      </c>
      <c r="H524" t="str">
        <f>'5. KPI Baselines'!H509</f>
        <v>↓</v>
      </c>
      <c r="I524" t="str">
        <f>'5. KPI Baselines'!I509</f>
        <v>12 months</v>
      </c>
      <c r="J524" t="str">
        <f>'5. KPI Baselines'!J509</f>
        <v>Days from equipment alert to maintenance completion</v>
      </c>
      <c r="K524" s="15" t="str">
        <f t="shared" si="64"/>
        <v>12 days → 3 days</v>
      </c>
      <c r="L524" s="34" cm="1">
        <f t="array" ref="L524">IFERROR(_xlfn.LET(_xlpm.e,E524,_xlpm.f,F524,_xlpm.h,H524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0.74999375005208291</v>
      </c>
      <c r="M524" s="15" cm="1">
        <f t="array" ref="M524">IFERROR(_xlfn.LET(_xlpm.e,E524,_xlpm.f,F524,_xlpm.h,H524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524" s="15" cm="1">
        <f t="array" ref="N524">IFERROR(_xlfn.LET(_xlpm.e,E524,_xlpm.f,F524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524" s="15" t="str">
        <f t="shared" si="65"/>
        <v>5 days → 3 days</v>
      </c>
      <c r="P524" s="34" cm="1">
        <f t="array" ref="P524">IFERROR(_xlfn.LET(_xlpm.g,G524,_xlpm.f,F524,_xlpm.h,H524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524" s="15" t="str" cm="1">
        <f t="array" ref="Q524">IFERROR(_xlfn.LET(_xlpm.e,E524,_xlpm.g,G524,_xlpm.h,H524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4" s="15" t="str">
        <f t="shared" si="66"/>
        <v>🔴 Lagging</v>
      </c>
      <c r="S524" s="35" cm="1">
        <f t="array" ref="S524">IFERROR(_xlfn.LET(_xlpm.e,E524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24" s="36">
        <f t="shared" si="67"/>
        <v>74.999375005208293</v>
      </c>
      <c r="U524" s="15">
        <f t="shared" si="68"/>
        <v>53</v>
      </c>
      <c r="V524" s="16">
        <f t="shared" si="69"/>
        <v>1256.5020291497572</v>
      </c>
      <c r="W524" s="16">
        <f t="shared" si="70"/>
        <v>3124.734572866792</v>
      </c>
      <c r="X524" s="37">
        <f t="shared" si="71"/>
        <v>69</v>
      </c>
      <c r="Y524" s="15" t="str">
        <f t="shared" si="72"/>
        <v>🔥 Critical</v>
      </c>
    </row>
    <row r="525" spans="1:25" x14ac:dyDescent="0.2">
      <c r="A525" t="str">
        <f>'5. KPI Baselines'!A510</f>
        <v>Splash Car Wash</v>
      </c>
      <c r="B525" t="str">
        <f>'5. KPI Baselines'!B510</f>
        <v>Human Resources</v>
      </c>
      <c r="C525" t="str">
        <f>'5. KPI Baselines'!C510</f>
        <v>Retention</v>
      </c>
      <c r="D525" t="str">
        <f>'5. KPI Baselines'!D510</f>
        <v>Frontline Employee Annual Turnover</v>
      </c>
      <c r="E525" t="str">
        <f>'5. KPI Baselines'!E510</f>
        <v>68%</v>
      </c>
      <c r="F525" t="str">
        <f>'5. KPI Baselines'!F510</f>
        <v>52%</v>
      </c>
      <c r="G525" t="str">
        <f>'5. KPI Baselines'!G510</f>
        <v>55%</v>
      </c>
      <c r="H525" t="str">
        <f>'5. KPI Baselines'!H510</f>
        <v>↓</v>
      </c>
      <c r="I525" t="str">
        <f>'5. KPI Baselines'!I510</f>
        <v>18 months</v>
      </c>
      <c r="J525" t="str">
        <f>'5. KPI Baselines'!J510</f>
        <v>Annual separations / Average headcount</v>
      </c>
      <c r="K525" s="15" t="str">
        <f t="shared" si="64"/>
        <v>68% → 52%</v>
      </c>
      <c r="L525" s="34" cm="1">
        <f t="array" ref="L525">IFERROR(_xlfn.LET(_xlpm.e,E525,_xlpm.f,F525,_xlpm.h,H525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0.23529377162680642</v>
      </c>
      <c r="M525" s="15" cm="1">
        <f t="array" ref="M525">IFERROR(_xlfn.LET(_xlpm.e,E525,_xlpm.f,F525,_xlpm.h,H525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54.4</v>
      </c>
      <c r="N525" s="15" cm="1">
        <f t="array" ref="N525">IFERROR(_xlfn.LET(_xlpm.e,E525,_xlpm.f,F525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525" s="15" t="str">
        <f t="shared" si="65"/>
        <v>55% → 52%</v>
      </c>
      <c r="P525" s="34" cm="1">
        <f t="array" ref="P525">IFERROR(_xlfn.LET(_xlpm.g,G525,_xlpm.f,F525,_xlpm.h,H525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5.454535537208114E-2</v>
      </c>
      <c r="Q525" s="15" t="str" cm="1">
        <f t="array" ref="Q525">IFERROR(_xlfn.LET(_xlpm.e,E525,_xlpm.g,G525,_xlpm.h,H525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5" s="15" t="str">
        <f t="shared" si="66"/>
        <v>🔴 Lagging</v>
      </c>
      <c r="S525" s="35" cm="1">
        <f t="array" ref="S525">IFERROR(_xlfn.LET(_xlpm.e,E525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525" s="36">
        <f t="shared" si="67"/>
        <v>23.529377162680642</v>
      </c>
      <c r="U525" s="15">
        <f t="shared" si="68"/>
        <v>433</v>
      </c>
      <c r="V525" s="16">
        <f t="shared" si="69"/>
        <v>2233.7967150048307</v>
      </c>
      <c r="W525" s="16">
        <f t="shared" si="70"/>
        <v>5555.1218081637835</v>
      </c>
      <c r="X525" s="37">
        <f t="shared" si="71"/>
        <v>39</v>
      </c>
      <c r="Y525" s="15" t="str">
        <f t="shared" si="72"/>
        <v>📊 Medium</v>
      </c>
    </row>
    <row r="526" spans="1:25" x14ac:dyDescent="0.2">
      <c r="A526" t="str">
        <f>'5. KPI Baselines'!A511</f>
        <v>Splash Car Wash</v>
      </c>
      <c r="B526" t="str">
        <f>'5. KPI Baselines'!B511</f>
        <v>Human Resources</v>
      </c>
      <c r="C526" t="str">
        <f>'5. KPI Baselines'!C511</f>
        <v>Training</v>
      </c>
      <c r="D526" t="str">
        <f>'5. KPI Baselines'!D511</f>
        <v>Hours per New Employee Onboarding</v>
      </c>
      <c r="E526" t="str">
        <f>'5. KPI Baselines'!E511</f>
        <v>32 hours</v>
      </c>
      <c r="F526" t="str">
        <f>'5. KPI Baselines'!F511</f>
        <v>20 hours</v>
      </c>
      <c r="G526" t="str">
        <f>'5. KPI Baselines'!G511</f>
        <v>24 hours</v>
      </c>
      <c r="H526" t="str">
        <f>'5. KPI Baselines'!H511</f>
        <v>↓</v>
      </c>
      <c r="I526" t="str">
        <f>'5. KPI Baselines'!I511</f>
        <v>12 months</v>
      </c>
      <c r="J526" t="str">
        <f>'5. KPI Baselines'!J511</f>
        <v>Total onboarding hours / Number of new hires</v>
      </c>
      <c r="K526" s="15" t="str">
        <f t="shared" si="64"/>
        <v>32 hours → 20 hours</v>
      </c>
      <c r="L526" s="34" cm="1">
        <f t="array" ref="L526">IFERROR(_xlfn.LET(_xlpm.e,E526,_xlpm.f,F526,_xlpm.h,H526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0.37499882812866203</v>
      </c>
      <c r="M526" s="15" cm="1">
        <f t="array" ref="M526">IFERROR(_xlfn.LET(_xlpm.e,E526,_xlpm.f,F526,_xlpm.h,H526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21.8</v>
      </c>
      <c r="N526" s="15" cm="1">
        <f t="array" ref="N526">IFERROR(_xlfn.LET(_xlpm.e,E526,_xlpm.f,F526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526" s="15" t="str">
        <f t="shared" si="65"/>
        <v>24 hours → 20 hours</v>
      </c>
      <c r="P526" s="34" cm="1">
        <f t="array" ref="P526">IFERROR(_xlfn.LET(_xlpm.g,G526,_xlpm.f,F526,_xlpm.h,H526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0.16666597222511573</v>
      </c>
      <c r="Q526" s="15" t="str" cm="1">
        <f t="array" ref="Q526">IFERROR(_xlfn.LET(_xlpm.e,E526,_xlpm.g,G526,_xlpm.h,H526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6" s="15" t="str">
        <f t="shared" si="66"/>
        <v>🔴 Lagging</v>
      </c>
      <c r="S526" s="35" cm="1">
        <f t="array" ref="S526">IFERROR(_xlfn.LET(_xlpm.e,E526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32</v>
      </c>
      <c r="T526" s="36">
        <f t="shared" si="67"/>
        <v>37.499882812866204</v>
      </c>
      <c r="U526" s="15">
        <f t="shared" si="68"/>
        <v>331</v>
      </c>
      <c r="V526" s="16">
        <f t="shared" si="69"/>
        <v>1675.3447645476106</v>
      </c>
      <c r="W526" s="16">
        <f t="shared" si="70"/>
        <v>4166.3344633002225</v>
      </c>
      <c r="X526" s="37">
        <f t="shared" si="71"/>
        <v>52</v>
      </c>
      <c r="Y526" s="15" t="str">
        <f t="shared" si="72"/>
        <v>⚠️ High</v>
      </c>
    </row>
    <row r="527" spans="1:25" x14ac:dyDescent="0.2">
      <c r="A527" t="str">
        <f>'5. KPI Baselines'!A512</f>
        <v>Splash Car Wash</v>
      </c>
      <c r="B527" t="str">
        <f>'5. KPI Baselines'!B512</f>
        <v>Customer Service</v>
      </c>
      <c r="C527" t="str">
        <f>'5. KPI Baselines'!C512</f>
        <v>Complaint Resolution</v>
      </c>
      <c r="D527" t="str">
        <f>'5. KPI Baselines'!D512</f>
        <v>Average Resolution Time for Member Issues</v>
      </c>
      <c r="E527" t="str">
        <f>'5. KPI Baselines'!E512</f>
        <v>4.2 days</v>
      </c>
      <c r="F527" t="str">
        <f>'5. KPI Baselines'!F512</f>
        <v>1.5 days</v>
      </c>
      <c r="G527" t="str">
        <f>'5. KPI Baselines'!G512</f>
        <v>2.5 days</v>
      </c>
      <c r="H527" t="str">
        <f>'5. KPI Baselines'!H512</f>
        <v>↓</v>
      </c>
      <c r="I527" t="str">
        <f>'5. KPI Baselines'!I512</f>
        <v>12 months</v>
      </c>
      <c r="J527" t="str">
        <f>'5. KPI Baselines'!J512</f>
        <v>Total resolution days / Number of complaints</v>
      </c>
      <c r="K527" s="15" t="str">
        <f t="shared" si="64"/>
        <v>4.2 days → 1.5 days</v>
      </c>
      <c r="L527" s="34" cm="1">
        <f t="array" ref="L527">IFERROR(_xlfn.LET(_xlpm.e,E527,_xlpm.f,F527,_xlpm.h,H527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0.64284183709911669</v>
      </c>
      <c r="M527" s="15" cm="1">
        <f t="array" ref="M527">IFERROR(_xlfn.LET(_xlpm.e,E527,_xlpm.f,F527,_xlpm.h,H527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527" s="15" cm="1">
        <f t="array" ref="N527">IFERROR(_xlfn.LET(_xlpm.e,E527,_xlpm.f,F527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527" s="15" t="str">
        <f t="shared" si="65"/>
        <v>2.5 days → 1.5 days</v>
      </c>
      <c r="P527" s="34" cm="1">
        <f t="array" ref="P527">IFERROR(_xlfn.LET(_xlpm.g,G527,_xlpm.f,F527,_xlpm.h,H527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0.39998400063997436</v>
      </c>
      <c r="Q527" s="15" t="str" cm="1">
        <f t="array" ref="Q527">IFERROR(_xlfn.LET(_xlpm.e,E527,_xlpm.g,G527,_xlpm.h,H527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7" s="15" t="str">
        <f t="shared" si="66"/>
        <v>🔴 Lagging</v>
      </c>
      <c r="S527" s="35" cm="1">
        <f t="array" ref="S527">IFERROR(_xlfn.LET(_xlpm.e,E527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527" s="36">
        <f t="shared" si="67"/>
        <v>64.284183709911673</v>
      </c>
      <c r="U527" s="15">
        <f t="shared" si="68"/>
        <v>116</v>
      </c>
      <c r="V527" s="16">
        <f t="shared" si="69"/>
        <v>376.94477512440181</v>
      </c>
      <c r="W527" s="16">
        <f t="shared" si="70"/>
        <v>937.40586450921944</v>
      </c>
      <c r="X527" s="37">
        <f t="shared" si="71"/>
        <v>228</v>
      </c>
      <c r="Y527" s="15" t="str">
        <f t="shared" si="72"/>
        <v>🔥 Critical</v>
      </c>
    </row>
    <row r="528" spans="1:25" x14ac:dyDescent="0.2">
      <c r="A528" t="str">
        <f>'5. KPI Baselines'!A513</f>
        <v>Splash Car Wash</v>
      </c>
      <c r="B528" t="str">
        <f>'5. KPI Baselines'!B513</f>
        <v>Real Estate Development</v>
      </c>
      <c r="C528" t="str">
        <f>'5. KPI Baselines'!C513</f>
        <v>Site Selection</v>
      </c>
      <c r="D528" t="str">
        <f>'5. KPI Baselines'!D513</f>
        <v>New Location Payback Period</v>
      </c>
      <c r="E528" t="str">
        <f>'5. KPI Baselines'!E513</f>
        <v>24 months</v>
      </c>
      <c r="F528" t="str">
        <f>'5. KPI Baselines'!F513</f>
        <v>18 months</v>
      </c>
      <c r="G528" t="str">
        <f>'5. KPI Baselines'!G513</f>
        <v>20 months</v>
      </c>
      <c r="H528" t="str">
        <f>'5. KPI Baselines'!H513</f>
        <v>↓</v>
      </c>
      <c r="I528" t="str">
        <f>'5. KPI Baselines'!I513</f>
        <v>24 months</v>
      </c>
      <c r="J528" t="str">
        <f>'5. KPI Baselines'!J513</f>
        <v>Initial investment / Average monthly net cash flow</v>
      </c>
      <c r="K528" s="15" t="str">
        <f t="shared" si="64"/>
        <v>24 months → 18 months</v>
      </c>
      <c r="L528" s="34" cm="1">
        <f t="array" ref="L528">IFERROR(_xlfn.LET(_xlpm.e,E528,_xlpm.f,F528,_xlpm.h,H528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0.2499989583376736</v>
      </c>
      <c r="M528" s="15" cm="1">
        <f t="array" ref="M528">IFERROR(_xlfn.LET(_xlpm.e,E528,_xlpm.f,F528,_xlpm.h,H528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18.899999999999999</v>
      </c>
      <c r="N528" s="15" cm="1">
        <f t="array" ref="N528">IFERROR(_xlfn.LET(_xlpm.e,E528,_xlpm.f,F528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528" s="15" t="str">
        <f t="shared" si="65"/>
        <v>20 months → 18 months</v>
      </c>
      <c r="P528" s="34" cm="1">
        <f t="array" ref="P528">IFERROR(_xlfn.LET(_xlpm.g,G528,_xlpm.f,F528,_xlpm.h,H528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9.9999500002499991E-2</v>
      </c>
      <c r="Q528" s="15" t="str" cm="1">
        <f t="array" ref="Q528">IFERROR(_xlfn.LET(_xlpm.e,E528,_xlpm.g,G528,_xlpm.h,H528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8" s="15" t="str">
        <f t="shared" si="66"/>
        <v>🔴 Lagging</v>
      </c>
      <c r="S528" s="35" cm="1">
        <f t="array" ref="S528">IFERROR(_xlfn.LET(_xlpm.e,E528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24</v>
      </c>
      <c r="T528" s="36">
        <f t="shared" si="67"/>
        <v>24.999895833767361</v>
      </c>
      <c r="U528" s="15">
        <f t="shared" si="68"/>
        <v>424</v>
      </c>
      <c r="V528" s="16">
        <f t="shared" si="69"/>
        <v>837.67150970204295</v>
      </c>
      <c r="W528" s="16">
        <f t="shared" si="70"/>
        <v>2083.1650616932866</v>
      </c>
      <c r="X528" s="37">
        <f t="shared" si="71"/>
        <v>104</v>
      </c>
      <c r="Y528" s="15" t="str">
        <f t="shared" si="72"/>
        <v>📊 Medium</v>
      </c>
    </row>
    <row r="529" spans="1:25" x14ac:dyDescent="0.2">
      <c r="A529" t="str">
        <f>'5. KPI Baselines'!A514</f>
        <v>Splash Car Wash</v>
      </c>
      <c r="B529" t="str">
        <f>'5. KPI Baselines'!B514</f>
        <v>Finance</v>
      </c>
      <c r="C529" t="str">
        <f>'5. KPI Baselines'!C514</f>
        <v>Payment Processing</v>
      </c>
      <c r="D529" t="str">
        <f>'5. KPI Baselines'!D514</f>
        <v>Failed Payment Recovery Rate</v>
      </c>
      <c r="E529" t="str">
        <f>'5. KPI Baselines'!E514</f>
        <v>42%</v>
      </c>
      <c r="F529" t="str">
        <f>'5. KPI Baselines'!F514</f>
        <v>62%</v>
      </c>
      <c r="G529" t="str">
        <f>'5. KPI Baselines'!G514</f>
        <v>58%</v>
      </c>
      <c r="H529" t="str">
        <f>'5. KPI Baselines'!H514</f>
        <v>↑</v>
      </c>
      <c r="I529" t="str">
        <f>'5. KPI Baselines'!I514</f>
        <v>12 months</v>
      </c>
      <c r="J529" t="str">
        <f>'5. KPI Baselines'!J514</f>
        <v>Recovered failed payments / Total failed payment attempts</v>
      </c>
      <c r="K529" s="15" t="str">
        <f t="shared" si="64"/>
        <v>62% - 42%</v>
      </c>
      <c r="L529" s="34" cm="1">
        <f t="array" ref="L529">IFERROR(_xlfn.LET(_xlpm.e,E529,_xlpm.f,F529,_xlpm.h,H529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0.47618934240632754</v>
      </c>
      <c r="M529" s="15" cm="1">
        <f t="array" ref="M529">IFERROR(_xlfn.LET(_xlpm.e,E529,_xlpm.f,F529,_xlpm.h,H529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59</v>
      </c>
      <c r="N529" s="15" cm="1">
        <f t="array" ref="N529">IFERROR(_xlfn.LET(_xlpm.e,E529,_xlpm.f,F529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15.3</v>
      </c>
      <c r="O529" s="15" t="str">
        <f t="shared" si="65"/>
        <v>62% - 58%</v>
      </c>
      <c r="P529" s="34" cm="1">
        <f t="array" ref="P529">IFERROR(_xlfn.LET(_xlpm.g,G529,_xlpm.f,F529,_xlpm.h,H529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6.8965398335520109E-2</v>
      </c>
      <c r="Q529" s="15" t="str" cm="1">
        <f t="array" ref="Q529">IFERROR(_xlfn.LET(_xlpm.e,E529,_xlpm.g,G529,_xlpm.h,H529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29" s="15" t="str">
        <f t="shared" si="66"/>
        <v>🔴 Lagging</v>
      </c>
      <c r="S529" s="35" cm="1">
        <f t="array" ref="S529">IFERROR(_xlfn.LET(_xlpm.e,E529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529" s="36">
        <f t="shared" si="67"/>
        <v>47.618934240632754</v>
      </c>
      <c r="U529" s="15">
        <f t="shared" si="68"/>
        <v>256</v>
      </c>
      <c r="V529" s="16">
        <f t="shared" si="69"/>
        <v>2792.2433518015428</v>
      </c>
      <c r="W529" s="16">
        <f t="shared" si="70"/>
        <v>6943.895938740131</v>
      </c>
      <c r="X529" s="37">
        <f t="shared" si="71"/>
        <v>31</v>
      </c>
      <c r="Y529" s="15" t="str">
        <f t="shared" si="72"/>
        <v>⚠️ High</v>
      </c>
    </row>
    <row r="530" spans="1:25" x14ac:dyDescent="0.2">
      <c r="A530" t="str">
        <f>'5. KPI Baselines'!A515</f>
        <v>Splash Car Wash</v>
      </c>
      <c r="B530" t="str">
        <f>'5. KPI Baselines'!B515</f>
        <v>Marketing</v>
      </c>
      <c r="C530" t="str">
        <f>'5. KPI Baselines'!C515</f>
        <v>Campaign Effectiveness</v>
      </c>
      <c r="D530" t="str">
        <f>'5. KPI Baselines'!D515</f>
        <v>Cost per New Membership Acquisition</v>
      </c>
      <c r="E530" t="str">
        <f>'5. KPI Baselines'!E515</f>
        <v>$47</v>
      </c>
      <c r="F530" t="str">
        <f>'5. KPI Baselines'!F515</f>
        <v>$32</v>
      </c>
      <c r="G530" t="str">
        <f>'5. KPI Baselines'!G515</f>
        <v>$38</v>
      </c>
      <c r="H530" t="str">
        <f>'5. KPI Baselines'!H515</f>
        <v>↓</v>
      </c>
      <c r="I530" t="str">
        <f>'5. KPI Baselines'!I515</f>
        <v>12 months</v>
      </c>
      <c r="J530" t="str">
        <f>'5. KPI Baselines'!J515</f>
        <v>Total marketing spend / New memberships acquired</v>
      </c>
      <c r="K530" s="15" t="str">
        <f t="shared" ref="K530:K593" si="73">IFERROR(IF(OR(E530="",F530=""),"-",IF(H530="↓",E530&amp;" → "&amp;F530,F530&amp;" - "&amp;E530)),"-")</f>
        <v>$47 → $32</v>
      </c>
      <c r="L530" s="34" cm="1">
        <f t="array" ref="L530">IFERROR(_xlfn.LET(_xlpm.e,E530,_xlpm.f,F530,_xlpm.h,H530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0.3191482571313678</v>
      </c>
      <c r="M530" s="15" cm="1">
        <f t="array" ref="M530">IFERROR(_xlfn.LET(_xlpm.e,E530,_xlpm.f,F530,_xlpm.h,H530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34.299999999999997</v>
      </c>
      <c r="N530" s="15" cm="1">
        <f t="array" ref="N530">IFERROR(_xlfn.LET(_xlpm.e,E530,_xlpm.f,F530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530" s="15" t="str">
        <f t="shared" ref="O530:O593" si="74">IFERROR(IF(OR(G530="",G530="Not Available",F530=""),"-",IF(H530="↓",G530&amp;" → "&amp;F530,F530&amp;" - "&amp;G530)),"-")</f>
        <v>$38 → $32</v>
      </c>
      <c r="P530" s="34" cm="1">
        <f t="array" ref="P530">IFERROR(_xlfn.LET(_xlpm.g,G530,_xlpm.f,F530,_xlpm.h,H530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0.15789432133073333</v>
      </c>
      <c r="Q530" s="15" t="str" cm="1">
        <f t="array" ref="Q530">IFERROR(_xlfn.LET(_xlpm.e,E530,_xlpm.g,G530,_xlpm.h,H530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0" s="15" t="str">
        <f t="shared" ref="R530:R593" si="75">IFERROR(IF(Q530="Below Industry","🔴 Lagging",IF(Q530="Above Industry","🟢 Leading","⚪ N/A")),"⚪ N/A")</f>
        <v>🔴 Lagging</v>
      </c>
      <c r="S530" s="35" cm="1">
        <f t="array" ref="S530">IFERROR(_xlfn.LET(_xlpm.e,E530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530" s="36">
        <f t="shared" ref="T530:T593" si="76">IFERROR(IF(L530="-",0,ABS(L530)*100),0)</f>
        <v>31.914825713136779</v>
      </c>
      <c r="U530" s="15">
        <f t="shared" ref="U530:U593" si="77">IFERROR(RANK(T530,$T$17:$T$662,0),"-")</f>
        <v>379</v>
      </c>
      <c r="V530" s="16">
        <f t="shared" ref="V530:V593" si="78">IFERROR(IF(OR(L530="-",S530=0),0,S530*ABS(L530)*$F$9*$B$5*$B$7),0)</f>
        <v>2094.1830442913952</v>
      </c>
      <c r="W530" s="16">
        <f t="shared" ref="W530:W593" si="79">IFERROR(IF(V530=0,0,V530*(1-(1/(1+$B$11)^$B$10))/$B$11),0)</f>
        <v>5207.92327318146</v>
      </c>
      <c r="X530" s="37">
        <f t="shared" ref="X530:X593" si="80">IFERROR(IF(V530=0,"-",ROUND(12/(V530/($F$9*40)+0.001),0)),"-")</f>
        <v>42</v>
      </c>
      <c r="Y530" s="15" t="str">
        <f t="shared" ref="Y530:Y593" si="81">IF(T530&gt;=50,"🔥 Critical",IF(T530&gt;=25,"⚠️ High",IF(T530&gt;=10,"📊 Medium","📉 Low")))</f>
        <v>⚠️ High</v>
      </c>
    </row>
    <row r="531" spans="1:25" x14ac:dyDescent="0.2">
      <c r="A531" t="str">
        <f>'5. KPI Baselines'!A516</f>
        <v>The Lifetime Value Co</v>
      </c>
      <c r="B531" t="str">
        <f>'5. KPI Baselines'!B516</f>
        <v>Data Engineering</v>
      </c>
      <c r="C531" t="str">
        <f>'5. KPI Baselines'!C516</f>
        <v>Schema Mapping</v>
      </c>
      <c r="D531" t="str">
        <f>'5. KPI Baselines'!D516</f>
        <v>Hours per client implementation</v>
      </c>
      <c r="E531" t="str">
        <f>'5. KPI Baselines'!E516</f>
        <v>340 hours</v>
      </c>
      <c r="F531" t="str">
        <f>'5. KPI Baselines'!F516</f>
        <v>85 hours</v>
      </c>
      <c r="G531" t="str">
        <f>'5. KPI Baselines'!G516</f>
        <v>95 hours</v>
      </c>
      <c r="H531" t="str">
        <f>'5. KPI Baselines'!H516</f>
        <v>↓</v>
      </c>
      <c r="I531" t="str">
        <f>'5. KPI Baselines'!I516</f>
        <v>12 months</v>
      </c>
      <c r="J531" t="str">
        <f>'5. KPI Baselines'!J516</f>
        <v>Project tracking system time logs</v>
      </c>
      <c r="K531" s="15" t="str">
        <f t="shared" si="73"/>
        <v>340 hours → 85 hours</v>
      </c>
      <c r="L531" s="34" cm="1">
        <f t="array" ref="L531">IFERROR(_xlfn.LET(_xlpm.e,E531,_xlpm.f,F531,_xlpm.h,H531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0.7499997794118296</v>
      </c>
      <c r="M531" s="15" cm="1">
        <f t="array" ref="M531">IFERROR(_xlfn.LET(_xlpm.e,E531,_xlpm.f,F531,_xlpm.h,H531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123.3</v>
      </c>
      <c r="N531" s="15" cm="1">
        <f t="array" ref="N531">IFERROR(_xlfn.LET(_xlpm.e,E531,_xlpm.f,F531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195.08</v>
      </c>
      <c r="O531" s="15" t="str">
        <f t="shared" si="74"/>
        <v>95 hours → 85 hours</v>
      </c>
      <c r="P531" s="34" cm="1">
        <f t="array" ref="P531">IFERROR(_xlfn.LET(_xlpm.g,G531,_xlpm.f,F531,_xlpm.h,H531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0.10526304709152938</v>
      </c>
      <c r="Q531" s="15" t="str" cm="1">
        <f t="array" ref="Q531">IFERROR(_xlfn.LET(_xlpm.e,E531,_xlpm.g,G531,_xlpm.h,H531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1" s="15" t="str">
        <f t="shared" si="75"/>
        <v>🔴 Lagging</v>
      </c>
      <c r="S531" s="35" cm="1">
        <f t="array" ref="S531">IFERROR(_xlfn.LET(_xlpm.e,E531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340</v>
      </c>
      <c r="T531" s="36">
        <f t="shared" si="76"/>
        <v>74.999977941182962</v>
      </c>
      <c r="U531" s="15">
        <f t="shared" si="77"/>
        <v>51</v>
      </c>
      <c r="V531" s="16">
        <f t="shared" si="78"/>
        <v>35601.177029065584</v>
      </c>
      <c r="W531" s="16">
        <f t="shared" si="79"/>
        <v>88534.857976113592</v>
      </c>
      <c r="X531" s="37">
        <f t="shared" si="80"/>
        <v>2</v>
      </c>
      <c r="Y531" s="15" t="str">
        <f t="shared" si="81"/>
        <v>🔥 Critical</v>
      </c>
    </row>
    <row r="532" spans="1:25" x14ac:dyDescent="0.2">
      <c r="A532" t="str">
        <f>'5. KPI Baselines'!A517</f>
        <v>The Lifetime Value Co</v>
      </c>
      <c r="B532" t="str">
        <f>'5. KPI Baselines'!B517</f>
        <v>Data Engineering</v>
      </c>
      <c r="C532" t="str">
        <f>'5. KPI Baselines'!C517</f>
        <v>Data Quality</v>
      </c>
      <c r="D532" t="str">
        <f>'5. KPI Baselines'!D517</f>
        <v>Data validation errors per million records</v>
      </c>
      <c r="E532" t="str">
        <f>'5. KPI Baselines'!E517</f>
        <v>2,340 errors</v>
      </c>
      <c r="F532" t="str">
        <f>'5. KPI Baselines'!F517</f>
        <v>680 errors</v>
      </c>
      <c r="G532" t="str">
        <f>'5. KPI Baselines'!G517</f>
        <v>450 errors</v>
      </c>
      <c r="H532" t="str">
        <f>'5. KPI Baselines'!H517</f>
        <v>↓</v>
      </c>
      <c r="I532" t="str">
        <f>'5. KPI Baselines'!I517</f>
        <v>9 months</v>
      </c>
      <c r="J532" t="str">
        <f>'5. KPI Baselines'!J517</f>
        <v>Automated quality monitoring dashboards</v>
      </c>
      <c r="K532" s="15" t="str">
        <f t="shared" si="73"/>
        <v>2,340 errors → 680 errors</v>
      </c>
      <c r="L532" s="34" t="str" cm="1">
        <f t="array" ref="L532">IFERROR(_xlfn.LET(_xlpm.e,E532,_xlpm.f,F532,_xlpm.h,H532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32" s="15" t="str" cm="1">
        <f t="array" ref="M532">IFERROR(_xlfn.LET(_xlpm.e,E532,_xlpm.f,F532,_xlpm.h,H532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32" s="15" t="str" cm="1">
        <f t="array" ref="N532">IFERROR(_xlfn.LET(_xlpm.e,E532,_xlpm.f,F532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32" s="15" t="str">
        <f t="shared" si="74"/>
        <v>450 errors → 680 errors</v>
      </c>
      <c r="P532" s="34" t="str" cm="1">
        <f t="array" ref="P532">IFERROR(_xlfn.LET(_xlpm.g,G532,_xlpm.f,F532,_xlpm.h,H532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32" s="15" t="str" cm="1">
        <f t="array" ref="Q532">IFERROR(_xlfn.LET(_xlpm.e,E532,_xlpm.g,G532,_xlpm.h,H532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32" s="15" t="str">
        <f t="shared" si="75"/>
        <v>⚪ N/A</v>
      </c>
      <c r="S532" s="35" cm="1">
        <f t="array" ref="S532">IFERROR(_xlfn.LET(_xlpm.e,E532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32" s="36">
        <f t="shared" si="76"/>
        <v>0</v>
      </c>
      <c r="U532" s="15">
        <f t="shared" si="77"/>
        <v>554</v>
      </c>
      <c r="V532" s="16">
        <f t="shared" si="78"/>
        <v>0</v>
      </c>
      <c r="W532" s="16">
        <f t="shared" si="79"/>
        <v>0</v>
      </c>
      <c r="X532" s="37" t="str">
        <f t="shared" si="80"/>
        <v>-</v>
      </c>
      <c r="Y532" s="15" t="str">
        <f t="shared" si="81"/>
        <v>📉 Low</v>
      </c>
    </row>
    <row r="533" spans="1:25" x14ac:dyDescent="0.2">
      <c r="A533" t="str">
        <f>'5. KPI Baselines'!A518</f>
        <v>The Lifetime Value Co</v>
      </c>
      <c r="B533" t="str">
        <f>'5. KPI Baselines'!B518</f>
        <v>Client Success</v>
      </c>
      <c r="C533" t="str">
        <f>'5. KPI Baselines'!C518</f>
        <v>Reporting</v>
      </c>
      <c r="D533" t="str">
        <f>'5. KPI Baselines'!D518</f>
        <v>Hours per monthly client report</v>
      </c>
      <c r="E533" t="str">
        <f>'5. KPI Baselines'!E518</f>
        <v>18 hours</v>
      </c>
      <c r="F533" t="str">
        <f>'5. KPI Baselines'!F518</f>
        <v>5.5 hours</v>
      </c>
      <c r="G533" t="str">
        <f>'5. KPI Baselines'!G518</f>
        <v>4.2 hours</v>
      </c>
      <c r="H533" t="str">
        <f>'5. KPI Baselines'!H518</f>
        <v>↓</v>
      </c>
      <c r="I533" t="str">
        <f>'5. KPI Baselines'!I518</f>
        <v>6 months</v>
      </c>
      <c r="J533" t="str">
        <f>'5. KPI Baselines'!J518</f>
        <v>Time tracking in client success platform</v>
      </c>
      <c r="K533" s="15" t="str">
        <f t="shared" si="73"/>
        <v>18 hours → 5.5 hours</v>
      </c>
      <c r="L533" s="34" cm="1">
        <f t="array" ref="L533">IFERROR(_xlfn.LET(_xlpm.e,E533,_xlpm.f,F533,_xlpm.h,H533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0.69444058644118645</v>
      </c>
      <c r="M533" s="15" cm="1">
        <f t="array" ref="M533">IFERROR(_xlfn.LET(_xlpm.e,E533,_xlpm.f,F533,_xlpm.h,H533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7.4</v>
      </c>
      <c r="N533" s="15" cm="1">
        <f t="array" ref="N533">IFERROR(_xlfn.LET(_xlpm.e,E533,_xlpm.f,F533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9.56</v>
      </c>
      <c r="O533" s="15" t="str">
        <f t="shared" si="74"/>
        <v>4.2 hours → 5.5 hours</v>
      </c>
      <c r="P533" s="34" cm="1">
        <f t="array" ref="P533">IFERROR(_xlfn.LET(_xlpm.g,G533,_xlpm.f,F533,_xlpm.h,H533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-0.30951644008475987</v>
      </c>
      <c r="Q533" s="15" t="str" cm="1">
        <f t="array" ref="Q533">IFERROR(_xlfn.LET(_xlpm.e,E533,_xlpm.g,G533,_xlpm.h,H533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3" s="15" t="str">
        <f t="shared" si="75"/>
        <v>🔴 Lagging</v>
      </c>
      <c r="S533" s="35" cm="1">
        <f t="array" ref="S533">IFERROR(_xlfn.LET(_xlpm.e,E533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33" s="36">
        <f t="shared" si="76"/>
        <v>69.444058644118641</v>
      </c>
      <c r="U533" s="15">
        <f t="shared" si="77"/>
        <v>83</v>
      </c>
      <c r="V533" s="16">
        <f t="shared" si="78"/>
        <v>1745.1465547413625</v>
      </c>
      <c r="W533" s="16">
        <f t="shared" si="79"/>
        <v>4339.9211842178174</v>
      </c>
      <c r="X533" s="37">
        <f t="shared" si="80"/>
        <v>50</v>
      </c>
      <c r="Y533" s="15" t="str">
        <f t="shared" si="81"/>
        <v>🔥 Critical</v>
      </c>
    </row>
    <row r="534" spans="1:25" x14ac:dyDescent="0.2">
      <c r="A534" t="str">
        <f>'5. KPI Baselines'!A519</f>
        <v>The Lifetime Value Co</v>
      </c>
      <c r="B534" t="str">
        <f>'5. KPI Baselines'!B519</f>
        <v>Client Success</v>
      </c>
      <c r="C534" t="str">
        <f>'5. KPI Baselines'!C519</f>
        <v>Ad Hoc Analysis</v>
      </c>
      <c r="D534" t="str">
        <f>'5. KPI Baselines'!D519</f>
        <v>Response time to client requests (days)</v>
      </c>
      <c r="E534" t="str">
        <f>'5. KPI Baselines'!E519</f>
        <v>6.8 days</v>
      </c>
      <c r="F534" t="str">
        <f>'5. KPI Baselines'!F519</f>
        <v>2.5 days</v>
      </c>
      <c r="G534" t="str">
        <f>'5. KPI Baselines'!G519</f>
        <v>2.1 days</v>
      </c>
      <c r="H534" t="str">
        <f>'5. KPI Baselines'!H519</f>
        <v>↓</v>
      </c>
      <c r="I534" t="str">
        <f>'5. KPI Baselines'!I519</f>
        <v>6 months</v>
      </c>
      <c r="J534" t="str">
        <f>'5. KPI Baselines'!J519</f>
        <v>Ticket resolution timestamps</v>
      </c>
      <c r="K534" s="15" t="str">
        <f t="shared" si="73"/>
        <v>6.8 days → 2.5 days</v>
      </c>
      <c r="L534" s="34" cm="1">
        <f t="array" ref="L534">IFERROR(_xlfn.LET(_xlpm.e,E534,_xlpm.f,F534,_xlpm.h,H534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0.63234364200526461</v>
      </c>
      <c r="M534" s="15" cm="1">
        <f t="array" ref="M534">IFERROR(_xlfn.LET(_xlpm.e,E534,_xlpm.f,F534,_xlpm.h,H534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3.1</v>
      </c>
      <c r="N534" s="15" cm="1">
        <f t="array" ref="N534">IFERROR(_xlfn.LET(_xlpm.e,E534,_xlpm.f,F534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3.29</v>
      </c>
      <c r="O534" s="15" t="str">
        <f t="shared" si="74"/>
        <v>2.1 days → 2.5 days</v>
      </c>
      <c r="P534" s="34" cm="1">
        <f t="array" ref="P534">IFERROR(_xlfn.LET(_xlpm.g,G534,_xlpm.f,F534,_xlpm.h,H534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-0.19046712061330406</v>
      </c>
      <c r="Q534" s="15" t="str" cm="1">
        <f t="array" ref="Q534">IFERROR(_xlfn.LET(_xlpm.e,E534,_xlpm.g,G534,_xlpm.h,H534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4" s="15" t="str">
        <f t="shared" si="75"/>
        <v>🔴 Lagging</v>
      </c>
      <c r="S534" s="35" cm="1">
        <f t="array" ref="S534">IFERROR(_xlfn.LET(_xlpm.e,E534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6.8</v>
      </c>
      <c r="T534" s="36">
        <f t="shared" si="76"/>
        <v>63.234364200526457</v>
      </c>
      <c r="U534" s="15">
        <f t="shared" si="77"/>
        <v>126</v>
      </c>
      <c r="V534" s="16">
        <f t="shared" si="78"/>
        <v>600.32492169232796</v>
      </c>
      <c r="W534" s="16">
        <f t="shared" si="79"/>
        <v>1492.9192267480144</v>
      </c>
      <c r="X534" s="37">
        <f t="shared" si="80"/>
        <v>144</v>
      </c>
      <c r="Y534" s="15" t="str">
        <f t="shared" si="81"/>
        <v>🔥 Critical</v>
      </c>
    </row>
    <row r="535" spans="1:25" x14ac:dyDescent="0.2">
      <c r="A535" t="str">
        <f>'5. KPI Baselines'!A520</f>
        <v>The Lifetime Value Co</v>
      </c>
      <c r="B535" t="str">
        <f>'5. KPI Baselines'!B520</f>
        <v>Data Science</v>
      </c>
      <c r="C535" t="str">
        <f>'5. KPI Baselines'!C520</f>
        <v>Model Development</v>
      </c>
      <c r="D535" t="str">
        <f>'5. KPI Baselines'!D520</f>
        <v>Time-to-market for new models (months)</v>
      </c>
      <c r="E535" t="str">
        <f>'5. KPI Baselines'!E520</f>
        <v>8.0 months</v>
      </c>
      <c r="F535" t="str">
        <f>'5. KPI Baselines'!F520</f>
        <v>3.5 months</v>
      </c>
      <c r="G535" t="str">
        <f>'5. KPI Baselines'!G520</f>
        <v>3.2 months</v>
      </c>
      <c r="H535" t="str">
        <f>'5. KPI Baselines'!H520</f>
        <v>↓</v>
      </c>
      <c r="I535" t="str">
        <f>'5. KPI Baselines'!I520</f>
        <v>15 months</v>
      </c>
      <c r="J535" t="str">
        <f>'5. KPI Baselines'!J520</f>
        <v>Feature release calendar tracking</v>
      </c>
      <c r="K535" s="15" t="str">
        <f t="shared" si="73"/>
        <v>8.0 months → 3.5 months</v>
      </c>
      <c r="L535" s="34" cm="1">
        <f t="array" ref="L535">IFERROR(_xlfn.LET(_xlpm.e,E535,_xlpm.f,F535,_xlpm.h,H535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0.56249296883788957</v>
      </c>
      <c r="M535" s="15" cm="1">
        <f t="array" ref="M535">IFERROR(_xlfn.LET(_xlpm.e,E535,_xlpm.f,F535,_xlpm.h,H535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4.2</v>
      </c>
      <c r="N535" s="15" cm="1">
        <f t="array" ref="N535">IFERROR(_xlfn.LET(_xlpm.e,E535,_xlpm.f,F535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3.44</v>
      </c>
      <c r="O535" s="15" t="str">
        <f t="shared" si="74"/>
        <v>3.2 months → 3.5 months</v>
      </c>
      <c r="P535" s="34" cm="1">
        <f t="array" ref="P535">IFERROR(_xlfn.LET(_xlpm.g,G535,_xlpm.f,F535,_xlpm.h,H535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-9.3747070404049809E-2</v>
      </c>
      <c r="Q535" s="15" t="str" cm="1">
        <f t="array" ref="Q535">IFERROR(_xlfn.LET(_xlpm.e,E535,_xlpm.g,G535,_xlpm.h,H535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5" s="15" t="str">
        <f t="shared" si="75"/>
        <v>🔴 Lagging</v>
      </c>
      <c r="S535" s="35" cm="1">
        <f t="array" ref="S535">IFERROR(_xlfn.LET(_xlpm.e,E535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535" s="36">
        <f t="shared" si="76"/>
        <v>56.249296883788958</v>
      </c>
      <c r="U535" s="15">
        <f t="shared" si="77"/>
        <v>181</v>
      </c>
      <c r="V535" s="16">
        <f t="shared" si="78"/>
        <v>628.24839689503892</v>
      </c>
      <c r="W535" s="16">
        <f t="shared" si="79"/>
        <v>1562.360776651075</v>
      </c>
      <c r="X535" s="37">
        <f t="shared" si="80"/>
        <v>138</v>
      </c>
      <c r="Y535" s="15" t="str">
        <f t="shared" si="81"/>
        <v>🔥 Critical</v>
      </c>
    </row>
    <row r="536" spans="1:25" x14ac:dyDescent="0.2">
      <c r="A536" t="str">
        <f>'5. KPI Baselines'!A521</f>
        <v>The Lifetime Value Co</v>
      </c>
      <c r="B536" t="str">
        <f>'5. KPI Baselines'!B521</f>
        <v>Data Science</v>
      </c>
      <c r="C536" t="str">
        <f>'5. KPI Baselines'!C521</f>
        <v>Model Documentation</v>
      </c>
      <c r="D536" t="str">
        <f>'5. KPI Baselines'!D521</f>
        <v>Hours per model documentation update</v>
      </c>
      <c r="E536" t="str">
        <f>'5. KPI Baselines'!E521</f>
        <v>27 hours</v>
      </c>
      <c r="F536" t="str">
        <f>'5. KPI Baselines'!F521</f>
        <v>8 hours</v>
      </c>
      <c r="G536" t="str">
        <f>'5. KPI Baselines'!G521</f>
        <v>6.5 hours</v>
      </c>
      <c r="H536" t="str">
        <f>'5. KPI Baselines'!H521</f>
        <v>↓</v>
      </c>
      <c r="I536" t="str">
        <f>'5. KPI Baselines'!I521</f>
        <v>9 months</v>
      </c>
      <c r="J536" t="str">
        <f>'5. KPI Baselines'!J521</f>
        <v>Documentation version control timestamps</v>
      </c>
      <c r="K536" s="15" t="str">
        <f t="shared" si="73"/>
        <v>27 hours → 8 hours</v>
      </c>
      <c r="L536" s="34" cm="1">
        <f t="array" ref="L536">IFERROR(_xlfn.LET(_xlpm.e,E536,_xlpm.f,F536,_xlpm.h,H536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0.70370109740334297</v>
      </c>
      <c r="M536" s="15" cm="1">
        <f t="array" ref="M536">IFERROR(_xlfn.LET(_xlpm.e,E536,_xlpm.f,F536,_xlpm.h,H536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10.9</v>
      </c>
      <c r="N536" s="15" cm="1">
        <f t="array" ref="N536">IFERROR(_xlfn.LET(_xlpm.e,E536,_xlpm.f,F536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536" s="15" t="str">
        <f t="shared" si="74"/>
        <v>6.5 hours → 8 hours</v>
      </c>
      <c r="P536" s="34" cm="1">
        <f t="array" ref="P536">IFERROR(_xlfn.LET(_xlpm.g,G536,_xlpm.f,F536,_xlpm.h,H536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-0.23076568052799187</v>
      </c>
      <c r="Q536" s="15" t="str" cm="1">
        <f t="array" ref="Q536">IFERROR(_xlfn.LET(_xlpm.e,E536,_xlpm.g,G536,_xlpm.h,H536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6" s="15" t="str">
        <f t="shared" si="75"/>
        <v>🔴 Lagging</v>
      </c>
      <c r="S536" s="35" cm="1">
        <f t="array" ref="S536">IFERROR(_xlfn.LET(_xlpm.e,E536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27</v>
      </c>
      <c r="T536" s="36">
        <f t="shared" si="76"/>
        <v>70.3701097403343</v>
      </c>
      <c r="U536" s="15">
        <f t="shared" si="77"/>
        <v>82</v>
      </c>
      <c r="V536" s="16">
        <f t="shared" si="78"/>
        <v>2652.6276754530541</v>
      </c>
      <c r="W536" s="16">
        <f t="shared" si="79"/>
        <v>6596.6924160402832</v>
      </c>
      <c r="X536" s="37">
        <f t="shared" si="80"/>
        <v>33</v>
      </c>
      <c r="Y536" s="15" t="str">
        <f t="shared" si="81"/>
        <v>🔥 Critical</v>
      </c>
    </row>
    <row r="537" spans="1:25" x14ac:dyDescent="0.2">
      <c r="A537" t="str">
        <f>'5. KPI Baselines'!A522</f>
        <v>The Lifetime Value Co</v>
      </c>
      <c r="B537" t="str">
        <f>'5. KPI Baselines'!B522</f>
        <v>Sales Engineering</v>
      </c>
      <c r="C537" t="str">
        <f>'5. KPI Baselines'!C522</f>
        <v>Pre-Sales Analysis</v>
      </c>
      <c r="D537" t="str">
        <f>'5. KPI Baselines'!D522</f>
        <v>Hours per prospect demo preparation</v>
      </c>
      <c r="E537" t="str">
        <f>'5. KPI Baselines'!E522</f>
        <v>23 hours</v>
      </c>
      <c r="F537" t="str">
        <f>'5. KPI Baselines'!F522</f>
        <v>9 hours</v>
      </c>
      <c r="G537" t="str">
        <f>'5. KPI Baselines'!G522</f>
        <v>8.5 hours</v>
      </c>
      <c r="H537" t="str">
        <f>'5. KPI Baselines'!H522</f>
        <v>↓</v>
      </c>
      <c r="I537" t="str">
        <f>'5. KPI Baselines'!I522</f>
        <v>6 months</v>
      </c>
      <c r="J537" t="str">
        <f>'5. KPI Baselines'!J522</f>
        <v>CRM activity logs</v>
      </c>
      <c r="K537" s="15" t="str">
        <f t="shared" si="73"/>
        <v>23 hours → 9 hours</v>
      </c>
      <c r="L537" s="34" cm="1">
        <f t="array" ref="L537">IFERROR(_xlfn.LET(_xlpm.e,E537,_xlpm.f,F537,_xlpm.h,H537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0.608693005682584</v>
      </c>
      <c r="M537" s="15" cm="1">
        <f t="array" ref="M537">IFERROR(_xlfn.LET(_xlpm.e,E537,_xlpm.f,F537,_xlpm.h,H537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11.1</v>
      </c>
      <c r="N537" s="15" cm="1">
        <f t="array" ref="N537">IFERROR(_xlfn.LET(_xlpm.e,E537,_xlpm.f,F537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537" s="15" t="str">
        <f t="shared" si="74"/>
        <v>8.5 hours → 9 hours</v>
      </c>
      <c r="P537" s="34" cm="1">
        <f t="array" ref="P537">IFERROR(_xlfn.LET(_xlpm.g,G537,_xlpm.f,F537,_xlpm.h,H537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-5.8822837378383785E-2</v>
      </c>
      <c r="Q537" s="15" t="str" cm="1">
        <f t="array" ref="Q537">IFERROR(_xlfn.LET(_xlpm.e,E537,_xlpm.g,G537,_xlpm.h,H537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7" s="15" t="str">
        <f t="shared" si="75"/>
        <v>🔴 Lagging</v>
      </c>
      <c r="S537" s="35" cm="1">
        <f t="array" ref="S537">IFERROR(_xlfn.LET(_xlpm.e,E537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537" s="36">
        <f t="shared" si="76"/>
        <v>60.869300568258403</v>
      </c>
      <c r="U537" s="15">
        <f t="shared" si="77"/>
        <v>148</v>
      </c>
      <c r="V537" s="16">
        <f t="shared" si="78"/>
        <v>1954.5665018847742</v>
      </c>
      <c r="W537" s="16">
        <f t="shared" si="79"/>
        <v>4860.7175967232215</v>
      </c>
      <c r="X537" s="37">
        <f t="shared" si="80"/>
        <v>45</v>
      </c>
      <c r="Y537" s="15" t="str">
        <f t="shared" si="81"/>
        <v>🔥 Critical</v>
      </c>
    </row>
    <row r="538" spans="1:25" x14ac:dyDescent="0.2">
      <c r="A538" t="str">
        <f>'5. KPI Baselines'!A523</f>
        <v>The Lifetime Value Co</v>
      </c>
      <c r="B538" t="str">
        <f>'5. KPI Baselines'!B523</f>
        <v>Customer Retention</v>
      </c>
      <c r="C538" t="str">
        <f>'5. KPI Baselines'!C523</f>
        <v>Churn Prevention</v>
      </c>
      <c r="D538" t="str">
        <f>'5. KPI Baselines'!D523</f>
        <v>Early warning detection rate (%)</v>
      </c>
      <c r="E538" t="str">
        <f>'5. KPI Baselines'!E523</f>
        <v>34%</v>
      </c>
      <c r="F538" t="str">
        <f>'5. KPI Baselines'!F523</f>
        <v>62%</v>
      </c>
      <c r="G538" t="str">
        <f>'5. KPI Baselines'!G523</f>
        <v>67%</v>
      </c>
      <c r="H538" t="str">
        <f>'5. KPI Baselines'!H523</f>
        <v>↑</v>
      </c>
      <c r="I538" t="str">
        <f>'5. KPI Baselines'!I523</f>
        <v>12 months</v>
      </c>
      <c r="J538" t="str">
        <f>'5. KPI Baselines'!J523</f>
        <v>Retrospective analysis of churned accounts</v>
      </c>
      <c r="K538" s="15" t="str">
        <f t="shared" si="73"/>
        <v>62% - 34%</v>
      </c>
      <c r="L538" s="34" cm="1">
        <f t="array" ref="L538">IFERROR(_xlfn.LET(_xlpm.e,E538,_xlpm.f,F538,_xlpm.h,H538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0.82352698962650106</v>
      </c>
      <c r="M538" s="15" cm="1">
        <f t="array" ref="M538">IFERROR(_xlfn.LET(_xlpm.e,E538,_xlpm.f,F538,_xlpm.h,H538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57.8</v>
      </c>
      <c r="N538" s="15" cm="1">
        <f t="array" ref="N538">IFERROR(_xlfn.LET(_xlpm.e,E538,_xlpm.f,F538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21.42</v>
      </c>
      <c r="O538" s="15" t="str">
        <f t="shared" si="74"/>
        <v>62% - 67%</v>
      </c>
      <c r="P538" s="34" cm="1">
        <f t="array" ref="P538">IFERROR(_xlfn.LET(_xlpm.g,G538,_xlpm.f,F538,_xlpm.h,H538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-7.4626754288426425E-2</v>
      </c>
      <c r="Q538" s="15" t="str" cm="1">
        <f t="array" ref="Q538">IFERROR(_xlfn.LET(_xlpm.e,E538,_xlpm.g,G538,_xlpm.h,H538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8" s="15" t="str">
        <f t="shared" si="75"/>
        <v>🔴 Lagging</v>
      </c>
      <c r="S538" s="35" cm="1">
        <f t="array" ref="S538">IFERROR(_xlfn.LET(_xlpm.e,E538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538" s="36">
        <f t="shared" si="76"/>
        <v>82.352698962650109</v>
      </c>
      <c r="U538" s="15">
        <f t="shared" si="77"/>
        <v>34</v>
      </c>
      <c r="V538" s="16">
        <f t="shared" si="78"/>
        <v>3909.1385025338163</v>
      </c>
      <c r="W538" s="16">
        <f t="shared" si="79"/>
        <v>9721.4488680593113</v>
      </c>
      <c r="X538" s="37">
        <f t="shared" si="80"/>
        <v>22</v>
      </c>
      <c r="Y538" s="15" t="str">
        <f t="shared" si="81"/>
        <v>🔥 Critical</v>
      </c>
    </row>
    <row r="539" spans="1:25" x14ac:dyDescent="0.2">
      <c r="A539" t="str">
        <f>'5. KPI Baselines'!A524</f>
        <v>The Lifetime Value Co</v>
      </c>
      <c r="B539" t="str">
        <f>'5. KPI Baselines'!B524</f>
        <v>Product Management</v>
      </c>
      <c r="C539" t="str">
        <f>'5. KPI Baselines'!C524</f>
        <v>Feature Prioritization</v>
      </c>
      <c r="D539" t="str">
        <f>'5. KPI Baselines'!D524</f>
        <v>Customer feedback synthesis time (days)</v>
      </c>
      <c r="E539" t="str">
        <f>'5. KPI Baselines'!E524</f>
        <v>18 days</v>
      </c>
      <c r="F539" t="str">
        <f>'5. KPI Baselines'!F524</f>
        <v>6 days</v>
      </c>
      <c r="G539" t="str">
        <f>'5. KPI Baselines'!G524</f>
        <v>5 days</v>
      </c>
      <c r="H539" t="str">
        <f>'5. KPI Baselines'!H524</f>
        <v>↓</v>
      </c>
      <c r="I539" t="str">
        <f>'5. KPI Baselines'!I524</f>
        <v>9 months</v>
      </c>
      <c r="J539" t="str">
        <f>'5. KPI Baselines'!J524</f>
        <v>Product roadmap decision timestamps</v>
      </c>
      <c r="K539" s="15" t="str">
        <f t="shared" si="73"/>
        <v>18 days → 6 days</v>
      </c>
      <c r="L539" s="34" cm="1">
        <f t="array" ref="L539">IFERROR(_xlfn.LET(_xlpm.e,E539,_xlpm.f,F539,_xlpm.h,H539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0.666662962983539</v>
      </c>
      <c r="M539" s="15" cm="1">
        <f t="array" ref="M539">IFERROR(_xlfn.LET(_xlpm.e,E539,_xlpm.f,F539,_xlpm.h,H539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539" s="15" cm="1">
        <f t="array" ref="N539">IFERROR(_xlfn.LET(_xlpm.e,E539,_xlpm.f,F539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9.18</v>
      </c>
      <c r="O539" s="15" t="str">
        <f t="shared" si="74"/>
        <v>5 days → 6 days</v>
      </c>
      <c r="P539" s="34" cm="1">
        <f t="array" ref="P539">IFERROR(_xlfn.LET(_xlpm.g,G539,_xlpm.f,F539,_xlpm.h,H539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-0.1999960000799984</v>
      </c>
      <c r="Q539" s="15" t="str" cm="1">
        <f t="array" ref="Q539">IFERROR(_xlfn.LET(_xlpm.e,E539,_xlpm.g,G539,_xlpm.h,H539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39" s="15" t="str">
        <f t="shared" si="75"/>
        <v>🔴 Lagging</v>
      </c>
      <c r="S539" s="35" cm="1">
        <f t="array" ref="S539">IFERROR(_xlfn.LET(_xlpm.e,E539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39" s="36">
        <f t="shared" si="76"/>
        <v>66.666296298353899</v>
      </c>
      <c r="U539" s="15">
        <f t="shared" si="77"/>
        <v>93</v>
      </c>
      <c r="V539" s="16">
        <f t="shared" si="78"/>
        <v>1675.3406925517081</v>
      </c>
      <c r="W539" s="16">
        <f t="shared" si="79"/>
        <v>4166.3243368491048</v>
      </c>
      <c r="X539" s="37">
        <f t="shared" si="80"/>
        <v>52</v>
      </c>
      <c r="Y539" s="15" t="str">
        <f t="shared" si="81"/>
        <v>🔥 Critical</v>
      </c>
    </row>
    <row r="540" spans="1:25" x14ac:dyDescent="0.2">
      <c r="A540" t="str">
        <f>'5. KPI Baselines'!A525</f>
        <v>The Lifetime Value Co</v>
      </c>
      <c r="B540" t="str">
        <f>'5. KPI Baselines'!B525</f>
        <v>Legal &amp; Compliance</v>
      </c>
      <c r="C540" t="str">
        <f>'5. KPI Baselines'!C525</f>
        <v>Contract Review</v>
      </c>
      <c r="D540" t="str">
        <f>'5. KPI Baselines'!D525</f>
        <v>Hours per enterprise contract review</v>
      </c>
      <c r="E540" t="str">
        <f>'5. KPI Baselines'!E525</f>
        <v>14 hours</v>
      </c>
      <c r="F540" t="str">
        <f>'5. KPI Baselines'!F525</f>
        <v>5.5 hours</v>
      </c>
      <c r="G540" t="str">
        <f>'5. KPI Baselines'!G525</f>
        <v>4.8 hours</v>
      </c>
      <c r="H540" t="str">
        <f>'5. KPI Baselines'!H525</f>
        <v>↓</v>
      </c>
      <c r="I540" t="str">
        <f>'5. KPI Baselines'!I525</f>
        <v>6 months</v>
      </c>
      <c r="J540" t="str">
        <f>'5. KPI Baselines'!J525</f>
        <v>Legal matter management system</v>
      </c>
      <c r="K540" s="15" t="str">
        <f t="shared" si="73"/>
        <v>14 hours → 5.5 hours</v>
      </c>
      <c r="L540" s="34" cm="1">
        <f t="array" ref="L540">IFERROR(_xlfn.LET(_xlpm.e,E540,_xlpm.f,F540,_xlpm.h,H540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0.60713852043913974</v>
      </c>
      <c r="M540" s="15" cm="1">
        <f t="array" ref="M540">IFERROR(_xlfn.LET(_xlpm.e,E540,_xlpm.f,F540,_xlpm.h,H540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6.8</v>
      </c>
      <c r="N540" s="15" cm="1">
        <f t="array" ref="N540">IFERROR(_xlfn.LET(_xlpm.e,E540,_xlpm.f,F540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6.5</v>
      </c>
      <c r="O540" s="15" t="str">
        <f t="shared" si="74"/>
        <v>4.8 hours → 5.5 hours</v>
      </c>
      <c r="P540" s="34" cm="1">
        <f t="array" ref="P540">IFERROR(_xlfn.LET(_xlpm.g,G540,_xlpm.f,F540,_xlpm.h,H540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-0.14583029520218332</v>
      </c>
      <c r="Q540" s="15" t="str" cm="1">
        <f t="array" ref="Q540">IFERROR(_xlfn.LET(_xlpm.e,E540,_xlpm.g,G540,_xlpm.h,H540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40" s="15" t="str">
        <f t="shared" si="75"/>
        <v>🔴 Lagging</v>
      </c>
      <c r="S540" s="35" cm="1">
        <f t="array" ref="S540">IFERROR(_xlfn.LET(_xlpm.e,E540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540" s="36">
        <f t="shared" si="76"/>
        <v>60.713852043913974</v>
      </c>
      <c r="U540" s="15">
        <f t="shared" si="77"/>
        <v>151</v>
      </c>
      <c r="V540" s="16">
        <f t="shared" si="78"/>
        <v>1186.6977735873315</v>
      </c>
      <c r="W540" s="16">
        <f t="shared" si="79"/>
        <v>2951.1417209422016</v>
      </c>
      <c r="X540" s="37">
        <f t="shared" si="80"/>
        <v>73</v>
      </c>
      <c r="Y540" s="15" t="str">
        <f t="shared" si="81"/>
        <v>🔥 Critical</v>
      </c>
    </row>
    <row r="541" spans="1:25" x14ac:dyDescent="0.2">
      <c r="A541" t="str">
        <f>'5. KPI Baselines'!A526</f>
        <v>The Lifetime Value Co</v>
      </c>
      <c r="B541" t="str">
        <f>'5. KPI Baselines'!B526</f>
        <v>Finance</v>
      </c>
      <c r="C541" t="str">
        <f>'5. KPI Baselines'!C526</f>
        <v>Revenue Recognition</v>
      </c>
      <c r="D541" t="str">
        <f>'5. KPI Baselines'!D526</f>
        <v>Close cycle time (days)</v>
      </c>
      <c r="E541" t="str">
        <f>'5. KPI Baselines'!E526</f>
        <v>11 days</v>
      </c>
      <c r="F541" t="str">
        <f>'5. KPI Baselines'!F526</f>
        <v>7 days</v>
      </c>
      <c r="G541" t="str">
        <f>'5. KPI Baselines'!G526</f>
        <v>6 days</v>
      </c>
      <c r="H541" t="str">
        <f>'5. KPI Baselines'!H526</f>
        <v>↓</v>
      </c>
      <c r="I541" t="str">
        <f>'5. KPI Baselines'!I526</f>
        <v>9 months</v>
      </c>
      <c r="J541" t="str">
        <f>'5. KPI Baselines'!J526</f>
        <v>Financial system close calendar</v>
      </c>
      <c r="K541" s="15" t="str">
        <f t="shared" si="73"/>
        <v>11 days → 7 days</v>
      </c>
      <c r="L541" s="34" cm="1">
        <f t="array" ref="L541">IFERROR(_xlfn.LET(_xlpm.e,E541,_xlpm.f,F541,_xlpm.h,H541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0.36363305788129202</v>
      </c>
      <c r="M541" s="15" cm="1">
        <f t="array" ref="M541">IFERROR(_xlfn.LET(_xlpm.e,E541,_xlpm.f,F541,_xlpm.h,H541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7.6</v>
      </c>
      <c r="N541" s="15" cm="1">
        <f t="array" ref="N541">IFERROR(_xlfn.LET(_xlpm.e,E541,_xlpm.f,F541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541" s="15" t="str">
        <f t="shared" si="74"/>
        <v>6 days → 7 days</v>
      </c>
      <c r="P541" s="34" cm="1">
        <f t="array" ref="P541">IFERROR(_xlfn.LET(_xlpm.g,G541,_xlpm.f,F541,_xlpm.h,H541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-0.16666388893518441</v>
      </c>
      <c r="Q541" s="15" t="str" cm="1">
        <f t="array" ref="Q541">IFERROR(_xlfn.LET(_xlpm.e,E541,_xlpm.g,G541,_xlpm.h,H541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41" s="15" t="str">
        <f t="shared" si="75"/>
        <v>🔴 Lagging</v>
      </c>
      <c r="S541" s="35" cm="1">
        <f t="array" ref="S541">IFERROR(_xlfn.LET(_xlpm.e,E541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</v>
      </c>
      <c r="T541" s="36">
        <f t="shared" si="76"/>
        <v>36.363305788129203</v>
      </c>
      <c r="U541" s="15">
        <f t="shared" si="77"/>
        <v>348</v>
      </c>
      <c r="V541" s="16">
        <f t="shared" si="78"/>
        <v>558.44492322797066</v>
      </c>
      <c r="W541" s="16">
        <f t="shared" si="79"/>
        <v>1388.7698691845112</v>
      </c>
      <c r="X541" s="37">
        <f t="shared" si="80"/>
        <v>155</v>
      </c>
      <c r="Y541" s="15" t="str">
        <f t="shared" si="81"/>
        <v>⚠️ High</v>
      </c>
    </row>
    <row r="542" spans="1:25" x14ac:dyDescent="0.2">
      <c r="A542" t="str">
        <f>'5. KPI Baselines'!A527</f>
        <v>The Lifetime Value Co</v>
      </c>
      <c r="B542" t="str">
        <f>'5. KPI Baselines'!B527</f>
        <v>Engineering</v>
      </c>
      <c r="C542" t="str">
        <f>'5. KPI Baselines'!C527</f>
        <v>API Integration</v>
      </c>
      <c r="D542" t="str">
        <f>'5. KPI Baselines'!D527</f>
        <v>Hours per client API integration</v>
      </c>
      <c r="E542" t="str">
        <f>'5. KPI Baselines'!E527</f>
        <v>67 hours</v>
      </c>
      <c r="F542" t="str">
        <f>'5. KPI Baselines'!F527</f>
        <v>24 hours</v>
      </c>
      <c r="G542" t="str">
        <f>'5. KPI Baselines'!G527</f>
        <v>22 hours</v>
      </c>
      <c r="H542" t="str">
        <f>'5. KPI Baselines'!H527</f>
        <v>↓</v>
      </c>
      <c r="I542" t="str">
        <f>'5. KPI Baselines'!I527</f>
        <v>12 months</v>
      </c>
      <c r="J542" t="str">
        <f>'5. KPI Baselines'!J527</f>
        <v>Sprint tracking in project management system</v>
      </c>
      <c r="K542" s="15" t="str">
        <f t="shared" si="73"/>
        <v>67 hours → 24 hours</v>
      </c>
      <c r="L542" s="34" cm="1">
        <f t="array" ref="L542">IFERROR(_xlfn.LET(_xlpm.e,E542,_xlpm.f,F542,_xlpm.h,H542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0.64179008688046735</v>
      </c>
      <c r="M542" s="15" cm="1">
        <f t="array" ref="M542">IFERROR(_xlfn.LET(_xlpm.e,E542,_xlpm.f,F542,_xlpm.h,H542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30.5</v>
      </c>
      <c r="N542" s="15" cm="1">
        <f t="array" ref="N542">IFERROR(_xlfn.LET(_xlpm.e,E542,_xlpm.f,F542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32.9</v>
      </c>
      <c r="O542" s="15" t="str">
        <f t="shared" si="74"/>
        <v>22 hours → 24 hours</v>
      </c>
      <c r="P542" s="34" cm="1">
        <f t="array" ref="P542">IFERROR(_xlfn.LET(_xlpm.g,G542,_xlpm.f,F542,_xlpm.h,H542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-9.090867768782869E-2</v>
      </c>
      <c r="Q542" s="15" t="str" cm="1">
        <f t="array" ref="Q542">IFERROR(_xlfn.LET(_xlpm.e,E542,_xlpm.g,G542,_xlpm.h,H542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42" s="15" t="str">
        <f t="shared" si="75"/>
        <v>🔴 Lagging</v>
      </c>
      <c r="S542" s="35" cm="1">
        <f t="array" ref="S542">IFERROR(_xlfn.LET(_xlpm.e,E542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542" s="36">
        <f t="shared" si="76"/>
        <v>64.179008688046736</v>
      </c>
      <c r="U542" s="15">
        <f t="shared" si="77"/>
        <v>120</v>
      </c>
      <c r="V542" s="16">
        <f t="shared" si="78"/>
        <v>6003.3285398081498</v>
      </c>
      <c r="W542" s="16">
        <f t="shared" si="79"/>
        <v>14929.389531754316</v>
      </c>
      <c r="X542" s="37">
        <f t="shared" si="80"/>
        <v>15</v>
      </c>
      <c r="Y542" s="15" t="str">
        <f t="shared" si="81"/>
        <v>🔥 Critical</v>
      </c>
    </row>
    <row r="543" spans="1:25" x14ac:dyDescent="0.2">
      <c r="A543" t="str">
        <f>'5. KPI Baselines'!A528</f>
        <v>ThreeSixty Group</v>
      </c>
      <c r="B543" t="str">
        <f>'5. KPI Baselines'!B528</f>
        <v>New Business Development</v>
      </c>
      <c r="C543" t="str">
        <f>'5. KPI Baselines'!C528</f>
        <v>Pitch &amp; Proposal</v>
      </c>
      <c r="D543" t="str">
        <f>'5. KPI Baselines'!D528</f>
        <v>Average Pitch Preparation Time</v>
      </c>
      <c r="E543" t="str">
        <f>'5. KPI Baselines'!E528</f>
        <v>19 days</v>
      </c>
      <c r="F543" t="str">
        <f>'5. KPI Baselines'!F528</f>
        <v>8 days</v>
      </c>
      <c r="G543" t="str">
        <f>'5. KPI Baselines'!G528</f>
        <v>12 days [MEDIUM CONFIDENCE]</v>
      </c>
      <c r="H543" t="str">
        <f>'5. KPI Baselines'!H528</f>
        <v>↓</v>
      </c>
      <c r="I543" t="str">
        <f>'5. KPI Baselines'!I528</f>
        <v>12 months</v>
      </c>
      <c r="J543" t="str">
        <f>'5. KPI Baselines'!J528</f>
        <v>Days from RFP receipt to final submission</v>
      </c>
      <c r="K543" s="15" t="str">
        <f t="shared" si="73"/>
        <v>19 days → 8 days</v>
      </c>
      <c r="L543" s="34" cm="1">
        <f t="array" ref="L543">IFERROR(_xlfn.LET(_xlpm.e,E543,_xlpm.f,F543,_xlpm.h,H543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0.57894432134567708</v>
      </c>
      <c r="M543" s="15" cm="1">
        <f t="array" ref="M543">IFERROR(_xlfn.LET(_xlpm.e,E543,_xlpm.f,F543,_xlpm.h,H543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9.6999999999999993</v>
      </c>
      <c r="N543" s="15" cm="1">
        <f t="array" ref="N543">IFERROR(_xlfn.LET(_xlpm.e,E543,_xlpm.f,F543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543" s="15" t="str">
        <f t="shared" si="74"/>
        <v>12 days [MEDIUM CONFIDENCE] → 8 days</v>
      </c>
      <c r="P543" s="34" t="str" cm="1">
        <f t="array" ref="P543">IFERROR(_xlfn.LET(_xlpm.g,G543,_xlpm.f,F543,_xlpm.h,H543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3" s="15" t="str" cm="1">
        <f t="array" ref="Q543">IFERROR(_xlfn.LET(_xlpm.e,E543,_xlpm.g,G543,_xlpm.h,H543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3" s="15" t="str">
        <f t="shared" si="75"/>
        <v>⚪ N/A</v>
      </c>
      <c r="S543" s="35" cm="1">
        <f t="array" ref="S543">IFERROR(_xlfn.LET(_xlpm.e,E543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543" s="36">
        <f t="shared" si="76"/>
        <v>57.894432134567708</v>
      </c>
      <c r="U543" s="15">
        <f t="shared" si="77"/>
        <v>168</v>
      </c>
      <c r="V543" s="16">
        <f t="shared" si="78"/>
        <v>1535.7294172135935</v>
      </c>
      <c r="W543" s="16">
        <f t="shared" si="79"/>
        <v>3819.1317588106676</v>
      </c>
      <c r="X543" s="37">
        <f t="shared" si="80"/>
        <v>57</v>
      </c>
      <c r="Y543" s="15" t="str">
        <f t="shared" si="81"/>
        <v>🔥 Critical</v>
      </c>
    </row>
    <row r="544" spans="1:25" x14ac:dyDescent="0.2">
      <c r="A544" t="str">
        <f>'5. KPI Baselines'!A529</f>
        <v>ThreeSixty Group</v>
      </c>
      <c r="B544" t="str">
        <f>'5. KPI Baselines'!B529</f>
        <v>New Business Development</v>
      </c>
      <c r="C544" t="str">
        <f>'5. KPI Baselines'!C529</f>
        <v>Pitch &amp; Proposal</v>
      </c>
      <c r="D544" t="str">
        <f>'5. KPI Baselines'!D529</f>
        <v>Complex RFP Win Rate</v>
      </c>
      <c r="E544" t="str">
        <f>'5. KPI Baselines'!E529</f>
        <v>28%</v>
      </c>
      <c r="F544" t="str">
        <f>'5. KPI Baselines'!F529</f>
        <v>38%</v>
      </c>
      <c r="G544" t="str">
        <f>'5. KPI Baselines'!G529</f>
        <v>34% [MEDIUM CONFIDENCE]</v>
      </c>
      <c r="H544" t="str">
        <f>'5. KPI Baselines'!H529</f>
        <v>↑</v>
      </c>
      <c r="I544" t="str">
        <f>'5. KPI Baselines'!I529</f>
        <v>18 months</v>
      </c>
      <c r="J544" t="str">
        <f>'5. KPI Baselines'!J529</f>
        <v>Won opportunities / total qualified RFPs submitted</v>
      </c>
      <c r="K544" s="15" t="str">
        <f t="shared" si="73"/>
        <v>38% - 28%</v>
      </c>
      <c r="L544" s="34" cm="1">
        <f t="array" ref="L544">IFERROR(_xlfn.LET(_xlpm.e,E544,_xlpm.f,F544,_xlpm.h,H544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0.35714158163720844</v>
      </c>
      <c r="M544" s="15" cm="1">
        <f t="array" ref="M544">IFERROR(_xlfn.LET(_xlpm.e,E544,_xlpm.f,F544,_xlpm.h,H544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36.5</v>
      </c>
      <c r="N544" s="15" cm="1">
        <f t="array" ref="N544">IFERROR(_xlfn.LET(_xlpm.e,E544,_xlpm.f,F544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44" s="15" t="str">
        <f t="shared" si="74"/>
        <v>38% - 34% [MEDIUM CONFIDENCE]</v>
      </c>
      <c r="P544" s="34" t="str" cm="1">
        <f t="array" ref="P544">IFERROR(_xlfn.LET(_xlpm.g,G544,_xlpm.f,F544,_xlpm.h,H544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4" s="15" t="str" cm="1">
        <f t="array" ref="Q544">IFERROR(_xlfn.LET(_xlpm.e,E544,_xlpm.g,G544,_xlpm.h,H544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4" s="15" t="str">
        <f t="shared" si="75"/>
        <v>⚪ N/A</v>
      </c>
      <c r="S544" s="35" cm="1">
        <f t="array" ref="S544">IFERROR(_xlfn.LET(_xlpm.e,E544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544" s="36">
        <f t="shared" si="76"/>
        <v>35.714158163720846</v>
      </c>
      <c r="U544" s="15">
        <f t="shared" si="77"/>
        <v>350</v>
      </c>
      <c r="V544" s="16">
        <f t="shared" si="78"/>
        <v>1396.1200138570932</v>
      </c>
      <c r="W544" s="16">
        <f t="shared" si="79"/>
        <v>3471.9438361134353</v>
      </c>
      <c r="X544" s="37">
        <f t="shared" si="80"/>
        <v>62</v>
      </c>
      <c r="Y544" s="15" t="str">
        <f t="shared" si="81"/>
        <v>⚠️ High</v>
      </c>
    </row>
    <row r="545" spans="1:25" x14ac:dyDescent="0.2">
      <c r="A545" t="str">
        <f>'5. KPI Baselines'!A530</f>
        <v>ThreeSixty Group</v>
      </c>
      <c r="B545" t="str">
        <f>'5. KPI Baselines'!B530</f>
        <v>Knowledge Management</v>
      </c>
      <c r="C545" t="str">
        <f>'5. KPI Baselines'!C530</f>
        <v>Asset Discovery</v>
      </c>
      <c r="D545" t="str">
        <f>'5. KPI Baselines'!D530</f>
        <v>Average Asset Search Time</v>
      </c>
      <c r="E545" t="str">
        <f>'5. KPI Baselines'!E530</f>
        <v>47 minutes</v>
      </c>
      <c r="F545" t="str">
        <f>'5. KPI Baselines'!F530</f>
        <v>6 minutes</v>
      </c>
      <c r="G545" t="str">
        <f>'5. KPI Baselines'!G530</f>
        <v>18 minutes [LOW CONFIDENCE]</v>
      </c>
      <c r="H545" t="str">
        <f>'5. KPI Baselines'!H530</f>
        <v>↓</v>
      </c>
      <c r="I545" t="str">
        <f>'5. KPI Baselines'!I530</f>
        <v>9 months</v>
      </c>
      <c r="J545" t="str">
        <f>'5. KPI Baselines'!J530</f>
        <v>Time from search initiation to asset retrieval</v>
      </c>
      <c r="K545" s="15" t="str">
        <f t="shared" si="73"/>
        <v>47 minutes → 6 minutes</v>
      </c>
      <c r="L545" s="34" cm="1">
        <f t="array" ref="L545">IFERROR(_xlfn.LET(_xlpm.e,E545,_xlpm.f,F545,_xlpm.h,H545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0.87233856949240529</v>
      </c>
      <c r="M545" s="15" cm="1">
        <f t="array" ref="M545">IFERROR(_xlfn.LET(_xlpm.e,E545,_xlpm.f,F545,_xlpm.h,H545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12.2</v>
      </c>
      <c r="N545" s="15" cm="1">
        <f t="array" ref="N545">IFERROR(_xlfn.LET(_xlpm.e,E545,_xlpm.f,F545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31.37</v>
      </c>
      <c r="O545" s="15" t="str">
        <f t="shared" si="74"/>
        <v>18 minutes [LOW CONFIDENCE] → 6 minutes</v>
      </c>
      <c r="P545" s="34" t="str" cm="1">
        <f t="array" ref="P545">IFERROR(_xlfn.LET(_xlpm.g,G545,_xlpm.f,F545,_xlpm.h,H545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5" s="15" t="str" cm="1">
        <f t="array" ref="Q545">IFERROR(_xlfn.LET(_xlpm.e,E545,_xlpm.g,G545,_xlpm.h,H545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5" s="15" t="str">
        <f t="shared" si="75"/>
        <v>⚪ N/A</v>
      </c>
      <c r="S545" s="35" cm="1">
        <f t="array" ref="S545">IFERROR(_xlfn.LET(_xlpm.e,E545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545" s="36">
        <f t="shared" si="76"/>
        <v>87.233856949240533</v>
      </c>
      <c r="U545" s="15">
        <f t="shared" si="77"/>
        <v>21</v>
      </c>
      <c r="V545" s="16">
        <f t="shared" si="78"/>
        <v>5724.1003210631461</v>
      </c>
      <c r="W545" s="16">
        <f t="shared" si="79"/>
        <v>14234.990280029324</v>
      </c>
      <c r="X545" s="37">
        <f t="shared" si="80"/>
        <v>15</v>
      </c>
      <c r="Y545" s="15" t="str">
        <f t="shared" si="81"/>
        <v>🔥 Critical</v>
      </c>
    </row>
    <row r="546" spans="1:25" x14ac:dyDescent="0.2">
      <c r="A546" t="str">
        <f>'5. KPI Baselines'!A531</f>
        <v>ThreeSixty Group</v>
      </c>
      <c r="B546" t="str">
        <f>'5. KPI Baselines'!B531</f>
        <v>Client Services</v>
      </c>
      <c r="C546" t="str">
        <f>'5. KPI Baselines'!C531</f>
        <v>Performance Reporting</v>
      </c>
      <c r="D546" t="str">
        <f>'5. KPI Baselines'!D531</f>
        <v>Report Generation Hours per Client</v>
      </c>
      <c r="E546" t="str">
        <f>'5. KPI Baselines'!E531</f>
        <v>106 hours/year</v>
      </c>
      <c r="F546" t="str">
        <f>'5. KPI Baselines'!F531</f>
        <v>42 hours/year</v>
      </c>
      <c r="G546" t="str">
        <f>'5. KPI Baselines'!G531</f>
        <v>68 hours/year [MEDIUM CONFIDENCE]</v>
      </c>
      <c r="H546" t="str">
        <f>'5. KPI Baselines'!H531</f>
        <v>↓</v>
      </c>
      <c r="I546" t="str">
        <f>'5. KPI Baselines'!I531</f>
        <v>12 months</v>
      </c>
      <c r="J546" t="str">
        <f>'5. KPI Baselines'!J531</f>
        <v>Total reporting hours / active client count</v>
      </c>
      <c r="K546" s="15" t="str">
        <f t="shared" si="73"/>
        <v>106 hours/year → 42 hours/year</v>
      </c>
      <c r="L546" s="34" t="str" cm="1">
        <f t="array" ref="L546">IFERROR(_xlfn.LET(_xlpm.e,E546,_xlpm.f,F546,_xlpm.h,H546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46" s="15" t="str" cm="1">
        <f t="array" ref="M546">IFERROR(_xlfn.LET(_xlpm.e,E546,_xlpm.f,F546,_xlpm.h,H546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46" s="15" t="str" cm="1">
        <f t="array" ref="N546">IFERROR(_xlfn.LET(_xlpm.e,E546,_xlpm.f,F546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46" s="15" t="str">
        <f t="shared" si="74"/>
        <v>68 hours/year [MEDIUM CONFIDENCE] → 42 hours/year</v>
      </c>
      <c r="P546" s="34" t="str" cm="1">
        <f t="array" ref="P546">IFERROR(_xlfn.LET(_xlpm.g,G546,_xlpm.f,F546,_xlpm.h,H546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6" s="15" t="str" cm="1">
        <f t="array" ref="Q546">IFERROR(_xlfn.LET(_xlpm.e,E546,_xlpm.g,G546,_xlpm.h,H546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6" s="15" t="str">
        <f t="shared" si="75"/>
        <v>⚪ N/A</v>
      </c>
      <c r="S546" s="35" cm="1">
        <f t="array" ref="S546">IFERROR(_xlfn.LET(_xlpm.e,E546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46" s="36">
        <f t="shared" si="76"/>
        <v>0</v>
      </c>
      <c r="U546" s="15">
        <f t="shared" si="77"/>
        <v>554</v>
      </c>
      <c r="V546" s="16">
        <f t="shared" si="78"/>
        <v>0</v>
      </c>
      <c r="W546" s="16">
        <f t="shared" si="79"/>
        <v>0</v>
      </c>
      <c r="X546" s="37" t="str">
        <f t="shared" si="80"/>
        <v>-</v>
      </c>
      <c r="Y546" s="15" t="str">
        <f t="shared" si="81"/>
        <v>📉 Low</v>
      </c>
    </row>
    <row r="547" spans="1:25" x14ac:dyDescent="0.2">
      <c r="A547" t="str">
        <f>'5. KPI Baselines'!A532</f>
        <v>ThreeSixty Group</v>
      </c>
      <c r="B547" t="str">
        <f>'5. KPI Baselines'!B532</f>
        <v>Creative Services</v>
      </c>
      <c r="C547" t="str">
        <f>'5. KPI Baselines'!C532</f>
        <v>Campaign Development</v>
      </c>
      <c r="D547" t="str">
        <f>'5. KPI Baselines'!D532</f>
        <v>First-Draft Approval Rate</v>
      </c>
      <c r="E547" t="str">
        <f>'5. KPI Baselines'!E532</f>
        <v>42%</v>
      </c>
      <c r="F547" t="str">
        <f>'5. KPI Baselines'!F532</f>
        <v>68%</v>
      </c>
      <c r="G547" t="str">
        <f>'5. KPI Baselines'!G532</f>
        <v>56% [MEDIUM CONFIDENCE]</v>
      </c>
      <c r="H547" t="str">
        <f>'5. KPI Baselines'!H532</f>
        <v>↑</v>
      </c>
      <c r="I547" t="str">
        <f>'5. KPI Baselines'!I532</f>
        <v>15 months</v>
      </c>
      <c r="J547" t="str">
        <f>'5. KPI Baselines'!J532</f>
        <v>Campaigns approved without major revision / total campaigns</v>
      </c>
      <c r="K547" s="15" t="str">
        <f t="shared" si="73"/>
        <v>68% - 42%</v>
      </c>
      <c r="L547" s="34" cm="1">
        <f t="array" ref="L547">IFERROR(_xlfn.LET(_xlpm.e,E547,_xlpm.f,F547,_xlpm.h,H547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0.61904614512822587</v>
      </c>
      <c r="M547" s="15" cm="1">
        <f t="array" ref="M547">IFERROR(_xlfn.LET(_xlpm.e,E547,_xlpm.f,F547,_xlpm.h,H547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64.099999999999994</v>
      </c>
      <c r="N547" s="15" cm="1">
        <f t="array" ref="N547">IFERROR(_xlfn.LET(_xlpm.e,E547,_xlpm.f,F547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19.89</v>
      </c>
      <c r="O547" s="15" t="str">
        <f t="shared" si="74"/>
        <v>68% - 56% [MEDIUM CONFIDENCE]</v>
      </c>
      <c r="P547" s="34" t="str" cm="1">
        <f t="array" ref="P547">IFERROR(_xlfn.LET(_xlpm.g,G547,_xlpm.f,F547,_xlpm.h,H547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7" s="15" t="str" cm="1">
        <f t="array" ref="Q547">IFERROR(_xlfn.LET(_xlpm.e,E547,_xlpm.g,G547,_xlpm.h,H547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7" s="15" t="str">
        <f t="shared" si="75"/>
        <v>⚪ N/A</v>
      </c>
      <c r="S547" s="35" cm="1">
        <f t="array" ref="S547">IFERROR(_xlfn.LET(_xlpm.e,E547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547" s="36">
        <f t="shared" si="76"/>
        <v>61.90461451282259</v>
      </c>
      <c r="U547" s="15">
        <f t="shared" si="77"/>
        <v>142</v>
      </c>
      <c r="V547" s="16">
        <f t="shared" si="78"/>
        <v>3629.9163573420064</v>
      </c>
      <c r="W547" s="16">
        <f t="shared" si="79"/>
        <v>9027.064720362172</v>
      </c>
      <c r="X547" s="37">
        <f t="shared" si="80"/>
        <v>24</v>
      </c>
      <c r="Y547" s="15" t="str">
        <f t="shared" si="81"/>
        <v>🔥 Critical</v>
      </c>
    </row>
    <row r="548" spans="1:25" x14ac:dyDescent="0.2">
      <c r="A548" t="str">
        <f>'5. KPI Baselines'!A533</f>
        <v>ThreeSixty Group</v>
      </c>
      <c r="B548" t="str">
        <f>'5. KPI Baselines'!B533</f>
        <v>Creative Services</v>
      </c>
      <c r="C548" t="str">
        <f>'5. KPI Baselines'!C533</f>
        <v>Campaign Development</v>
      </c>
      <c r="D548" t="str">
        <f>'5. KPI Baselines'!D533</f>
        <v>Average Development Cycle Time</v>
      </c>
      <c r="E548" t="str">
        <f>'5. KPI Baselines'!E533</f>
        <v>34 days</v>
      </c>
      <c r="F548" t="str">
        <f>'5. KPI Baselines'!F533</f>
        <v>21 days</v>
      </c>
      <c r="G548" t="str">
        <f>'5. KPI Baselines'!G533</f>
        <v>26 days [MEDIUM CONFIDENCE]</v>
      </c>
      <c r="H548" t="str">
        <f>'5. KPI Baselines'!H533</f>
        <v>↓</v>
      </c>
      <c r="I548" t="str">
        <f>'5. KPI Baselines'!I533</f>
        <v>12 months</v>
      </c>
      <c r="J548" t="str">
        <f>'5. KPI Baselines'!J533</f>
        <v>Days from creative brief to client presentation</v>
      </c>
      <c r="K548" s="15" t="str">
        <f t="shared" si="73"/>
        <v>34 days → 21 days</v>
      </c>
      <c r="L548" s="34" cm="1">
        <f t="array" ref="L548">IFERROR(_xlfn.LET(_xlpm.e,E548,_xlpm.f,F548,_xlpm.h,H548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0.38235181661230405</v>
      </c>
      <c r="M548" s="15" cm="1">
        <f t="array" ref="M548">IFERROR(_xlfn.LET(_xlpm.e,E548,_xlpm.f,F548,_xlpm.h,H548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23</v>
      </c>
      <c r="N548" s="15" cm="1">
        <f t="array" ref="N548">IFERROR(_xlfn.LET(_xlpm.e,E548,_xlpm.f,F548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548" s="15" t="str">
        <f t="shared" si="74"/>
        <v>26 days [MEDIUM CONFIDENCE] → 21 days</v>
      </c>
      <c r="P548" s="34" t="str" cm="1">
        <f t="array" ref="P548">IFERROR(_xlfn.LET(_xlpm.g,G548,_xlpm.f,F548,_xlpm.h,H548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8" s="15" t="str" cm="1">
        <f t="array" ref="Q548">IFERROR(_xlfn.LET(_xlpm.e,E548,_xlpm.g,G548,_xlpm.h,H548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8" s="15" t="str">
        <f t="shared" si="75"/>
        <v>⚪ N/A</v>
      </c>
      <c r="S548" s="35" cm="1">
        <f t="array" ref="S548">IFERROR(_xlfn.LET(_xlpm.e,E548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</v>
      </c>
      <c r="T548" s="36">
        <f t="shared" si="76"/>
        <v>38.235181661230406</v>
      </c>
      <c r="U548" s="15">
        <f t="shared" si="77"/>
        <v>322</v>
      </c>
      <c r="V548" s="16">
        <f t="shared" si="78"/>
        <v>1814.9571618907</v>
      </c>
      <c r="W548" s="16">
        <f t="shared" si="79"/>
        <v>4513.5298315989648</v>
      </c>
      <c r="X548" s="37">
        <f t="shared" si="80"/>
        <v>48</v>
      </c>
      <c r="Y548" s="15" t="str">
        <f t="shared" si="81"/>
        <v>⚠️ High</v>
      </c>
    </row>
    <row r="549" spans="1:25" x14ac:dyDescent="0.2">
      <c r="A549" t="str">
        <f>'5. KPI Baselines'!A534</f>
        <v>ThreeSixty Group</v>
      </c>
      <c r="B549" t="str">
        <f>'5. KPI Baselines'!B534</f>
        <v>Talent Development</v>
      </c>
      <c r="C549" t="str">
        <f>'5. KPI Baselines'!C534</f>
        <v>Onboarding</v>
      </c>
      <c r="D549" t="str">
        <f>'5. KPI Baselines'!D534</f>
        <v>Time to Full Productivity</v>
      </c>
      <c r="E549" t="str">
        <f>'5. KPI Baselines'!E534</f>
        <v>120 days</v>
      </c>
      <c r="F549" t="str">
        <f>'5. KPI Baselines'!F534</f>
        <v>75 days</v>
      </c>
      <c r="G549" t="str">
        <f>'5. KPI Baselines'!G534</f>
        <v>75 days [MEDIUM CONFIDENCE]</v>
      </c>
      <c r="H549" t="str">
        <f>'5. KPI Baselines'!H534</f>
        <v>↓</v>
      </c>
      <c r="I549" t="str">
        <f>'5. KPI Baselines'!I534</f>
        <v>18 months</v>
      </c>
      <c r="J549" t="str">
        <f>'5. KPI Baselines'!J534</f>
        <v>Days from hire date to 90% billability target</v>
      </c>
      <c r="K549" s="15" t="str">
        <f t="shared" si="73"/>
        <v>120 days → 75 days</v>
      </c>
      <c r="L549" s="34" cm="1">
        <f t="array" ref="L549">IFERROR(_xlfn.LET(_xlpm.e,E549,_xlpm.f,F549,_xlpm.h,H549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0.37499968750026041</v>
      </c>
      <c r="M549" s="15" cm="1">
        <f t="array" ref="M549">IFERROR(_xlfn.LET(_xlpm.e,E549,_xlpm.f,F549,_xlpm.h,H549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81.8</v>
      </c>
      <c r="N549" s="15" cm="1">
        <f t="array" ref="N549">IFERROR(_xlfn.LET(_xlpm.e,E549,_xlpm.f,F549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34.43</v>
      </c>
      <c r="O549" s="15" t="str">
        <f t="shared" si="74"/>
        <v>75 days [MEDIUM CONFIDENCE] → 75 days</v>
      </c>
      <c r="P549" s="34" t="str" cm="1">
        <f t="array" ref="P549">IFERROR(_xlfn.LET(_xlpm.g,G549,_xlpm.f,F549,_xlpm.h,H549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49" s="15" t="str" cm="1">
        <f t="array" ref="Q549">IFERROR(_xlfn.LET(_xlpm.e,E549,_xlpm.g,G549,_xlpm.h,H549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49" s="15" t="str">
        <f t="shared" si="75"/>
        <v>⚪ N/A</v>
      </c>
      <c r="S549" s="35" cm="1">
        <f t="array" ref="S549">IFERROR(_xlfn.LET(_xlpm.e,E549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120</v>
      </c>
      <c r="T549" s="36">
        <f t="shared" si="76"/>
        <v>37.499968750026042</v>
      </c>
      <c r="U549" s="15">
        <f t="shared" si="77"/>
        <v>328</v>
      </c>
      <c r="V549" s="16">
        <f t="shared" si="78"/>
        <v>6282.5572645356133</v>
      </c>
      <c r="W549" s="16">
        <f t="shared" si="79"/>
        <v>15623.790041782791</v>
      </c>
      <c r="X549" s="37">
        <f t="shared" si="80"/>
        <v>14</v>
      </c>
      <c r="Y549" s="15" t="str">
        <f t="shared" si="81"/>
        <v>⚠️ High</v>
      </c>
    </row>
    <row r="550" spans="1:25" x14ac:dyDescent="0.2">
      <c r="A550" t="str">
        <f>'5. KPI Baselines'!A535</f>
        <v>ThreeSixty Group</v>
      </c>
      <c r="B550" t="str">
        <f>'5. KPI Baselines'!B535</f>
        <v>Market Research</v>
      </c>
      <c r="C550" t="str">
        <f>'5. KPI Baselines'!C535</f>
        <v>Competitive Intelligence</v>
      </c>
      <c r="D550" t="str">
        <f>'5. KPI Baselines'!D535</f>
        <v>Research Report Turnaround</v>
      </c>
      <c r="E550" t="str">
        <f>'5. KPI Baselines'!E535</f>
        <v>11 days</v>
      </c>
      <c r="F550" t="str">
        <f>'5. KPI Baselines'!F535</f>
        <v>4 days</v>
      </c>
      <c r="G550" t="str">
        <f>'5. KPI Baselines'!G535</f>
        <v>6 days [LOW CONFIDENCE]</v>
      </c>
      <c r="H550" t="str">
        <f>'5. KPI Baselines'!H535</f>
        <v>↓</v>
      </c>
      <c r="I550" t="str">
        <f>'5. KPI Baselines'!I535</f>
        <v>9 months</v>
      </c>
      <c r="J550" t="str">
        <f>'5. KPI Baselines'!J535</f>
        <v>Days from research request to deliverable completion</v>
      </c>
      <c r="K550" s="15" t="str">
        <f t="shared" si="73"/>
        <v>11 days → 4 days</v>
      </c>
      <c r="L550" s="34" cm="1">
        <f t="array" ref="L550">IFERROR(_xlfn.LET(_xlpm.e,E550,_xlpm.f,F550,_xlpm.h,H550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0.63635785129226097</v>
      </c>
      <c r="M550" s="15" cm="1">
        <f t="array" ref="M550">IFERROR(_xlfn.LET(_xlpm.e,E550,_xlpm.f,F550,_xlpm.h,H550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550" s="15" cm="1">
        <f t="array" ref="N550">IFERROR(_xlfn.LET(_xlpm.e,E550,_xlpm.f,F550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550" s="15" t="str">
        <f t="shared" si="74"/>
        <v>6 days [LOW CONFIDENCE] → 4 days</v>
      </c>
      <c r="P550" s="34" t="str" cm="1">
        <f t="array" ref="P550">IFERROR(_xlfn.LET(_xlpm.g,G550,_xlpm.f,F550,_xlpm.h,H550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0" s="15" t="str" cm="1">
        <f t="array" ref="Q550">IFERROR(_xlfn.LET(_xlpm.e,E550,_xlpm.g,G550,_xlpm.h,H550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0" s="15" t="str">
        <f t="shared" si="75"/>
        <v>⚪ N/A</v>
      </c>
      <c r="S550" s="35" cm="1">
        <f t="array" ref="S550">IFERROR(_xlfn.LET(_xlpm.e,E550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</v>
      </c>
      <c r="T550" s="36">
        <f t="shared" si="76"/>
        <v>63.635785129226093</v>
      </c>
      <c r="U550" s="15">
        <f t="shared" si="77"/>
        <v>122</v>
      </c>
      <c r="V550" s="16">
        <f t="shared" si="78"/>
        <v>977.27861564894863</v>
      </c>
      <c r="W550" s="16">
        <f t="shared" si="79"/>
        <v>2430.3472710728947</v>
      </c>
      <c r="X550" s="37">
        <f t="shared" si="80"/>
        <v>89</v>
      </c>
      <c r="Y550" s="15" t="str">
        <f t="shared" si="81"/>
        <v>🔥 Critical</v>
      </c>
    </row>
    <row r="551" spans="1:25" x14ac:dyDescent="0.2">
      <c r="A551" t="str">
        <f>'5. KPI Baselines'!A536</f>
        <v>ThreeSixty Group</v>
      </c>
      <c r="B551" t="str">
        <f>'5. KPI Baselines'!B536</f>
        <v>Finance</v>
      </c>
      <c r="C551" t="str">
        <f>'5. KPI Baselines'!C536</f>
        <v>Revenue Recognition</v>
      </c>
      <c r="D551" t="str">
        <f>'5. KPI Baselines'!D536</f>
        <v>Invoice Processing Time</v>
      </c>
      <c r="E551" t="str">
        <f>'5. KPI Baselines'!E536</f>
        <v>8 days</v>
      </c>
      <c r="F551" t="str">
        <f>'5. KPI Baselines'!F536</f>
        <v>3 days</v>
      </c>
      <c r="G551" t="str">
        <f>'5. KPI Baselines'!G536</f>
        <v>5 days [MEDIUM CONFIDENCE]</v>
      </c>
      <c r="H551" t="str">
        <f>'5. KPI Baselines'!H536</f>
        <v>↓</v>
      </c>
      <c r="I551" t="str">
        <f>'5. KPI Baselines'!I536</f>
        <v>12 months</v>
      </c>
      <c r="J551" t="str">
        <f>'5. KPI Baselines'!J536</f>
        <v>Days from milestone completion to invoice dispatch</v>
      </c>
      <c r="K551" s="15" t="str">
        <f t="shared" si="73"/>
        <v>8 days → 3 days</v>
      </c>
      <c r="L551" s="34" cm="1">
        <f t="array" ref="L551">IFERROR(_xlfn.LET(_xlpm.e,E551,_xlpm.f,F551,_xlpm.h,H551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551" s="15" cm="1">
        <f t="array" ref="M551">IFERROR(_xlfn.LET(_xlpm.e,E551,_xlpm.f,F551,_xlpm.h,H551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551" s="15" cm="1">
        <f t="array" ref="N551">IFERROR(_xlfn.LET(_xlpm.e,E551,_xlpm.f,F551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51" s="15" t="str">
        <f t="shared" si="74"/>
        <v>5 days [MEDIUM CONFIDENCE] → 3 days</v>
      </c>
      <c r="P551" s="34" t="str" cm="1">
        <f t="array" ref="P551">IFERROR(_xlfn.LET(_xlpm.g,G551,_xlpm.f,F551,_xlpm.h,H551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1" s="15" t="str" cm="1">
        <f t="array" ref="Q551">IFERROR(_xlfn.LET(_xlpm.e,E551,_xlpm.g,G551,_xlpm.h,H551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1" s="15" t="str">
        <f t="shared" si="75"/>
        <v>⚪ N/A</v>
      </c>
      <c r="S551" s="35" cm="1">
        <f t="array" ref="S551">IFERROR(_xlfn.LET(_xlpm.e,E551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551" s="36">
        <f t="shared" si="76"/>
        <v>62.499218759765505</v>
      </c>
      <c r="U551" s="15">
        <f t="shared" si="77"/>
        <v>130</v>
      </c>
      <c r="V551" s="16">
        <f t="shared" si="78"/>
        <v>698.05377432782097</v>
      </c>
      <c r="W551" s="16">
        <f t="shared" si="79"/>
        <v>1735.9564185011941</v>
      </c>
      <c r="X551" s="37">
        <f t="shared" si="80"/>
        <v>124</v>
      </c>
      <c r="Y551" s="15" t="str">
        <f t="shared" si="81"/>
        <v>🔥 Critical</v>
      </c>
    </row>
    <row r="552" spans="1:25" x14ac:dyDescent="0.2">
      <c r="A552" t="str">
        <f>'5. KPI Baselines'!A537</f>
        <v>ThreeSixty Group</v>
      </c>
      <c r="B552" t="str">
        <f>'5. KPI Baselines'!B537</f>
        <v>Legal &amp; Compliance</v>
      </c>
      <c r="C552" t="str">
        <f>'5. KPI Baselines'!C537</f>
        <v>Contract Management</v>
      </c>
      <c r="D552" t="str">
        <f>'5. KPI Baselines'!D537</f>
        <v>Contract Review Cycle Time</v>
      </c>
      <c r="E552" t="str">
        <f>'5. KPI Baselines'!E537</f>
        <v>14 days</v>
      </c>
      <c r="F552" t="str">
        <f>'5. KPI Baselines'!F537</f>
        <v>6 days</v>
      </c>
      <c r="G552" t="str">
        <f>'5. KPI Baselines'!G537</f>
        <v>8 days [MEDIUM CONFIDENCE]</v>
      </c>
      <c r="H552" t="str">
        <f>'5. KPI Baselines'!H537</f>
        <v>↓</v>
      </c>
      <c r="I552" t="str">
        <f>'5. KPI Baselines'!I537</f>
        <v>12 months</v>
      </c>
      <c r="J552" t="str">
        <f>'5. KPI Baselines'!J537</f>
        <v>Days from contract receipt to executed agreement</v>
      </c>
      <c r="K552" s="15" t="str">
        <f t="shared" si="73"/>
        <v>14 days → 6 days</v>
      </c>
      <c r="L552" s="34" cm="1">
        <f t="array" ref="L552">IFERROR(_xlfn.LET(_xlpm.e,E552,_xlpm.f,F552,_xlpm.h,H552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0.57142448982507266</v>
      </c>
      <c r="M552" s="15" cm="1">
        <f t="array" ref="M552">IFERROR(_xlfn.LET(_xlpm.e,E552,_xlpm.f,F552,_xlpm.h,H552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7.2</v>
      </c>
      <c r="N552" s="15" cm="1">
        <f t="array" ref="N552">IFERROR(_xlfn.LET(_xlpm.e,E552,_xlpm.f,F552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552" s="15" t="str">
        <f t="shared" si="74"/>
        <v>8 days [MEDIUM CONFIDENCE] → 6 days</v>
      </c>
      <c r="P552" s="34" t="str" cm="1">
        <f t="array" ref="P552">IFERROR(_xlfn.LET(_xlpm.g,G552,_xlpm.f,F552,_xlpm.h,H552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2" s="15" t="str" cm="1">
        <f t="array" ref="Q552">IFERROR(_xlfn.LET(_xlpm.e,E552,_xlpm.g,G552,_xlpm.h,H552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2" s="15" t="str">
        <f t="shared" si="75"/>
        <v>⚪ N/A</v>
      </c>
      <c r="S552" s="35" cm="1">
        <f t="array" ref="S552">IFERROR(_xlfn.LET(_xlpm.e,E552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552" s="36">
        <f t="shared" si="76"/>
        <v>57.142448982507268</v>
      </c>
      <c r="U552" s="15">
        <f t="shared" si="77"/>
        <v>173</v>
      </c>
      <c r="V552" s="16">
        <f t="shared" si="78"/>
        <v>1116.8920221998414</v>
      </c>
      <c r="W552" s="16">
        <f t="shared" si="79"/>
        <v>2777.5451491220724</v>
      </c>
      <c r="X552" s="37">
        <f t="shared" si="80"/>
        <v>78</v>
      </c>
      <c r="Y552" s="15" t="str">
        <f t="shared" si="81"/>
        <v>🔥 Critical</v>
      </c>
    </row>
    <row r="553" spans="1:25" x14ac:dyDescent="0.2">
      <c r="A553" t="str">
        <f>'5. KPI Baselines'!A538</f>
        <v>ThreeSixty Group</v>
      </c>
      <c r="B553" t="str">
        <f>'5. KPI Baselines'!B538</f>
        <v>Operations</v>
      </c>
      <c r="C553" t="str">
        <f>'5. KPI Baselines'!C538</f>
        <v>Resource Allocation</v>
      </c>
      <c r="D553" t="str">
        <f>'5. KPI Baselines'!D538</f>
        <v>Bench Time Percentage</v>
      </c>
      <c r="E553" t="str">
        <f>'5. KPI Baselines'!E538</f>
        <v>12%</v>
      </c>
      <c r="F553" t="str">
        <f>'5. KPI Baselines'!F538</f>
        <v>7%</v>
      </c>
      <c r="G553" t="str">
        <f>'5. KPI Baselines'!G538</f>
        <v>8% [MEDIUM CONFIDENCE]</v>
      </c>
      <c r="H553" t="str">
        <f>'5. KPI Baselines'!H538</f>
        <v>↓</v>
      </c>
      <c r="I553" t="str">
        <f>'5. KPI Baselines'!I538</f>
        <v>15 months</v>
      </c>
      <c r="J553" t="str">
        <f>'5. KPI Baselines'!J538</f>
        <v>Non-billable capacity / total available capacity</v>
      </c>
      <c r="K553" s="15" t="str">
        <f t="shared" si="73"/>
        <v>12% → 7%</v>
      </c>
      <c r="L553" s="34" cm="1">
        <f t="array" ref="L553">IFERROR(_xlfn.LET(_xlpm.e,E553,_xlpm.f,F553,_xlpm.h,H553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553" s="15" cm="1">
        <f t="array" ref="M553">IFERROR(_xlfn.LET(_xlpm.e,E553,_xlpm.f,F553,_xlpm.h,H553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553" s="15" cm="1">
        <f t="array" ref="N553">IFERROR(_xlfn.LET(_xlpm.e,E553,_xlpm.f,F553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53" s="15" t="str">
        <f t="shared" si="74"/>
        <v>8% [MEDIUM CONFIDENCE] → 7%</v>
      </c>
      <c r="P553" s="34" t="str" cm="1">
        <f t="array" ref="P553">IFERROR(_xlfn.LET(_xlpm.g,G553,_xlpm.f,F553,_xlpm.h,H553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3" s="15" t="str" cm="1">
        <f t="array" ref="Q553">IFERROR(_xlfn.LET(_xlpm.e,E553,_xlpm.g,G553,_xlpm.h,H553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3" s="15" t="str">
        <f t="shared" si="75"/>
        <v>⚪ N/A</v>
      </c>
      <c r="S553" s="35" cm="1">
        <f t="array" ref="S553">IFERROR(_xlfn.LET(_xlpm.e,E553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53" s="36">
        <f t="shared" si="76"/>
        <v>41.666319447337941</v>
      </c>
      <c r="U553" s="15">
        <f t="shared" si="77"/>
        <v>292</v>
      </c>
      <c r="V553" s="16">
        <f t="shared" si="78"/>
        <v>698.05668286097625</v>
      </c>
      <c r="W553" s="16">
        <f t="shared" si="79"/>
        <v>1735.963651592662</v>
      </c>
      <c r="X553" s="37">
        <f t="shared" si="80"/>
        <v>124</v>
      </c>
      <c r="Y553" s="15" t="str">
        <f t="shared" si="81"/>
        <v>⚠️ High</v>
      </c>
    </row>
    <row r="554" spans="1:25" x14ac:dyDescent="0.2">
      <c r="A554" t="str">
        <f>'5. KPI Baselines'!A539</f>
        <v>ThreeSixty Group</v>
      </c>
      <c r="B554" t="str">
        <f>'5. KPI Baselines'!B539</f>
        <v>Technology</v>
      </c>
      <c r="C554" t="str">
        <f>'5. KPI Baselines'!C539</f>
        <v>System Integration</v>
      </c>
      <c r="D554" t="str">
        <f>'5. KPI Baselines'!D539</f>
        <v>Cross-Platform Data Sync Errors</v>
      </c>
      <c r="E554" t="str">
        <f>'5. KPI Baselines'!E539</f>
        <v>340/month</v>
      </c>
      <c r="F554" t="str">
        <f>'5. KPI Baselines'!F539</f>
        <v>80/month</v>
      </c>
      <c r="G554" t="str">
        <f>'5. KPI Baselines'!G539</f>
        <v>120/month [LOW CONFIDENCE]</v>
      </c>
      <c r="H554" t="str">
        <f>'5. KPI Baselines'!H539</f>
        <v>↓</v>
      </c>
      <c r="I554" t="str">
        <f>'5. KPI Baselines'!I539</f>
        <v>18 months</v>
      </c>
      <c r="J554" t="str">
        <f>'5. KPI Baselines'!J539</f>
        <v>Reported data inconsistencies requiring manual reconciliation</v>
      </c>
      <c r="K554" s="15" t="str">
        <f t="shared" si="73"/>
        <v>340/month → 80/month</v>
      </c>
      <c r="L554" s="34" t="str" cm="1">
        <f t="array" ref="L554">IFERROR(_xlfn.LET(_xlpm.e,E554,_xlpm.f,F554,_xlpm.h,H554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54" s="15" t="str" cm="1">
        <f t="array" ref="M554">IFERROR(_xlfn.LET(_xlpm.e,E554,_xlpm.f,F554,_xlpm.h,H554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54" s="15" t="str" cm="1">
        <f t="array" ref="N554">IFERROR(_xlfn.LET(_xlpm.e,E554,_xlpm.f,F554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54" s="15" t="str">
        <f t="shared" si="74"/>
        <v>120/month [LOW CONFIDENCE] → 80/month</v>
      </c>
      <c r="P554" s="34" t="str" cm="1">
        <f t="array" ref="P554">IFERROR(_xlfn.LET(_xlpm.g,G554,_xlpm.f,F554,_xlpm.h,H554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54" s="15" t="str" cm="1">
        <f t="array" ref="Q554">IFERROR(_xlfn.LET(_xlpm.e,E554,_xlpm.g,G554,_xlpm.h,H554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54" s="15" t="str">
        <f t="shared" si="75"/>
        <v>⚪ N/A</v>
      </c>
      <c r="S554" s="35" cm="1">
        <f t="array" ref="S554">IFERROR(_xlfn.LET(_xlpm.e,E554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54" s="36">
        <f t="shared" si="76"/>
        <v>0</v>
      </c>
      <c r="U554" s="15">
        <f t="shared" si="77"/>
        <v>554</v>
      </c>
      <c r="V554" s="16">
        <f t="shared" si="78"/>
        <v>0</v>
      </c>
      <c r="W554" s="16">
        <f t="shared" si="79"/>
        <v>0</v>
      </c>
      <c r="X554" s="37" t="str">
        <f t="shared" si="80"/>
        <v>-</v>
      </c>
      <c r="Y554" s="15" t="str">
        <f t="shared" si="81"/>
        <v>📉 Low</v>
      </c>
    </row>
    <row r="555" spans="1:25" x14ac:dyDescent="0.2">
      <c r="A555" t="str">
        <f>'5. KPI Baselines'!A540</f>
        <v>TileBar</v>
      </c>
      <c r="B555" t="str">
        <f>'5. KPI Baselines'!B540</f>
        <v>Merchandising</v>
      </c>
      <c r="C555" t="str">
        <f>'5. KPI Baselines'!C540</f>
        <v>Product Content</v>
      </c>
      <c r="D555" t="str">
        <f>'5. KPI Baselines'!D540</f>
        <v>Time to Publish New SKU</v>
      </c>
      <c r="E555" t="str">
        <f>'5. KPI Baselines'!E540</f>
        <v>45 days</v>
      </c>
      <c r="F555" t="str">
        <f>'5. KPI Baselines'!F540</f>
        <v>7 days</v>
      </c>
      <c r="G555" t="str">
        <f>'5. KPI Baselines'!G540</f>
        <v>14 days</v>
      </c>
      <c r="H555" t="str">
        <f>'5. KPI Baselines'!H540</f>
        <v>↓</v>
      </c>
      <c r="I555" t="str">
        <f>'5. KPI Baselines'!I540</f>
        <v>12 months</v>
      </c>
      <c r="J555" t="str">
        <f>'5. KPI Baselines'!J540</f>
        <v>Days from warehouse receipt to full web availability with complete content</v>
      </c>
      <c r="K555" s="15" t="str">
        <f t="shared" si="73"/>
        <v>45 days → 7 days</v>
      </c>
      <c r="L555" s="34" cm="1">
        <f t="array" ref="L555">IFERROR(_xlfn.LET(_xlpm.e,E555,_xlpm.f,F555,_xlpm.h,H555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0.84444256790540462</v>
      </c>
      <c r="M555" s="15" cm="1">
        <f t="array" ref="M555">IFERROR(_xlfn.LET(_xlpm.e,E555,_xlpm.f,F555,_xlpm.h,H555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12.7</v>
      </c>
      <c r="N555" s="15" cm="1">
        <f t="array" ref="N555">IFERROR(_xlfn.LET(_xlpm.e,E555,_xlpm.f,F555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29.07</v>
      </c>
      <c r="O555" s="15" t="str">
        <f t="shared" si="74"/>
        <v>14 days → 7 days</v>
      </c>
      <c r="P555" s="34" cm="1">
        <f t="array" ref="P555">IFERROR(_xlfn.LET(_xlpm.g,G555,_xlpm.f,F555,_xlpm.h,H555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0.4999964285969386</v>
      </c>
      <c r="Q555" s="15" t="str" cm="1">
        <f t="array" ref="Q555">IFERROR(_xlfn.LET(_xlpm.e,E555,_xlpm.g,G555,_xlpm.h,H555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55" s="15" t="str">
        <f t="shared" si="75"/>
        <v>🔴 Lagging</v>
      </c>
      <c r="S555" s="35" cm="1">
        <f t="array" ref="S555">IFERROR(_xlfn.LET(_xlpm.e,E555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555" s="36">
        <f t="shared" si="76"/>
        <v>84.444256790540464</v>
      </c>
      <c r="U555" s="15">
        <f t="shared" si="77"/>
        <v>24</v>
      </c>
      <c r="V555" s="16">
        <f t="shared" si="78"/>
        <v>5305.2632105261982</v>
      </c>
      <c r="W555" s="16">
        <f t="shared" si="79"/>
        <v>13193.404377792434</v>
      </c>
      <c r="X555" s="37">
        <f t="shared" si="80"/>
        <v>16</v>
      </c>
      <c r="Y555" s="15" t="str">
        <f t="shared" si="81"/>
        <v>🔥 Critical</v>
      </c>
    </row>
    <row r="556" spans="1:25" x14ac:dyDescent="0.2">
      <c r="A556" t="str">
        <f>'5. KPI Baselines'!A541</f>
        <v>TileBar</v>
      </c>
      <c r="B556" t="str">
        <f>'5. KPI Baselines'!B541</f>
        <v>Merchandising</v>
      </c>
      <c r="C556" t="str">
        <f>'5. KPI Baselines'!C541</f>
        <v>Catalog Management</v>
      </c>
      <c r="D556" t="str">
        <f>'5. KPI Baselines'!D541</f>
        <v>SKU Content Completeness</v>
      </c>
      <c r="E556" t="str">
        <f>'5. KPI Baselines'!E541</f>
        <v>67%</v>
      </c>
      <c r="F556" t="str">
        <f>'5. KPI Baselines'!F541</f>
        <v>95%</v>
      </c>
      <c r="G556" t="str">
        <f>'5. KPI Baselines'!G541</f>
        <v>85%</v>
      </c>
      <c r="H556" t="str">
        <f>'5. KPI Baselines'!H541</f>
        <v>↑</v>
      </c>
      <c r="I556" t="str">
        <f>'5. KPI Baselines'!I541</f>
        <v>18 months</v>
      </c>
      <c r="J556" t="str">
        <f>'5. KPI Baselines'!J541</f>
        <v>Percentage of SKUs with descriptions, specs, care instructions, and installation guides</v>
      </c>
      <c r="K556" s="15" t="str">
        <f t="shared" si="73"/>
        <v>95% - 67%</v>
      </c>
      <c r="L556" s="34" cm="1">
        <f t="array" ref="L556">IFERROR(_xlfn.LET(_xlpm.e,E556,_xlpm.f,F556,_xlpm.h,H556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0.417909824015188</v>
      </c>
      <c r="M556" s="15" cm="1">
        <f t="array" ref="M556">IFERROR(_xlfn.LET(_xlpm.e,E556,_xlpm.f,F556,_xlpm.h,H556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90.8</v>
      </c>
      <c r="N556" s="15" cm="1">
        <f t="array" ref="N556">IFERROR(_xlfn.LET(_xlpm.e,E556,_xlpm.f,F556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21.42</v>
      </c>
      <c r="O556" s="15" t="str">
        <f t="shared" si="74"/>
        <v>95% - 85%</v>
      </c>
      <c r="P556" s="34" cm="1">
        <f t="array" ref="P556">IFERROR(_xlfn.LET(_xlpm.g,G556,_xlpm.f,F556,_xlpm.h,H556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0.11764692041538774</v>
      </c>
      <c r="Q556" s="15" t="str" cm="1">
        <f t="array" ref="Q556">IFERROR(_xlfn.LET(_xlpm.e,E556,_xlpm.g,G556,_xlpm.h,H556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56" s="15" t="str">
        <f t="shared" si="75"/>
        <v>🔴 Lagging</v>
      </c>
      <c r="S556" s="35" cm="1">
        <f t="array" ref="S556">IFERROR(_xlfn.LET(_xlpm.e,E556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556" s="36">
        <f t="shared" si="76"/>
        <v>41.790982401518804</v>
      </c>
      <c r="U556" s="15">
        <f t="shared" si="77"/>
        <v>288</v>
      </c>
      <c r="V556" s="16">
        <f t="shared" si="78"/>
        <v>3909.1441654564692</v>
      </c>
      <c r="W556" s="16">
        <f t="shared" si="79"/>
        <v>9721.4629509097849</v>
      </c>
      <c r="X556" s="37">
        <f t="shared" si="80"/>
        <v>22</v>
      </c>
      <c r="Y556" s="15" t="str">
        <f t="shared" si="81"/>
        <v>⚠️ High</v>
      </c>
    </row>
    <row r="557" spans="1:25" x14ac:dyDescent="0.2">
      <c r="A557" t="str">
        <f>'5. KPI Baselines'!A542</f>
        <v>TileBar</v>
      </c>
      <c r="B557" t="str">
        <f>'5. KPI Baselines'!B542</f>
        <v>Customer Service</v>
      </c>
      <c r="C557" t="str">
        <f>'5. KPI Baselines'!C542</f>
        <v>Contact Center</v>
      </c>
      <c r="D557" t="str">
        <f>'5. KPI Baselines'!D542</f>
        <v>Average Handle Time</v>
      </c>
      <c r="E557" t="str">
        <f>'5. KPI Baselines'!E542</f>
        <v>12 minutes</v>
      </c>
      <c r="F557" t="str">
        <f>'5. KPI Baselines'!F542</f>
        <v>7 minutes</v>
      </c>
      <c r="G557" t="str">
        <f>'5. KPI Baselines'!G542</f>
        <v>8 minutes</v>
      </c>
      <c r="H557" t="str">
        <f>'5. KPI Baselines'!H542</f>
        <v>↓</v>
      </c>
      <c r="I557" t="str">
        <f>'5. KPI Baselines'!I542</f>
        <v>9 months</v>
      </c>
      <c r="J557" t="str">
        <f>'5. KPI Baselines'!J542</f>
        <v>Total talk time plus after-call work per customer interaction</v>
      </c>
      <c r="K557" s="15" t="str">
        <f t="shared" si="73"/>
        <v>12 minutes → 7 minutes</v>
      </c>
      <c r="L557" s="34" cm="1">
        <f t="array" ref="L557">IFERROR(_xlfn.LET(_xlpm.e,E557,_xlpm.f,F557,_xlpm.h,H557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557" s="15" cm="1">
        <f t="array" ref="M557">IFERROR(_xlfn.LET(_xlpm.e,E557,_xlpm.f,F557,_xlpm.h,H557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557" s="15" cm="1">
        <f t="array" ref="N557">IFERROR(_xlfn.LET(_xlpm.e,E557,_xlpm.f,F557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57" s="15" t="str">
        <f t="shared" si="74"/>
        <v>8 minutes → 7 minutes</v>
      </c>
      <c r="P557" s="34" cm="1">
        <f t="array" ref="P557">IFERROR(_xlfn.LET(_xlpm.g,G557,_xlpm.f,F557,_xlpm.h,H557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0.12499843751953101</v>
      </c>
      <c r="Q557" s="15" t="str" cm="1">
        <f t="array" ref="Q557">IFERROR(_xlfn.LET(_xlpm.e,E557,_xlpm.g,G557,_xlpm.h,H557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57" s="15" t="str">
        <f t="shared" si="75"/>
        <v>🔴 Lagging</v>
      </c>
      <c r="S557" s="35" cm="1">
        <f t="array" ref="S557">IFERROR(_xlfn.LET(_xlpm.e,E557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57" s="36">
        <f t="shared" si="76"/>
        <v>41.666319447337941</v>
      </c>
      <c r="U557" s="15">
        <f t="shared" si="77"/>
        <v>292</v>
      </c>
      <c r="V557" s="16">
        <f t="shared" si="78"/>
        <v>698.05668286097625</v>
      </c>
      <c r="W557" s="16">
        <f t="shared" si="79"/>
        <v>1735.963651592662</v>
      </c>
      <c r="X557" s="37">
        <f t="shared" si="80"/>
        <v>124</v>
      </c>
      <c r="Y557" s="15" t="str">
        <f t="shared" si="81"/>
        <v>⚠️ High</v>
      </c>
    </row>
    <row r="558" spans="1:25" x14ac:dyDescent="0.2">
      <c r="A558" t="str">
        <f>'5. KPI Baselines'!A543</f>
        <v>TileBar</v>
      </c>
      <c r="B558" t="str">
        <f>'5. KPI Baselines'!B543</f>
        <v>Customer Service</v>
      </c>
      <c r="C558" t="str">
        <f>'5. KPI Baselines'!C543</f>
        <v>Self-Service</v>
      </c>
      <c r="D558" t="str">
        <f>'5. KPI Baselines'!D543</f>
        <v>Contact Deflection Rate</v>
      </c>
      <c r="E558" t="str">
        <f>'5. KPI Baselines'!E543</f>
        <v>18%</v>
      </c>
      <c r="F558" t="str">
        <f>'5. KPI Baselines'!F543</f>
        <v>55%</v>
      </c>
      <c r="G558" t="str">
        <f>'5. KPI Baselines'!G543</f>
        <v>42%</v>
      </c>
      <c r="H558" t="str">
        <f>'5. KPI Baselines'!H543</f>
        <v>↑</v>
      </c>
      <c r="I558" t="str">
        <f>'5. KPI Baselines'!I543</f>
        <v>12 months</v>
      </c>
      <c r="J558" t="str">
        <f>'5. KPI Baselines'!J543</f>
        <v>Percentage of customer inquiries resolved through automated channels</v>
      </c>
      <c r="K558" s="15" t="str">
        <f t="shared" si="73"/>
        <v>55% - 18%</v>
      </c>
      <c r="L558" s="34" cm="1">
        <f t="array" ref="L558">IFERROR(_xlfn.LET(_xlpm.e,E558,_xlpm.f,F558,_xlpm.h,H558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2.0555441358659117</v>
      </c>
      <c r="M558" s="15" cm="1">
        <f t="array" ref="M558">IFERROR(_xlfn.LET(_xlpm.e,E558,_xlpm.f,F558,_xlpm.h,H558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49.5</v>
      </c>
      <c r="N558" s="15" cm="1">
        <f t="array" ref="N558">IFERROR(_xlfn.LET(_xlpm.e,E558,_xlpm.f,F558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28.31</v>
      </c>
      <c r="O558" s="15" t="str">
        <f t="shared" si="74"/>
        <v>55% - 42%</v>
      </c>
      <c r="P558" s="34" cm="1">
        <f t="array" ref="P558">IFERROR(_xlfn.LET(_xlpm.g,G558,_xlpm.f,F558,_xlpm.h,H558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0.30952307256411293</v>
      </c>
      <c r="Q558" s="15" t="str" cm="1">
        <f t="array" ref="Q558">IFERROR(_xlfn.LET(_xlpm.e,E558,_xlpm.g,G558,_xlpm.h,H558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58" s="15" t="str">
        <f t="shared" si="75"/>
        <v>🔴 Lagging</v>
      </c>
      <c r="S558" s="35" cm="1">
        <f t="array" ref="S558">IFERROR(_xlfn.LET(_xlpm.e,E558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58" s="36">
        <f t="shared" si="76"/>
        <v>205.55441358659118</v>
      </c>
      <c r="U558" s="15">
        <f t="shared" si="77"/>
        <v>4</v>
      </c>
      <c r="V558" s="16">
        <f t="shared" si="78"/>
        <v>5165.6338020344319</v>
      </c>
      <c r="W558" s="16">
        <f t="shared" si="79"/>
        <v>12846.166705284735</v>
      </c>
      <c r="X558" s="37">
        <f t="shared" si="80"/>
        <v>17</v>
      </c>
      <c r="Y558" s="15" t="str">
        <f t="shared" si="81"/>
        <v>🔥 Critical</v>
      </c>
    </row>
    <row r="559" spans="1:25" x14ac:dyDescent="0.2">
      <c r="A559" t="str">
        <f>'5. KPI Baselines'!A544</f>
        <v>TileBar</v>
      </c>
      <c r="B559" t="str">
        <f>'5. KPI Baselines'!B544</f>
        <v>Supply Chain</v>
      </c>
      <c r="C559" t="str">
        <f>'5. KPI Baselines'!C544</f>
        <v>Inventory Planning</v>
      </c>
      <c r="D559" t="str">
        <f>'5. KPI Baselines'!D544</f>
        <v>Stockout Rate</v>
      </c>
      <c r="E559" t="str">
        <f>'5. KPI Baselines'!E544</f>
        <v>8.0%</v>
      </c>
      <c r="F559" t="str">
        <f>'5. KPI Baselines'!F544</f>
        <v>3.0%</v>
      </c>
      <c r="G559" t="str">
        <f>'5. KPI Baselines'!G544</f>
        <v>4.5%</v>
      </c>
      <c r="H559" t="str">
        <f>'5. KPI Baselines'!H544</f>
        <v>↓</v>
      </c>
      <c r="I559" t="str">
        <f>'5. KPI Baselines'!I544</f>
        <v>15 months</v>
      </c>
      <c r="J559" t="str">
        <f>'5. KPI Baselines'!J544</f>
        <v>Percentage of web sessions encountering out-of-stock on viewed products</v>
      </c>
      <c r="K559" s="15" t="str">
        <f t="shared" si="73"/>
        <v>8.0% → 3.0%</v>
      </c>
      <c r="L559" s="34" cm="1">
        <f t="array" ref="L559">IFERROR(_xlfn.LET(_xlpm.e,E559,_xlpm.f,F559,_xlpm.h,H559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559" s="15" cm="1">
        <f t="array" ref="M559">IFERROR(_xlfn.LET(_xlpm.e,E559,_xlpm.f,F559,_xlpm.h,H559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559" s="15" cm="1">
        <f t="array" ref="N559">IFERROR(_xlfn.LET(_xlpm.e,E559,_xlpm.f,F559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59" s="15" t="str">
        <f t="shared" si="74"/>
        <v>4.5% → 3.0%</v>
      </c>
      <c r="P559" s="34" cm="1">
        <f t="array" ref="P559">IFERROR(_xlfn.LET(_xlpm.g,G559,_xlpm.f,F559,_xlpm.h,H559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0.33332592609053135</v>
      </c>
      <c r="Q559" s="15" t="str" cm="1">
        <f t="array" ref="Q559">IFERROR(_xlfn.LET(_xlpm.e,E559,_xlpm.g,G559,_xlpm.h,H559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59" s="15" t="str">
        <f t="shared" si="75"/>
        <v>🔴 Lagging</v>
      </c>
      <c r="S559" s="35" cm="1">
        <f t="array" ref="S559">IFERROR(_xlfn.LET(_xlpm.e,E559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559" s="36">
        <f t="shared" si="76"/>
        <v>62.499218759765505</v>
      </c>
      <c r="U559" s="15">
        <f t="shared" si="77"/>
        <v>130</v>
      </c>
      <c r="V559" s="16">
        <f t="shared" si="78"/>
        <v>698.05377432782097</v>
      </c>
      <c r="W559" s="16">
        <f t="shared" si="79"/>
        <v>1735.9564185011941</v>
      </c>
      <c r="X559" s="37">
        <f t="shared" si="80"/>
        <v>124</v>
      </c>
      <c r="Y559" s="15" t="str">
        <f t="shared" si="81"/>
        <v>🔥 Critical</v>
      </c>
    </row>
    <row r="560" spans="1:25" x14ac:dyDescent="0.2">
      <c r="A560" t="str">
        <f>'5. KPI Baselines'!A545</f>
        <v>TileBar</v>
      </c>
      <c r="B560" t="str">
        <f>'5. KPI Baselines'!B545</f>
        <v>Supply Chain</v>
      </c>
      <c r="C560" t="str">
        <f>'5. KPI Baselines'!C545</f>
        <v>Inventory Planning</v>
      </c>
      <c r="D560" t="str">
        <f>'5. KPI Baselines'!D545</f>
        <v>Excess Inventory Ratio</v>
      </c>
      <c r="E560" t="str">
        <f>'5. KPI Baselines'!E545</f>
        <v>23%</v>
      </c>
      <c r="F560" t="str">
        <f>'5. KPI Baselines'!F545</f>
        <v>12%</v>
      </c>
      <c r="G560" t="str">
        <f>'5. KPI Baselines'!G545</f>
        <v>15%</v>
      </c>
      <c r="H560" t="str">
        <f>'5. KPI Baselines'!H545</f>
        <v>↓</v>
      </c>
      <c r="I560" t="str">
        <f>'5. KPI Baselines'!I545</f>
        <v>18 months</v>
      </c>
      <c r="J560" t="str">
        <f>'5. KPI Baselines'!J545</f>
        <v>Percentage of warehouse space holding SKUs with less than 2 turns per year</v>
      </c>
      <c r="K560" s="15" t="str">
        <f t="shared" si="73"/>
        <v>23% → 12%</v>
      </c>
      <c r="L560" s="34" cm="1">
        <f t="array" ref="L560">IFERROR(_xlfn.LET(_xlpm.e,E560,_xlpm.f,F560,_xlpm.h,H560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0.47825879017917317</v>
      </c>
      <c r="M560" s="15" cm="1">
        <f t="array" ref="M560">IFERROR(_xlfn.LET(_xlpm.e,E560,_xlpm.f,F560,_xlpm.h,H560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13.7</v>
      </c>
      <c r="N560" s="15" cm="1">
        <f t="array" ref="N560">IFERROR(_xlfn.LET(_xlpm.e,E560,_xlpm.f,F560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560" s="15" t="str">
        <f t="shared" si="74"/>
        <v>15% → 12%</v>
      </c>
      <c r="P560" s="34" cm="1">
        <f t="array" ref="P560">IFERROR(_xlfn.LET(_xlpm.g,G560,_xlpm.f,F560,_xlpm.h,H560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0.19999866667555549</v>
      </c>
      <c r="Q560" s="15" t="str" cm="1">
        <f t="array" ref="Q560">IFERROR(_xlfn.LET(_xlpm.e,E560,_xlpm.g,G560,_xlpm.h,H560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0" s="15" t="str">
        <f t="shared" si="75"/>
        <v>🔴 Lagging</v>
      </c>
      <c r="S560" s="35" cm="1">
        <f t="array" ref="S560">IFERROR(_xlfn.LET(_xlpm.e,E560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560" s="36">
        <f t="shared" si="76"/>
        <v>47.825879017917316</v>
      </c>
      <c r="U560" s="15">
        <f t="shared" si="77"/>
        <v>251</v>
      </c>
      <c r="V560" s="16">
        <f t="shared" si="78"/>
        <v>1535.7308229094656</v>
      </c>
      <c r="W560" s="16">
        <f t="shared" si="79"/>
        <v>3819.1352545682462</v>
      </c>
      <c r="X560" s="37">
        <f t="shared" si="80"/>
        <v>57</v>
      </c>
      <c r="Y560" s="15" t="str">
        <f t="shared" si="81"/>
        <v>⚠️ High</v>
      </c>
    </row>
    <row r="561" spans="1:25" x14ac:dyDescent="0.2">
      <c r="A561" t="str">
        <f>'5. KPI Baselines'!A546</f>
        <v>TileBar</v>
      </c>
      <c r="B561" t="str">
        <f>'5. KPI Baselines'!B546</f>
        <v>Sales</v>
      </c>
      <c r="C561" t="str">
        <f>'5. KPI Baselines'!C546</f>
        <v>Trade Accounts</v>
      </c>
      <c r="D561" t="str">
        <f>'5. KPI Baselines'!D546</f>
        <v>Sales Cycle Length</v>
      </c>
      <c r="E561" t="str">
        <f>'5. KPI Baselines'!E546</f>
        <v>60 days</v>
      </c>
      <c r="F561" t="str">
        <f>'5. KPI Baselines'!F546</f>
        <v>35 days</v>
      </c>
      <c r="G561" t="str">
        <f>'5. KPI Baselines'!G546</f>
        <v>45 days</v>
      </c>
      <c r="H561" t="str">
        <f>'5. KPI Baselines'!H546</f>
        <v>↓</v>
      </c>
      <c r="I561" t="str">
        <f>'5. KPI Baselines'!I546</f>
        <v>12 months</v>
      </c>
      <c r="J561" t="str">
        <f>'5. KPI Baselines'!J546</f>
        <v>Days from initial trade inquiry to first paid order</v>
      </c>
      <c r="K561" s="15" t="str">
        <f t="shared" si="73"/>
        <v>60 days → 35 days</v>
      </c>
      <c r="L561" s="34" cm="1">
        <f t="array" ref="L561">IFERROR(_xlfn.LET(_xlpm.e,E561,_xlpm.f,F561,_xlpm.h,H561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0.41666597222337959</v>
      </c>
      <c r="M561" s="15" cm="1">
        <f t="array" ref="M561">IFERROR(_xlfn.LET(_xlpm.e,E561,_xlpm.f,F561,_xlpm.h,H561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38.799999999999997</v>
      </c>
      <c r="N561" s="15" cm="1">
        <f t="array" ref="N561">IFERROR(_xlfn.LET(_xlpm.e,E561,_xlpm.f,F561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561" s="15" t="str">
        <f t="shared" si="74"/>
        <v>45 days → 35 days</v>
      </c>
      <c r="P561" s="34" cm="1">
        <f t="array" ref="P561">IFERROR(_xlfn.LET(_xlpm.g,G561,_xlpm.f,F561,_xlpm.h,H561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0.22222172839615911</v>
      </c>
      <c r="Q561" s="15" t="str" cm="1">
        <f t="array" ref="Q561">IFERROR(_xlfn.LET(_xlpm.e,E561,_xlpm.g,G561,_xlpm.h,H561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1" s="15" t="str">
        <f t="shared" si="75"/>
        <v>🔴 Lagging</v>
      </c>
      <c r="S561" s="35" cm="1">
        <f t="array" ref="S561">IFERROR(_xlfn.LET(_xlpm.e,E561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60</v>
      </c>
      <c r="T561" s="36">
        <f t="shared" si="76"/>
        <v>41.666597222337955</v>
      </c>
      <c r="U561" s="15">
        <f t="shared" si="77"/>
        <v>289</v>
      </c>
      <c r="V561" s="16">
        <f t="shared" si="78"/>
        <v>3490.3066828221949</v>
      </c>
      <c r="W561" s="16">
        <f t="shared" si="79"/>
        <v>8679.8761233219193</v>
      </c>
      <c r="X561" s="37">
        <f t="shared" si="80"/>
        <v>25</v>
      </c>
      <c r="Y561" s="15" t="str">
        <f t="shared" si="81"/>
        <v>⚠️ High</v>
      </c>
    </row>
    <row r="562" spans="1:25" x14ac:dyDescent="0.2">
      <c r="A562" t="str">
        <f>'5. KPI Baselines'!A547</f>
        <v>TileBar</v>
      </c>
      <c r="B562" t="str">
        <f>'5. KPI Baselines'!B547</f>
        <v>Sales</v>
      </c>
      <c r="C562" t="str">
        <f>'5. KPI Baselines'!C547</f>
        <v>Trade Accounts</v>
      </c>
      <c r="D562" t="str">
        <f>'5. KPI Baselines'!D547</f>
        <v>Trade Customer Acquisition Cost</v>
      </c>
      <c r="E562" t="str">
        <f>'5. KPI Baselines'!E547</f>
        <v>$520</v>
      </c>
      <c r="F562" t="str">
        <f>'5. KPI Baselines'!F547</f>
        <v>$380</v>
      </c>
      <c r="G562" t="str">
        <f>'5. KPI Baselines'!G547</f>
        <v>$420</v>
      </c>
      <c r="H562" t="str">
        <f>'5. KPI Baselines'!H547</f>
        <v>↓</v>
      </c>
      <c r="I562" t="str">
        <f>'5. KPI Baselines'!I547</f>
        <v>15 months</v>
      </c>
      <c r="J562" t="str">
        <f>'5. KPI Baselines'!J547</f>
        <v>Fully-loaded marketing and sales expense per new trade account activated</v>
      </c>
      <c r="K562" s="15" t="str">
        <f t="shared" si="73"/>
        <v>$520 → $380</v>
      </c>
      <c r="L562" s="34" cm="1">
        <f t="array" ref="L562">IFERROR(_xlfn.LET(_xlpm.e,E562,_xlpm.f,F562,_xlpm.h,H562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0.26923071745563126</v>
      </c>
      <c r="M562" s="15" cm="1">
        <f t="array" ref="M562">IFERROR(_xlfn.LET(_xlpm.e,E562,_xlpm.f,F562,_xlpm.h,H562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401</v>
      </c>
      <c r="N562" s="15" cm="1">
        <f t="array" ref="N562">IFERROR(_xlfn.LET(_xlpm.e,E562,_xlpm.f,F562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107.1</v>
      </c>
      <c r="O562" s="15" t="str">
        <f t="shared" si="74"/>
        <v>$420 → $380</v>
      </c>
      <c r="P562" s="34" cm="1">
        <f t="array" ref="P562">IFERROR(_xlfn.LET(_xlpm.g,G562,_xlpm.f,F562,_xlpm.h,H562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9.5238072562363676E-2</v>
      </c>
      <c r="Q562" s="15" t="str" cm="1">
        <f t="array" ref="Q562">IFERROR(_xlfn.LET(_xlpm.e,E562,_xlpm.g,G562,_xlpm.h,H562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2" s="15" t="str">
        <f t="shared" si="75"/>
        <v>🔴 Lagging</v>
      </c>
      <c r="S562" s="35" cm="1">
        <f t="array" ref="S562">IFERROR(_xlfn.LET(_xlpm.e,E562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520</v>
      </c>
      <c r="T562" s="36">
        <f t="shared" si="76"/>
        <v>26.923071745563128</v>
      </c>
      <c r="U562" s="15">
        <f t="shared" si="77"/>
        <v>409</v>
      </c>
      <c r="V562" s="16">
        <f t="shared" si="78"/>
        <v>19545.746241202643</v>
      </c>
      <c r="W562" s="16">
        <f t="shared" si="79"/>
        <v>48607.377955207216</v>
      </c>
      <c r="X562" s="37">
        <f t="shared" si="80"/>
        <v>4</v>
      </c>
      <c r="Y562" s="15" t="str">
        <f t="shared" si="81"/>
        <v>⚠️ High</v>
      </c>
    </row>
    <row r="563" spans="1:25" x14ac:dyDescent="0.2">
      <c r="A563" t="str">
        <f>'5. KPI Baselines'!A548</f>
        <v>TileBar</v>
      </c>
      <c r="B563" t="str">
        <f>'5. KPI Baselines'!B548</f>
        <v>Marketing</v>
      </c>
      <c r="C563" t="str">
        <f>'5. KPI Baselines'!C548</f>
        <v>Content Marketing</v>
      </c>
      <c r="D563" t="str">
        <f>'5. KPI Baselines'!D548</f>
        <v>Project Guide Production Rate</v>
      </c>
      <c r="E563" t="str">
        <f>'5. KPI Baselines'!E548</f>
        <v>8 guides/month</v>
      </c>
      <c r="F563" t="str">
        <f>'5. KPI Baselines'!F548</f>
        <v>24 guides/month</v>
      </c>
      <c r="G563" t="str">
        <f>'5. KPI Baselines'!G548</f>
        <v>18 guides/month</v>
      </c>
      <c r="H563" t="str">
        <f>'5. KPI Baselines'!H548</f>
        <v>↑</v>
      </c>
      <c r="I563" t="str">
        <f>'5. KPI Baselines'!I548</f>
        <v>9 months</v>
      </c>
      <c r="J563" t="str">
        <f>'5. KPI Baselines'!J548</f>
        <v>Number of published installation guides, style guides, and trend reports</v>
      </c>
      <c r="K563" s="15" t="str">
        <f t="shared" si="73"/>
        <v>24 guides/month - 8 guides/month</v>
      </c>
      <c r="L563" s="34" t="str" cm="1">
        <f t="array" ref="L563">IFERROR(_xlfn.LET(_xlpm.e,E563,_xlpm.f,F563,_xlpm.h,H563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63" s="15" t="str" cm="1">
        <f t="array" ref="M563">IFERROR(_xlfn.LET(_xlpm.e,E563,_xlpm.f,F563,_xlpm.h,H563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63" s="15" t="str" cm="1">
        <f t="array" ref="N563">IFERROR(_xlfn.LET(_xlpm.e,E563,_xlpm.f,F563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63" s="15" t="str">
        <f t="shared" si="74"/>
        <v>24 guides/month - 18 guides/month</v>
      </c>
      <c r="P563" s="34" t="str" cm="1">
        <f t="array" ref="P563">IFERROR(_xlfn.LET(_xlpm.g,G563,_xlpm.f,F563,_xlpm.h,H563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63" s="15" t="str" cm="1">
        <f t="array" ref="Q563">IFERROR(_xlfn.LET(_xlpm.e,E563,_xlpm.g,G563,_xlpm.h,H563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63" s="15" t="str">
        <f t="shared" si="75"/>
        <v>⚪ N/A</v>
      </c>
      <c r="S563" s="35" cm="1">
        <f t="array" ref="S563">IFERROR(_xlfn.LET(_xlpm.e,E563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63" s="36">
        <f t="shared" si="76"/>
        <v>0</v>
      </c>
      <c r="U563" s="15">
        <f t="shared" si="77"/>
        <v>554</v>
      </c>
      <c r="V563" s="16">
        <f t="shared" si="78"/>
        <v>0</v>
      </c>
      <c r="W563" s="16">
        <f t="shared" si="79"/>
        <v>0</v>
      </c>
      <c r="X563" s="37" t="str">
        <f t="shared" si="80"/>
        <v>-</v>
      </c>
      <c r="Y563" s="15" t="str">
        <f t="shared" si="81"/>
        <v>📉 Low</v>
      </c>
    </row>
    <row r="564" spans="1:25" x14ac:dyDescent="0.2">
      <c r="A564" t="str">
        <f>'5. KPI Baselines'!A549</f>
        <v>TileBar</v>
      </c>
      <c r="B564" t="str">
        <f>'5. KPI Baselines'!B549</f>
        <v>Operations</v>
      </c>
      <c r="C564" t="str">
        <f>'5. KPI Baselines'!C549</f>
        <v>Supplier Management</v>
      </c>
      <c r="D564" t="str">
        <f>'5. KPI Baselines'!D549</f>
        <v>On-Time Delivery Variance</v>
      </c>
      <c r="E564" t="str">
        <f>'5. KPI Baselines'!E549</f>
        <v>15%</v>
      </c>
      <c r="F564" t="str">
        <f>'5. KPI Baselines'!F549</f>
        <v>8%</v>
      </c>
      <c r="G564" t="str">
        <f>'5. KPI Baselines'!G549</f>
        <v>10%</v>
      </c>
      <c r="H564" t="str">
        <f>'5. KPI Baselines'!H549</f>
        <v>↓</v>
      </c>
      <c r="I564" t="str">
        <f>'5. KPI Baselines'!I549</f>
        <v>12 months</v>
      </c>
      <c r="J564" t="str">
        <f>'5. KPI Baselines'!J549</f>
        <v>Percentage deviation from promised delivery dates across supplier base</v>
      </c>
      <c r="K564" s="15" t="str">
        <f t="shared" si="73"/>
        <v>15% → 8%</v>
      </c>
      <c r="L564" s="34" cm="1">
        <f t="array" ref="L564">IFERROR(_xlfn.LET(_xlpm.e,E564,_xlpm.f,F564,_xlpm.h,H564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0.46666355557629619</v>
      </c>
      <c r="M564" s="15" cm="1">
        <f t="array" ref="M564">IFERROR(_xlfn.LET(_xlpm.e,E564,_xlpm.f,F564,_xlpm.h,H564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9.1</v>
      </c>
      <c r="N564" s="15" cm="1">
        <f t="array" ref="N564">IFERROR(_xlfn.LET(_xlpm.e,E564,_xlpm.f,F564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564" s="15" t="str">
        <f t="shared" si="74"/>
        <v>10% → 8%</v>
      </c>
      <c r="P564" s="34" cm="1">
        <f t="array" ref="P564">IFERROR(_xlfn.LET(_xlpm.g,G564,_xlpm.f,F564,_xlpm.h,H564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0.19999800001999982</v>
      </c>
      <c r="Q564" s="15" t="str" cm="1">
        <f t="array" ref="Q564">IFERROR(_xlfn.LET(_xlpm.e,E564,_xlpm.g,G564,_xlpm.h,H564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4" s="15" t="str">
        <f t="shared" si="75"/>
        <v>🔴 Lagging</v>
      </c>
      <c r="S564" s="35" cm="1">
        <f t="array" ref="S564">IFERROR(_xlfn.LET(_xlpm.e,E564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15</v>
      </c>
      <c r="T564" s="36">
        <f t="shared" si="76"/>
        <v>46.666355557629622</v>
      </c>
      <c r="U564" s="15">
        <f t="shared" si="77"/>
        <v>259</v>
      </c>
      <c r="V564" s="16">
        <f t="shared" si="78"/>
        <v>977.28098479343464</v>
      </c>
      <c r="W564" s="16">
        <f t="shared" si="79"/>
        <v>2430.3531627845764</v>
      </c>
      <c r="X564" s="37">
        <f t="shared" si="80"/>
        <v>89</v>
      </c>
      <c r="Y564" s="15" t="str">
        <f t="shared" si="81"/>
        <v>⚠️ High</v>
      </c>
    </row>
    <row r="565" spans="1:25" x14ac:dyDescent="0.2">
      <c r="A565" t="str">
        <f>'5. KPI Baselines'!A550</f>
        <v>TileBar</v>
      </c>
      <c r="B565" t="str">
        <f>'5. KPI Baselines'!B550</f>
        <v>Finance</v>
      </c>
      <c r="C565" t="str">
        <f>'5. KPI Baselines'!C550</f>
        <v>Working Capital</v>
      </c>
      <c r="D565" t="str">
        <f>'5. KPI Baselines'!D550</f>
        <v>Days Inventory Outstanding</v>
      </c>
      <c r="E565" t="str">
        <f>'5. KPI Baselines'!E550</f>
        <v>87 days</v>
      </c>
      <c r="F565" t="str">
        <f>'5. KPI Baselines'!F550</f>
        <v>62 days</v>
      </c>
      <c r="G565" t="str">
        <f>'5. KPI Baselines'!G550</f>
        <v>68 days</v>
      </c>
      <c r="H565" t="str">
        <f>'5. KPI Baselines'!H550</f>
        <v>↓</v>
      </c>
      <c r="I565" t="str">
        <f>'5. KPI Baselines'!I550</f>
        <v>18 months</v>
      </c>
      <c r="J565" t="str">
        <f>'5. KPI Baselines'!J550</f>
        <v>Average days inventory held before sale, weighted by product category</v>
      </c>
      <c r="K565" s="15" t="str">
        <f t="shared" si="73"/>
        <v>87 days → 62 days</v>
      </c>
      <c r="L565" s="34" cm="1">
        <f t="array" ref="L565">IFERROR(_xlfn.LET(_xlpm.e,E565,_xlpm.f,F565,_xlpm.h,H565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0.28735599154483732</v>
      </c>
      <c r="M565" s="15" cm="1">
        <f t="array" ref="M565">IFERROR(_xlfn.LET(_xlpm.e,E565,_xlpm.f,F565,_xlpm.h,H565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65.8</v>
      </c>
      <c r="N565" s="15" cm="1">
        <f t="array" ref="N565">IFERROR(_xlfn.LET(_xlpm.e,E565,_xlpm.f,F565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565" s="15" t="str">
        <f t="shared" si="74"/>
        <v>68 days → 62 days</v>
      </c>
      <c r="P565" s="34" cm="1">
        <f t="array" ref="P565">IFERROR(_xlfn.LET(_xlpm.g,G565,_xlpm.f,F565,_xlpm.h,H565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8.8235164360052409E-2</v>
      </c>
      <c r="Q565" s="15" t="str" cm="1">
        <f t="array" ref="Q565">IFERROR(_xlfn.LET(_xlpm.e,E565,_xlpm.g,G565,_xlpm.h,H565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5" s="15" t="str">
        <f t="shared" si="75"/>
        <v>🔴 Lagging</v>
      </c>
      <c r="S565" s="35" cm="1">
        <f t="array" ref="S565">IFERROR(_xlfn.LET(_xlpm.e,E565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565" s="36">
        <f t="shared" si="76"/>
        <v>28.735599154483733</v>
      </c>
      <c r="U565" s="15">
        <f t="shared" si="77"/>
        <v>401</v>
      </c>
      <c r="V565" s="16">
        <f t="shared" si="78"/>
        <v>3490.3084881511636</v>
      </c>
      <c r="W565" s="16">
        <f t="shared" si="79"/>
        <v>8679.8806129078603</v>
      </c>
      <c r="X565" s="37">
        <f t="shared" si="80"/>
        <v>25</v>
      </c>
      <c r="Y565" s="15" t="str">
        <f t="shared" si="81"/>
        <v>⚠️ High</v>
      </c>
    </row>
    <row r="566" spans="1:25" x14ac:dyDescent="0.2">
      <c r="A566" t="str">
        <f>'5. KPI Baselines'!A551</f>
        <v>TileBar</v>
      </c>
      <c r="B566" t="str">
        <f>'5. KPI Baselines'!B551</f>
        <v>E-Commerce</v>
      </c>
      <c r="C566" t="str">
        <f>'5. KPI Baselines'!C551</f>
        <v>Conversion</v>
      </c>
      <c r="D566" t="str">
        <f>'5. KPI Baselines'!D551</f>
        <v>Product Detail Page Conversion</v>
      </c>
      <c r="E566" t="str">
        <f>'5. KPI Baselines'!E551</f>
        <v>2.1%</v>
      </c>
      <c r="F566" t="str">
        <f>'5. KPI Baselines'!F551</f>
        <v>4.2%</v>
      </c>
      <c r="G566" t="str">
        <f>'5. KPI Baselines'!G551</f>
        <v>3.4%</v>
      </c>
      <c r="H566" t="str">
        <f>'5. KPI Baselines'!H551</f>
        <v>↑</v>
      </c>
      <c r="I566" t="str">
        <f>'5. KPI Baselines'!I551</f>
        <v>12 months</v>
      </c>
      <c r="J566" t="str">
        <f>'5. KPI Baselines'!J551</f>
        <v>Percentage of PDP visitors who add to cart and complete purchase</v>
      </c>
      <c r="K566" s="15" t="str">
        <f t="shared" si="73"/>
        <v>4.2% - 2.1%</v>
      </c>
      <c r="L566" s="34" cm="1">
        <f t="array" ref="L566">IFERROR(_xlfn.LET(_xlpm.e,E566,_xlpm.f,F566,_xlpm.h,H566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0.99995238321984659</v>
      </c>
      <c r="M566" s="15" cm="1">
        <f t="array" ref="M566">IFERROR(_xlfn.LET(_xlpm.e,E566,_xlpm.f,F566,_xlpm.h,H566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566" s="15" cm="1">
        <f t="array" ref="N566">IFERROR(_xlfn.LET(_xlpm.e,E566,_xlpm.f,F566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1.61</v>
      </c>
      <c r="O566" s="15" t="str">
        <f t="shared" si="74"/>
        <v>4.2% - 3.4%</v>
      </c>
      <c r="P566" s="34" cm="1">
        <f t="array" ref="P566">IFERROR(_xlfn.LET(_xlpm.g,G566,_xlpm.f,F566,_xlpm.h,H566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0.2352871974353696</v>
      </c>
      <c r="Q566" s="15" t="str" cm="1">
        <f t="array" ref="Q566">IFERROR(_xlfn.LET(_xlpm.e,E566,_xlpm.g,G566,_xlpm.h,H566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6" s="15" t="str">
        <f t="shared" si="75"/>
        <v>🔴 Lagging</v>
      </c>
      <c r="S566" s="35" cm="1">
        <f t="array" ref="S566">IFERROR(_xlfn.LET(_xlpm.e,E566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2.1</v>
      </c>
      <c r="T566" s="36">
        <f t="shared" si="76"/>
        <v>99.995238321984658</v>
      </c>
      <c r="U566" s="15">
        <f t="shared" si="77"/>
        <v>12</v>
      </c>
      <c r="V566" s="16">
        <f t="shared" si="78"/>
        <v>293.17228941478982</v>
      </c>
      <c r="W566" s="16">
        <f t="shared" si="79"/>
        <v>729.07609163257325</v>
      </c>
      <c r="X566" s="37">
        <f t="shared" si="80"/>
        <v>292</v>
      </c>
      <c r="Y566" s="15" t="str">
        <f t="shared" si="81"/>
        <v>🔥 Critical</v>
      </c>
    </row>
    <row r="567" spans="1:25" x14ac:dyDescent="0.2">
      <c r="A567" t="str">
        <f>'5. KPI Baselines'!A552</f>
        <v>Traeger Pellet Grills</v>
      </c>
      <c r="B567" t="str">
        <f>'5. KPI Baselines'!B552</f>
        <v>Customer Service</v>
      </c>
      <c r="C567" t="str">
        <f>'5. KPI Baselines'!C552</f>
        <v>Warranty Management</v>
      </c>
      <c r="D567" t="str">
        <f>'5. KPI Baselines'!D552</f>
        <v>Average Claim Resolution Time</v>
      </c>
      <c r="E567" t="str">
        <f>'5. KPI Baselines'!E552</f>
        <v>9 days</v>
      </c>
      <c r="F567" t="str">
        <f>'5. KPI Baselines'!F552</f>
        <v>3 days</v>
      </c>
      <c r="G567" t="str">
        <f>'5. KPI Baselines'!G552</f>
        <v>4 days</v>
      </c>
      <c r="H567" t="str">
        <f>'5. KPI Baselines'!H552</f>
        <v>↓</v>
      </c>
      <c r="I567" t="str">
        <f>'5. KPI Baselines'!I552</f>
        <v>12 months</v>
      </c>
      <c r="J567" t="str">
        <f>'5. KPI Baselines'!J552</f>
        <v>Median days from claim submission to parts shipment</v>
      </c>
      <c r="K567" s="15" t="str">
        <f t="shared" si="73"/>
        <v>9 days → 3 days</v>
      </c>
      <c r="L567" s="34" cm="1">
        <f t="array" ref="L567">IFERROR(_xlfn.LET(_xlpm.e,E567,_xlpm.f,F567,_xlpm.h,H567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0.66665925934156289</v>
      </c>
      <c r="M567" s="15" cm="1">
        <f t="array" ref="M567">IFERROR(_xlfn.LET(_xlpm.e,E567,_xlpm.f,F567,_xlpm.h,H567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567" s="15" cm="1">
        <f t="array" ref="N567">IFERROR(_xlfn.LET(_xlpm.e,E567,_xlpm.f,F567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567" s="15" t="str">
        <f t="shared" si="74"/>
        <v>4 days → 3 days</v>
      </c>
      <c r="P567" s="34" cm="1">
        <f t="array" ref="P567">IFERROR(_xlfn.LET(_xlpm.g,G567,_xlpm.f,F567,_xlpm.h,H567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0.24999375015624611</v>
      </c>
      <c r="Q567" s="15" t="str" cm="1">
        <f t="array" ref="Q567">IFERROR(_xlfn.LET(_xlpm.e,E567,_xlpm.g,G567,_xlpm.h,H567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7" s="15" t="str">
        <f t="shared" si="75"/>
        <v>🔴 Lagging</v>
      </c>
      <c r="S567" s="35" cm="1">
        <f t="array" ref="S567">IFERROR(_xlfn.LET(_xlpm.e,E567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567" s="36">
        <f t="shared" si="76"/>
        <v>66.665925934156292</v>
      </c>
      <c r="U567" s="15">
        <f t="shared" si="77"/>
        <v>102</v>
      </c>
      <c r="V567" s="16">
        <f t="shared" si="78"/>
        <v>837.66569260341555</v>
      </c>
      <c r="W567" s="16">
        <f t="shared" si="79"/>
        <v>2083.1505954299832</v>
      </c>
      <c r="X567" s="37">
        <f t="shared" si="80"/>
        <v>104</v>
      </c>
      <c r="Y567" s="15" t="str">
        <f t="shared" si="81"/>
        <v>🔥 Critical</v>
      </c>
    </row>
    <row r="568" spans="1:25" x14ac:dyDescent="0.2">
      <c r="A568" t="str">
        <f>'5. KPI Baselines'!A553</f>
        <v>Traeger Pellet Grills</v>
      </c>
      <c r="B568" t="str">
        <f>'5. KPI Baselines'!B553</f>
        <v>Customer Service</v>
      </c>
      <c r="C568" t="str">
        <f>'5. KPI Baselines'!C553</f>
        <v>Technical Support</v>
      </c>
      <c r="D568" t="str">
        <f>'5. KPI Baselines'!D553</f>
        <v>First Contact Resolution Rate</v>
      </c>
      <c r="E568" t="str">
        <f>'5. KPI Baselines'!E553</f>
        <v>58%</v>
      </c>
      <c r="F568" t="str">
        <f>'5. KPI Baselines'!F553</f>
        <v>75%</v>
      </c>
      <c r="G568" t="str">
        <f>'5. KPI Baselines'!G553</f>
        <v>72%</v>
      </c>
      <c r="H568" t="str">
        <f>'5. KPI Baselines'!H553</f>
        <v>↑</v>
      </c>
      <c r="I568" t="str">
        <f>'5. KPI Baselines'!I553</f>
        <v>12 months</v>
      </c>
      <c r="J568" t="str">
        <f>'5. KPI Baselines'!J553</f>
        <v>Percentage of inquiries resolved without escalation or callback</v>
      </c>
      <c r="K568" s="15" t="str">
        <f t="shared" si="73"/>
        <v>75% - 58%</v>
      </c>
      <c r="L568" s="34" cm="1">
        <f t="array" ref="L568">IFERROR(_xlfn.LET(_xlpm.e,E568,_xlpm.f,F568,_xlpm.h,H568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0.29310294292596045</v>
      </c>
      <c r="M568" s="15" cm="1">
        <f t="array" ref="M568">IFERROR(_xlfn.LET(_xlpm.e,E568,_xlpm.f,F568,_xlpm.h,H568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72.5</v>
      </c>
      <c r="N568" s="15" cm="1">
        <f t="array" ref="N568">IFERROR(_xlfn.LET(_xlpm.e,E568,_xlpm.f,F568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568" s="15" t="str">
        <f t="shared" si="74"/>
        <v>75% - 72%</v>
      </c>
      <c r="P568" s="34" cm="1">
        <f t="array" ref="P568">IFERROR(_xlfn.LET(_xlpm.g,G568,_xlpm.f,F568,_xlpm.h,H568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4.1666608796376667E-2</v>
      </c>
      <c r="Q568" s="15" t="str" cm="1">
        <f t="array" ref="Q568">IFERROR(_xlfn.LET(_xlpm.e,E568,_xlpm.g,G568,_xlpm.h,H568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8" s="15" t="str">
        <f t="shared" si="75"/>
        <v>🔴 Lagging</v>
      </c>
      <c r="S568" s="35" cm="1">
        <f t="array" ref="S568">IFERROR(_xlfn.LET(_xlpm.e,E568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568" s="36">
        <f t="shared" si="76"/>
        <v>29.310294292596044</v>
      </c>
      <c r="U568" s="15">
        <f t="shared" si="77"/>
        <v>396</v>
      </c>
      <c r="V568" s="16">
        <f t="shared" si="78"/>
        <v>2373.4084079165377</v>
      </c>
      <c r="W568" s="16">
        <f t="shared" si="79"/>
        <v>5902.3154246459408</v>
      </c>
      <c r="X568" s="37">
        <f t="shared" si="80"/>
        <v>37</v>
      </c>
      <c r="Y568" s="15" t="str">
        <f t="shared" si="81"/>
        <v>⚠️ High</v>
      </c>
    </row>
    <row r="569" spans="1:25" x14ac:dyDescent="0.2">
      <c r="A569" t="str">
        <f>'5. KPI Baselines'!A554</f>
        <v>Traeger Pellet Grills</v>
      </c>
      <c r="B569" t="str">
        <f>'5. KPI Baselines'!B554</f>
        <v>Product Development</v>
      </c>
      <c r="C569" t="str">
        <f>'5. KPI Baselines'!C554</f>
        <v>Market Intelligence</v>
      </c>
      <c r="D569" t="str">
        <f>'5. KPI Baselines'!D554</f>
        <v>Feature Request Analysis Cycle Time</v>
      </c>
      <c r="E569" t="str">
        <f>'5. KPI Baselines'!E554</f>
        <v>45 days</v>
      </c>
      <c r="F569" t="str">
        <f>'5. KPI Baselines'!F554</f>
        <v>12 days</v>
      </c>
      <c r="G569" t="str">
        <f>'5. KPI Baselines'!G554</f>
        <v>15 days</v>
      </c>
      <c r="H569" t="str">
        <f>'5. KPI Baselines'!H554</f>
        <v>↓</v>
      </c>
      <c r="I569" t="str">
        <f>'5. KPI Baselines'!I554</f>
        <v>9 months</v>
      </c>
      <c r="J569" t="str">
        <f>'5. KPI Baselines'!J554</f>
        <v>Days from customer feedback cluster identification to engineering prioritization</v>
      </c>
      <c r="K569" s="15" t="str">
        <f t="shared" si="73"/>
        <v>45 days → 12 days</v>
      </c>
      <c r="L569" s="34" cm="1">
        <f t="array" ref="L569">IFERROR(_xlfn.LET(_xlpm.e,E569,_xlpm.f,F569,_xlpm.h,H569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0.73333170370732503</v>
      </c>
      <c r="M569" s="15" cm="1">
        <f t="array" ref="M569">IFERROR(_xlfn.LET(_xlpm.e,E569,_xlpm.f,F569,_xlpm.h,H569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17</v>
      </c>
      <c r="N569" s="15" cm="1">
        <f t="array" ref="N569">IFERROR(_xlfn.LET(_xlpm.e,E569,_xlpm.f,F569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25.25</v>
      </c>
      <c r="O569" s="15" t="str">
        <f t="shared" si="74"/>
        <v>15 days → 12 days</v>
      </c>
      <c r="P569" s="34" cm="1">
        <f t="array" ref="P569">IFERROR(_xlfn.LET(_xlpm.g,G569,_xlpm.f,F569,_xlpm.h,H569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0.19999866667555549</v>
      </c>
      <c r="Q569" s="15" t="str" cm="1">
        <f t="array" ref="Q569">IFERROR(_xlfn.LET(_xlpm.e,E569,_xlpm.g,G569,_xlpm.h,H569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69" s="15" t="str">
        <f t="shared" si="75"/>
        <v>🔴 Lagging</v>
      </c>
      <c r="S569" s="35" cm="1">
        <f t="array" ref="S569">IFERROR(_xlfn.LET(_xlpm.e,E569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569" s="36">
        <f t="shared" si="76"/>
        <v>73.333170370732503</v>
      </c>
      <c r="U569" s="15">
        <f t="shared" si="77"/>
        <v>68</v>
      </c>
      <c r="V569" s="16">
        <f t="shared" si="78"/>
        <v>4607.2022617727516</v>
      </c>
      <c r="W569" s="16">
        <f t="shared" si="79"/>
        <v>11457.430117556589</v>
      </c>
      <c r="X569" s="37">
        <f t="shared" si="80"/>
        <v>19</v>
      </c>
      <c r="Y569" s="15" t="str">
        <f t="shared" si="81"/>
        <v>🔥 Critical</v>
      </c>
    </row>
    <row r="570" spans="1:25" x14ac:dyDescent="0.2">
      <c r="A570" t="str">
        <f>'5. KPI Baselines'!A555</f>
        <v>Traeger Pellet Grills</v>
      </c>
      <c r="B570" t="str">
        <f>'5. KPI Baselines'!B555</f>
        <v>Product Development</v>
      </c>
      <c r="C570" t="str">
        <f>'5. KPI Baselines'!C555</f>
        <v>Competitive Analysis</v>
      </c>
      <c r="D570" t="str">
        <f>'5. KPI Baselines'!D555</f>
        <v>Competitive Intelligence Report Frequency</v>
      </c>
      <c r="E570" t="str">
        <f>'5. KPI Baselines'!E555</f>
        <v>Quarterly</v>
      </c>
      <c r="F570" t="str">
        <f>'5. KPI Baselines'!F555</f>
        <v>Bi-weekly</v>
      </c>
      <c r="G570" t="str">
        <f>'5. KPI Baselines'!G555</f>
        <v>Monthly</v>
      </c>
      <c r="H570" t="str">
        <f>'5. KPI Baselines'!H555</f>
        <v>↑</v>
      </c>
      <c r="I570" t="str">
        <f>'5. KPI Baselines'!I555</f>
        <v>6 months</v>
      </c>
      <c r="J570" t="str">
        <f>'5. KPI Baselines'!J555</f>
        <v>Published reports with actionable product insights</v>
      </c>
      <c r="K570" s="15" t="str">
        <f t="shared" si="73"/>
        <v>Bi-weekly - Quarterly</v>
      </c>
      <c r="L570" s="34" t="str" cm="1">
        <f t="array" ref="L570">IFERROR(_xlfn.LET(_xlpm.e,E570,_xlpm.f,F570,_xlpm.h,H570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70" s="15" t="str" cm="1">
        <f t="array" ref="M570">IFERROR(_xlfn.LET(_xlpm.e,E570,_xlpm.f,F570,_xlpm.h,H570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70" s="15" t="str" cm="1">
        <f t="array" ref="N570">IFERROR(_xlfn.LET(_xlpm.e,E570,_xlpm.f,F570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70" s="15" t="str">
        <f t="shared" si="74"/>
        <v>Bi-weekly - Monthly</v>
      </c>
      <c r="P570" s="34" t="str" cm="1">
        <f t="array" ref="P570">IFERROR(_xlfn.LET(_xlpm.g,G570,_xlpm.f,F570,_xlpm.h,H570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70" s="15" t="str" cm="1">
        <f t="array" ref="Q570">IFERROR(_xlfn.LET(_xlpm.e,E570,_xlpm.g,G570,_xlpm.h,H570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70" s="15" t="str">
        <f t="shared" si="75"/>
        <v>⚪ N/A</v>
      </c>
      <c r="S570" s="35" cm="1">
        <f t="array" ref="S570">IFERROR(_xlfn.LET(_xlpm.e,E570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70" s="36">
        <f t="shared" si="76"/>
        <v>0</v>
      </c>
      <c r="U570" s="15">
        <f t="shared" si="77"/>
        <v>554</v>
      </c>
      <c r="V570" s="16">
        <f t="shared" si="78"/>
        <v>0</v>
      </c>
      <c r="W570" s="16">
        <f t="shared" si="79"/>
        <v>0</v>
      </c>
      <c r="X570" s="37" t="str">
        <f t="shared" si="80"/>
        <v>-</v>
      </c>
      <c r="Y570" s="15" t="str">
        <f t="shared" si="81"/>
        <v>📉 Low</v>
      </c>
    </row>
    <row r="571" spans="1:25" x14ac:dyDescent="0.2">
      <c r="A571" t="str">
        <f>'5. KPI Baselines'!A556</f>
        <v>Traeger Pellet Grills</v>
      </c>
      <c r="B571" t="str">
        <f>'5. KPI Baselines'!B556</f>
        <v>Supply Chain</v>
      </c>
      <c r="C571" t="str">
        <f>'5. KPI Baselines'!C556</f>
        <v>Demand Planning</v>
      </c>
      <c r="D571" t="str">
        <f>'5. KPI Baselines'!D556</f>
        <v>SKU-Level Forecast Accuracy</v>
      </c>
      <c r="E571" t="str">
        <f>'5. KPI Baselines'!E556</f>
        <v>82%</v>
      </c>
      <c r="F571" t="str">
        <f>'5. KPI Baselines'!F556</f>
        <v>93%</v>
      </c>
      <c r="G571" t="str">
        <f>'5. KPI Baselines'!G556</f>
        <v>92%</v>
      </c>
      <c r="H571" t="str">
        <f>'5. KPI Baselines'!H556</f>
        <v>↑</v>
      </c>
      <c r="I571" t="str">
        <f>'5. KPI Baselines'!I556</f>
        <v>12 months</v>
      </c>
      <c r="J571" t="str">
        <f>'5. KPI Baselines'!J556</f>
        <v>1 minus mean absolute percentage error across all active SKUs</v>
      </c>
      <c r="K571" s="15" t="str">
        <f t="shared" si="73"/>
        <v>93% - 82%</v>
      </c>
      <c r="L571" s="34" cm="1">
        <f t="array" ref="L571">IFERROR(_xlfn.LET(_xlpm.e,E571,_xlpm.f,F571,_xlpm.h,H571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0.13414617787051478</v>
      </c>
      <c r="M571" s="15" cm="1">
        <f t="array" ref="M571">IFERROR(_xlfn.LET(_xlpm.e,E571,_xlpm.f,F571,_xlpm.h,H571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91.4</v>
      </c>
      <c r="N571" s="15" cm="1">
        <f t="array" ref="N571">IFERROR(_xlfn.LET(_xlpm.e,E571,_xlpm.f,F571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571" s="15" t="str">
        <f t="shared" si="74"/>
        <v>93% - 92%</v>
      </c>
      <c r="P571" s="34" cm="1">
        <f t="array" ref="P571">IFERROR(_xlfn.LET(_xlpm.g,G571,_xlpm.f,F571,_xlpm.h,H571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1.0869553402659344E-2</v>
      </c>
      <c r="Q571" s="15" t="str" cm="1">
        <f t="array" ref="Q571">IFERROR(_xlfn.LET(_xlpm.e,E571,_xlpm.g,G571,_xlpm.h,H571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1" s="15" t="str">
        <f t="shared" si="75"/>
        <v>🔴 Lagging</v>
      </c>
      <c r="S571" s="35" cm="1">
        <f t="array" ref="S571">IFERROR(_xlfn.LET(_xlpm.e,E571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82</v>
      </c>
      <c r="T571" s="36">
        <f t="shared" si="76"/>
        <v>13.414617787051478</v>
      </c>
      <c r="U571" s="15">
        <f t="shared" si="77"/>
        <v>505</v>
      </c>
      <c r="V571" s="16">
        <f t="shared" si="78"/>
        <v>1535.7356271516742</v>
      </c>
      <c r="W571" s="16">
        <f t="shared" si="79"/>
        <v>3819.147202007548</v>
      </c>
      <c r="X571" s="37">
        <f t="shared" si="80"/>
        <v>57</v>
      </c>
      <c r="Y571" s="15" t="str">
        <f t="shared" si="81"/>
        <v>📊 Medium</v>
      </c>
    </row>
    <row r="572" spans="1:25" x14ac:dyDescent="0.2">
      <c r="A572" t="str">
        <f>'5. KPI Baselines'!A557</f>
        <v>Traeger Pellet Grills</v>
      </c>
      <c r="B572" t="str">
        <f>'5. KPI Baselines'!B557</f>
        <v>Supply Chain</v>
      </c>
      <c r="C572" t="str">
        <f>'5. KPI Baselines'!C557</f>
        <v>Inventory Management</v>
      </c>
      <c r="D572" t="str">
        <f>'5. KPI Baselines'!D557</f>
        <v>Days Inventory Outstanding</v>
      </c>
      <c r="E572" t="str">
        <f>'5. KPI Baselines'!E557</f>
        <v>87 days</v>
      </c>
      <c r="F572" t="str">
        <f>'5. KPI Baselines'!F557</f>
        <v>68 days</v>
      </c>
      <c r="G572" t="str">
        <f>'5. KPI Baselines'!G557</f>
        <v>65 days</v>
      </c>
      <c r="H572" t="str">
        <f>'5. KPI Baselines'!H557</f>
        <v>↓</v>
      </c>
      <c r="I572" t="str">
        <f>'5. KPI Baselines'!I557</f>
        <v>18 months</v>
      </c>
      <c r="J572" t="str">
        <f>'5. KPI Baselines'!J557</f>
        <v>Inventory value divided by daily cost of goods sold</v>
      </c>
      <c r="K572" s="15" t="str">
        <f t="shared" si="73"/>
        <v>87 days → 68 days</v>
      </c>
      <c r="L572" s="34" cm="1">
        <f t="array" ref="L572">IFERROR(_xlfn.LET(_xlpm.e,E572,_xlpm.f,F572,_xlpm.h,H572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0.21839055357407636</v>
      </c>
      <c r="M572" s="15" cm="1">
        <f t="array" ref="M572">IFERROR(_xlfn.LET(_xlpm.e,E572,_xlpm.f,F572,_xlpm.h,H572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70.900000000000006</v>
      </c>
      <c r="N572" s="15" cm="1">
        <f t="array" ref="N572">IFERROR(_xlfn.LET(_xlpm.e,E572,_xlpm.f,F572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14.54</v>
      </c>
      <c r="O572" s="15" t="str">
        <f t="shared" si="74"/>
        <v>65 days → 68 days</v>
      </c>
      <c r="P572" s="34" cm="1">
        <f t="array" ref="P572">IFERROR(_xlfn.LET(_xlpm.g,G572,_xlpm.f,F572,_xlpm.h,H572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-4.6153775148038229E-2</v>
      </c>
      <c r="Q572" s="15" t="str" cm="1">
        <f t="array" ref="Q572">IFERROR(_xlfn.LET(_xlpm.e,E572,_xlpm.g,G572,_xlpm.h,H572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2" s="15" t="str">
        <f t="shared" si="75"/>
        <v>🔴 Lagging</v>
      </c>
      <c r="S572" s="35" cm="1">
        <f t="array" ref="S572">IFERROR(_xlfn.LET(_xlpm.e,E572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572" s="36">
        <f t="shared" si="76"/>
        <v>21.839055357407634</v>
      </c>
      <c r="U572" s="15">
        <f t="shared" si="77"/>
        <v>453</v>
      </c>
      <c r="V572" s="16">
        <f t="shared" si="78"/>
        <v>2652.634450994884</v>
      </c>
      <c r="W572" s="16">
        <f t="shared" si="79"/>
        <v>6596.7092658099727</v>
      </c>
      <c r="X572" s="37">
        <f t="shared" si="80"/>
        <v>33</v>
      </c>
      <c r="Y572" s="15" t="str">
        <f t="shared" si="81"/>
        <v>📊 Medium</v>
      </c>
    </row>
    <row r="573" spans="1:25" x14ac:dyDescent="0.2">
      <c r="A573" t="str">
        <f>'5. KPI Baselines'!A558</f>
        <v>Traeger Pellet Grills</v>
      </c>
      <c r="B573" t="str">
        <f>'5. KPI Baselines'!B558</f>
        <v>Marketing</v>
      </c>
      <c r="C573" t="str">
        <f>'5. KPI Baselines'!C558</f>
        <v>Content Creation</v>
      </c>
      <c r="D573" t="str">
        <f>'5. KPI Baselines'!D558</f>
        <v>Recipe Content Production Volume</v>
      </c>
      <c r="E573" t="str">
        <f>'5. KPI Baselines'!E558</f>
        <v>120 recipes/year</v>
      </c>
      <c r="F573" t="str">
        <f>'5. KPI Baselines'!F558</f>
        <v>360 recipes/year</v>
      </c>
      <c r="G573" t="str">
        <f>'5. KPI Baselines'!G558</f>
        <v>240 recipes/year</v>
      </c>
      <c r="H573" t="str">
        <f>'5. KPI Baselines'!H558</f>
        <v>↑</v>
      </c>
      <c r="I573" t="str">
        <f>'5. KPI Baselines'!I558</f>
        <v>12 months</v>
      </c>
      <c r="J573" t="str">
        <f>'5. KPI Baselines'!J558</f>
        <v>Published recipes with photography and step-by-step instructions</v>
      </c>
      <c r="K573" s="15" t="str">
        <f t="shared" si="73"/>
        <v>360 recipes/year - 120 recipes/year</v>
      </c>
      <c r="L573" s="34" t="str" cm="1">
        <f t="array" ref="L573">IFERROR(_xlfn.LET(_xlpm.e,E573,_xlpm.f,F573,_xlpm.h,H573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73" s="15" t="str" cm="1">
        <f t="array" ref="M573">IFERROR(_xlfn.LET(_xlpm.e,E573,_xlpm.f,F573,_xlpm.h,H573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73" s="15" t="str" cm="1">
        <f t="array" ref="N573">IFERROR(_xlfn.LET(_xlpm.e,E573,_xlpm.f,F573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73" s="15" t="str">
        <f t="shared" si="74"/>
        <v>360 recipes/year - 240 recipes/year</v>
      </c>
      <c r="P573" s="34" t="str" cm="1">
        <f t="array" ref="P573">IFERROR(_xlfn.LET(_xlpm.g,G573,_xlpm.f,F573,_xlpm.h,H573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73" s="15" t="str" cm="1">
        <f t="array" ref="Q573">IFERROR(_xlfn.LET(_xlpm.e,E573,_xlpm.g,G573,_xlpm.h,H573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73" s="15" t="str">
        <f t="shared" si="75"/>
        <v>⚪ N/A</v>
      </c>
      <c r="S573" s="35" cm="1">
        <f t="array" ref="S573">IFERROR(_xlfn.LET(_xlpm.e,E573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73" s="36">
        <f t="shared" si="76"/>
        <v>0</v>
      </c>
      <c r="U573" s="15">
        <f t="shared" si="77"/>
        <v>554</v>
      </c>
      <c r="V573" s="16">
        <f t="shared" si="78"/>
        <v>0</v>
      </c>
      <c r="W573" s="16">
        <f t="shared" si="79"/>
        <v>0</v>
      </c>
      <c r="X573" s="37" t="str">
        <f t="shared" si="80"/>
        <v>-</v>
      </c>
      <c r="Y573" s="15" t="str">
        <f t="shared" si="81"/>
        <v>📉 Low</v>
      </c>
    </row>
    <row r="574" spans="1:25" x14ac:dyDescent="0.2">
      <c r="A574" t="str">
        <f>'5. KPI Baselines'!A559</f>
        <v>Traeger Pellet Grills</v>
      </c>
      <c r="B574" t="str">
        <f>'5. KPI Baselines'!B559</f>
        <v>Marketing</v>
      </c>
      <c r="C574" t="str">
        <f>'5. KPI Baselines'!C559</f>
        <v>Customer Engagement</v>
      </c>
      <c r="D574" t="str">
        <f>'5. KPI Baselines'!D559</f>
        <v>App Monthly Active Users</v>
      </c>
      <c r="E574" t="str">
        <f>'5. KPI Baselines'!E559</f>
        <v>245,000 users</v>
      </c>
      <c r="F574" t="str">
        <f>'5. KPI Baselines'!F559</f>
        <v>340,000 users</v>
      </c>
      <c r="G574" t="str">
        <f>'5. KPI Baselines'!G559</f>
        <v>40% of device base</v>
      </c>
      <c r="H574" t="str">
        <f>'5. KPI Baselines'!H559</f>
        <v>↑</v>
      </c>
      <c r="I574" t="str">
        <f>'5. KPI Baselines'!I559</f>
        <v>12 months</v>
      </c>
      <c r="J574" t="str">
        <f>'5. KPI Baselines'!J559</f>
        <v>Unique users with at least one app session in trailing 30 days</v>
      </c>
      <c r="K574" s="15" t="str">
        <f t="shared" si="73"/>
        <v>340,000 users - 245,000 users</v>
      </c>
      <c r="L574" s="34" t="str" cm="1">
        <f t="array" ref="L574">IFERROR(_xlfn.LET(_xlpm.e,E574,_xlpm.f,F574,_xlpm.h,H574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74" s="15" t="str" cm="1">
        <f t="array" ref="M574">IFERROR(_xlfn.LET(_xlpm.e,E574,_xlpm.f,F574,_xlpm.h,H574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74" s="15" t="str" cm="1">
        <f t="array" ref="N574">IFERROR(_xlfn.LET(_xlpm.e,E574,_xlpm.f,F574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74" s="15" t="str">
        <f t="shared" si="74"/>
        <v>340,000 users - 40% of device base</v>
      </c>
      <c r="P574" s="34" t="str" cm="1">
        <f t="array" ref="P574">IFERROR(_xlfn.LET(_xlpm.g,G574,_xlpm.f,F574,_xlpm.h,H574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74" s="15" t="str" cm="1">
        <f t="array" ref="Q574">IFERROR(_xlfn.LET(_xlpm.e,E574,_xlpm.g,G574,_xlpm.h,H574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74" s="15" t="str">
        <f t="shared" si="75"/>
        <v>⚪ N/A</v>
      </c>
      <c r="S574" s="35" cm="1">
        <f t="array" ref="S574">IFERROR(_xlfn.LET(_xlpm.e,E574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74" s="36">
        <f t="shared" si="76"/>
        <v>0</v>
      </c>
      <c r="U574" s="15">
        <f t="shared" si="77"/>
        <v>554</v>
      </c>
      <c r="V574" s="16">
        <f t="shared" si="78"/>
        <v>0</v>
      </c>
      <c r="W574" s="16">
        <f t="shared" si="79"/>
        <v>0</v>
      </c>
      <c r="X574" s="37" t="str">
        <f t="shared" si="80"/>
        <v>-</v>
      </c>
      <c r="Y574" s="15" t="str">
        <f t="shared" si="81"/>
        <v>📉 Low</v>
      </c>
    </row>
    <row r="575" spans="1:25" x14ac:dyDescent="0.2">
      <c r="A575" t="str">
        <f>'5. KPI Baselines'!A560</f>
        <v>Traeger Pellet Grills</v>
      </c>
      <c r="B575" t="str">
        <f>'5. KPI Baselines'!B560</f>
        <v>Sales Operations</v>
      </c>
      <c r="C575" t="str">
        <f>'5. KPI Baselines'!C560</f>
        <v>Retail Partner Support</v>
      </c>
      <c r="D575" t="str">
        <f>'5. KPI Baselines'!D560</f>
        <v>Training Material Update Cycle</v>
      </c>
      <c r="E575" t="str">
        <f>'5. KPI Baselines'!E560</f>
        <v>Quarterly</v>
      </c>
      <c r="F575" t="str">
        <f>'5. KPI Baselines'!F560</f>
        <v>Continuous</v>
      </c>
      <c r="G575" t="str">
        <f>'5. KPI Baselines'!G560</f>
        <v>Monthly</v>
      </c>
      <c r="H575" t="str">
        <f>'5. KPI Baselines'!H560</f>
        <v>↑</v>
      </c>
      <c r="I575" t="str">
        <f>'5. KPI Baselines'!I560</f>
        <v>9 months</v>
      </c>
      <c r="J575" t="str">
        <f>'5. KPI Baselines'!J560</f>
        <v>Days lag between product update and training material availability</v>
      </c>
      <c r="K575" s="15" t="str">
        <f t="shared" si="73"/>
        <v>Continuous - Quarterly</v>
      </c>
      <c r="L575" s="34" t="str" cm="1">
        <f t="array" ref="L575">IFERROR(_xlfn.LET(_xlpm.e,E575,_xlpm.f,F575,_xlpm.h,H575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75" s="15" t="str" cm="1">
        <f t="array" ref="M575">IFERROR(_xlfn.LET(_xlpm.e,E575,_xlpm.f,F575,_xlpm.h,H575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75" s="15" t="str" cm="1">
        <f t="array" ref="N575">IFERROR(_xlfn.LET(_xlpm.e,E575,_xlpm.f,F575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75" s="15" t="str">
        <f t="shared" si="74"/>
        <v>Continuous - Monthly</v>
      </c>
      <c r="P575" s="34" t="str" cm="1">
        <f t="array" ref="P575">IFERROR(_xlfn.LET(_xlpm.g,G575,_xlpm.f,F575,_xlpm.h,H575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75" s="15" t="str" cm="1">
        <f t="array" ref="Q575">IFERROR(_xlfn.LET(_xlpm.e,E575,_xlpm.g,G575,_xlpm.h,H575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75" s="15" t="str">
        <f t="shared" si="75"/>
        <v>⚪ N/A</v>
      </c>
      <c r="S575" s="35" cm="1">
        <f t="array" ref="S575">IFERROR(_xlfn.LET(_xlpm.e,E575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75" s="36">
        <f t="shared" si="76"/>
        <v>0</v>
      </c>
      <c r="U575" s="15">
        <f t="shared" si="77"/>
        <v>554</v>
      </c>
      <c r="V575" s="16">
        <f t="shared" si="78"/>
        <v>0</v>
      </c>
      <c r="W575" s="16">
        <f t="shared" si="79"/>
        <v>0</v>
      </c>
      <c r="X575" s="37" t="str">
        <f t="shared" si="80"/>
        <v>-</v>
      </c>
      <c r="Y575" s="15" t="str">
        <f t="shared" si="81"/>
        <v>📉 Low</v>
      </c>
    </row>
    <row r="576" spans="1:25" x14ac:dyDescent="0.2">
      <c r="A576" t="str">
        <f>'5. KPI Baselines'!A561</f>
        <v>Traeger Pellet Grills</v>
      </c>
      <c r="B576" t="str">
        <f>'5. KPI Baselines'!B561</f>
        <v>Finance</v>
      </c>
      <c r="C576" t="str">
        <f>'5. KPI Baselines'!C561</f>
        <v>Financial Planning</v>
      </c>
      <c r="D576" t="str">
        <f>'5. KPI Baselines'!D561</f>
        <v>Monthly Close Cycle Time</v>
      </c>
      <c r="E576" t="str">
        <f>'5. KPI Baselines'!E561</f>
        <v>12 days</v>
      </c>
      <c r="F576" t="str">
        <f>'5. KPI Baselines'!F561</f>
        <v>7 days</v>
      </c>
      <c r="G576" t="str">
        <f>'5. KPI Baselines'!G561</f>
        <v>8 days</v>
      </c>
      <c r="H576" t="str">
        <f>'5. KPI Baselines'!H561</f>
        <v>↓</v>
      </c>
      <c r="I576" t="str">
        <f>'5. KPI Baselines'!I561</f>
        <v>12 months</v>
      </c>
      <c r="J576" t="str">
        <f>'5. KPI Baselines'!J561</f>
        <v>Days from month-end to management reporting package distribution</v>
      </c>
      <c r="K576" s="15" t="str">
        <f t="shared" si="73"/>
        <v>12 days → 7 days</v>
      </c>
      <c r="L576" s="34" cm="1">
        <f t="array" ref="L576">IFERROR(_xlfn.LET(_xlpm.e,E576,_xlpm.f,F576,_xlpm.h,H576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576" s="15" cm="1">
        <f t="array" ref="M576">IFERROR(_xlfn.LET(_xlpm.e,E576,_xlpm.f,F576,_xlpm.h,H576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576" s="15" cm="1">
        <f t="array" ref="N576">IFERROR(_xlfn.LET(_xlpm.e,E576,_xlpm.f,F576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76" s="15" t="str">
        <f t="shared" si="74"/>
        <v>8 days → 7 days</v>
      </c>
      <c r="P576" s="34" cm="1">
        <f t="array" ref="P576">IFERROR(_xlfn.LET(_xlpm.g,G576,_xlpm.f,F576,_xlpm.h,H576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0.12499843751953101</v>
      </c>
      <c r="Q576" s="15" t="str" cm="1">
        <f t="array" ref="Q576">IFERROR(_xlfn.LET(_xlpm.e,E576,_xlpm.g,G576,_xlpm.h,H576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6" s="15" t="str">
        <f t="shared" si="75"/>
        <v>🔴 Lagging</v>
      </c>
      <c r="S576" s="35" cm="1">
        <f t="array" ref="S576">IFERROR(_xlfn.LET(_xlpm.e,E576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76" s="36">
        <f t="shared" si="76"/>
        <v>41.666319447337941</v>
      </c>
      <c r="U576" s="15">
        <f t="shared" si="77"/>
        <v>292</v>
      </c>
      <c r="V576" s="16">
        <f t="shared" si="78"/>
        <v>698.05668286097625</v>
      </c>
      <c r="W576" s="16">
        <f t="shared" si="79"/>
        <v>1735.963651592662</v>
      </c>
      <c r="X576" s="37">
        <f t="shared" si="80"/>
        <v>124</v>
      </c>
      <c r="Y576" s="15" t="str">
        <f t="shared" si="81"/>
        <v>⚠️ High</v>
      </c>
    </row>
    <row r="577" spans="1:25" x14ac:dyDescent="0.2">
      <c r="A577" t="str">
        <f>'5. KPI Baselines'!A562</f>
        <v>Traeger Pellet Grills</v>
      </c>
      <c r="B577" t="str">
        <f>'5. KPI Baselines'!B562</f>
        <v>Human Resources</v>
      </c>
      <c r="C577" t="str">
        <f>'5. KPI Baselines'!C562</f>
        <v>Talent Acquisition</v>
      </c>
      <c r="D577" t="str">
        <f>'5. KPI Baselines'!D562</f>
        <v>Time to Fill Open Positions</v>
      </c>
      <c r="E577" t="str">
        <f>'5. KPI Baselines'!E562</f>
        <v>52 days</v>
      </c>
      <c r="F577" t="str">
        <f>'5. KPI Baselines'!F562</f>
        <v>35 days</v>
      </c>
      <c r="G577" t="str">
        <f>'5. KPI Baselines'!G562</f>
        <v>38 days</v>
      </c>
      <c r="H577" t="str">
        <f>'5. KPI Baselines'!H562</f>
        <v>↓</v>
      </c>
      <c r="I577" t="str">
        <f>'5. KPI Baselines'!I562</f>
        <v>9 months</v>
      </c>
      <c r="J577" t="str">
        <f>'5. KPI Baselines'!J562</f>
        <v>Median days from requisition approval to offer acceptance</v>
      </c>
      <c r="K577" s="15" t="str">
        <f t="shared" si="73"/>
        <v>52 days → 35 days</v>
      </c>
      <c r="L577" s="34" cm="1">
        <f t="array" ref="L577">IFERROR(_xlfn.LET(_xlpm.e,E577,_xlpm.f,F577,_xlpm.h,H577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0.32692244822606109</v>
      </c>
      <c r="M577" s="15" cm="1">
        <f t="array" ref="M577">IFERROR(_xlfn.LET(_xlpm.e,E577,_xlpm.f,F577,_xlpm.h,H577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37.6</v>
      </c>
      <c r="N577" s="15" cm="1">
        <f t="array" ref="N577">IFERROR(_xlfn.LET(_xlpm.e,E577,_xlpm.f,F577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577" s="15" t="str">
        <f t="shared" si="74"/>
        <v>38 days → 35 days</v>
      </c>
      <c r="P577" s="34" cm="1">
        <f t="array" ref="P577">IFERROR(_xlfn.LET(_xlpm.g,G577,_xlpm.f,F577,_xlpm.h,H577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7.8947160665366667E-2</v>
      </c>
      <c r="Q577" s="15" t="str" cm="1">
        <f t="array" ref="Q577">IFERROR(_xlfn.LET(_xlpm.e,E577,_xlpm.g,G577,_xlpm.h,H577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7" s="15" t="str">
        <f t="shared" si="75"/>
        <v>🔴 Lagging</v>
      </c>
      <c r="S577" s="35" cm="1">
        <f t="array" ref="S577">IFERROR(_xlfn.LET(_xlpm.e,E577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577" s="36">
        <f t="shared" si="76"/>
        <v>32.692244822606106</v>
      </c>
      <c r="U577" s="15">
        <f t="shared" si="77"/>
        <v>377</v>
      </c>
      <c r="V577" s="16">
        <f t="shared" si="78"/>
        <v>2373.4079357539699</v>
      </c>
      <c r="W577" s="16">
        <f t="shared" si="79"/>
        <v>5902.3142504475181</v>
      </c>
      <c r="X577" s="37">
        <f t="shared" si="80"/>
        <v>37</v>
      </c>
      <c r="Y577" s="15" t="str">
        <f t="shared" si="81"/>
        <v>⚠️ High</v>
      </c>
    </row>
    <row r="578" spans="1:25" x14ac:dyDescent="0.2">
      <c r="A578" t="str">
        <f>'5. KPI Baselines'!A563</f>
        <v>Traeger Pellet Grills</v>
      </c>
      <c r="B578" t="str">
        <f>'5. KPI Baselines'!B563</f>
        <v>Legal &amp; Compliance</v>
      </c>
      <c r="C578" t="str">
        <f>'5. KPI Baselines'!C563</f>
        <v>Contract Management</v>
      </c>
      <c r="D578" t="str">
        <f>'5. KPI Baselines'!D563</f>
        <v>Contract Review Turnaround Time</v>
      </c>
      <c r="E578" t="str">
        <f>'5. KPI Baselines'!E563</f>
        <v>8 days</v>
      </c>
      <c r="F578" t="str">
        <f>'5. KPI Baselines'!F563</f>
        <v>3 days</v>
      </c>
      <c r="G578" t="str">
        <f>'5. KPI Baselines'!G563</f>
        <v>4 days</v>
      </c>
      <c r="H578" t="str">
        <f>'5. KPI Baselines'!H563</f>
        <v>↓</v>
      </c>
      <c r="I578" t="str">
        <f>'5. KPI Baselines'!I563</f>
        <v>6 months</v>
      </c>
      <c r="J578" t="str">
        <f>'5. KPI Baselines'!J563</f>
        <v>Median days from contract submission to legal approval or feedback</v>
      </c>
      <c r="K578" s="15" t="str">
        <f t="shared" si="73"/>
        <v>8 days → 3 days</v>
      </c>
      <c r="L578" s="34" cm="1">
        <f t="array" ref="L578">IFERROR(_xlfn.LET(_xlpm.e,E578,_xlpm.f,F578,_xlpm.h,H578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578" s="15" cm="1">
        <f t="array" ref="M578">IFERROR(_xlfn.LET(_xlpm.e,E578,_xlpm.f,F578,_xlpm.h,H578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578" s="15" cm="1">
        <f t="array" ref="N578">IFERROR(_xlfn.LET(_xlpm.e,E578,_xlpm.f,F578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78" s="15" t="str">
        <f t="shared" si="74"/>
        <v>4 days → 3 days</v>
      </c>
      <c r="P578" s="34" cm="1">
        <f t="array" ref="P578">IFERROR(_xlfn.LET(_xlpm.g,G578,_xlpm.f,F578,_xlpm.h,H578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0.24999375015624611</v>
      </c>
      <c r="Q578" s="15" t="str" cm="1">
        <f t="array" ref="Q578">IFERROR(_xlfn.LET(_xlpm.e,E578,_xlpm.g,G578,_xlpm.h,H578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8" s="15" t="str">
        <f t="shared" si="75"/>
        <v>🔴 Lagging</v>
      </c>
      <c r="S578" s="35" cm="1">
        <f t="array" ref="S578">IFERROR(_xlfn.LET(_xlpm.e,E578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578" s="36">
        <f t="shared" si="76"/>
        <v>62.499218759765505</v>
      </c>
      <c r="U578" s="15">
        <f t="shared" si="77"/>
        <v>130</v>
      </c>
      <c r="V578" s="16">
        <f t="shared" si="78"/>
        <v>698.05377432782097</v>
      </c>
      <c r="W578" s="16">
        <f t="shared" si="79"/>
        <v>1735.9564185011941</v>
      </c>
      <c r="X578" s="37">
        <f t="shared" si="80"/>
        <v>124</v>
      </c>
      <c r="Y578" s="15" t="str">
        <f t="shared" si="81"/>
        <v>🔥 Critical</v>
      </c>
    </row>
    <row r="579" spans="1:25" x14ac:dyDescent="0.2">
      <c r="A579" t="str">
        <f>'5. KPI Baselines'!A564</f>
        <v>TricorBraun</v>
      </c>
      <c r="B579" t="str">
        <f>'5. KPI Baselines'!B564</f>
        <v>Design &amp; Engineering</v>
      </c>
      <c r="C579" t="str">
        <f>'5. KPI Baselines'!C564</f>
        <v>Custom Packaging Design</v>
      </c>
      <c r="D579" t="str">
        <f>'5. KPI Baselines'!D564</f>
        <v>Design Iteration Cycle Time</v>
      </c>
      <c r="E579" t="str">
        <f>'5. KPI Baselines'!E564</f>
        <v>12 days</v>
      </c>
      <c r="F579" t="str">
        <f>'5. KPI Baselines'!F564</f>
        <v>4 days</v>
      </c>
      <c r="G579" t="str">
        <f>'5. KPI Baselines'!G564</f>
        <v>8 days</v>
      </c>
      <c r="H579" t="str">
        <f>'5. KPI Baselines'!H564</f>
        <v>↓</v>
      </c>
      <c r="I579" t="str">
        <f>'5. KPI Baselines'!I564</f>
        <v>12 months</v>
      </c>
      <c r="J579" t="str">
        <f>'5. KPI Baselines'!J564</f>
        <v>Average days from design brief to customer-approved mockup</v>
      </c>
      <c r="K579" s="15" t="str">
        <f t="shared" si="73"/>
        <v>12 days → 4 days</v>
      </c>
      <c r="L579" s="34" cm="1">
        <f t="array" ref="L579">IFERROR(_xlfn.LET(_xlpm.e,E579,_xlpm.f,F579,_xlpm.h,H579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0.666661111157407</v>
      </c>
      <c r="M579" s="15" cm="1">
        <f t="array" ref="M579">IFERROR(_xlfn.LET(_xlpm.e,E579,_xlpm.f,F579,_xlpm.h,H579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5.2</v>
      </c>
      <c r="N579" s="15" cm="1">
        <f t="array" ref="N579">IFERROR(_xlfn.LET(_xlpm.e,E579,_xlpm.f,F579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579" s="15" t="str">
        <f t="shared" si="74"/>
        <v>8 days → 4 days</v>
      </c>
      <c r="P579" s="34" cm="1">
        <f t="array" ref="P579">IFERROR(_xlfn.LET(_xlpm.g,G579,_xlpm.f,F579,_xlpm.h,H579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0.49999375007812402</v>
      </c>
      <c r="Q579" s="15" t="str" cm="1">
        <f t="array" ref="Q579">IFERROR(_xlfn.LET(_xlpm.e,E579,_xlpm.g,G579,_xlpm.h,H579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79" s="15" t="str">
        <f t="shared" si="75"/>
        <v>🔴 Lagging</v>
      </c>
      <c r="S579" s="35" cm="1">
        <f t="array" ref="S579">IFERROR(_xlfn.LET(_xlpm.e,E579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579" s="36">
        <f t="shared" si="76"/>
        <v>66.666111115740705</v>
      </c>
      <c r="U579" s="15">
        <f t="shared" si="77"/>
        <v>97</v>
      </c>
      <c r="V579" s="16">
        <f t="shared" si="78"/>
        <v>1116.8906925775618</v>
      </c>
      <c r="W579" s="16">
        <f t="shared" si="79"/>
        <v>2777.541842548259</v>
      </c>
      <c r="X579" s="37">
        <f t="shared" si="80"/>
        <v>78</v>
      </c>
      <c r="Y579" s="15" t="str">
        <f t="shared" si="81"/>
        <v>🔥 Critical</v>
      </c>
    </row>
    <row r="580" spans="1:25" x14ac:dyDescent="0.2">
      <c r="A580" t="str">
        <f>'5. KPI Baselines'!A565</f>
        <v>TricorBraun</v>
      </c>
      <c r="B580" t="str">
        <f>'5. KPI Baselines'!B565</f>
        <v>Design &amp; Engineering</v>
      </c>
      <c r="C580" t="str">
        <f>'5. KPI Baselines'!C565</f>
        <v>Supplier Coordination</v>
      </c>
      <c r="D580" t="str">
        <f>'5. KPI Baselines'!D565</f>
        <v>Supplier Touchpoints per Design</v>
      </c>
      <c r="E580" t="str">
        <f>'5. KPI Baselines'!E565</f>
        <v>3.7 touchpoints</v>
      </c>
      <c r="F580" t="str">
        <f>'5. KPI Baselines'!F565</f>
        <v>1.2 touchpoints</v>
      </c>
      <c r="G580" t="str">
        <f>'5. KPI Baselines'!G565</f>
        <v>2.1 touchpoints</v>
      </c>
      <c r="H580" t="str">
        <f>'5. KPI Baselines'!H565</f>
        <v>↓</v>
      </c>
      <c r="I580" t="str">
        <f>'5. KPI Baselines'!I565</f>
        <v>12 months</v>
      </c>
      <c r="J580" t="str">
        <f>'5. KPI Baselines'!J565</f>
        <v>Count of supplier interactions from brief to final specification</v>
      </c>
      <c r="K580" s="15" t="str">
        <f t="shared" si="73"/>
        <v>3.7 touchpoints → 1.2 touchpoints</v>
      </c>
      <c r="L580" s="34" t="str" cm="1">
        <f t="array" ref="L580">IFERROR(_xlfn.LET(_xlpm.e,E580,_xlpm.f,F580,_xlpm.h,H580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80" s="15" t="str" cm="1">
        <f t="array" ref="M580">IFERROR(_xlfn.LET(_xlpm.e,E580,_xlpm.f,F580,_xlpm.h,H580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80" s="15" t="str" cm="1">
        <f t="array" ref="N580">IFERROR(_xlfn.LET(_xlpm.e,E580,_xlpm.f,F580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80" s="15" t="str">
        <f t="shared" si="74"/>
        <v>2.1 touchpoints → 1.2 touchpoints</v>
      </c>
      <c r="P580" s="34" t="str" cm="1">
        <f t="array" ref="P580">IFERROR(_xlfn.LET(_xlpm.g,G580,_xlpm.f,F580,_xlpm.h,H580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80" s="15" t="str" cm="1">
        <f t="array" ref="Q580">IFERROR(_xlfn.LET(_xlpm.e,E580,_xlpm.g,G580,_xlpm.h,H580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80" s="15" t="str">
        <f t="shared" si="75"/>
        <v>⚪ N/A</v>
      </c>
      <c r="S580" s="35" cm="1">
        <f t="array" ref="S580">IFERROR(_xlfn.LET(_xlpm.e,E580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80" s="36">
        <f t="shared" si="76"/>
        <v>0</v>
      </c>
      <c r="U580" s="15">
        <f t="shared" si="77"/>
        <v>554</v>
      </c>
      <c r="V580" s="16">
        <f t="shared" si="78"/>
        <v>0</v>
      </c>
      <c r="W580" s="16">
        <f t="shared" si="79"/>
        <v>0</v>
      </c>
      <c r="X580" s="37" t="str">
        <f t="shared" si="80"/>
        <v>-</v>
      </c>
      <c r="Y580" s="15" t="str">
        <f t="shared" si="81"/>
        <v>📉 Low</v>
      </c>
    </row>
    <row r="581" spans="1:25" x14ac:dyDescent="0.2">
      <c r="A581" t="str">
        <f>'5. KPI Baselines'!A566</f>
        <v>TricorBraun</v>
      </c>
      <c r="B581" t="str">
        <f>'5. KPI Baselines'!B566</f>
        <v>Sales &amp; Customer Service</v>
      </c>
      <c r="C581" t="str">
        <f>'5. KPI Baselines'!C566</f>
        <v>Quote Generation</v>
      </c>
      <c r="D581" t="str">
        <f>'5. KPI Baselines'!D566</f>
        <v>Quote Turnaround Time</v>
      </c>
      <c r="E581" t="str">
        <f>'5. KPI Baselines'!E566</f>
        <v>4.6 days</v>
      </c>
      <c r="F581" t="str">
        <f>'5. KPI Baselines'!F566</f>
        <v>1.8 days</v>
      </c>
      <c r="G581" t="str">
        <f>'5. KPI Baselines'!G566</f>
        <v>2.8 days</v>
      </c>
      <c r="H581" t="str">
        <f>'5. KPI Baselines'!H566</f>
        <v>↓</v>
      </c>
      <c r="I581" t="str">
        <f>'5. KPI Baselines'!I566</f>
        <v>9 months</v>
      </c>
      <c r="J581" t="str">
        <f>'5. KPI Baselines'!J566</f>
        <v>Median hours from RFQ receipt to quote delivery</v>
      </c>
      <c r="K581" s="15" t="str">
        <f t="shared" si="73"/>
        <v>4.6 days → 1.8 days</v>
      </c>
      <c r="L581" s="34" cm="1">
        <f t="array" ref="L581">IFERROR(_xlfn.LET(_xlpm.e,E581,_xlpm.f,F581,_xlpm.h,H581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0.60868241994739247</v>
      </c>
      <c r="M581" s="15" cm="1">
        <f t="array" ref="M581">IFERROR(_xlfn.LET(_xlpm.e,E581,_xlpm.f,F581,_xlpm.h,H581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2.2000000000000002</v>
      </c>
      <c r="N581" s="15" cm="1">
        <f t="array" ref="N581">IFERROR(_xlfn.LET(_xlpm.e,E581,_xlpm.f,F581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2.14</v>
      </c>
      <c r="O581" s="15" t="str">
        <f t="shared" si="74"/>
        <v>2.8 days → 1.8 days</v>
      </c>
      <c r="P581" s="34" cm="1">
        <f t="array" ref="P581">IFERROR(_xlfn.LET(_xlpm.g,G581,_xlpm.f,F581,_xlpm.h,H581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0.35713010249633931</v>
      </c>
      <c r="Q581" s="15" t="str" cm="1">
        <f t="array" ref="Q581">IFERROR(_xlfn.LET(_xlpm.e,E581,_xlpm.g,G581,_xlpm.h,H581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1" s="15" t="str">
        <f t="shared" si="75"/>
        <v>🔴 Lagging</v>
      </c>
      <c r="S581" s="35" cm="1">
        <f t="array" ref="S581">IFERROR(_xlfn.LET(_xlpm.e,E581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4.5999999999999996</v>
      </c>
      <c r="T581" s="36">
        <f t="shared" si="76"/>
        <v>60.86824199473925</v>
      </c>
      <c r="U581" s="15">
        <f t="shared" si="77"/>
        <v>150</v>
      </c>
      <c r="V581" s="16">
        <f t="shared" si="78"/>
        <v>390.90650203256445</v>
      </c>
      <c r="W581" s="16">
        <f t="shared" si="79"/>
        <v>972.1266128683618</v>
      </c>
      <c r="X581" s="37">
        <f t="shared" si="80"/>
        <v>220</v>
      </c>
      <c r="Y581" s="15" t="str">
        <f t="shared" si="81"/>
        <v>🔥 Critical</v>
      </c>
    </row>
    <row r="582" spans="1:25" x14ac:dyDescent="0.2">
      <c r="A582" t="str">
        <f>'5. KPI Baselines'!A567</f>
        <v>TricorBraun</v>
      </c>
      <c r="B582" t="str">
        <f>'5. KPI Baselines'!B567</f>
        <v>Sales &amp; Customer Service</v>
      </c>
      <c r="C582" t="str">
        <f>'5. KPI Baselines'!C567</f>
        <v>Quote Conversion</v>
      </c>
      <c r="D582" t="str">
        <f>'5. KPI Baselines'!D567</f>
        <v>Quote-to-Order Conversion Rate</v>
      </c>
      <c r="E582" t="str">
        <f>'5. KPI Baselines'!E567</f>
        <v>38%</v>
      </c>
      <c r="F582" t="str">
        <f>'5. KPI Baselines'!F567</f>
        <v>52%</v>
      </c>
      <c r="G582" t="str">
        <f>'5. KPI Baselines'!G567</f>
        <v>47%</v>
      </c>
      <c r="H582" t="str">
        <f>'5. KPI Baselines'!H567</f>
        <v>↑</v>
      </c>
      <c r="I582" t="str">
        <f>'5. KPI Baselines'!I567</f>
        <v>12 months</v>
      </c>
      <c r="J582" t="str">
        <f>'5. KPI Baselines'!J567</f>
        <v>Percentage of quotes converting to orders within 60 days</v>
      </c>
      <c r="K582" s="15" t="str">
        <f t="shared" si="73"/>
        <v>52% - 38%</v>
      </c>
      <c r="L582" s="34" cm="1">
        <f t="array" ref="L582">IFERROR(_xlfn.LET(_xlpm.e,E582,_xlpm.f,F582,_xlpm.h,H582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0.36842008310504443</v>
      </c>
      <c r="M582" s="15" cm="1">
        <f t="array" ref="M582">IFERROR(_xlfn.LET(_xlpm.e,E582,_xlpm.f,F582,_xlpm.h,H582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49.9</v>
      </c>
      <c r="N582" s="15" cm="1">
        <f t="array" ref="N582">IFERROR(_xlfn.LET(_xlpm.e,E582,_xlpm.f,F582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582" s="15" t="str">
        <f t="shared" si="74"/>
        <v>52% - 47%</v>
      </c>
      <c r="P582" s="34" cm="1">
        <f t="array" ref="P582">IFERROR(_xlfn.LET(_xlpm.g,G582,_xlpm.f,F582,_xlpm.h,H582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0.10638275237712259</v>
      </c>
      <c r="Q582" s="15" t="str" cm="1">
        <f t="array" ref="Q582">IFERROR(_xlfn.LET(_xlpm.e,E582,_xlpm.g,G582,_xlpm.h,H582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2" s="15" t="str">
        <f t="shared" si="75"/>
        <v>🔴 Lagging</v>
      </c>
      <c r="S582" s="35" cm="1">
        <f t="array" ref="S582">IFERROR(_xlfn.LET(_xlpm.e,E582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582" s="36">
        <f t="shared" si="76"/>
        <v>36.84200831050444</v>
      </c>
      <c r="U582" s="15">
        <f t="shared" si="77"/>
        <v>341</v>
      </c>
      <c r="V582" s="16">
        <f t="shared" si="78"/>
        <v>1954.5698563951148</v>
      </c>
      <c r="W582" s="16">
        <f t="shared" si="79"/>
        <v>4860.725938893941</v>
      </c>
      <c r="X582" s="37">
        <f t="shared" si="80"/>
        <v>45</v>
      </c>
      <c r="Y582" s="15" t="str">
        <f t="shared" si="81"/>
        <v>⚠️ High</v>
      </c>
    </row>
    <row r="583" spans="1:25" x14ac:dyDescent="0.2">
      <c r="A583" t="str">
        <f>'5. KPI Baselines'!A568</f>
        <v>TricorBraun</v>
      </c>
      <c r="B583" t="str">
        <f>'5. KPI Baselines'!B568</f>
        <v>Supply Chain &amp; Procurement</v>
      </c>
      <c r="C583" t="str">
        <f>'5. KPI Baselines'!C568</f>
        <v>Inventory Management</v>
      </c>
      <c r="D583" t="str">
        <f>'5. KPI Baselines'!D568</f>
        <v>Order Fill Rate</v>
      </c>
      <c r="E583" t="str">
        <f>'5. KPI Baselines'!E568</f>
        <v>87%</v>
      </c>
      <c r="F583" t="str">
        <f>'5. KPI Baselines'!F568</f>
        <v>94%</v>
      </c>
      <c r="G583" t="str">
        <f>'5. KPI Baselines'!G568</f>
        <v>92%</v>
      </c>
      <c r="H583" t="str">
        <f>'5. KPI Baselines'!H568</f>
        <v>↑</v>
      </c>
      <c r="I583" t="str">
        <f>'5. KPI Baselines'!I568</f>
        <v>15 months</v>
      </c>
      <c r="J583" t="str">
        <f>'5. KPI Baselines'!J568</f>
        <v>Percentage of order lines fulfilled on first shipment</v>
      </c>
      <c r="K583" s="15" t="str">
        <f t="shared" si="73"/>
        <v>94% - 87%</v>
      </c>
      <c r="L583" s="34" cm="1">
        <f t="array" ref="L583">IFERROR(_xlfn.LET(_xlpm.e,E583,_xlpm.f,F583,_xlpm.h,H583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8.0459677632554447E-2</v>
      </c>
      <c r="M583" s="15" cm="1">
        <f t="array" ref="M583">IFERROR(_xlfn.LET(_xlpm.e,E583,_xlpm.f,F583,_xlpm.h,H583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93</v>
      </c>
      <c r="N583" s="15" cm="1">
        <f t="array" ref="N583">IFERROR(_xlfn.LET(_xlpm.e,E583,_xlpm.f,F583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583" s="15" t="str">
        <f t="shared" si="74"/>
        <v>94% - 92%</v>
      </c>
      <c r="P583" s="34" cm="1">
        <f t="array" ref="P583">IFERROR(_xlfn.LET(_xlpm.g,G583,_xlpm.f,F583,_xlpm.h,H583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2.1739106805318688E-2</v>
      </c>
      <c r="Q583" s="15" t="str" cm="1">
        <f t="array" ref="Q583">IFERROR(_xlfn.LET(_xlpm.e,E583,_xlpm.g,G583,_xlpm.h,H583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3" s="15" t="str">
        <f t="shared" si="75"/>
        <v>🔴 Lagging</v>
      </c>
      <c r="S583" s="35" cm="1">
        <f t="array" ref="S583">IFERROR(_xlfn.LET(_xlpm.e,E583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583" s="36">
        <f t="shared" si="76"/>
        <v>8.0459677632554438</v>
      </c>
      <c r="U583" s="15">
        <f t="shared" si="77"/>
        <v>532</v>
      </c>
      <c r="V583" s="16">
        <f t="shared" si="78"/>
        <v>977.28637668232568</v>
      </c>
      <c r="W583" s="16">
        <f t="shared" si="79"/>
        <v>2430.3665716142004</v>
      </c>
      <c r="X583" s="37">
        <f t="shared" si="80"/>
        <v>89</v>
      </c>
      <c r="Y583" s="15" t="str">
        <f t="shared" si="81"/>
        <v>📉 Low</v>
      </c>
    </row>
    <row r="584" spans="1:25" x14ac:dyDescent="0.2">
      <c r="A584" t="str">
        <f>'5. KPI Baselines'!A569</f>
        <v>TricorBraun</v>
      </c>
      <c r="B584" t="str">
        <f>'5. KPI Baselines'!B569</f>
        <v>Supply Chain &amp; Procurement</v>
      </c>
      <c r="C584" t="str">
        <f>'5. KPI Baselines'!C569</f>
        <v>Demand Planning</v>
      </c>
      <c r="D584" t="str">
        <f>'5. KPI Baselines'!D569</f>
        <v>Forecast Accuracy Variance</v>
      </c>
      <c r="E584" t="str">
        <f>'5. KPI Baselines'!E569</f>
        <v>31% Q4 variance</v>
      </c>
      <c r="F584" t="str">
        <f>'5. KPI Baselines'!F569</f>
        <v>18% variance</v>
      </c>
      <c r="G584" t="str">
        <f>'5. KPI Baselines'!G569</f>
        <v>22% variance</v>
      </c>
      <c r="H584" t="str">
        <f>'5. KPI Baselines'!H569</f>
        <v>↓</v>
      </c>
      <c r="I584" t="str">
        <f>'5. KPI Baselines'!I569</f>
        <v>18 months</v>
      </c>
      <c r="J584" t="str">
        <f>'5. KPI Baselines'!J569</f>
        <v>Absolute percentage deviation of actuals from forecast</v>
      </c>
      <c r="K584" s="15" t="str">
        <f t="shared" si="73"/>
        <v>31% Q4 variance → 18% variance</v>
      </c>
      <c r="L584" s="34" t="str" cm="1">
        <f t="array" ref="L584">IFERROR(_xlfn.LET(_xlpm.e,E584,_xlpm.f,F584,_xlpm.h,H584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84" s="15" t="str" cm="1">
        <f t="array" ref="M584">IFERROR(_xlfn.LET(_xlpm.e,E584,_xlpm.f,F584,_xlpm.h,H584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84" s="15" t="str" cm="1">
        <f t="array" ref="N584">IFERROR(_xlfn.LET(_xlpm.e,E584,_xlpm.f,F584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84" s="15" t="str">
        <f t="shared" si="74"/>
        <v>22% variance → 18% variance</v>
      </c>
      <c r="P584" s="34" cm="1">
        <f t="array" ref="P584">IFERROR(_xlfn.LET(_xlpm.g,G584,_xlpm.f,F584,_xlpm.h,H584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0.18181735537565738</v>
      </c>
      <c r="Q584" s="15" t="str" cm="1">
        <f t="array" ref="Q584">IFERROR(_xlfn.LET(_xlpm.e,E584,_xlpm.g,G584,_xlpm.h,H584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84" s="15" t="str">
        <f t="shared" si="75"/>
        <v>⚪ N/A</v>
      </c>
      <c r="S584" s="35" cm="1">
        <f t="array" ref="S584">IFERROR(_xlfn.LET(_xlpm.e,E584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84" s="36">
        <f t="shared" si="76"/>
        <v>0</v>
      </c>
      <c r="U584" s="15">
        <f t="shared" si="77"/>
        <v>554</v>
      </c>
      <c r="V584" s="16">
        <f t="shared" si="78"/>
        <v>0</v>
      </c>
      <c r="W584" s="16">
        <f t="shared" si="79"/>
        <v>0</v>
      </c>
      <c r="X584" s="37" t="str">
        <f t="shared" si="80"/>
        <v>-</v>
      </c>
      <c r="Y584" s="15" t="str">
        <f t="shared" si="81"/>
        <v>📉 Low</v>
      </c>
    </row>
    <row r="585" spans="1:25" x14ac:dyDescent="0.2">
      <c r="A585" t="str">
        <f>'5. KPI Baselines'!A570</f>
        <v>TricorBraun</v>
      </c>
      <c r="B585" t="str">
        <f>'5. KPI Baselines'!B570</f>
        <v>Supply Chain &amp; Procurement</v>
      </c>
      <c r="C585" t="str">
        <f>'5. KPI Baselines'!C570</f>
        <v>Supplier Performance</v>
      </c>
      <c r="D585" t="str">
        <f>'5. KPI Baselines'!D570</f>
        <v>Stock-Out Recovery Time</v>
      </c>
      <c r="E585" t="str">
        <f>'5. KPI Baselines'!E570</f>
        <v>8 days</v>
      </c>
      <c r="F585" t="str">
        <f>'5. KPI Baselines'!F570</f>
        <v>3 days</v>
      </c>
      <c r="G585" t="str">
        <f>'5. KPI Baselines'!G570</f>
        <v>5 days</v>
      </c>
      <c r="H585" t="str">
        <f>'5. KPI Baselines'!H570</f>
        <v>↓</v>
      </c>
      <c r="I585" t="str">
        <f>'5. KPI Baselines'!I570</f>
        <v>12 months</v>
      </c>
      <c r="J585" t="str">
        <f>'5. KPI Baselines'!J570</f>
        <v>Average days from stock-out identification to inventory replenishment</v>
      </c>
      <c r="K585" s="15" t="str">
        <f t="shared" si="73"/>
        <v>8 days → 3 days</v>
      </c>
      <c r="L585" s="34" cm="1">
        <f t="array" ref="L585">IFERROR(_xlfn.LET(_xlpm.e,E585,_xlpm.f,F585,_xlpm.h,H585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0.62499218759765507</v>
      </c>
      <c r="M585" s="15" cm="1">
        <f t="array" ref="M585">IFERROR(_xlfn.LET(_xlpm.e,E585,_xlpm.f,F585,_xlpm.h,H585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3.8</v>
      </c>
      <c r="N585" s="15" cm="1">
        <f t="array" ref="N585">IFERROR(_xlfn.LET(_xlpm.e,E585,_xlpm.f,F585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585" s="15" t="str">
        <f t="shared" si="74"/>
        <v>5 days → 3 days</v>
      </c>
      <c r="P585" s="34" cm="1">
        <f t="array" ref="P585">IFERROR(_xlfn.LET(_xlpm.g,G585,_xlpm.f,F585,_xlpm.h,H585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585" s="15" t="str" cm="1">
        <f t="array" ref="Q585">IFERROR(_xlfn.LET(_xlpm.e,E585,_xlpm.g,G585,_xlpm.h,H585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5" s="15" t="str">
        <f t="shared" si="75"/>
        <v>🔴 Lagging</v>
      </c>
      <c r="S585" s="35" cm="1">
        <f t="array" ref="S585">IFERROR(_xlfn.LET(_xlpm.e,E585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585" s="36">
        <f t="shared" si="76"/>
        <v>62.499218759765505</v>
      </c>
      <c r="U585" s="15">
        <f t="shared" si="77"/>
        <v>130</v>
      </c>
      <c r="V585" s="16">
        <f t="shared" si="78"/>
        <v>698.05377432782097</v>
      </c>
      <c r="W585" s="16">
        <f t="shared" si="79"/>
        <v>1735.9564185011941</v>
      </c>
      <c r="X585" s="37">
        <f t="shared" si="80"/>
        <v>124</v>
      </c>
      <c r="Y585" s="15" t="str">
        <f t="shared" si="81"/>
        <v>🔥 Critical</v>
      </c>
    </row>
    <row r="586" spans="1:25" x14ac:dyDescent="0.2">
      <c r="A586" t="str">
        <f>'5. KPI Baselines'!A571</f>
        <v>TricorBraun</v>
      </c>
      <c r="B586" t="str">
        <f>'5. KPI Baselines'!B571</f>
        <v>Legal &amp; Compliance</v>
      </c>
      <c r="C586" t="str">
        <f>'5. KPI Baselines'!C571</f>
        <v>Regulatory Research</v>
      </c>
      <c r="D586" t="str">
        <f>'5. KPI Baselines'!D571</f>
        <v>Compliance Query Research Time</v>
      </c>
      <c r="E586" t="str">
        <f>'5. KPI Baselines'!E571</f>
        <v>4.2 hours</v>
      </c>
      <c r="F586" t="str">
        <f>'5. KPI Baselines'!F571</f>
        <v>1.4 hours</v>
      </c>
      <c r="G586" t="str">
        <f>'5. KPI Baselines'!G571</f>
        <v>2.6 hours</v>
      </c>
      <c r="H586" t="str">
        <f>'5. KPI Baselines'!H571</f>
        <v>↓</v>
      </c>
      <c r="I586" t="str">
        <f>'5. KPI Baselines'!I571</f>
        <v>6 months</v>
      </c>
      <c r="J586" t="str">
        <f>'5. KPI Baselines'!J571</f>
        <v>Average hours from query receipt to documented guidance</v>
      </c>
      <c r="K586" s="15" t="str">
        <f t="shared" si="73"/>
        <v>4.2 hours → 1.4 hours</v>
      </c>
      <c r="L586" s="34" cm="1">
        <f t="array" ref="L586">IFERROR(_xlfn.LET(_xlpm.e,E586,_xlpm.f,F586,_xlpm.h,H586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0.66665079402871363</v>
      </c>
      <c r="M586" s="15" cm="1">
        <f t="array" ref="M586">IFERROR(_xlfn.LET(_xlpm.e,E586,_xlpm.f,F586,_xlpm.h,H586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1.8</v>
      </c>
      <c r="N586" s="15" cm="1">
        <f t="array" ref="N586">IFERROR(_xlfn.LET(_xlpm.e,E586,_xlpm.f,F586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2.14</v>
      </c>
      <c r="O586" s="15" t="str">
        <f t="shared" si="74"/>
        <v>2.6 hours → 1.4 hours</v>
      </c>
      <c r="P586" s="34" cm="1">
        <f t="array" ref="P586">IFERROR(_xlfn.LET(_xlpm.g,G586,_xlpm.f,F586,_xlpm.h,H586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0.46152071074189455</v>
      </c>
      <c r="Q586" s="15" t="str" cm="1">
        <f t="array" ref="Q586">IFERROR(_xlfn.LET(_xlpm.e,E586,_xlpm.g,G586,_xlpm.h,H586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6" s="15" t="str">
        <f t="shared" si="75"/>
        <v>🔴 Lagging</v>
      </c>
      <c r="S586" s="35" cm="1">
        <f t="array" ref="S586">IFERROR(_xlfn.LET(_xlpm.e,E586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586" s="36">
        <f t="shared" si="76"/>
        <v>66.665079402871356</v>
      </c>
      <c r="U586" s="15">
        <f t="shared" si="77"/>
        <v>108</v>
      </c>
      <c r="V586" s="16">
        <f t="shared" si="78"/>
        <v>390.90569272160189</v>
      </c>
      <c r="W586" s="16">
        <f t="shared" si="79"/>
        <v>972.12460023178323</v>
      </c>
      <c r="X586" s="37">
        <f t="shared" si="80"/>
        <v>220</v>
      </c>
      <c r="Y586" s="15" t="str">
        <f t="shared" si="81"/>
        <v>🔥 Critical</v>
      </c>
    </row>
    <row r="587" spans="1:25" x14ac:dyDescent="0.2">
      <c r="A587" t="str">
        <f>'5. KPI Baselines'!A572</f>
        <v>TricorBraun</v>
      </c>
      <c r="B587" t="str">
        <f>'5. KPI Baselines'!B572</f>
        <v>Finance &amp; Accounting</v>
      </c>
      <c r="C587" t="str">
        <f>'5. KPI Baselines'!C572</f>
        <v>Contract Management</v>
      </c>
      <c r="D587" t="str">
        <f>'5. KPI Baselines'!D572</f>
        <v>Contract Review Cycle Time</v>
      </c>
      <c r="E587" t="str">
        <f>'5. KPI Baselines'!E572</f>
        <v>6.8 days</v>
      </c>
      <c r="F587" t="str">
        <f>'5. KPI Baselines'!F572</f>
        <v>2.4 days</v>
      </c>
      <c r="G587" t="str">
        <f>'5. KPI Baselines'!G572</f>
        <v>4.2 days</v>
      </c>
      <c r="H587" t="str">
        <f>'5. KPI Baselines'!H572</f>
        <v>↓</v>
      </c>
      <c r="I587" t="str">
        <f>'5. KPI Baselines'!I572</f>
        <v>9 months</v>
      </c>
      <c r="J587" t="str">
        <f>'5. KPI Baselines'!J572</f>
        <v>Average days from contract draft to execution</v>
      </c>
      <c r="K587" s="15" t="str">
        <f t="shared" si="73"/>
        <v>6.8 days → 2.4 days</v>
      </c>
      <c r="L587" s="34" cm="1">
        <f t="array" ref="L587">IFERROR(_xlfn.LET(_xlpm.e,E587,_xlpm.f,F587,_xlpm.h,H587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0.64704930809841044</v>
      </c>
      <c r="M587" s="15" cm="1">
        <f t="array" ref="M587">IFERROR(_xlfn.LET(_xlpm.e,E587,_xlpm.f,F587,_xlpm.h,H587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3.1</v>
      </c>
      <c r="N587" s="15" cm="1">
        <f t="array" ref="N587">IFERROR(_xlfn.LET(_xlpm.e,E587,_xlpm.f,F587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3.37</v>
      </c>
      <c r="O587" s="15" t="str">
        <f t="shared" si="74"/>
        <v>4.2 days → 2.4 days</v>
      </c>
      <c r="P587" s="34" cm="1">
        <f t="array" ref="P587">IFERROR(_xlfn.LET(_xlpm.g,G587,_xlpm.f,F587,_xlpm.h,H587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0.42856122473274455</v>
      </c>
      <c r="Q587" s="15" t="str" cm="1">
        <f t="array" ref="Q587">IFERROR(_xlfn.LET(_xlpm.e,E587,_xlpm.g,G587,_xlpm.h,H587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7" s="15" t="str">
        <f t="shared" si="75"/>
        <v>🔴 Lagging</v>
      </c>
      <c r="S587" s="35" cm="1">
        <f t="array" ref="S587">IFERROR(_xlfn.LET(_xlpm.e,E587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6.8</v>
      </c>
      <c r="T587" s="36">
        <f t="shared" si="76"/>
        <v>64.704930809841045</v>
      </c>
      <c r="U587" s="15">
        <f t="shared" si="77"/>
        <v>114</v>
      </c>
      <c r="V587" s="16">
        <f t="shared" si="78"/>
        <v>614.28596638284739</v>
      </c>
      <c r="W587" s="16">
        <f t="shared" si="79"/>
        <v>1527.6382785328524</v>
      </c>
      <c r="X587" s="37">
        <f t="shared" si="80"/>
        <v>141</v>
      </c>
      <c r="Y587" s="15" t="str">
        <f t="shared" si="81"/>
        <v>🔥 Critical</v>
      </c>
    </row>
    <row r="588" spans="1:25" x14ac:dyDescent="0.2">
      <c r="A588" t="str">
        <f>'5. KPI Baselines'!A573</f>
        <v>TricorBraun</v>
      </c>
      <c r="B588" t="str">
        <f>'5. KPI Baselines'!B573</f>
        <v>Quality &amp; Technical Services</v>
      </c>
      <c r="C588" t="str">
        <f>'5. KPI Baselines'!C573</f>
        <v>Product Specification Validation</v>
      </c>
      <c r="D588" t="str">
        <f>'5. KPI Baselines'!D573</f>
        <v>Specification Error Rate</v>
      </c>
      <c r="E588" t="str">
        <f>'5. KPI Baselines'!E573</f>
        <v>2.8% of orders</v>
      </c>
      <c r="F588" t="str">
        <f>'5. KPI Baselines'!F573</f>
        <v>0.9% of orders</v>
      </c>
      <c r="G588" t="str">
        <f>'5. KPI Baselines'!G573</f>
        <v>1.4% of orders</v>
      </c>
      <c r="H588" t="str">
        <f>'5. KPI Baselines'!H573</f>
        <v>↓</v>
      </c>
      <c r="I588" t="str">
        <f>'5. KPI Baselines'!I573</f>
        <v>12 months</v>
      </c>
      <c r="J588" t="str">
        <f>'5. KPI Baselines'!J573</f>
        <v>Percentage of orders requiring specification correction post-production</v>
      </c>
      <c r="K588" s="15" t="str">
        <f t="shared" si="73"/>
        <v>2.8% of orders → 0.9% of orders</v>
      </c>
      <c r="L588" s="34" t="str" cm="1">
        <f t="array" ref="L588">IFERROR(_xlfn.LET(_xlpm.e,E588,_xlpm.f,F588,_xlpm.h,H588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88" s="15" t="str" cm="1">
        <f t="array" ref="M588">IFERROR(_xlfn.LET(_xlpm.e,E588,_xlpm.f,F588,_xlpm.h,H588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88" s="15" t="str" cm="1">
        <f t="array" ref="N588">IFERROR(_xlfn.LET(_xlpm.e,E588,_xlpm.f,F588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88" s="15" t="str">
        <f t="shared" si="74"/>
        <v>1.4% of orders → 0.9% of orders</v>
      </c>
      <c r="P588" s="34" t="str" cm="1">
        <f t="array" ref="P588">IFERROR(_xlfn.LET(_xlpm.g,G588,_xlpm.f,F588,_xlpm.h,H588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588" s="15" t="str" cm="1">
        <f t="array" ref="Q588">IFERROR(_xlfn.LET(_xlpm.e,E588,_xlpm.g,G588,_xlpm.h,H588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88" s="15" t="str">
        <f t="shared" si="75"/>
        <v>⚪ N/A</v>
      </c>
      <c r="S588" s="35" cm="1">
        <f t="array" ref="S588">IFERROR(_xlfn.LET(_xlpm.e,E588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88" s="36">
        <f t="shared" si="76"/>
        <v>0</v>
      </c>
      <c r="U588" s="15">
        <f t="shared" si="77"/>
        <v>554</v>
      </c>
      <c r="V588" s="16">
        <f t="shared" si="78"/>
        <v>0</v>
      </c>
      <c r="W588" s="16">
        <f t="shared" si="79"/>
        <v>0</v>
      </c>
      <c r="X588" s="37" t="str">
        <f t="shared" si="80"/>
        <v>-</v>
      </c>
      <c r="Y588" s="15" t="str">
        <f t="shared" si="81"/>
        <v>📉 Low</v>
      </c>
    </row>
    <row r="589" spans="1:25" x14ac:dyDescent="0.2">
      <c r="A589" t="str">
        <f>'5. KPI Baselines'!A574</f>
        <v>TricorBraun</v>
      </c>
      <c r="B589" t="str">
        <f>'5. KPI Baselines'!B574</f>
        <v>IT &amp; Data Management</v>
      </c>
      <c r="C589" t="str">
        <f>'5. KPI Baselines'!C574</f>
        <v>System Integration</v>
      </c>
      <c r="D589" t="str">
        <f>'5. KPI Baselines'!D574</f>
        <v>Data Synchronization Latency</v>
      </c>
      <c r="E589" t="str">
        <f>'5. KPI Baselines'!E574</f>
        <v>18 hours</v>
      </c>
      <c r="F589" t="str">
        <f>'5. KPI Baselines'!F574</f>
        <v>2 hours</v>
      </c>
      <c r="G589" t="str">
        <f>'5. KPI Baselines'!G574</f>
        <v>4 hours</v>
      </c>
      <c r="H589" t="str">
        <f>'5. KPI Baselines'!H574</f>
        <v>↓</v>
      </c>
      <c r="I589" t="str">
        <f>'5. KPI Baselines'!I574</f>
        <v>15 months</v>
      </c>
      <c r="J589" t="str">
        <f>'5. KPI Baselines'!J574</f>
        <v>Average lag between supplier system updates and internal database refresh</v>
      </c>
      <c r="K589" s="15" t="str">
        <f t="shared" si="73"/>
        <v>18 hours → 2 hours</v>
      </c>
      <c r="L589" s="34" cm="1">
        <f t="array" ref="L589">IFERROR(_xlfn.LET(_xlpm.e,E589,_xlpm.f,F589,_xlpm.h,H589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0.8888839506447187</v>
      </c>
      <c r="M589" s="15" cm="1">
        <f t="array" ref="M589">IFERROR(_xlfn.LET(_xlpm.e,E589,_xlpm.f,F589,_xlpm.h,H589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4.4000000000000004</v>
      </c>
      <c r="N589" s="15" cm="1">
        <f t="array" ref="N589">IFERROR(_xlfn.LET(_xlpm.e,E589,_xlpm.f,F589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12.24</v>
      </c>
      <c r="O589" s="15" t="str">
        <f t="shared" si="74"/>
        <v>4 hours → 2 hours</v>
      </c>
      <c r="P589" s="34" cm="1">
        <f t="array" ref="P589">IFERROR(_xlfn.LET(_xlpm.g,G589,_xlpm.f,F589,_xlpm.h,H589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0.49998750031249223</v>
      </c>
      <c r="Q589" s="15" t="str" cm="1">
        <f t="array" ref="Q589">IFERROR(_xlfn.LET(_xlpm.e,E589,_xlpm.g,G589,_xlpm.h,H589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89" s="15" t="str">
        <f t="shared" si="75"/>
        <v>🔴 Lagging</v>
      </c>
      <c r="S589" s="35" cm="1">
        <f t="array" ref="S589">IFERROR(_xlfn.LET(_xlpm.e,E589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589" s="36">
        <f t="shared" si="76"/>
        <v>88.888395064471865</v>
      </c>
      <c r="U589" s="15">
        <f t="shared" si="77"/>
        <v>17</v>
      </c>
      <c r="V589" s="16">
        <f t="shared" si="78"/>
        <v>2233.7875900689442</v>
      </c>
      <c r="W589" s="16">
        <f t="shared" si="79"/>
        <v>5555.0991157988055</v>
      </c>
      <c r="X589" s="37">
        <f t="shared" si="80"/>
        <v>39</v>
      </c>
      <c r="Y589" s="15" t="str">
        <f t="shared" si="81"/>
        <v>🔥 Critical</v>
      </c>
    </row>
    <row r="590" spans="1:25" x14ac:dyDescent="0.2">
      <c r="A590" t="str">
        <f>'5. KPI Baselines'!A575</f>
        <v>TricorBraun</v>
      </c>
      <c r="B590" t="str">
        <f>'5. KPI Baselines'!B575</f>
        <v>Customer Success</v>
      </c>
      <c r="C590" t="str">
        <f>'5. KPI Baselines'!C575</f>
        <v>Technical Support</v>
      </c>
      <c r="D590" t="str">
        <f>'5. KPI Baselines'!D575</f>
        <v>Tier 1 Deflection Rate</v>
      </c>
      <c r="E590" t="str">
        <f>'5. KPI Baselines'!E575</f>
        <v>42%</v>
      </c>
      <c r="F590" t="str">
        <f>'5. KPI Baselines'!F575</f>
        <v>68%</v>
      </c>
      <c r="G590" t="str">
        <f>'5. KPI Baselines'!G575</f>
        <v>61%</v>
      </c>
      <c r="H590" t="str">
        <f>'5. KPI Baselines'!H575</f>
        <v>↑</v>
      </c>
      <c r="I590" t="str">
        <f>'5. KPI Baselines'!I575</f>
        <v>9 months</v>
      </c>
      <c r="J590" t="str">
        <f>'5. KPI Baselines'!J575</f>
        <v>Percentage of inquiries resolved without escalation to specialists</v>
      </c>
      <c r="K590" s="15" t="str">
        <f t="shared" si="73"/>
        <v>68% - 42%</v>
      </c>
      <c r="L590" s="34" cm="1">
        <f t="array" ref="L590">IFERROR(_xlfn.LET(_xlpm.e,E590,_xlpm.f,F590,_xlpm.h,H590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0.61904614512822587</v>
      </c>
      <c r="M590" s="15" cm="1">
        <f t="array" ref="M590">IFERROR(_xlfn.LET(_xlpm.e,E590,_xlpm.f,F590,_xlpm.h,H590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64.099999999999994</v>
      </c>
      <c r="N590" s="15" cm="1">
        <f t="array" ref="N590">IFERROR(_xlfn.LET(_xlpm.e,E590,_xlpm.f,F590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19.89</v>
      </c>
      <c r="O590" s="15" t="str">
        <f t="shared" si="74"/>
        <v>68% - 61%</v>
      </c>
      <c r="P590" s="34" cm="1">
        <f t="array" ref="P590">IFERROR(_xlfn.LET(_xlpm.g,G590,_xlpm.f,F590,_xlpm.h,H590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0.1147539102394914</v>
      </c>
      <c r="Q590" s="15" t="str" cm="1">
        <f t="array" ref="Q590">IFERROR(_xlfn.LET(_xlpm.e,E590,_xlpm.g,G590,_xlpm.h,H590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0" s="15" t="str">
        <f t="shared" si="75"/>
        <v>🔴 Lagging</v>
      </c>
      <c r="S590" s="35" cm="1">
        <f t="array" ref="S590">IFERROR(_xlfn.LET(_xlpm.e,E590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590" s="36">
        <f t="shared" si="76"/>
        <v>61.90461451282259</v>
      </c>
      <c r="U590" s="15">
        <f t="shared" si="77"/>
        <v>142</v>
      </c>
      <c r="V590" s="16">
        <f t="shared" si="78"/>
        <v>3629.9163573420064</v>
      </c>
      <c r="W590" s="16">
        <f t="shared" si="79"/>
        <v>9027.064720362172</v>
      </c>
      <c r="X590" s="37">
        <f t="shared" si="80"/>
        <v>24</v>
      </c>
      <c r="Y590" s="15" t="str">
        <f t="shared" si="81"/>
        <v>🔥 Critical</v>
      </c>
    </row>
    <row r="591" spans="1:25" x14ac:dyDescent="0.2">
      <c r="A591" t="str">
        <f>'5. KPI Baselines'!A576</f>
        <v>Unisyn Precision</v>
      </c>
      <c r="B591" t="str">
        <f>'5. KPI Baselines'!B576</f>
        <v>Quality Assurance</v>
      </c>
      <c r="C591" t="str">
        <f>'5. KPI Baselines'!C576</f>
        <v>Inspection Documentation</v>
      </c>
      <c r="D591" t="str">
        <f>'5. KPI Baselines'!D576</f>
        <v>Hours per Inspection Report</v>
      </c>
      <c r="E591" t="str">
        <f>'5. KPI Baselines'!E576</f>
        <v>3.2 hours</v>
      </c>
      <c r="F591" t="str">
        <f>'5. KPI Baselines'!F576</f>
        <v>1.4 hours</v>
      </c>
      <c r="G591" t="str">
        <f>'5. KPI Baselines'!G576</f>
        <v>1.8 hours (automated systems)</v>
      </c>
      <c r="H591" t="str">
        <f>'5. KPI Baselines'!H576</f>
        <v>↓</v>
      </c>
      <c r="I591" t="str">
        <f>'5. KPI Baselines'!I576</f>
        <v>12 months</v>
      </c>
      <c r="J591" t="str">
        <f>'5. KPI Baselines'!J576</f>
        <v>Time tracking system average across 14,500 annual reports</v>
      </c>
      <c r="K591" s="15" t="str">
        <f t="shared" si="73"/>
        <v>3.2 hours → 1.4 hours</v>
      </c>
      <c r="L591" s="34" cm="1">
        <f t="array" ref="L591">IFERROR(_xlfn.LET(_xlpm.e,E591,_xlpm.f,F591,_xlpm.h,H591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0.56248242242429924</v>
      </c>
      <c r="M591" s="15" cm="1">
        <f t="array" ref="M591">IFERROR(_xlfn.LET(_xlpm.e,E591,_xlpm.f,F591,_xlpm.h,H591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1.7</v>
      </c>
      <c r="N591" s="15" cm="1">
        <f t="array" ref="N591">IFERROR(_xlfn.LET(_xlpm.e,E591,_xlpm.f,F591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1.38</v>
      </c>
      <c r="O591" s="15" t="str">
        <f t="shared" si="74"/>
        <v>1.8 hours (automated systems) → 1.4 hours</v>
      </c>
      <c r="P591" s="34" cm="1">
        <f t="array" ref="P591">IFERROR(_xlfn.LET(_xlpm.g,G591,_xlpm.f,F591,_xlpm.h,H591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0.2222098772290429</v>
      </c>
      <c r="Q591" s="15" t="str" cm="1">
        <f t="array" ref="Q591">IFERROR(_xlfn.LET(_xlpm.e,E591,_xlpm.g,G591,_xlpm.h,H591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1" s="15" t="str">
        <f t="shared" si="75"/>
        <v>🔴 Lagging</v>
      </c>
      <c r="S591" s="35" cm="1">
        <f t="array" ref="S591">IFERROR(_xlfn.LET(_xlpm.e,E591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591" s="36">
        <f t="shared" si="76"/>
        <v>56.248242242429924</v>
      </c>
      <c r="U591" s="15">
        <f t="shared" si="77"/>
        <v>184</v>
      </c>
      <c r="V591" s="16">
        <f t="shared" si="78"/>
        <v>251.29464704227993</v>
      </c>
      <c r="W591" s="16">
        <f t="shared" si="79"/>
        <v>624.93259332077184</v>
      </c>
      <c r="X591" s="37">
        <f t="shared" si="80"/>
        <v>339</v>
      </c>
      <c r="Y591" s="15" t="str">
        <f t="shared" si="81"/>
        <v>🔥 Critical</v>
      </c>
    </row>
    <row r="592" spans="1:25" x14ac:dyDescent="0.2">
      <c r="A592" t="str">
        <f>'5. KPI Baselines'!A577</f>
        <v>Unisyn Precision</v>
      </c>
      <c r="B592" t="str">
        <f>'5. KPI Baselines'!B577</f>
        <v>Quality Assurance</v>
      </c>
      <c r="C592" t="str">
        <f>'5. KPI Baselines'!C577</f>
        <v>First Article Inspection</v>
      </c>
      <c r="D592" t="str">
        <f>'5. KPI Baselines'!D577</f>
        <v>FAI Documentation Cycle Time</v>
      </c>
      <c r="E592" t="str">
        <f>'5. KPI Baselines'!E577</f>
        <v>9 days</v>
      </c>
      <c r="F592" t="str">
        <f>'5. KPI Baselines'!F577</f>
        <v>5 days</v>
      </c>
      <c r="G592" t="str">
        <f>'5. KPI Baselines'!G577</f>
        <v>4 days (best-in-class)</v>
      </c>
      <c r="H592" t="str">
        <f>'5. KPI Baselines'!H577</f>
        <v>↓</v>
      </c>
      <c r="I592" t="str">
        <f>'5. KPI Baselines'!I577</f>
        <v>18 months</v>
      </c>
      <c r="J592" t="str">
        <f>'5. KPI Baselines'!J577</f>
        <v>Average days from inspection completion to customer delivery</v>
      </c>
      <c r="K592" s="15" t="str">
        <f t="shared" si="73"/>
        <v>9 days → 5 days</v>
      </c>
      <c r="L592" s="34" cm="1">
        <f t="array" ref="L592">IFERROR(_xlfn.LET(_xlpm.e,E592,_xlpm.f,F592,_xlpm.h,H592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0.44443950622770861</v>
      </c>
      <c r="M592" s="15" cm="1">
        <f t="array" ref="M592">IFERROR(_xlfn.LET(_xlpm.e,E592,_xlpm.f,F592,_xlpm.h,H592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5.6</v>
      </c>
      <c r="N592" s="15" cm="1">
        <f t="array" ref="N592">IFERROR(_xlfn.LET(_xlpm.e,E592,_xlpm.f,F592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592" s="15" t="str">
        <f t="shared" si="74"/>
        <v>4 days (best-in-class) → 5 days</v>
      </c>
      <c r="P592" s="34" cm="1">
        <f t="array" ref="P592">IFERROR(_xlfn.LET(_xlpm.g,G592,_xlpm.f,F592,_xlpm.h,H592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-0.24999375015624611</v>
      </c>
      <c r="Q592" s="15" t="str" cm="1">
        <f t="array" ref="Q592">IFERROR(_xlfn.LET(_xlpm.e,E592,_xlpm.g,G592,_xlpm.h,H592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2" s="15" t="str">
        <f t="shared" si="75"/>
        <v>🔴 Lagging</v>
      </c>
      <c r="S592" s="35" cm="1">
        <f t="array" ref="S592">IFERROR(_xlfn.LET(_xlpm.e,E592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592" s="36">
        <f t="shared" si="76"/>
        <v>44.443950622770863</v>
      </c>
      <c r="U592" s="15">
        <f t="shared" si="77"/>
        <v>273</v>
      </c>
      <c r="V592" s="16">
        <f t="shared" si="78"/>
        <v>558.4437950689437</v>
      </c>
      <c r="W592" s="16">
        <f t="shared" si="79"/>
        <v>1388.7670636199887</v>
      </c>
      <c r="X592" s="37">
        <f t="shared" si="80"/>
        <v>155</v>
      </c>
      <c r="Y592" s="15" t="str">
        <f t="shared" si="81"/>
        <v>⚠️ High</v>
      </c>
    </row>
    <row r="593" spans="1:25" x14ac:dyDescent="0.2">
      <c r="A593" t="str">
        <f>'5. KPI Baselines'!A578</f>
        <v>Unisyn Precision</v>
      </c>
      <c r="B593" t="str">
        <f>'5. KPI Baselines'!B578</f>
        <v>Supply Chain</v>
      </c>
      <c r="C593" t="str">
        <f>'5. KPI Baselines'!C578</f>
        <v>Procurement</v>
      </c>
      <c r="D593" t="str">
        <f>'5. KPI Baselines'!D578</f>
        <v>Lead Time Forecast Accuracy</v>
      </c>
      <c r="E593" t="str">
        <f>'5. KPI Baselines'!E578</f>
        <v>68%</v>
      </c>
      <c r="F593" t="str">
        <f>'5. KPI Baselines'!F578</f>
        <v>78%</v>
      </c>
      <c r="G593" t="str">
        <f>'5. KPI Baselines'!G578</f>
        <v>82% (industry median)</v>
      </c>
      <c r="H593" t="str">
        <f>'5. KPI Baselines'!H578</f>
        <v>↑</v>
      </c>
      <c r="I593" t="str">
        <f>'5. KPI Baselines'!I578</f>
        <v>12 months</v>
      </c>
      <c r="J593" t="str">
        <f>'5. KPI Baselines'!J578</f>
        <v>Percentage of orders delivered within quoted lead time window</v>
      </c>
      <c r="K593" s="15" t="str">
        <f t="shared" si="73"/>
        <v>78% - 68%</v>
      </c>
      <c r="L593" s="34" cm="1">
        <f t="array" ref="L593">IFERROR(_xlfn.LET(_xlpm.e,E593,_xlpm.f,F593,_xlpm.h,H593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0.14705860726675402</v>
      </c>
      <c r="M593" s="15" cm="1">
        <f t="array" ref="M593">IFERROR(_xlfn.LET(_xlpm.e,E593,_xlpm.f,F593,_xlpm.h,H593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76.5</v>
      </c>
      <c r="N593" s="15" cm="1">
        <f t="array" ref="N593">IFERROR(_xlfn.LET(_xlpm.e,E593,_xlpm.f,F593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93" s="15" t="str">
        <f t="shared" si="74"/>
        <v>78% - 82% (industry median)</v>
      </c>
      <c r="P593" s="34" cm="1">
        <f t="array" ref="P593">IFERROR(_xlfn.LET(_xlpm.g,G593,_xlpm.f,F593,_xlpm.h,H593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-4.8780428316550835E-2</v>
      </c>
      <c r="Q593" s="15" t="str" cm="1">
        <f t="array" ref="Q593">IFERROR(_xlfn.LET(_xlpm.e,E593,_xlpm.g,G593,_xlpm.h,H593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3" s="15" t="str">
        <f t="shared" si="75"/>
        <v>🔴 Lagging</v>
      </c>
      <c r="S593" s="35" cm="1">
        <f t="array" ref="S593">IFERROR(_xlfn.LET(_xlpm.e,E593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593" s="36">
        <f t="shared" si="76"/>
        <v>14.705860726675402</v>
      </c>
      <c r="U593" s="15">
        <f t="shared" si="77"/>
        <v>498</v>
      </c>
      <c r="V593" s="16">
        <f t="shared" si="78"/>
        <v>1396.1229468780193</v>
      </c>
      <c r="W593" s="16">
        <f t="shared" si="79"/>
        <v>3471.9511301023649</v>
      </c>
      <c r="X593" s="37">
        <f t="shared" si="80"/>
        <v>62</v>
      </c>
      <c r="Y593" s="15" t="str">
        <f t="shared" si="81"/>
        <v>📊 Medium</v>
      </c>
    </row>
    <row r="594" spans="1:25" x14ac:dyDescent="0.2">
      <c r="A594" t="str">
        <f>'5. KPI Baselines'!A579</f>
        <v>Unisyn Precision</v>
      </c>
      <c r="B594" t="str">
        <f>'5. KPI Baselines'!B579</f>
        <v>Supply Chain</v>
      </c>
      <c r="C594" t="str">
        <f>'5. KPI Baselines'!C579</f>
        <v>Inventory Management</v>
      </c>
      <c r="D594" t="str">
        <f>'5. KPI Baselines'!D579</f>
        <v>Safety Stock as % of Annual COGS</v>
      </c>
      <c r="E594" t="str">
        <f>'5. KPI Baselines'!E579</f>
        <v>11.2%</v>
      </c>
      <c r="F594" t="str">
        <f>'5. KPI Baselines'!F579</f>
        <v>8.0%</v>
      </c>
      <c r="G594" t="str">
        <f>'5. KPI Baselines'!G579</f>
        <v>7.5% (aerospace manufacturing)</v>
      </c>
      <c r="H594" t="str">
        <f>'5. KPI Baselines'!H579</f>
        <v>↓</v>
      </c>
      <c r="I594" t="str">
        <f>'5. KPI Baselines'!I579</f>
        <v>24 months</v>
      </c>
      <c r="J594" t="str">
        <f>'5. KPI Baselines'!J579</f>
        <v>Average safety stock value divided by cost of goods sold</v>
      </c>
      <c r="K594" s="15" t="str">
        <f t="shared" ref="K594:K657" si="82">IFERROR(IF(OR(E594="",F594=""),"-",IF(H594="↓",E594&amp;" → "&amp;F594,F594&amp;" - "&amp;E594)),"-")</f>
        <v>11.2% → 8.0%</v>
      </c>
      <c r="L594" s="34" cm="1">
        <f t="array" ref="L594">IFERROR(_xlfn.LET(_xlpm.e,E594,_xlpm.f,F594,_xlpm.h,H594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0.28571173471665429</v>
      </c>
      <c r="M594" s="15" cm="1">
        <f t="array" ref="M594">IFERROR(_xlfn.LET(_xlpm.e,E594,_xlpm.f,F594,_xlpm.h,H594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8.5</v>
      </c>
      <c r="N594" s="15" cm="1">
        <f t="array" ref="N594">IFERROR(_xlfn.LET(_xlpm.e,E594,_xlpm.f,F594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2.4500000000000002</v>
      </c>
      <c r="O594" s="15" t="str">
        <f t="shared" ref="O594:O657" si="83">IFERROR(IF(OR(G594="",G594="Not Available",F594=""),"-",IF(H594="↓",G594&amp;" → "&amp;F594,F594&amp;" - "&amp;G594)),"-")</f>
        <v>7.5% (aerospace manufacturing) → 8.0%</v>
      </c>
      <c r="P594" s="34" cm="1">
        <f t="array" ref="P594">IFERROR(_xlfn.LET(_xlpm.g,G594,_xlpm.f,F594,_xlpm.h,H594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-6.6665777789629468E-2</v>
      </c>
      <c r="Q594" s="15" t="str" cm="1">
        <f t="array" ref="Q594">IFERROR(_xlfn.LET(_xlpm.e,E594,_xlpm.g,G594,_xlpm.h,H594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4" s="15" t="str">
        <f t="shared" ref="R594:R657" si="84">IFERROR(IF(Q594="Below Industry","🔴 Lagging",IF(Q594="Above Industry","🟢 Leading","⚪ N/A")),"⚪ N/A")</f>
        <v>🔴 Lagging</v>
      </c>
      <c r="S594" s="35" cm="1">
        <f t="array" ref="S594">IFERROR(_xlfn.LET(_xlpm.e,E594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11.2</v>
      </c>
      <c r="T594" s="36">
        <f t="shared" ref="T594:T657" si="85">IFERROR(IF(L594="-",0,ABS(L594)*100),0)</f>
        <v>28.571173471665428</v>
      </c>
      <c r="U594" s="15">
        <f t="shared" ref="U594:U657" si="86">IFERROR(RANK(T594,$T$17:$T$662,0),"-")</f>
        <v>403</v>
      </c>
      <c r="V594" s="16">
        <f t="shared" ref="V594:V657" si="87">IFERROR(IF(OR(L594="-",S594=0),0,S594*ABS(L594)*$F$9*$B$5*$B$7),0)</f>
        <v>446.75601110704361</v>
      </c>
      <c r="W594" s="16">
        <f t="shared" ref="W594:W657" si="88">IFERROR(IF(V594=0,0,V594*(1-(1/(1+$B$11)^$B$10))/$B$11),0)</f>
        <v>1111.0160757057217</v>
      </c>
      <c r="X594" s="37">
        <f t="shared" ref="X594:X657" si="89">IFERROR(IF(V594=0,"-",ROUND(12/(V594/($F$9*40)+0.001),0)),"-")</f>
        <v>193</v>
      </c>
      <c r="Y594" s="15" t="str">
        <f t="shared" ref="Y594:Y657" si="90">IF(T594&gt;=50,"🔥 Critical",IF(T594&gt;=25,"⚠️ High",IF(T594&gt;=10,"📊 Medium","📉 Low")))</f>
        <v>⚠️ High</v>
      </c>
    </row>
    <row r="595" spans="1:25" x14ac:dyDescent="0.2">
      <c r="A595" t="str">
        <f>'5. KPI Baselines'!A580</f>
        <v>Unisyn Precision</v>
      </c>
      <c r="B595" t="str">
        <f>'5. KPI Baselines'!B580</f>
        <v>Engineering</v>
      </c>
      <c r="C595" t="str">
        <f>'5. KPI Baselines'!C580</f>
        <v>Change Management</v>
      </c>
      <c r="D595" t="str">
        <f>'5. KPI Baselines'!D580</f>
        <v>ECO Processing Cycle Time</v>
      </c>
      <c r="E595" t="str">
        <f>'5. KPI Baselines'!E580</f>
        <v>19 days</v>
      </c>
      <c r="F595" t="str">
        <f>'5. KPI Baselines'!F580</f>
        <v>9 days</v>
      </c>
      <c r="G595" t="str">
        <f>'5. KPI Baselines'!G580</f>
        <v>11 days (aerospace sector)</v>
      </c>
      <c r="H595" t="str">
        <f>'5. KPI Baselines'!H580</f>
        <v>↓</v>
      </c>
      <c r="I595" t="str">
        <f>'5. KPI Baselines'!I580</f>
        <v>12 months</v>
      </c>
      <c r="J595" t="str">
        <f>'5. KPI Baselines'!J580</f>
        <v>Average days from ECO initiation to supplier notification complete</v>
      </c>
      <c r="K595" s="15" t="str">
        <f t="shared" si="82"/>
        <v>19 days → 9 days</v>
      </c>
      <c r="L595" s="34" cm="1">
        <f t="array" ref="L595">IFERROR(_xlfn.LET(_xlpm.e,E595,_xlpm.f,F595,_xlpm.h,H595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0.52631301940516106</v>
      </c>
      <c r="M595" s="15" cm="1">
        <f t="array" ref="M595">IFERROR(_xlfn.LET(_xlpm.e,E595,_xlpm.f,F595,_xlpm.h,H595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10.5</v>
      </c>
      <c r="N595" s="15" cm="1">
        <f t="array" ref="N595">IFERROR(_xlfn.LET(_xlpm.e,E595,_xlpm.f,F595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595" s="15" t="str">
        <f t="shared" si="83"/>
        <v>11 days (aerospace sector) → 9 days</v>
      </c>
      <c r="P595" s="34" cm="1">
        <f t="array" ref="P595">IFERROR(_xlfn.LET(_xlpm.g,G595,_xlpm.f,F595,_xlpm.h,H595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0.18181652894064601</v>
      </c>
      <c r="Q595" s="15" t="str" cm="1">
        <f t="array" ref="Q595">IFERROR(_xlfn.LET(_xlpm.e,E595,_xlpm.g,G595,_xlpm.h,H595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5" s="15" t="str">
        <f t="shared" si="84"/>
        <v>🔴 Lagging</v>
      </c>
      <c r="S595" s="35" cm="1">
        <f t="array" ref="S595">IFERROR(_xlfn.LET(_xlpm.e,E595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595" s="36">
        <f t="shared" si="85"/>
        <v>52.63130194051611</v>
      </c>
      <c r="U595" s="15">
        <f t="shared" si="86"/>
        <v>208</v>
      </c>
      <c r="V595" s="16">
        <f t="shared" si="87"/>
        <v>1396.1176520123579</v>
      </c>
      <c r="W595" s="16">
        <f t="shared" si="88"/>
        <v>3471.9379625551528</v>
      </c>
      <c r="X595" s="37">
        <f t="shared" si="89"/>
        <v>62</v>
      </c>
      <c r="Y595" s="15" t="str">
        <f t="shared" si="90"/>
        <v>🔥 Critical</v>
      </c>
    </row>
    <row r="596" spans="1:25" x14ac:dyDescent="0.2">
      <c r="A596" t="str">
        <f>'5. KPI Baselines'!A581</f>
        <v>Unisyn Precision</v>
      </c>
      <c r="B596" t="str">
        <f>'5. KPI Baselines'!B581</f>
        <v>Engineering</v>
      </c>
      <c r="C596" t="str">
        <f>'5. KPI Baselines'!C581</f>
        <v>Design Review</v>
      </c>
      <c r="D596" t="str">
        <f>'5. KPI Baselines'!D581</f>
        <v>Cross-Functional Review Hours per Design</v>
      </c>
      <c r="E596" t="str">
        <f>'5. KPI Baselines'!E581</f>
        <v>18.5 hours</v>
      </c>
      <c r="F596" t="str">
        <f>'5. KPI Baselines'!F581</f>
        <v>13 hours</v>
      </c>
      <c r="G596" t="str">
        <f>'5. KPI Baselines'!G581</f>
        <v>12 hours (with collaboration tools)</v>
      </c>
      <c r="H596" t="str">
        <f>'5. KPI Baselines'!H581</f>
        <v>↓</v>
      </c>
      <c r="I596" t="str">
        <f>'5. KPI Baselines'!I581</f>
        <v>18 months</v>
      </c>
      <c r="J596" t="str">
        <f>'5. KPI Baselines'!J581</f>
        <v>Sum of all participant hours in design review meetings</v>
      </c>
      <c r="K596" s="15" t="str">
        <f t="shared" si="82"/>
        <v>18.5 hours → 13 hours</v>
      </c>
      <c r="L596" s="34" cm="1">
        <f t="array" ref="L596">IFERROR(_xlfn.LET(_xlpm.e,E596,_xlpm.f,F596,_xlpm.h,H596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0.29729569029356601</v>
      </c>
      <c r="M596" s="15" cm="1">
        <f t="array" ref="M596">IFERROR(_xlfn.LET(_xlpm.e,E596,_xlpm.f,F596,_xlpm.h,H596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13.8</v>
      </c>
      <c r="N596" s="15" cm="1">
        <f t="array" ref="N596">IFERROR(_xlfn.LET(_xlpm.e,E596,_xlpm.f,F596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4.21</v>
      </c>
      <c r="O596" s="15" t="str">
        <f t="shared" si="83"/>
        <v>12 hours (with collaboration tools) → 13 hours</v>
      </c>
      <c r="P596" s="34" cm="1">
        <f t="array" ref="P596">IFERROR(_xlfn.LET(_xlpm.g,G596,_xlpm.f,F596,_xlpm.h,H596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-8.3332638894675876E-2</v>
      </c>
      <c r="Q596" s="15" t="str" cm="1">
        <f t="array" ref="Q596">IFERROR(_xlfn.LET(_xlpm.e,E596,_xlpm.g,G596,_xlpm.h,H596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6" s="15" t="str">
        <f t="shared" si="84"/>
        <v>🔴 Lagging</v>
      </c>
      <c r="S596" s="35" cm="1">
        <f t="array" ref="S596">IFERROR(_xlfn.LET(_xlpm.e,E596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18.5</v>
      </c>
      <c r="T596" s="36">
        <f t="shared" si="85"/>
        <v>29.7295690293566</v>
      </c>
      <c r="U596" s="15">
        <f t="shared" si="86"/>
        <v>393</v>
      </c>
      <c r="V596" s="16">
        <f t="shared" si="87"/>
        <v>767.86459938054406</v>
      </c>
      <c r="W596" s="16">
        <f t="shared" si="88"/>
        <v>1909.5656077758099</v>
      </c>
      <c r="X596" s="37">
        <f t="shared" si="89"/>
        <v>113</v>
      </c>
      <c r="Y596" s="15" t="str">
        <f t="shared" si="90"/>
        <v>⚠️ High</v>
      </c>
    </row>
    <row r="597" spans="1:25" x14ac:dyDescent="0.2">
      <c r="A597" t="str">
        <f>'5. KPI Baselines'!A582</f>
        <v>Unisyn Precision</v>
      </c>
      <c r="B597" t="str">
        <f>'5. KPI Baselines'!B582</f>
        <v>Sales &amp; Estimating</v>
      </c>
      <c r="C597" t="str">
        <f>'5. KPI Baselines'!C582</f>
        <v>Proposal Development</v>
      </c>
      <c r="D597" t="str">
        <f>'5. KPI Baselines'!D582</f>
        <v>Proposal Development Hours</v>
      </c>
      <c r="E597" t="str">
        <f>'5. KPI Baselines'!E582</f>
        <v>87 hours per proposal</v>
      </c>
      <c r="F597" t="str">
        <f>'5. KPI Baselines'!F582</f>
        <v>58 hours</v>
      </c>
      <c r="G597" t="str">
        <f>'5. KPI Baselines'!G582</f>
        <v>52 hours (with template automation)</v>
      </c>
      <c r="H597" t="str">
        <f>'5. KPI Baselines'!H582</f>
        <v>↓</v>
      </c>
      <c r="I597" t="str">
        <f>'5. KPI Baselines'!I582</f>
        <v>12 months</v>
      </c>
      <c r="J597" t="str">
        <f>'5. KPI Baselines'!J582</f>
        <v>Total staff hours from RFQ receipt to proposal submission</v>
      </c>
      <c r="K597" s="15" t="str">
        <f t="shared" si="82"/>
        <v>87 hours per proposal → 58 hours</v>
      </c>
      <c r="L597" s="34" t="str" cm="1">
        <f t="array" ref="L597">IFERROR(_xlfn.LET(_xlpm.e,E597,_xlpm.f,F597,_xlpm.h,H597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597" s="15" t="str" cm="1">
        <f t="array" ref="M597">IFERROR(_xlfn.LET(_xlpm.e,E597,_xlpm.f,F597,_xlpm.h,H597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597" s="15" t="str" cm="1">
        <f t="array" ref="N597">IFERROR(_xlfn.LET(_xlpm.e,E597,_xlpm.f,F597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597" s="15" t="str">
        <f t="shared" si="83"/>
        <v>52 hours (with template automation) → 58 hours</v>
      </c>
      <c r="P597" s="34" cm="1">
        <f t="array" ref="P597">IFERROR(_xlfn.LET(_xlpm.g,G597,_xlpm.f,F597,_xlpm.h,H597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-0.11538439349155097</v>
      </c>
      <c r="Q597" s="15" t="str" cm="1">
        <f t="array" ref="Q597">IFERROR(_xlfn.LET(_xlpm.e,E597,_xlpm.g,G597,_xlpm.h,H597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597" s="15" t="str">
        <f t="shared" si="84"/>
        <v>⚪ N/A</v>
      </c>
      <c r="S597" s="35" cm="1">
        <f t="array" ref="S597">IFERROR(_xlfn.LET(_xlpm.e,E597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597" s="36">
        <f t="shared" si="85"/>
        <v>0</v>
      </c>
      <c r="U597" s="15">
        <f t="shared" si="86"/>
        <v>554</v>
      </c>
      <c r="V597" s="16">
        <f t="shared" si="87"/>
        <v>0</v>
      </c>
      <c r="W597" s="16">
        <f t="shared" si="88"/>
        <v>0</v>
      </c>
      <c r="X597" s="37" t="str">
        <f t="shared" si="89"/>
        <v>-</v>
      </c>
      <c r="Y597" s="15" t="str">
        <f t="shared" si="90"/>
        <v>📉 Low</v>
      </c>
    </row>
    <row r="598" spans="1:25" x14ac:dyDescent="0.2">
      <c r="A598" t="str">
        <f>'5. KPI Baselines'!A583</f>
        <v>Unisyn Precision</v>
      </c>
      <c r="B598" t="str">
        <f>'5. KPI Baselines'!B583</f>
        <v>Sales &amp; Estimating</v>
      </c>
      <c r="C598" t="str">
        <f>'5. KPI Baselines'!C583</f>
        <v>Quote Accuracy</v>
      </c>
      <c r="D598" t="str">
        <f>'5. KPI Baselines'!D583</f>
        <v>Cost Estimation Variance</v>
      </c>
      <c r="E598" t="str">
        <f>'5. KPI Baselines'!E583</f>
        <v>14.3% average variance</v>
      </c>
      <c r="F598" t="str">
        <f>'5. KPI Baselines'!F583</f>
        <v>9.5%</v>
      </c>
      <c r="G598" t="str">
        <f>'5. KPI Baselines'!G583</f>
        <v>8.5% (precision manufacturing)</v>
      </c>
      <c r="H598" t="str">
        <f>'5. KPI Baselines'!H583</f>
        <v>↓</v>
      </c>
      <c r="I598" t="str">
        <f>'5. KPI Baselines'!I583</f>
        <v>18 months</v>
      </c>
      <c r="J598" t="str">
        <f>'5. KPI Baselines'!J583</f>
        <v>Absolute percentage difference between quoted and actual costs</v>
      </c>
      <c r="K598" s="15" t="str">
        <f t="shared" si="82"/>
        <v>14.3% average variance → 9.5%</v>
      </c>
      <c r="L598" s="34" cm="1">
        <f t="array" ref="L598">IFERROR(_xlfn.LET(_xlpm.e,E598,_xlpm.f,F598,_xlpm.h,H598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0.33566198837770367</v>
      </c>
      <c r="M598" s="15" cm="1">
        <f t="array" ref="M598">IFERROR(_xlfn.LET(_xlpm.e,E598,_xlpm.f,F598,_xlpm.h,H598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10.199999999999999</v>
      </c>
      <c r="N598" s="15" cm="1">
        <f t="array" ref="N598">IFERROR(_xlfn.LET(_xlpm.e,E598,_xlpm.f,F598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3.67</v>
      </c>
      <c r="O598" s="15" t="str">
        <f t="shared" si="83"/>
        <v>8.5% (precision manufacturing) → 9.5%</v>
      </c>
      <c r="P598" s="34" cm="1">
        <f t="array" ref="P598">IFERROR(_xlfn.LET(_xlpm.g,G598,_xlpm.f,F598,_xlpm.h,H598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-0.11764567475676757</v>
      </c>
      <c r="Q598" s="15" t="str" cm="1">
        <f t="array" ref="Q598">IFERROR(_xlfn.LET(_xlpm.e,E598,_xlpm.g,G598,_xlpm.h,H598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8" s="15" t="str">
        <f t="shared" si="84"/>
        <v>🔴 Lagging</v>
      </c>
      <c r="S598" s="35" cm="1">
        <f t="array" ref="S598">IFERROR(_xlfn.LET(_xlpm.e,E598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14.3</v>
      </c>
      <c r="T598" s="36">
        <f t="shared" si="85"/>
        <v>33.566198837770365</v>
      </c>
      <c r="U598" s="15">
        <f t="shared" si="86"/>
        <v>359</v>
      </c>
      <c r="V598" s="16">
        <f t="shared" si="87"/>
        <v>670.13531373906483</v>
      </c>
      <c r="W598" s="16">
        <f t="shared" si="88"/>
        <v>1666.5273392008312</v>
      </c>
      <c r="X598" s="37">
        <f t="shared" si="89"/>
        <v>129</v>
      </c>
      <c r="Y598" s="15" t="str">
        <f t="shared" si="90"/>
        <v>⚠️ High</v>
      </c>
    </row>
    <row r="599" spans="1:25" x14ac:dyDescent="0.2">
      <c r="A599" t="str">
        <f>'5. KPI Baselines'!A584</f>
        <v>Unisyn Precision</v>
      </c>
      <c r="B599" t="str">
        <f>'5. KPI Baselines'!B584</f>
        <v>Compliance</v>
      </c>
      <c r="C599" t="str">
        <f>'5. KPI Baselines'!C584</f>
        <v>Regulatory Tracking</v>
      </c>
      <c r="D599" t="str">
        <f>'5. KPI Baselines'!D584</f>
        <v>Audit Finding Closure Time</v>
      </c>
      <c r="E599" t="str">
        <f>'5. KPI Baselines'!E584</f>
        <v>47 days</v>
      </c>
      <c r="F599" t="str">
        <f>'5. KPI Baselines'!F584</f>
        <v>30 days</v>
      </c>
      <c r="G599" t="str">
        <f>'5. KPI Baselines'!G584</f>
        <v>28 days (aerospace QMS)</v>
      </c>
      <c r="H599" t="str">
        <f>'5. KPI Baselines'!H584</f>
        <v>↓</v>
      </c>
      <c r="I599" t="str">
        <f>'5. KPI Baselines'!I584</f>
        <v>12 months</v>
      </c>
      <c r="J599" t="str">
        <f>'5. KPI Baselines'!J584</f>
        <v>Average days from audit finding issuance to verified closure</v>
      </c>
      <c r="K599" s="15" t="str">
        <f t="shared" si="82"/>
        <v>47 days → 30 days</v>
      </c>
      <c r="L599" s="34" cm="1">
        <f t="array" ref="L599">IFERROR(_xlfn.LET(_xlpm.e,E599,_xlpm.f,F599,_xlpm.h,H599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0.36170135808221682</v>
      </c>
      <c r="M599" s="15" cm="1">
        <f t="array" ref="M599">IFERROR(_xlfn.LET(_xlpm.e,E599,_xlpm.f,F599,_xlpm.h,H599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32.6</v>
      </c>
      <c r="N599" s="15" cm="1">
        <f t="array" ref="N599">IFERROR(_xlfn.LET(_xlpm.e,E599,_xlpm.f,F599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599" s="15" t="str">
        <f t="shared" si="83"/>
        <v>28 days (aerospace QMS) → 30 days</v>
      </c>
      <c r="P599" s="34" cm="1">
        <f t="array" ref="P599">IFERROR(_xlfn.LET(_xlpm.g,G599,_xlpm.f,F599,_xlpm.h,H599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-7.142831632744169E-2</v>
      </c>
      <c r="Q599" s="15" t="str" cm="1">
        <f t="array" ref="Q599">IFERROR(_xlfn.LET(_xlpm.e,E599,_xlpm.g,G599,_xlpm.h,H599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599" s="15" t="str">
        <f t="shared" si="84"/>
        <v>🔴 Lagging</v>
      </c>
      <c r="S599" s="35" cm="1">
        <f t="array" ref="S599">IFERROR(_xlfn.LET(_xlpm.e,E599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47</v>
      </c>
      <c r="T599" s="36">
        <f t="shared" si="85"/>
        <v>36.17013580822168</v>
      </c>
      <c r="U599" s="15">
        <f t="shared" si="86"/>
        <v>349</v>
      </c>
      <c r="V599" s="16">
        <f t="shared" si="87"/>
        <v>2373.4074501969139</v>
      </c>
      <c r="W599" s="16">
        <f t="shared" si="88"/>
        <v>5902.3130429389867</v>
      </c>
      <c r="X599" s="37">
        <f t="shared" si="89"/>
        <v>37</v>
      </c>
      <c r="Y599" s="15" t="str">
        <f t="shared" si="90"/>
        <v>⚠️ High</v>
      </c>
    </row>
    <row r="600" spans="1:25" x14ac:dyDescent="0.2">
      <c r="A600" t="str">
        <f>'5. KPI Baselines'!A585</f>
        <v>Unisyn Precision</v>
      </c>
      <c r="B600" t="str">
        <f>'5. KPI Baselines'!B585</f>
        <v>Production Planning</v>
      </c>
      <c r="C600" t="str">
        <f>'5. KPI Baselines'!C585</f>
        <v>Scheduling</v>
      </c>
      <c r="D600" t="str">
        <f>'5. KPI Baselines'!D585</f>
        <v>On-Time Delivery Rate</v>
      </c>
      <c r="E600" t="str">
        <f>'5. KPI Baselines'!E585</f>
        <v>87%</v>
      </c>
      <c r="F600" t="str">
        <f>'5. KPI Baselines'!F585</f>
        <v>92%</v>
      </c>
      <c r="G600" t="str">
        <f>'5. KPI Baselines'!G585</f>
        <v>94% (aerospace tier-1 suppliers)</v>
      </c>
      <c r="H600" t="str">
        <f>'5. KPI Baselines'!H585</f>
        <v>↑</v>
      </c>
      <c r="I600" t="str">
        <f>'5. KPI Baselines'!I585</f>
        <v>18 months</v>
      </c>
      <c r="J600" t="str">
        <f>'5. KPI Baselines'!J585</f>
        <v>Percentage of orders delivered within customer-specified window</v>
      </c>
      <c r="K600" s="15" t="str">
        <f t="shared" si="82"/>
        <v>92% - 87%</v>
      </c>
      <c r="L600" s="34" cm="1">
        <f t="array" ref="L600">IFERROR(_xlfn.LET(_xlpm.e,E600,_xlpm.f,F600,_xlpm.h,H600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5.7471198308967457E-2</v>
      </c>
      <c r="M600" s="15" cm="1">
        <f t="array" ref="M600">IFERROR(_xlfn.LET(_xlpm.e,E600,_xlpm.f,F600,_xlpm.h,H600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91.3</v>
      </c>
      <c r="N600" s="15" cm="1">
        <f t="array" ref="N600">IFERROR(_xlfn.LET(_xlpm.e,E600,_xlpm.f,F600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600" s="15" t="str">
        <f t="shared" si="83"/>
        <v>92% - 94% (aerospace tier-1 suppliers)</v>
      </c>
      <c r="P600" s="34" cm="1">
        <f t="array" ref="P600">IFERROR(_xlfn.LET(_xlpm.g,G600,_xlpm.f,F600,_xlpm.h,H600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-2.1276573110028604E-2</v>
      </c>
      <c r="Q600" s="15" t="str" cm="1">
        <f t="array" ref="Q600">IFERROR(_xlfn.LET(_xlpm.e,E600,_xlpm.g,G600,_xlpm.h,H600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00" s="15" t="str">
        <f t="shared" si="84"/>
        <v>🔴 Lagging</v>
      </c>
      <c r="S600" s="35" cm="1">
        <f t="array" ref="S600">IFERROR(_xlfn.LET(_xlpm.e,E600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600" s="36">
        <f t="shared" si="85"/>
        <v>5.7471198308967457</v>
      </c>
      <c r="U600" s="15">
        <f t="shared" si="86"/>
        <v>540</v>
      </c>
      <c r="V600" s="16">
        <f t="shared" si="87"/>
        <v>698.06169763023263</v>
      </c>
      <c r="W600" s="16">
        <f t="shared" si="88"/>
        <v>1735.9761225815716</v>
      </c>
      <c r="X600" s="37">
        <f t="shared" si="89"/>
        <v>124</v>
      </c>
      <c r="Y600" s="15" t="str">
        <f t="shared" si="90"/>
        <v>📉 Low</v>
      </c>
    </row>
    <row r="601" spans="1:25" x14ac:dyDescent="0.2">
      <c r="A601" t="str">
        <f>'5. KPI Baselines'!A586</f>
        <v>Unisyn Precision</v>
      </c>
      <c r="B601" t="str">
        <f>'5. KPI Baselines'!B586</f>
        <v>Supplier Quality</v>
      </c>
      <c r="C601" t="str">
        <f>'5. KPI Baselines'!C586</f>
        <v>Incoming Inspection</v>
      </c>
      <c r="D601" t="str">
        <f>'5. KPI Baselines'!D586</f>
        <v>Supplier Defect Rate</v>
      </c>
      <c r="E601" t="str">
        <f>'5. KPI Baselines'!E586</f>
        <v>2,340 PPM</v>
      </c>
      <c r="F601" t="str">
        <f>'5. KPI Baselines'!F586</f>
        <v>1,400 PPM</v>
      </c>
      <c r="G601" t="str">
        <f>'5. KPI Baselines'!G586</f>
        <v>850 PPM (aerospace supply chain)</v>
      </c>
      <c r="H601" t="str">
        <f>'5. KPI Baselines'!H586</f>
        <v>↓</v>
      </c>
      <c r="I601" t="str">
        <f>'5. KPI Baselines'!I586</f>
        <v>24 months</v>
      </c>
      <c r="J601" t="str">
        <f>'5. KPI Baselines'!J586</f>
        <v>Defective parts per million received across all suppliers</v>
      </c>
      <c r="K601" s="15" t="str">
        <f t="shared" si="82"/>
        <v>2,340 PPM → 1,400 PPM</v>
      </c>
      <c r="L601" s="34" t="str" cm="1">
        <f t="array" ref="L601">IFERROR(_xlfn.LET(_xlpm.e,E601,_xlpm.f,F601,_xlpm.h,H601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01" s="15" t="str" cm="1">
        <f t="array" ref="M601">IFERROR(_xlfn.LET(_xlpm.e,E601,_xlpm.f,F601,_xlpm.h,H601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01" s="15" t="str" cm="1">
        <f t="array" ref="N601">IFERROR(_xlfn.LET(_xlpm.e,E601,_xlpm.f,F601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01" s="15" t="str">
        <f t="shared" si="83"/>
        <v>850 PPM (aerospace supply chain) → 1,400 PPM</v>
      </c>
      <c r="P601" s="34" t="str" cm="1">
        <f t="array" ref="P601">IFERROR(_xlfn.LET(_xlpm.g,G601,_xlpm.f,F601,_xlpm.h,H601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01" s="15" t="str" cm="1">
        <f t="array" ref="Q601">IFERROR(_xlfn.LET(_xlpm.e,E601,_xlpm.g,G601,_xlpm.h,H601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1" s="15" t="str">
        <f t="shared" si="84"/>
        <v>⚪ N/A</v>
      </c>
      <c r="S601" s="35" cm="1">
        <f t="array" ref="S601">IFERROR(_xlfn.LET(_xlpm.e,E601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01" s="36">
        <f t="shared" si="85"/>
        <v>0</v>
      </c>
      <c r="U601" s="15">
        <f t="shared" si="86"/>
        <v>554</v>
      </c>
      <c r="V601" s="16">
        <f t="shared" si="87"/>
        <v>0</v>
      </c>
      <c r="W601" s="16">
        <f t="shared" si="88"/>
        <v>0</v>
      </c>
      <c r="X601" s="37" t="str">
        <f t="shared" si="89"/>
        <v>-</v>
      </c>
      <c r="Y601" s="15" t="str">
        <f t="shared" si="90"/>
        <v>📉 Low</v>
      </c>
    </row>
    <row r="602" spans="1:25" x14ac:dyDescent="0.2">
      <c r="A602" t="str">
        <f>'5. KPI Baselines'!A587</f>
        <v>Unisyn Precision</v>
      </c>
      <c r="B602" t="str">
        <f>'5. KPI Baselines'!B587</f>
        <v>Knowledge Management</v>
      </c>
      <c r="C602" t="str">
        <f>'5. KPI Baselines'!C587</f>
        <v>Tribal Knowledge Capture</v>
      </c>
      <c r="D602" t="str">
        <f>'5. KPI Baselines'!D587</f>
        <v>Process Documentation Coverage</v>
      </c>
      <c r="E602" t="str">
        <f>'5. KPI Baselines'!E587</f>
        <v>58% of critical processes documented</v>
      </c>
      <c r="F602" t="str">
        <f>'5. KPI Baselines'!F587</f>
        <v>78%</v>
      </c>
      <c r="G602" t="str">
        <f>'5. KPI Baselines'!G587</f>
        <v>85% (manufacturing best practice)</v>
      </c>
      <c r="H602" t="str">
        <f>'5. KPI Baselines'!H587</f>
        <v>↑</v>
      </c>
      <c r="I602" t="str">
        <f>'5. KPI Baselines'!I587</f>
        <v>24 months</v>
      </c>
      <c r="J602" t="str">
        <f>'5. KPI Baselines'!J587</f>
        <v>Percentage of identified critical processes with current documentation</v>
      </c>
      <c r="K602" s="15" t="str">
        <f t="shared" si="82"/>
        <v>78% - 58% of critical processes documented</v>
      </c>
      <c r="L602" s="34" t="str" cm="1">
        <f t="array" ref="L602">IFERROR(_xlfn.LET(_xlpm.e,E602,_xlpm.f,F602,_xlpm.h,H602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02" s="15" t="str" cm="1">
        <f t="array" ref="M602">IFERROR(_xlfn.LET(_xlpm.e,E602,_xlpm.f,F602,_xlpm.h,H602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02" s="15" t="str" cm="1">
        <f t="array" ref="N602">IFERROR(_xlfn.LET(_xlpm.e,E602,_xlpm.f,F602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02" s="15" t="str">
        <f t="shared" si="83"/>
        <v>78% - 85% (manufacturing best practice)</v>
      </c>
      <c r="P602" s="34" cm="1">
        <f t="array" ref="P602">IFERROR(_xlfn.LET(_xlpm.g,G602,_xlpm.f,F602,_xlpm.h,H602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-8.2352844290771415E-2</v>
      </c>
      <c r="Q602" s="15" t="str" cm="1">
        <f t="array" ref="Q602">IFERROR(_xlfn.LET(_xlpm.e,E602,_xlpm.g,G602,_xlpm.h,H602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2" s="15" t="str">
        <f t="shared" si="84"/>
        <v>⚪ N/A</v>
      </c>
      <c r="S602" s="35" cm="1">
        <f t="array" ref="S602">IFERROR(_xlfn.LET(_xlpm.e,E602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02" s="36">
        <f t="shared" si="85"/>
        <v>0</v>
      </c>
      <c r="U602" s="15">
        <f t="shared" si="86"/>
        <v>554</v>
      </c>
      <c r="V602" s="16">
        <f t="shared" si="87"/>
        <v>0</v>
      </c>
      <c r="W602" s="16">
        <f t="shared" si="88"/>
        <v>0</v>
      </c>
      <c r="X602" s="37" t="str">
        <f t="shared" si="89"/>
        <v>-</v>
      </c>
      <c r="Y602" s="15" t="str">
        <f t="shared" si="90"/>
        <v>📉 Low</v>
      </c>
    </row>
    <row r="603" spans="1:25" x14ac:dyDescent="0.2">
      <c r="A603" t="str">
        <f>'5. KPI Baselines'!A588</f>
        <v>Verdesian Life Sciences</v>
      </c>
      <c r="B603" t="str">
        <f>'5. KPI Baselines'!B588</f>
        <v>Regulatory Affairs</v>
      </c>
      <c r="C603" t="str">
        <f>'5. KPI Baselines'!C588</f>
        <v>Product Registration</v>
      </c>
      <c r="D603" t="str">
        <f>'5. KPI Baselines'!D588</f>
        <v>Registration Cycle Time</v>
      </c>
      <c r="E603" t="str">
        <f>'5. KPI Baselines'!E588</f>
        <v>45 days</v>
      </c>
      <c r="F603" t="str">
        <f>'5. KPI Baselines'!F588</f>
        <v>28 days</v>
      </c>
      <c r="G603" t="str">
        <f>'5. KPI Baselines'!G588</f>
        <v>32 days</v>
      </c>
      <c r="H603" t="str">
        <f>'5. KPI Baselines'!H588</f>
        <v>↓</v>
      </c>
      <c r="I603" t="str">
        <f>'5. KPI Baselines'!I588</f>
        <v>12 months</v>
      </c>
      <c r="J603" t="str">
        <f>'5. KPI Baselines'!J588</f>
        <v>Average days from dossier submission to approval across all jurisdictions</v>
      </c>
      <c r="K603" s="15" t="str">
        <f t="shared" si="82"/>
        <v>45 days → 28 days</v>
      </c>
      <c r="L603" s="34" cm="1">
        <f t="array" ref="L603">IFERROR(_xlfn.LET(_xlpm.e,E603,_xlpm.f,F603,_xlpm.h,H603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0.37777693827347048</v>
      </c>
      <c r="M603" s="15" cm="1">
        <f t="array" ref="M603">IFERROR(_xlfn.LET(_xlpm.e,E603,_xlpm.f,F603,_xlpm.h,H603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30.6</v>
      </c>
      <c r="N603" s="15" cm="1">
        <f t="array" ref="N603">IFERROR(_xlfn.LET(_xlpm.e,E603,_xlpm.f,F603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13.01</v>
      </c>
      <c r="O603" s="15" t="str">
        <f t="shared" si="83"/>
        <v>32 days → 28 days</v>
      </c>
      <c r="P603" s="34" cm="1">
        <f t="array" ref="P603">IFERROR(_xlfn.LET(_xlpm.g,G603,_xlpm.f,F603,_xlpm.h,H603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0.12499960937622069</v>
      </c>
      <c r="Q603" s="15" t="str" cm="1">
        <f t="array" ref="Q603">IFERROR(_xlfn.LET(_xlpm.e,E603,_xlpm.g,G603,_xlpm.h,H603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03" s="15" t="str">
        <f t="shared" si="84"/>
        <v>🔴 Lagging</v>
      </c>
      <c r="S603" s="35" cm="1">
        <f t="array" ref="S603">IFERROR(_xlfn.LET(_xlpm.e,E603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603" s="36">
        <f t="shared" si="85"/>
        <v>37.777693827347051</v>
      </c>
      <c r="U603" s="15">
        <f t="shared" si="86"/>
        <v>325</v>
      </c>
      <c r="V603" s="16">
        <f t="shared" si="87"/>
        <v>2373.4072257617199</v>
      </c>
      <c r="W603" s="16">
        <f t="shared" si="88"/>
        <v>5902.3124848018779</v>
      </c>
      <c r="X603" s="37">
        <f t="shared" si="89"/>
        <v>37</v>
      </c>
      <c r="Y603" s="15" t="str">
        <f t="shared" si="90"/>
        <v>⚠️ High</v>
      </c>
    </row>
    <row r="604" spans="1:25" x14ac:dyDescent="0.2">
      <c r="A604" t="str">
        <f>'5. KPI Baselines'!A589</f>
        <v>Verdesian Life Sciences</v>
      </c>
      <c r="B604" t="str">
        <f>'5. KPI Baselines'!B589</f>
        <v>Regulatory Affairs</v>
      </c>
      <c r="C604" t="str">
        <f>'5. KPI Baselines'!C589</f>
        <v>Safety Documentation</v>
      </c>
      <c r="D604" t="str">
        <f>'5. KPI Baselines'!D589</f>
        <v>SDS Update Hours</v>
      </c>
      <c r="E604" t="str">
        <f>'5. KPI Baselines'!E589</f>
        <v>18,500 hours/year</v>
      </c>
      <c r="F604" t="str">
        <f>'5. KPI Baselines'!F589</f>
        <v>11,500 hours/year</v>
      </c>
      <c r="G604" t="str">
        <f>'5. KPI Baselines'!G589</f>
        <v>12,800 hours/year</v>
      </c>
      <c r="H604" t="str">
        <f>'5. KPI Baselines'!H589</f>
        <v>↓</v>
      </c>
      <c r="I604" t="str">
        <f>'5. KPI Baselines'!I589</f>
        <v>18 months</v>
      </c>
      <c r="J604" t="str">
        <f>'5. KPI Baselines'!J589</f>
        <v>Total labor hours on safety data sheet creation and updates</v>
      </c>
      <c r="K604" s="15" t="str">
        <f t="shared" si="82"/>
        <v>18,500 hours/year → 11,500 hours/year</v>
      </c>
      <c r="L604" s="34" t="str" cm="1">
        <f t="array" ref="L604">IFERROR(_xlfn.LET(_xlpm.e,E604,_xlpm.f,F604,_xlpm.h,H604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04" s="15" t="str" cm="1">
        <f t="array" ref="M604">IFERROR(_xlfn.LET(_xlpm.e,E604,_xlpm.f,F604,_xlpm.h,H604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04" s="15" t="str" cm="1">
        <f t="array" ref="N604">IFERROR(_xlfn.LET(_xlpm.e,E604,_xlpm.f,F604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04" s="15" t="str">
        <f t="shared" si="83"/>
        <v>12,800 hours/year → 11,500 hours/year</v>
      </c>
      <c r="P604" s="34" t="str" cm="1">
        <f t="array" ref="P604">IFERROR(_xlfn.LET(_xlpm.g,G604,_xlpm.f,F604,_xlpm.h,H604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04" s="15" t="str" cm="1">
        <f t="array" ref="Q604">IFERROR(_xlfn.LET(_xlpm.e,E604,_xlpm.g,G604,_xlpm.h,H604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4" s="15" t="str">
        <f t="shared" si="84"/>
        <v>⚪ N/A</v>
      </c>
      <c r="S604" s="35" cm="1">
        <f t="array" ref="S604">IFERROR(_xlfn.LET(_xlpm.e,E604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04" s="36">
        <f t="shared" si="85"/>
        <v>0</v>
      </c>
      <c r="U604" s="15">
        <f t="shared" si="86"/>
        <v>554</v>
      </c>
      <c r="V604" s="16">
        <f t="shared" si="87"/>
        <v>0</v>
      </c>
      <c r="W604" s="16">
        <f t="shared" si="88"/>
        <v>0</v>
      </c>
      <c r="X604" s="37" t="str">
        <f t="shared" si="89"/>
        <v>-</v>
      </c>
      <c r="Y604" s="15" t="str">
        <f t="shared" si="90"/>
        <v>📉 Low</v>
      </c>
    </row>
    <row r="605" spans="1:25" x14ac:dyDescent="0.2">
      <c r="A605" t="str">
        <f>'5. KPI Baselines'!A590</f>
        <v>Verdesian Life Sciences</v>
      </c>
      <c r="B605" t="str">
        <f>'5. KPI Baselines'!B590</f>
        <v>Field Sales</v>
      </c>
      <c r="C605" t="str">
        <f>'5. KPI Baselines'!C590</f>
        <v>Agronomic Support</v>
      </c>
      <c r="D605" t="str">
        <f>'5. KPI Baselines'!D590</f>
        <v>Grower Relationships per Agronomist</v>
      </c>
      <c r="E605" t="str">
        <f>'5. KPI Baselines'!E590</f>
        <v>180 relationships</v>
      </c>
      <c r="F605" t="str">
        <f>'5. KPI Baselines'!F590</f>
        <v>245 relationships</v>
      </c>
      <c r="G605" t="str">
        <f>'5. KPI Baselines'!G590</f>
        <v>280 relationships</v>
      </c>
      <c r="H605" t="str">
        <f>'5. KPI Baselines'!H590</f>
        <v>↑</v>
      </c>
      <c r="I605" t="str">
        <f>'5. KPI Baselines'!I590</f>
        <v>24 months</v>
      </c>
      <c r="J605" t="str">
        <f>'5. KPI Baselines'!J590</f>
        <v>Active grower accounts per field agronomist FTE</v>
      </c>
      <c r="K605" s="15" t="str">
        <f t="shared" si="82"/>
        <v>245 relationships - 180 relationships</v>
      </c>
      <c r="L605" s="34" t="str" cm="1">
        <f t="array" ref="L605">IFERROR(_xlfn.LET(_xlpm.e,E605,_xlpm.f,F605,_xlpm.h,H605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05" s="15" t="str" cm="1">
        <f t="array" ref="M605">IFERROR(_xlfn.LET(_xlpm.e,E605,_xlpm.f,F605,_xlpm.h,H605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05" s="15" t="str" cm="1">
        <f t="array" ref="N605">IFERROR(_xlfn.LET(_xlpm.e,E605,_xlpm.f,F605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05" s="15" t="str">
        <f t="shared" si="83"/>
        <v>245 relationships - 280 relationships</v>
      </c>
      <c r="P605" s="34" t="str" cm="1">
        <f t="array" ref="P605">IFERROR(_xlfn.LET(_xlpm.g,G605,_xlpm.f,F605,_xlpm.h,H605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05" s="15" t="str" cm="1">
        <f t="array" ref="Q605">IFERROR(_xlfn.LET(_xlpm.e,E605,_xlpm.g,G605,_xlpm.h,H605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5" s="15" t="str">
        <f t="shared" si="84"/>
        <v>⚪ N/A</v>
      </c>
      <c r="S605" s="35" cm="1">
        <f t="array" ref="S605">IFERROR(_xlfn.LET(_xlpm.e,E605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05" s="36">
        <f t="shared" si="85"/>
        <v>0</v>
      </c>
      <c r="U605" s="15">
        <f t="shared" si="86"/>
        <v>554</v>
      </c>
      <c r="V605" s="16">
        <f t="shared" si="87"/>
        <v>0</v>
      </c>
      <c r="W605" s="16">
        <f t="shared" si="88"/>
        <v>0</v>
      </c>
      <c r="X605" s="37" t="str">
        <f t="shared" si="89"/>
        <v>-</v>
      </c>
      <c r="Y605" s="15" t="str">
        <f t="shared" si="90"/>
        <v>📉 Low</v>
      </c>
    </row>
    <row r="606" spans="1:25" x14ac:dyDescent="0.2">
      <c r="A606" t="str">
        <f>'5. KPI Baselines'!A591</f>
        <v>Verdesian Life Sciences</v>
      </c>
      <c r="B606" t="str">
        <f>'5. KPI Baselines'!B591</f>
        <v>Field Sales</v>
      </c>
      <c r="C606" t="str">
        <f>'5. KPI Baselines'!C591</f>
        <v>Technical Inquiry Response</v>
      </c>
      <c r="D606" t="str">
        <f>'5. KPI Baselines'!D591</f>
        <v>Inquiry Resolution Time</v>
      </c>
      <c r="E606" t="str">
        <f>'5. KPI Baselines'!E591</f>
        <v>3.2 days</v>
      </c>
      <c r="F606" t="str">
        <f>'5. KPI Baselines'!F591</f>
        <v>1.5 days</v>
      </c>
      <c r="G606" t="str">
        <f>'5. KPI Baselines'!G591</f>
        <v>1.8 days</v>
      </c>
      <c r="H606" t="str">
        <f>'5. KPI Baselines'!H591</f>
        <v>↓</v>
      </c>
      <c r="I606" t="str">
        <f>'5. KPI Baselines'!I591</f>
        <v>12 months</v>
      </c>
      <c r="J606" t="str">
        <f>'5. KPI Baselines'!J591</f>
        <v>Average hours from grower question to agronomist response</v>
      </c>
      <c r="K606" s="15" t="str">
        <f t="shared" si="82"/>
        <v>3.2 days → 1.5 days</v>
      </c>
      <c r="L606" s="34" cm="1">
        <f t="array" ref="L606">IFERROR(_xlfn.LET(_xlpm.e,E606,_xlpm.f,F606,_xlpm.h,H606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0.53123339895628263</v>
      </c>
      <c r="M606" s="15" cm="1">
        <f t="array" ref="M606">IFERROR(_xlfn.LET(_xlpm.e,E606,_xlpm.f,F606,_xlpm.h,H606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1.8</v>
      </c>
      <c r="N606" s="15" cm="1">
        <f t="array" ref="N606">IFERROR(_xlfn.LET(_xlpm.e,E606,_xlpm.f,F606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</v>
      </c>
      <c r="O606" s="15" t="str">
        <f t="shared" si="83"/>
        <v>1.8 days → 1.5 days</v>
      </c>
      <c r="P606" s="34" cm="1">
        <f t="array" ref="P606">IFERROR(_xlfn.LET(_xlpm.g,G606,_xlpm.f,F606,_xlpm.h,H606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0.16665740792178216</v>
      </c>
      <c r="Q606" s="15" t="str" cm="1">
        <f t="array" ref="Q606">IFERROR(_xlfn.LET(_xlpm.e,E606,_xlpm.g,G606,_xlpm.h,H606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06" s="15" t="str">
        <f t="shared" si="84"/>
        <v>🔴 Lagging</v>
      </c>
      <c r="S606" s="35" cm="1">
        <f t="array" ref="S606">IFERROR(_xlfn.LET(_xlpm.e,E606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606" s="36">
        <f t="shared" si="85"/>
        <v>53.123339895628263</v>
      </c>
      <c r="U606" s="15">
        <f t="shared" si="86"/>
        <v>203</v>
      </c>
      <c r="V606" s="16">
        <f t="shared" si="87"/>
        <v>237.33383331770881</v>
      </c>
      <c r="W606" s="16">
        <f t="shared" si="88"/>
        <v>590.21411591406229</v>
      </c>
      <c r="X606" s="37">
        <f t="shared" si="89"/>
        <v>358</v>
      </c>
      <c r="Y606" s="15" t="str">
        <f t="shared" si="90"/>
        <v>🔥 Critical</v>
      </c>
    </row>
    <row r="607" spans="1:25" x14ac:dyDescent="0.2">
      <c r="A607" t="str">
        <f>'5. KPI Baselines'!A592</f>
        <v>Verdesian Life Sciences</v>
      </c>
      <c r="B607" t="str">
        <f>'5. KPI Baselines'!B592</f>
        <v>Manufacturing</v>
      </c>
      <c r="C607" t="str">
        <f>'5. KPI Baselines'!C592</f>
        <v>Quality Assurance</v>
      </c>
      <c r="D607" t="str">
        <f>'5. KPI Baselines'!D592</f>
        <v>Batch Release Cycle Time</v>
      </c>
      <c r="E607" t="str">
        <f>'5. KPI Baselines'!E592</f>
        <v>12 days</v>
      </c>
      <c r="F607" t="str">
        <f>'5. KPI Baselines'!F592</f>
        <v>8 days</v>
      </c>
      <c r="G607" t="str">
        <f>'5. KPI Baselines'!G592</f>
        <v>8 days</v>
      </c>
      <c r="H607" t="str">
        <f>'5. KPI Baselines'!H592</f>
        <v>↓</v>
      </c>
      <c r="I607" t="str">
        <f>'5. KPI Baselines'!I592</f>
        <v>18 months</v>
      </c>
      <c r="J607" t="str">
        <f>'5. KPI Baselines'!J592</f>
        <v>Average days from production completion to quality release</v>
      </c>
      <c r="K607" s="15" t="str">
        <f t="shared" si="82"/>
        <v>12 days → 8 days</v>
      </c>
      <c r="L607" s="34" cm="1">
        <f t="array" ref="L607">IFERROR(_xlfn.LET(_xlpm.e,E607,_xlpm.f,F607,_xlpm.h,H607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0.3333305555787035</v>
      </c>
      <c r="M607" s="15" cm="1">
        <f t="array" ref="M607">IFERROR(_xlfn.LET(_xlpm.e,E607,_xlpm.f,F607,_xlpm.h,H607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8.6</v>
      </c>
      <c r="N607" s="15" cm="1">
        <f t="array" ref="N607">IFERROR(_xlfn.LET(_xlpm.e,E607,_xlpm.f,F607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607" s="15" t="str">
        <f t="shared" si="83"/>
        <v>8 days → 8 days</v>
      </c>
      <c r="P607" s="34" cm="1">
        <f t="array" ref="P607">IFERROR(_xlfn.LET(_xlpm.g,G607,_xlpm.f,F607,_xlpm.h,H607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07" s="15" t="str" cm="1">
        <f t="array" ref="Q607">IFERROR(_xlfn.LET(_xlpm.e,E607,_xlpm.g,G607,_xlpm.h,H607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07" s="15" t="str">
        <f t="shared" si="84"/>
        <v>🔴 Lagging</v>
      </c>
      <c r="S607" s="35" cm="1">
        <f t="array" ref="S607">IFERROR(_xlfn.LET(_xlpm.e,E607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607" s="36">
        <f t="shared" si="85"/>
        <v>33.333055557870352</v>
      </c>
      <c r="U607" s="15">
        <f t="shared" si="86"/>
        <v>369</v>
      </c>
      <c r="V607" s="16">
        <f t="shared" si="87"/>
        <v>558.44534628878091</v>
      </c>
      <c r="W607" s="16">
        <f t="shared" si="88"/>
        <v>1388.7709212741295</v>
      </c>
      <c r="X607" s="37">
        <f t="shared" si="89"/>
        <v>155</v>
      </c>
      <c r="Y607" s="15" t="str">
        <f t="shared" si="90"/>
        <v>⚠️ High</v>
      </c>
    </row>
    <row r="608" spans="1:25" x14ac:dyDescent="0.2">
      <c r="A608" t="str">
        <f>'5. KPI Baselines'!A593</f>
        <v>Verdesian Life Sciences</v>
      </c>
      <c r="B608" t="str">
        <f>'5. KPI Baselines'!B593</f>
        <v>Manufacturing</v>
      </c>
      <c r="C608" t="str">
        <f>'5. KPI Baselines'!C593</f>
        <v>Quality Documentation</v>
      </c>
      <c r="D608" t="str">
        <f>'5. KPI Baselines'!D593</f>
        <v>QA Documentation Hours</v>
      </c>
      <c r="E608" t="str">
        <f>'5. KPI Baselines'!E593</f>
        <v>14,200 hours/year</v>
      </c>
      <c r="F608" t="str">
        <f>'5. KPI Baselines'!F593</f>
        <v>9,200 hours/year</v>
      </c>
      <c r="G608" t="str">
        <f>'5. KPI Baselines'!G593</f>
        <v>9,800 hours/year</v>
      </c>
      <c r="H608" t="str">
        <f>'5. KPI Baselines'!H593</f>
        <v>↓</v>
      </c>
      <c r="I608" t="str">
        <f>'5. KPI Baselines'!I593</f>
        <v>18 months</v>
      </c>
      <c r="J608" t="str">
        <f>'5. KPI Baselines'!J593</f>
        <v>Total labor hours on batch records, COAs, and specification verification</v>
      </c>
      <c r="K608" s="15" t="str">
        <f t="shared" si="82"/>
        <v>14,200 hours/year → 9,200 hours/year</v>
      </c>
      <c r="L608" s="34" t="str" cm="1">
        <f t="array" ref="L608">IFERROR(_xlfn.LET(_xlpm.e,E608,_xlpm.f,F608,_xlpm.h,H608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08" s="15" t="str" cm="1">
        <f t="array" ref="M608">IFERROR(_xlfn.LET(_xlpm.e,E608,_xlpm.f,F608,_xlpm.h,H608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08" s="15" t="str" cm="1">
        <f t="array" ref="N608">IFERROR(_xlfn.LET(_xlpm.e,E608,_xlpm.f,F608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08" s="15" t="str">
        <f t="shared" si="83"/>
        <v>9,800 hours/year → 9,200 hours/year</v>
      </c>
      <c r="P608" s="34" t="str" cm="1">
        <f t="array" ref="P608">IFERROR(_xlfn.LET(_xlpm.g,G608,_xlpm.f,F608,_xlpm.h,H608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08" s="15" t="str" cm="1">
        <f t="array" ref="Q608">IFERROR(_xlfn.LET(_xlpm.e,E608,_xlpm.g,G608,_xlpm.h,H608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08" s="15" t="str">
        <f t="shared" si="84"/>
        <v>⚪ N/A</v>
      </c>
      <c r="S608" s="35" cm="1">
        <f t="array" ref="S608">IFERROR(_xlfn.LET(_xlpm.e,E608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08" s="36">
        <f t="shared" si="85"/>
        <v>0</v>
      </c>
      <c r="U608" s="15">
        <f t="shared" si="86"/>
        <v>554</v>
      </c>
      <c r="V608" s="16">
        <f t="shared" si="87"/>
        <v>0</v>
      </c>
      <c r="W608" s="16">
        <f t="shared" si="88"/>
        <v>0</v>
      </c>
      <c r="X608" s="37" t="str">
        <f t="shared" si="89"/>
        <v>-</v>
      </c>
      <c r="Y608" s="15" t="str">
        <f t="shared" si="90"/>
        <v>📉 Low</v>
      </c>
    </row>
    <row r="609" spans="1:25" x14ac:dyDescent="0.2">
      <c r="A609" t="str">
        <f>'5. KPI Baselines'!A594</f>
        <v>Verdesian Life Sciences</v>
      </c>
      <c r="B609" t="str">
        <f>'5. KPI Baselines'!B594</f>
        <v>Supply Chain</v>
      </c>
      <c r="C609" t="str">
        <f>'5. KPI Baselines'!C594</f>
        <v>Demand Planning</v>
      </c>
      <c r="D609" t="str">
        <f>'5. KPI Baselines'!D594</f>
        <v>Forecast Accuracy</v>
      </c>
      <c r="E609" t="str">
        <f>'5. KPI Baselines'!E594</f>
        <v>74%</v>
      </c>
      <c r="F609" t="str">
        <f>'5. KPI Baselines'!F594</f>
        <v>84%</v>
      </c>
      <c r="G609" t="str">
        <f>'5. KPI Baselines'!G594</f>
        <v>82%</v>
      </c>
      <c r="H609" t="str">
        <f>'5. KPI Baselines'!H594</f>
        <v>↑</v>
      </c>
      <c r="I609" t="str">
        <f>'5. KPI Baselines'!I594</f>
        <v>12 months</v>
      </c>
      <c r="J609" t="str">
        <f>'5. KPI Baselines'!J594</f>
        <v>Percentage within 10% of actual demand at SKU level</v>
      </c>
      <c r="K609" s="15" t="str">
        <f t="shared" si="82"/>
        <v>84% - 74%</v>
      </c>
      <c r="L609" s="34" cm="1">
        <f t="array" ref="L609">IFERROR(_xlfn.LET(_xlpm.e,E609,_xlpm.f,F609,_xlpm.h,H609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0.13513495252033442</v>
      </c>
      <c r="M609" s="15" cm="1">
        <f t="array" ref="M609">IFERROR(_xlfn.LET(_xlpm.e,E609,_xlpm.f,F609,_xlpm.h,H609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82.5</v>
      </c>
      <c r="N609" s="15" cm="1">
        <f t="array" ref="N609">IFERROR(_xlfn.LET(_xlpm.e,E609,_xlpm.f,F609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609" s="15" t="str">
        <f t="shared" si="83"/>
        <v>84% - 82%</v>
      </c>
      <c r="P609" s="34" cm="1">
        <f t="array" ref="P609">IFERROR(_xlfn.LET(_xlpm.g,G609,_xlpm.f,F609,_xlpm.h,H609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2.4390214158275417E-2</v>
      </c>
      <c r="Q609" s="15" t="str" cm="1">
        <f t="array" ref="Q609">IFERROR(_xlfn.LET(_xlpm.e,E609,_xlpm.g,G609,_xlpm.h,H609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09" s="15" t="str">
        <f t="shared" si="84"/>
        <v>🔴 Lagging</v>
      </c>
      <c r="S609" s="35" cm="1">
        <f t="array" ref="S609">IFERROR(_xlfn.LET(_xlpm.e,E609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74</v>
      </c>
      <c r="T609" s="36">
        <f t="shared" si="85"/>
        <v>13.513495252033442</v>
      </c>
      <c r="U609" s="15">
        <f t="shared" si="86"/>
        <v>504</v>
      </c>
      <c r="V609" s="16">
        <f t="shared" si="87"/>
        <v>1396.123113347144</v>
      </c>
      <c r="W609" s="16">
        <f t="shared" si="88"/>
        <v>3471.9515440864393</v>
      </c>
      <c r="X609" s="37">
        <f t="shared" si="89"/>
        <v>62</v>
      </c>
      <c r="Y609" s="15" t="str">
        <f t="shared" si="90"/>
        <v>📊 Medium</v>
      </c>
    </row>
    <row r="610" spans="1:25" x14ac:dyDescent="0.2">
      <c r="A610" t="str">
        <f>'5. KPI Baselines'!A595</f>
        <v>Verdesian Life Sciences</v>
      </c>
      <c r="B610" t="str">
        <f>'5. KPI Baselines'!B595</f>
        <v>Supply Chain</v>
      </c>
      <c r="C610" t="str">
        <f>'5. KPI Baselines'!C595</f>
        <v>Inventory Management</v>
      </c>
      <c r="D610" t="str">
        <f>'5. KPI Baselines'!D595</f>
        <v>Days Inventory Outstanding</v>
      </c>
      <c r="E610" t="str">
        <f>'5. KPI Baselines'!E595</f>
        <v>68 days</v>
      </c>
      <c r="F610" t="str">
        <f>'5. KPI Baselines'!F595</f>
        <v>54 days</v>
      </c>
      <c r="G610" t="str">
        <f>'5. KPI Baselines'!G595</f>
        <v>56 days</v>
      </c>
      <c r="H610" t="str">
        <f>'5. KPI Baselines'!H595</f>
        <v>↓</v>
      </c>
      <c r="I610" t="str">
        <f>'5. KPI Baselines'!I595</f>
        <v>24 months</v>
      </c>
      <c r="J610" t="str">
        <f>'5. KPI Baselines'!J595</f>
        <v>Average inventory value divided by daily COGS</v>
      </c>
      <c r="K610" s="15" t="str">
        <f t="shared" si="82"/>
        <v>68 days → 54 days</v>
      </c>
      <c r="L610" s="34" cm="1">
        <f t="array" ref="L610">IFERROR(_xlfn.LET(_xlpm.e,E610,_xlpm.f,F610,_xlpm.h,H610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0.20588205017345562</v>
      </c>
      <c r="M610" s="15" cm="1">
        <f t="array" ref="M610">IFERROR(_xlfn.LET(_xlpm.e,E610,_xlpm.f,F610,_xlpm.h,H610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56.1</v>
      </c>
      <c r="N610" s="15" cm="1">
        <f t="array" ref="N610">IFERROR(_xlfn.LET(_xlpm.e,E610,_xlpm.f,F610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610" s="15" t="str">
        <f t="shared" si="83"/>
        <v>56 days → 54 days</v>
      </c>
      <c r="P610" s="34" cm="1">
        <f t="array" ref="P610">IFERROR(_xlfn.LET(_xlpm.g,G610,_xlpm.f,F610,_xlpm.h,H610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3.5714221938889394E-2</v>
      </c>
      <c r="Q610" s="15" t="str" cm="1">
        <f t="array" ref="Q610">IFERROR(_xlfn.LET(_xlpm.e,E610,_xlpm.g,G610,_xlpm.h,H610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10" s="15" t="str">
        <f t="shared" si="84"/>
        <v>🔴 Lagging</v>
      </c>
      <c r="S610" s="35" cm="1">
        <f t="array" ref="S610">IFERROR(_xlfn.LET(_xlpm.e,E610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68</v>
      </c>
      <c r="T610" s="36">
        <f t="shared" si="85"/>
        <v>20.588205017345562</v>
      </c>
      <c r="U610" s="15">
        <f t="shared" si="86"/>
        <v>462</v>
      </c>
      <c r="V610" s="16">
        <f t="shared" si="87"/>
        <v>1954.5721256292268</v>
      </c>
      <c r="W610" s="16">
        <f t="shared" si="88"/>
        <v>4860.7315821433103</v>
      </c>
      <c r="X610" s="37">
        <f t="shared" si="89"/>
        <v>45</v>
      </c>
      <c r="Y610" s="15" t="str">
        <f t="shared" si="90"/>
        <v>📊 Medium</v>
      </c>
    </row>
    <row r="611" spans="1:25" x14ac:dyDescent="0.2">
      <c r="A611" t="str">
        <f>'5. KPI Baselines'!A596</f>
        <v>Verdesian Life Sciences</v>
      </c>
      <c r="B611" t="str">
        <f>'5. KPI Baselines'!B596</f>
        <v>Research &amp; Development</v>
      </c>
      <c r="C611" t="str">
        <f>'5. KPI Baselines'!C596</f>
        <v>Literature Review</v>
      </c>
      <c r="D611" t="str">
        <f>'5. KPI Baselines'!D596</f>
        <v>Research Hours per Project</v>
      </c>
      <c r="E611" t="str">
        <f>'5. KPI Baselines'!E596</f>
        <v>320 hours</v>
      </c>
      <c r="F611" t="str">
        <f>'5. KPI Baselines'!F596</f>
        <v>175 hours</v>
      </c>
      <c r="G611" t="str">
        <f>'5. KPI Baselines'!G596</f>
        <v>185 hours</v>
      </c>
      <c r="H611" t="str">
        <f>'5. KPI Baselines'!H596</f>
        <v>↓</v>
      </c>
      <c r="I611" t="str">
        <f>'5. KPI Baselines'!I596</f>
        <v>12 months</v>
      </c>
      <c r="J611" t="str">
        <f>'5. KPI Baselines'!J596</f>
        <v>Total scientist hours on literature search and synthesis per formulation project</v>
      </c>
      <c r="K611" s="15" t="str">
        <f t="shared" si="82"/>
        <v>320 hours → 175 hours</v>
      </c>
      <c r="L611" s="34" cm="1">
        <f t="array" ref="L611">IFERROR(_xlfn.LET(_xlpm.e,E611,_xlpm.f,F611,_xlpm.h,H611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0.45312485839848177</v>
      </c>
      <c r="M611" s="15" cm="1">
        <f t="array" ref="M611">IFERROR(_xlfn.LET(_xlpm.e,E611,_xlpm.f,F611,_xlpm.h,H611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196.8</v>
      </c>
      <c r="N611" s="15" cm="1">
        <f t="array" ref="N611">IFERROR(_xlfn.LET(_xlpm.e,E611,_xlpm.f,F611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110.93</v>
      </c>
      <c r="O611" s="15" t="str">
        <f t="shared" si="83"/>
        <v>185 hours → 175 hours</v>
      </c>
      <c r="P611" s="34" cm="1">
        <f t="array" ref="P611">IFERROR(_xlfn.LET(_xlpm.g,G611,_xlpm.f,F611,_xlpm.h,H611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5.4054024835662247E-2</v>
      </c>
      <c r="Q611" s="15" t="str" cm="1">
        <f t="array" ref="Q611">IFERROR(_xlfn.LET(_xlpm.e,E611,_xlpm.g,G611,_xlpm.h,H611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11" s="15" t="str">
        <f t="shared" si="84"/>
        <v>🔴 Lagging</v>
      </c>
      <c r="S611" s="35" cm="1">
        <f t="array" ref="S611">IFERROR(_xlfn.LET(_xlpm.e,E611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320</v>
      </c>
      <c r="T611" s="36">
        <f t="shared" si="85"/>
        <v>45.312485839848179</v>
      </c>
      <c r="U611" s="15">
        <f t="shared" si="86"/>
        <v>264</v>
      </c>
      <c r="V611" s="16">
        <f t="shared" si="87"/>
        <v>20243.806173810568</v>
      </c>
      <c r="W611" s="16">
        <f t="shared" si="88"/>
        <v>50343.349688439543</v>
      </c>
      <c r="X611" s="37">
        <f t="shared" si="89"/>
        <v>4</v>
      </c>
      <c r="Y611" s="15" t="str">
        <f t="shared" si="90"/>
        <v>⚠️ High</v>
      </c>
    </row>
    <row r="612" spans="1:25" x14ac:dyDescent="0.2">
      <c r="A612" t="str">
        <f>'5. KPI Baselines'!A597</f>
        <v>Verdesian Life Sciences</v>
      </c>
      <c r="B612" t="str">
        <f>'5. KPI Baselines'!B597</f>
        <v>Customer Service</v>
      </c>
      <c r="C612" t="str">
        <f>'5. KPI Baselines'!C597</f>
        <v>Technical Support</v>
      </c>
      <c r="D612" t="str">
        <f>'5. KPI Baselines'!D597</f>
        <v>First Contact Resolution Rate</v>
      </c>
      <c r="E612" t="str">
        <f>'5. KPI Baselines'!E597</f>
        <v>58%</v>
      </c>
      <c r="F612" t="str">
        <f>'5. KPI Baselines'!F597</f>
        <v>76%</v>
      </c>
      <c r="G612" t="str">
        <f>'5. KPI Baselines'!G597</f>
        <v>72%</v>
      </c>
      <c r="H612" t="str">
        <f>'5. KPI Baselines'!H597</f>
        <v>↑</v>
      </c>
      <c r="I612" t="str">
        <f>'5. KPI Baselines'!I597</f>
        <v>12 months</v>
      </c>
      <c r="J612" t="str">
        <f>'5. KPI Baselines'!J597</f>
        <v>Percentage of technical inquiries resolved without escalation</v>
      </c>
      <c r="K612" s="15" t="str">
        <f t="shared" si="82"/>
        <v>76% - 58%</v>
      </c>
      <c r="L612" s="34" cm="1">
        <f t="array" ref="L612">IFERROR(_xlfn.LET(_xlpm.e,E612,_xlpm.f,F612,_xlpm.h,H612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0.31034429250984047</v>
      </c>
      <c r="M612" s="15" cm="1">
        <f t="array" ref="M612">IFERROR(_xlfn.LET(_xlpm.e,E612,_xlpm.f,F612,_xlpm.h,H612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73.3</v>
      </c>
      <c r="N612" s="15" cm="1">
        <f t="array" ref="N612">IFERROR(_xlfn.LET(_xlpm.e,E612,_xlpm.f,F612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612" s="15" t="str">
        <f t="shared" si="83"/>
        <v>76% - 72%</v>
      </c>
      <c r="P612" s="34" cm="1">
        <f t="array" ref="P612">IFERROR(_xlfn.LET(_xlpm.g,G612,_xlpm.f,F612,_xlpm.h,H612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5.5555478395168896E-2</v>
      </c>
      <c r="Q612" s="15" t="str" cm="1">
        <f t="array" ref="Q612">IFERROR(_xlfn.LET(_xlpm.e,E612,_xlpm.g,G612,_xlpm.h,H612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12" s="15" t="str">
        <f t="shared" si="84"/>
        <v>🔴 Lagging</v>
      </c>
      <c r="S612" s="35" cm="1">
        <f t="array" ref="S612">IFERROR(_xlfn.LET(_xlpm.e,E612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612" s="36">
        <f t="shared" si="85"/>
        <v>31.034429250984047</v>
      </c>
      <c r="U612" s="15">
        <f t="shared" si="86"/>
        <v>387</v>
      </c>
      <c r="V612" s="16">
        <f t="shared" si="87"/>
        <v>2513.0206672057457</v>
      </c>
      <c r="W612" s="16">
        <f t="shared" si="88"/>
        <v>6249.5104496251133</v>
      </c>
      <c r="X612" s="37">
        <f t="shared" si="89"/>
        <v>35</v>
      </c>
      <c r="Y612" s="15" t="str">
        <f t="shared" si="90"/>
        <v>⚠️ High</v>
      </c>
    </row>
    <row r="613" spans="1:25" x14ac:dyDescent="0.2">
      <c r="A613" t="str">
        <f>'5. KPI Baselines'!A598</f>
        <v>Verdesian Life Sciences</v>
      </c>
      <c r="B613" t="str">
        <f>'5. KPI Baselines'!B598</f>
        <v>Finance</v>
      </c>
      <c r="C613" t="str">
        <f>'5. KPI Baselines'!C598</f>
        <v>Accounts Receivable</v>
      </c>
      <c r="D613" t="str">
        <f>'5. KPI Baselines'!D598</f>
        <v>Days Sales Outstanding</v>
      </c>
      <c r="E613" t="str">
        <f>'5. KPI Baselines'!E598</f>
        <v>52 days</v>
      </c>
      <c r="F613" t="str">
        <f>'5. KPI Baselines'!F598</f>
        <v>46 days</v>
      </c>
      <c r="G613" t="str">
        <f>'5. KPI Baselines'!G598</f>
        <v>44 days</v>
      </c>
      <c r="H613" t="str">
        <f>'5. KPI Baselines'!H598</f>
        <v>↓</v>
      </c>
      <c r="I613" t="str">
        <f>'5. KPI Baselines'!I598</f>
        <v>18 months</v>
      </c>
      <c r="J613" t="str">
        <f>'5. KPI Baselines'!J598</f>
        <v>Average receivables balance divided by daily revenue</v>
      </c>
      <c r="K613" s="15" t="str">
        <f t="shared" si="82"/>
        <v>52 days → 46 days</v>
      </c>
      <c r="L613" s="34" cm="1">
        <f t="array" ref="L613">IFERROR(_xlfn.LET(_xlpm.e,E613,_xlpm.f,F613,_xlpm.h,H613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0.11538439349155097</v>
      </c>
      <c r="M613" s="15" cm="1">
        <f t="array" ref="M613">IFERROR(_xlfn.LET(_xlpm.e,E613,_xlpm.f,F613,_xlpm.h,H613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46.9</v>
      </c>
      <c r="N613" s="15" cm="1">
        <f t="array" ref="N613">IFERROR(_xlfn.LET(_xlpm.e,E613,_xlpm.f,F613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613" s="15" t="str">
        <f t="shared" si="83"/>
        <v>44 days → 46 days</v>
      </c>
      <c r="P613" s="34" cm="1">
        <f t="array" ref="P613">IFERROR(_xlfn.LET(_xlpm.g,G613,_xlpm.f,F613,_xlpm.h,H613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-4.5454442148995113E-2</v>
      </c>
      <c r="Q613" s="15" t="str" cm="1">
        <f t="array" ref="Q613">IFERROR(_xlfn.LET(_xlpm.e,E613,_xlpm.g,G613,_xlpm.h,H613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13" s="15" t="str">
        <f t="shared" si="84"/>
        <v>🔴 Lagging</v>
      </c>
      <c r="S613" s="35" cm="1">
        <f t="array" ref="S613">IFERROR(_xlfn.LET(_xlpm.e,E613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52</v>
      </c>
      <c r="T613" s="36">
        <f t="shared" si="85"/>
        <v>11.538439349155096</v>
      </c>
      <c r="U613" s="15">
        <f t="shared" si="86"/>
        <v>513</v>
      </c>
      <c r="V613" s="16">
        <f t="shared" si="87"/>
        <v>837.6733890896362</v>
      </c>
      <c r="W613" s="16">
        <f t="shared" si="88"/>
        <v>2083.1697354520647</v>
      </c>
      <c r="X613" s="37">
        <f t="shared" si="89"/>
        <v>104</v>
      </c>
      <c r="Y613" s="15" t="str">
        <f t="shared" si="90"/>
        <v>📊 Medium</v>
      </c>
    </row>
    <row r="614" spans="1:25" x14ac:dyDescent="0.2">
      <c r="A614" t="str">
        <f>'5. KPI Baselines'!A599</f>
        <v>Verdesian Life Sciences</v>
      </c>
      <c r="B614" t="str">
        <f>'5. KPI Baselines'!B599</f>
        <v>Human Resources</v>
      </c>
      <c r="C614" t="str">
        <f>'5. KPI Baselines'!C599</f>
        <v>Technical Recruiting</v>
      </c>
      <c r="D614" t="str">
        <f>'5. KPI Baselines'!D599</f>
        <v>Time to Fill Scientific Roles</v>
      </c>
      <c r="E614" t="str">
        <f>'5. KPI Baselines'!E599</f>
        <v>87 days</v>
      </c>
      <c r="F614" t="str">
        <f>'5. KPI Baselines'!F599</f>
        <v>58 days</v>
      </c>
      <c r="G614" t="str">
        <f>'5. KPI Baselines'!G599</f>
        <v>62 days</v>
      </c>
      <c r="H614" t="str">
        <f>'5. KPI Baselines'!H599</f>
        <v>↓</v>
      </c>
      <c r="I614" t="str">
        <f>'5. KPI Baselines'!I599</f>
        <v>18 months</v>
      </c>
      <c r="J614" t="str">
        <f>'5. KPI Baselines'!J599</f>
        <v>Average days from requisition approval to offer acceptance for R&amp;D and regulatory roles</v>
      </c>
      <c r="K614" s="15" t="str">
        <f t="shared" si="82"/>
        <v>87 days → 58 days</v>
      </c>
      <c r="L614" s="34" cm="1">
        <f t="array" ref="L614">IFERROR(_xlfn.LET(_xlpm.e,E614,_xlpm.f,F614,_xlpm.h,H614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0.33333295019201126</v>
      </c>
      <c r="M614" s="15" cm="1">
        <f t="array" ref="M614">IFERROR(_xlfn.LET(_xlpm.e,E614,_xlpm.f,F614,_xlpm.h,H614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62.4</v>
      </c>
      <c r="N614" s="15" cm="1">
        <f t="array" ref="N614">IFERROR(_xlfn.LET(_xlpm.e,E614,_xlpm.f,F614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22.19</v>
      </c>
      <c r="O614" s="15" t="str">
        <f t="shared" si="83"/>
        <v>62 days → 58 days</v>
      </c>
      <c r="P614" s="34" cm="1">
        <f t="array" ref="P614">IFERROR(_xlfn.LET(_xlpm.g,G614,_xlpm.f,F614,_xlpm.h,H614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6.4516024974153263E-2</v>
      </c>
      <c r="Q614" s="15" t="str" cm="1">
        <f t="array" ref="Q614">IFERROR(_xlfn.LET(_xlpm.e,E614,_xlpm.g,G614,_xlpm.h,H614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14" s="15" t="str">
        <f t="shared" si="84"/>
        <v>🔴 Lagging</v>
      </c>
      <c r="S614" s="35" cm="1">
        <f t="array" ref="S614">IFERROR(_xlfn.LET(_xlpm.e,E614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87</v>
      </c>
      <c r="T614" s="36">
        <f t="shared" si="85"/>
        <v>33.333295019201124</v>
      </c>
      <c r="U614" s="15">
        <f t="shared" si="86"/>
        <v>362</v>
      </c>
      <c r="V614" s="16">
        <f t="shared" si="87"/>
        <v>4048.7578462553488</v>
      </c>
      <c r="W614" s="16">
        <f t="shared" si="88"/>
        <v>10068.661510973116</v>
      </c>
      <c r="X614" s="37">
        <f t="shared" si="89"/>
        <v>22</v>
      </c>
      <c r="Y614" s="15" t="str">
        <f t="shared" si="90"/>
        <v>⚠️ High</v>
      </c>
    </row>
    <row r="615" spans="1:25" x14ac:dyDescent="0.2">
      <c r="A615" t="str">
        <f>'5. KPI Baselines'!A600</f>
        <v>Veseris</v>
      </c>
      <c r="B615" t="str">
        <f>'5. KPI Baselines'!B600</f>
        <v>Sales Operations</v>
      </c>
      <c r="C615" t="str">
        <f>'5. KPI Baselines'!C600</f>
        <v>Field Sales Support</v>
      </c>
      <c r="D615" t="str">
        <f>'5. KPI Baselines'!D600</f>
        <v>Hours per Rep on Product Research</v>
      </c>
      <c r="E615" t="str">
        <f>'5. KPI Baselines'!E600</f>
        <v>12 hours/week</v>
      </c>
      <c r="F615" t="str">
        <f>'5. KPI Baselines'!F600</f>
        <v>5 hours/week</v>
      </c>
      <c r="G615" t="str">
        <f>'5. KPI Baselines'!G600</f>
        <v>6 hours/week [ESTIMATED]</v>
      </c>
      <c r="H615" t="str">
        <f>'5. KPI Baselines'!H600</f>
        <v>↓</v>
      </c>
      <c r="I615" t="str">
        <f>'5. KPI Baselines'!I600</f>
        <v>18 months</v>
      </c>
      <c r="J615" t="str">
        <f>'5. KPI Baselines'!J600</f>
        <v>CRM activity tracking</v>
      </c>
      <c r="K615" s="15" t="str">
        <f t="shared" si="82"/>
        <v>12 hours/week → 5 hours/week</v>
      </c>
      <c r="L615" s="34" t="str" cm="1">
        <f t="array" ref="L615">IFERROR(_xlfn.LET(_xlpm.e,E615,_xlpm.f,F615,_xlpm.h,H615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15" s="15" t="str" cm="1">
        <f t="array" ref="M615">IFERROR(_xlfn.LET(_xlpm.e,E615,_xlpm.f,F615,_xlpm.h,H615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15" s="15" t="str" cm="1">
        <f t="array" ref="N615">IFERROR(_xlfn.LET(_xlpm.e,E615,_xlpm.f,F615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15" s="15" t="str">
        <f t="shared" si="83"/>
        <v>6 hours/week [ESTIMATED] → 5 hours/week</v>
      </c>
      <c r="P615" s="34" t="str" cm="1">
        <f t="array" ref="P615">IFERROR(_xlfn.LET(_xlpm.g,G615,_xlpm.f,F615,_xlpm.h,H615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15" s="15" t="str" cm="1">
        <f t="array" ref="Q615">IFERROR(_xlfn.LET(_xlpm.e,E615,_xlpm.g,G615,_xlpm.h,H615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15" s="15" t="str">
        <f t="shared" si="84"/>
        <v>⚪ N/A</v>
      </c>
      <c r="S615" s="35" cm="1">
        <f t="array" ref="S615">IFERROR(_xlfn.LET(_xlpm.e,E615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15" s="36">
        <f t="shared" si="85"/>
        <v>0</v>
      </c>
      <c r="U615" s="15">
        <f t="shared" si="86"/>
        <v>554</v>
      </c>
      <c r="V615" s="16">
        <f t="shared" si="87"/>
        <v>0</v>
      </c>
      <c r="W615" s="16">
        <f t="shared" si="88"/>
        <v>0</v>
      </c>
      <c r="X615" s="37" t="str">
        <f t="shared" si="89"/>
        <v>-</v>
      </c>
      <c r="Y615" s="15" t="str">
        <f t="shared" si="90"/>
        <v>📉 Low</v>
      </c>
    </row>
    <row r="616" spans="1:25" x14ac:dyDescent="0.2">
      <c r="A616" t="str">
        <f>'5. KPI Baselines'!A601</f>
        <v>Veseris</v>
      </c>
      <c r="B616" t="str">
        <f>'5. KPI Baselines'!B601</f>
        <v>Sales Operations</v>
      </c>
      <c r="C616" t="str">
        <f>'5. KPI Baselines'!C601</f>
        <v>Quote Generation</v>
      </c>
      <c r="D616" t="str">
        <f>'5. KPI Baselines'!D601</f>
        <v>Quote Turnaround Time</v>
      </c>
      <c r="E616" t="str">
        <f>'5. KPI Baselines'!E601</f>
        <v>4.2 days</v>
      </c>
      <c r="F616" t="str">
        <f>'5. KPI Baselines'!F601</f>
        <v>1.5 days</v>
      </c>
      <c r="G616" t="str">
        <f>'5. KPI Baselines'!G601</f>
        <v>1.8 days [ESTIMATED]</v>
      </c>
      <c r="H616" t="str">
        <f>'5. KPI Baselines'!H601</f>
        <v>↓</v>
      </c>
      <c r="I616" t="str">
        <f>'5. KPI Baselines'!I601</f>
        <v>12 months</v>
      </c>
      <c r="J616" t="str">
        <f>'5. KPI Baselines'!J601</f>
        <v>CRM timestamp analysis</v>
      </c>
      <c r="K616" s="15" t="str">
        <f t="shared" si="82"/>
        <v>4.2 days → 1.5 days</v>
      </c>
      <c r="L616" s="34" cm="1">
        <f t="array" ref="L616">IFERROR(_xlfn.LET(_xlpm.e,E616,_xlpm.f,F616,_xlpm.h,H616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0.64284183709911669</v>
      </c>
      <c r="M616" s="15" cm="1">
        <f t="array" ref="M616">IFERROR(_xlfn.LET(_xlpm.e,E616,_xlpm.f,F616,_xlpm.h,H616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1.9</v>
      </c>
      <c r="N616" s="15" cm="1">
        <f t="array" ref="N616">IFERROR(_xlfn.LET(_xlpm.e,E616,_xlpm.f,F616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2.0699999999999998</v>
      </c>
      <c r="O616" s="15" t="str">
        <f t="shared" si="83"/>
        <v>1.8 days [ESTIMATED] → 1.5 days</v>
      </c>
      <c r="P616" s="34" t="str" cm="1">
        <f t="array" ref="P616">IFERROR(_xlfn.LET(_xlpm.g,G616,_xlpm.f,F616,_xlpm.h,H616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16" s="15" t="str" cm="1">
        <f t="array" ref="Q616">IFERROR(_xlfn.LET(_xlpm.e,E616,_xlpm.g,G616,_xlpm.h,H616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16" s="15" t="str">
        <f t="shared" si="84"/>
        <v>⚪ N/A</v>
      </c>
      <c r="S616" s="35" cm="1">
        <f t="array" ref="S616">IFERROR(_xlfn.LET(_xlpm.e,E616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4.2</v>
      </c>
      <c r="T616" s="36">
        <f t="shared" si="85"/>
        <v>64.284183709911673</v>
      </c>
      <c r="U616" s="15">
        <f t="shared" si="86"/>
        <v>116</v>
      </c>
      <c r="V616" s="16">
        <f t="shared" si="87"/>
        <v>376.94477512440181</v>
      </c>
      <c r="W616" s="16">
        <f t="shared" si="88"/>
        <v>937.40586450921944</v>
      </c>
      <c r="X616" s="37">
        <f t="shared" si="89"/>
        <v>228</v>
      </c>
      <c r="Y616" s="15" t="str">
        <f t="shared" si="90"/>
        <v>🔥 Critical</v>
      </c>
    </row>
    <row r="617" spans="1:25" x14ac:dyDescent="0.2">
      <c r="A617" t="str">
        <f>'5. KPI Baselines'!A602</f>
        <v>Veseris</v>
      </c>
      <c r="B617" t="str">
        <f>'5. KPI Baselines'!B602</f>
        <v>Customer Service</v>
      </c>
      <c r="C617" t="str">
        <f>'5. KPI Baselines'!C602</f>
        <v>Technical Support</v>
      </c>
      <c r="D617" t="str">
        <f>'5. KPI Baselines'!D602</f>
        <v>Average Handle Time (Technical Inquiries)</v>
      </c>
      <c r="E617" t="str">
        <f>'5. KPI Baselines'!E602</f>
        <v>11.4 minutes</v>
      </c>
      <c r="F617" t="str">
        <f>'5. KPI Baselines'!F602</f>
        <v>7.2 minutes</v>
      </c>
      <c r="G617" t="str">
        <f>'5. KPI Baselines'!G602</f>
        <v>7.8 minutes [ESTIMATED]</v>
      </c>
      <c r="H617" t="str">
        <f>'5. KPI Baselines'!H602</f>
        <v>↓</v>
      </c>
      <c r="I617" t="str">
        <f>'5. KPI Baselines'!I602</f>
        <v>15 months</v>
      </c>
      <c r="J617" t="str">
        <f>'5. KPI Baselines'!J602</f>
        <v>Contact center platform</v>
      </c>
      <c r="K617" s="15" t="str">
        <f t="shared" si="82"/>
        <v>11.4 minutes → 7.2 minutes</v>
      </c>
      <c r="L617" s="34" cm="1">
        <f t="array" ref="L617">IFERROR(_xlfn.LET(_xlpm.e,E617,_xlpm.f,F617,_xlpm.h,H617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0.36841782089630792</v>
      </c>
      <c r="M617" s="15" cm="1">
        <f t="array" ref="M617">IFERROR(_xlfn.LET(_xlpm.e,E617,_xlpm.f,F617,_xlpm.h,H617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617" s="15" cm="1">
        <f t="array" ref="N617">IFERROR(_xlfn.LET(_xlpm.e,E617,_xlpm.f,F617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3.21</v>
      </c>
      <c r="O617" s="15" t="str">
        <f t="shared" si="83"/>
        <v>7.8 minutes [ESTIMATED] → 7.2 minutes</v>
      </c>
      <c r="P617" s="34" t="str" cm="1">
        <f t="array" ref="P617">IFERROR(_xlfn.LET(_xlpm.g,G617,_xlpm.f,F617,_xlpm.h,H617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17" s="15" t="str" cm="1">
        <f t="array" ref="Q617">IFERROR(_xlfn.LET(_xlpm.e,E617,_xlpm.g,G617,_xlpm.h,H617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17" s="15" t="str">
        <f t="shared" si="84"/>
        <v>⚪ N/A</v>
      </c>
      <c r="S617" s="35" cm="1">
        <f t="array" ref="S617">IFERROR(_xlfn.LET(_xlpm.e,E617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11.4</v>
      </c>
      <c r="T617" s="36">
        <f t="shared" si="85"/>
        <v>36.84178208963079</v>
      </c>
      <c r="U617" s="15">
        <f t="shared" si="86"/>
        <v>345</v>
      </c>
      <c r="V617" s="16">
        <f t="shared" si="87"/>
        <v>586.36735642669794</v>
      </c>
      <c r="W617" s="16">
        <f t="shared" si="88"/>
        <v>1458.2088277778901</v>
      </c>
      <c r="X617" s="37">
        <f t="shared" si="89"/>
        <v>148</v>
      </c>
      <c r="Y617" s="15" t="str">
        <f t="shared" si="90"/>
        <v>⚠️ High</v>
      </c>
    </row>
    <row r="618" spans="1:25" x14ac:dyDescent="0.2">
      <c r="A618" t="str">
        <f>'5. KPI Baselines'!A603</f>
        <v>Veseris</v>
      </c>
      <c r="B618" t="str">
        <f>'5. KPI Baselines'!B603</f>
        <v>Customer Service</v>
      </c>
      <c r="C618" t="str">
        <f>'5. KPI Baselines'!C603</f>
        <v>Technical Support</v>
      </c>
      <c r="D618" t="str">
        <f>'5. KPI Baselines'!D603</f>
        <v>Manager Escalation Rate</v>
      </c>
      <c r="E618" t="str">
        <f>'5. KPI Baselines'!E603</f>
        <v>23%</v>
      </c>
      <c r="F618" t="str">
        <f>'5. KPI Baselines'!F603</f>
        <v>12%</v>
      </c>
      <c r="G618" t="str">
        <f>'5. KPI Baselines'!G603</f>
        <v>12% [ESTIMATED]</v>
      </c>
      <c r="H618" t="str">
        <f>'5. KPI Baselines'!H603</f>
        <v>↓</v>
      </c>
      <c r="I618" t="str">
        <f>'5. KPI Baselines'!I603</f>
        <v>15 months</v>
      </c>
      <c r="J618" t="str">
        <f>'5. KPI Baselines'!J603</f>
        <v>Case management system</v>
      </c>
      <c r="K618" s="15" t="str">
        <f t="shared" si="82"/>
        <v>23% → 12%</v>
      </c>
      <c r="L618" s="34" cm="1">
        <f t="array" ref="L618">IFERROR(_xlfn.LET(_xlpm.e,E618,_xlpm.f,F618,_xlpm.h,H618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0.47825879017917317</v>
      </c>
      <c r="M618" s="15" cm="1">
        <f t="array" ref="M618">IFERROR(_xlfn.LET(_xlpm.e,E618,_xlpm.f,F618,_xlpm.h,H618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13.7</v>
      </c>
      <c r="N618" s="15" cm="1">
        <f t="array" ref="N618">IFERROR(_xlfn.LET(_xlpm.e,E618,_xlpm.f,F618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618" s="15" t="str">
        <f t="shared" si="83"/>
        <v>12% [ESTIMATED] → 12%</v>
      </c>
      <c r="P618" s="34" t="str" cm="1">
        <f t="array" ref="P618">IFERROR(_xlfn.LET(_xlpm.g,G618,_xlpm.f,F618,_xlpm.h,H618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18" s="15" t="str" cm="1">
        <f t="array" ref="Q618">IFERROR(_xlfn.LET(_xlpm.e,E618,_xlpm.g,G618,_xlpm.h,H618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18" s="15" t="str">
        <f t="shared" si="84"/>
        <v>⚪ N/A</v>
      </c>
      <c r="S618" s="35" cm="1">
        <f t="array" ref="S618">IFERROR(_xlfn.LET(_xlpm.e,E618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618" s="36">
        <f t="shared" si="85"/>
        <v>47.825879017917316</v>
      </c>
      <c r="U618" s="15">
        <f t="shared" si="86"/>
        <v>251</v>
      </c>
      <c r="V618" s="16">
        <f t="shared" si="87"/>
        <v>1535.7308229094656</v>
      </c>
      <c r="W618" s="16">
        <f t="shared" si="88"/>
        <v>3819.1352545682462</v>
      </c>
      <c r="X618" s="37">
        <f t="shared" si="89"/>
        <v>57</v>
      </c>
      <c r="Y618" s="15" t="str">
        <f t="shared" si="90"/>
        <v>⚠️ High</v>
      </c>
    </row>
    <row r="619" spans="1:25" x14ac:dyDescent="0.2">
      <c r="A619" t="str">
        <f>'5. KPI Baselines'!A604</f>
        <v>Veseris</v>
      </c>
      <c r="B619" t="str">
        <f>'5. KPI Baselines'!B604</f>
        <v>Product Management</v>
      </c>
      <c r="C619" t="str">
        <f>'5. KPI Baselines'!C604</f>
        <v>Catalog Operations</v>
      </c>
      <c r="D619" t="str">
        <f>'5. KPI Baselines'!D604</f>
        <v>New Product Launch Cycle Time</v>
      </c>
      <c r="E619" t="str">
        <f>'5. KPI Baselines'!E604</f>
        <v>45 days</v>
      </c>
      <c r="F619" t="str">
        <f>'5. KPI Baselines'!F604</f>
        <v>15 days</v>
      </c>
      <c r="G619" t="str">
        <f>'5. KPI Baselines'!G604</f>
        <v>18 days [ESTIMATED]</v>
      </c>
      <c r="H619" t="str">
        <f>'5. KPI Baselines'!H604</f>
        <v>↓</v>
      </c>
      <c r="I619" t="str">
        <f>'5. KPI Baselines'!I604</f>
        <v>18 months</v>
      </c>
      <c r="J619" t="str">
        <f>'5. KPI Baselines'!J604</f>
        <v>Product lifecycle platform</v>
      </c>
      <c r="K619" s="15" t="str">
        <f t="shared" si="82"/>
        <v>45 days → 15 days</v>
      </c>
      <c r="L619" s="34" cm="1">
        <f t="array" ref="L619">IFERROR(_xlfn.LET(_xlpm.e,E619,_xlpm.f,F619,_xlpm.h,H619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0.66666518518847728</v>
      </c>
      <c r="M619" s="15" cm="1">
        <f t="array" ref="M619">IFERROR(_xlfn.LET(_xlpm.e,E619,_xlpm.f,F619,_xlpm.h,H619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19.5</v>
      </c>
      <c r="N619" s="15" cm="1">
        <f t="array" ref="N619">IFERROR(_xlfn.LET(_xlpm.e,E619,_xlpm.f,F619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22.95</v>
      </c>
      <c r="O619" s="15" t="str">
        <f t="shared" si="83"/>
        <v>18 days [ESTIMATED] → 15 days</v>
      </c>
      <c r="P619" s="34" t="str" cm="1">
        <f t="array" ref="P619">IFERROR(_xlfn.LET(_xlpm.g,G619,_xlpm.f,F619,_xlpm.h,H619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19" s="15" t="str" cm="1">
        <f t="array" ref="Q619">IFERROR(_xlfn.LET(_xlpm.e,E619,_xlpm.g,G619,_xlpm.h,H619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19" s="15" t="str">
        <f t="shared" si="84"/>
        <v>⚪ N/A</v>
      </c>
      <c r="S619" s="35" cm="1">
        <f t="array" ref="S619">IFERROR(_xlfn.LET(_xlpm.e,E619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45</v>
      </c>
      <c r="T619" s="36">
        <f t="shared" si="85"/>
        <v>66.666518518847724</v>
      </c>
      <c r="U619" s="15">
        <f t="shared" si="86"/>
        <v>90</v>
      </c>
      <c r="V619" s="16">
        <f t="shared" si="87"/>
        <v>4188.3656925206824</v>
      </c>
      <c r="W619" s="16">
        <f t="shared" si="88"/>
        <v>10415.845561415081</v>
      </c>
      <c r="X619" s="37">
        <f t="shared" si="89"/>
        <v>21</v>
      </c>
      <c r="Y619" s="15" t="str">
        <f t="shared" si="90"/>
        <v>🔥 Critical</v>
      </c>
    </row>
    <row r="620" spans="1:25" x14ac:dyDescent="0.2">
      <c r="A620" t="str">
        <f>'5. KPI Baselines'!A605</f>
        <v>Veseris</v>
      </c>
      <c r="B620" t="str">
        <f>'5. KPI Baselines'!B605</f>
        <v>Product Management</v>
      </c>
      <c r="C620" t="str">
        <f>'5. KPI Baselines'!C605</f>
        <v>SKU Data Quality</v>
      </c>
      <c r="D620" t="str">
        <f>'5. KPI Baselines'!D605</f>
        <v>Annual Hours on Data Reconciliation</v>
      </c>
      <c r="E620" t="str">
        <f>'5. KPI Baselines'!E605</f>
        <v>18,000 hours</v>
      </c>
      <c r="F620" t="str">
        <f>'5. KPI Baselines'!F605</f>
        <v>9,000 hours</v>
      </c>
      <c r="G620" t="str">
        <f>'5. KPI Baselines'!G605</f>
        <v>8,400 hours [ESTIMATED]</v>
      </c>
      <c r="H620" t="str">
        <f>'5. KPI Baselines'!H605</f>
        <v>↓</v>
      </c>
      <c r="I620" t="str">
        <f>'5. KPI Baselines'!I605</f>
        <v>24 months</v>
      </c>
      <c r="J620" t="str">
        <f>'5. KPI Baselines'!J605</f>
        <v>Project tracking systems</v>
      </c>
      <c r="K620" s="15" t="str">
        <f t="shared" si="82"/>
        <v>18,000 hours → 9,000 hours</v>
      </c>
      <c r="L620" s="34" cm="1">
        <f t="array" ref="L620">IFERROR(_xlfn.LET(_xlpm.e,E620,_xlpm.f,F620,_xlpm.h,H620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0.49999999722222221</v>
      </c>
      <c r="M620" s="15" cm="1">
        <f t="array" ref="M620">IFERROR(_xlfn.LET(_xlpm.e,E620,_xlpm.f,F620,_xlpm.h,H620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10350</v>
      </c>
      <c r="N620" s="15" cm="1">
        <f t="array" ref="N620">IFERROR(_xlfn.LET(_xlpm.e,E620,_xlpm.f,F620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6885</v>
      </c>
      <c r="O620" s="15" t="str">
        <f t="shared" si="83"/>
        <v>8,400 hours [ESTIMATED] → 9,000 hours</v>
      </c>
      <c r="P620" s="34" t="str" cm="1">
        <f t="array" ref="P620">IFERROR(_xlfn.LET(_xlpm.g,G620,_xlpm.f,F620,_xlpm.h,H620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0" s="15" t="str" cm="1">
        <f t="array" ref="Q620">IFERROR(_xlfn.LET(_xlpm.e,E620,_xlpm.g,G620,_xlpm.h,H620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0" s="15" t="str">
        <f t="shared" si="84"/>
        <v>⚪ N/A</v>
      </c>
      <c r="S620" s="35" cm="1">
        <f t="array" ref="S620">IFERROR(_xlfn.LET(_xlpm.e,E620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18000</v>
      </c>
      <c r="T620" s="36">
        <f t="shared" si="85"/>
        <v>49.999999722222221</v>
      </c>
      <c r="U620" s="15">
        <f t="shared" si="86"/>
        <v>217</v>
      </c>
      <c r="V620" s="16">
        <f t="shared" si="87"/>
        <v>1256512.4930193748</v>
      </c>
      <c r="W620" s="16">
        <f t="shared" si="88"/>
        <v>3124760.5949617838</v>
      </c>
      <c r="X620" s="37">
        <f t="shared" si="89"/>
        <v>0</v>
      </c>
      <c r="Y620" s="15" t="str">
        <f t="shared" si="90"/>
        <v>⚠️ High</v>
      </c>
    </row>
    <row r="621" spans="1:25" x14ac:dyDescent="0.2">
      <c r="A621" t="str">
        <f>'5. KPI Baselines'!A606</f>
        <v>Veseris</v>
      </c>
      <c r="B621" t="str">
        <f>'5. KPI Baselines'!B606</f>
        <v>Regulatory Compliance</v>
      </c>
      <c r="C621" t="str">
        <f>'5. KPI Baselines'!C606</f>
        <v>Registration Management</v>
      </c>
      <c r="D621" t="str">
        <f>'5. KPI Baselines'!D606</f>
        <v>State Registration Tracking Hours</v>
      </c>
      <c r="E621" t="str">
        <f>'5. KPI Baselines'!E606</f>
        <v>8,200 hours annually</v>
      </c>
      <c r="F621" t="str">
        <f>'5. KPI Baselines'!F606</f>
        <v>4,100 hours</v>
      </c>
      <c r="G621" t="str">
        <f>'5. KPI Baselines'!G606</f>
        <v>4,100 hours [ESTIMATED]</v>
      </c>
      <c r="H621" t="str">
        <f>'5. KPI Baselines'!H606</f>
        <v>↓</v>
      </c>
      <c r="I621" t="str">
        <f>'5. KPI Baselines'!I606</f>
        <v>18 months</v>
      </c>
      <c r="J621" t="str">
        <f>'5. KPI Baselines'!J606</f>
        <v>Time tracking system</v>
      </c>
      <c r="K621" s="15" t="str">
        <f t="shared" si="82"/>
        <v>8,200 hours annually → 4,100 hours</v>
      </c>
      <c r="L621" s="34" cm="1">
        <f t="array" ref="L621">IFERROR(_xlfn.LET(_xlpm.e,E621,_xlpm.f,F621,_xlpm.h,H621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0.49999999390243915</v>
      </c>
      <c r="M621" s="15" cm="1">
        <f t="array" ref="M621">IFERROR(_xlfn.LET(_xlpm.e,E621,_xlpm.f,F621,_xlpm.h,H621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4715</v>
      </c>
      <c r="N621" s="15" cm="1">
        <f t="array" ref="N621">IFERROR(_xlfn.LET(_xlpm.e,E621,_xlpm.f,F621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3136.5</v>
      </c>
      <c r="O621" s="15" t="str">
        <f t="shared" si="83"/>
        <v>4,100 hours [ESTIMATED] → 4,100 hours</v>
      </c>
      <c r="P621" s="34" t="str" cm="1">
        <f t="array" ref="P621">IFERROR(_xlfn.LET(_xlpm.g,G621,_xlpm.f,F621,_xlpm.h,H621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1" s="15" t="str" cm="1">
        <f t="array" ref="Q621">IFERROR(_xlfn.LET(_xlpm.e,E621,_xlpm.g,G621,_xlpm.h,H621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1" s="15" t="str">
        <f t="shared" si="84"/>
        <v>⚪ N/A</v>
      </c>
      <c r="S621" s="35" cm="1">
        <f t="array" ref="S621">IFERROR(_xlfn.LET(_xlpm.e,E621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8200</v>
      </c>
      <c r="T621" s="36">
        <f t="shared" si="85"/>
        <v>49.999999390243914</v>
      </c>
      <c r="U621" s="15">
        <f t="shared" si="86"/>
        <v>218</v>
      </c>
      <c r="V621" s="16">
        <f t="shared" si="87"/>
        <v>572411.24301937525</v>
      </c>
      <c r="W621" s="16">
        <f t="shared" si="88"/>
        <v>1423502.0393644881</v>
      </c>
      <c r="X621" s="37">
        <f t="shared" si="89"/>
        <v>0</v>
      </c>
      <c r="Y621" s="15" t="str">
        <f t="shared" si="90"/>
        <v>⚠️ High</v>
      </c>
    </row>
    <row r="622" spans="1:25" x14ac:dyDescent="0.2">
      <c r="A622" t="str">
        <f>'5. KPI Baselines'!A607</f>
        <v>Veseris</v>
      </c>
      <c r="B622" t="str">
        <f>'5. KPI Baselines'!B607</f>
        <v>Regulatory Compliance</v>
      </c>
      <c r="C622" t="str">
        <f>'5. KPI Baselines'!C607</f>
        <v>Audit Preparation</v>
      </c>
      <c r="D622" t="str">
        <f>'5. KPI Baselines'!D607</f>
        <v>Average Penalty Exposure per Gap</v>
      </c>
      <c r="E622" t="str">
        <f>'5. KPI Baselines'!E607</f>
        <v>$340K</v>
      </c>
      <c r="F622" t="str">
        <f>'5. KPI Baselines'!F607</f>
        <v>$85K</v>
      </c>
      <c r="G622" t="str">
        <f>'5. KPI Baselines'!G607</f>
        <v>$110K [ESTIMATED]</v>
      </c>
      <c r="H622" t="str">
        <f>'5. KPI Baselines'!H607</f>
        <v>↓</v>
      </c>
      <c r="I622" t="str">
        <f>'5. KPI Baselines'!I607</f>
        <v>24 months</v>
      </c>
      <c r="J622" t="str">
        <f>'5. KPI Baselines'!J607</f>
        <v>Compliance tracking database</v>
      </c>
      <c r="K622" s="15" t="str">
        <f t="shared" si="82"/>
        <v>$340K → $85K</v>
      </c>
      <c r="L622" s="34" t="str" cm="1">
        <f t="array" ref="L622">IFERROR(_xlfn.LET(_xlpm.e,E622,_xlpm.f,F622,_xlpm.h,H622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22" s="15" t="str" cm="1">
        <f t="array" ref="M622">IFERROR(_xlfn.LET(_xlpm.e,E622,_xlpm.f,F622,_xlpm.h,H622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22" s="15" t="str" cm="1">
        <f t="array" ref="N622">IFERROR(_xlfn.LET(_xlpm.e,E622,_xlpm.f,F622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22" s="15" t="str">
        <f t="shared" si="83"/>
        <v>$110K [ESTIMATED] → $85K</v>
      </c>
      <c r="P622" s="34" t="str" cm="1">
        <f t="array" ref="P622">IFERROR(_xlfn.LET(_xlpm.g,G622,_xlpm.f,F622,_xlpm.h,H622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2" s="15" t="str" cm="1">
        <f t="array" ref="Q622">IFERROR(_xlfn.LET(_xlpm.e,E622,_xlpm.g,G622,_xlpm.h,H622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2" s="15" t="str">
        <f t="shared" si="84"/>
        <v>⚪ N/A</v>
      </c>
      <c r="S622" s="35" cm="1">
        <f t="array" ref="S622">IFERROR(_xlfn.LET(_xlpm.e,E622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22" s="36">
        <f t="shared" si="85"/>
        <v>0</v>
      </c>
      <c r="U622" s="15">
        <f t="shared" si="86"/>
        <v>554</v>
      </c>
      <c r="V622" s="16">
        <f t="shared" si="87"/>
        <v>0</v>
      </c>
      <c r="W622" s="16">
        <f t="shared" si="88"/>
        <v>0</v>
      </c>
      <c r="X622" s="37" t="str">
        <f t="shared" si="89"/>
        <v>-</v>
      </c>
      <c r="Y622" s="15" t="str">
        <f t="shared" si="90"/>
        <v>📉 Low</v>
      </c>
    </row>
    <row r="623" spans="1:25" x14ac:dyDescent="0.2">
      <c r="A623" t="str">
        <f>'5. KPI Baselines'!A608</f>
        <v>Veseris</v>
      </c>
      <c r="B623" t="str">
        <f>'5. KPI Baselines'!B608</f>
        <v>Supply Chain</v>
      </c>
      <c r="C623" t="str">
        <f>'5. KPI Baselines'!C608</f>
        <v>Demand Planning</v>
      </c>
      <c r="D623" t="str">
        <f>'5. KPI Baselines'!D608</f>
        <v>Forecast Accuracy (SKU Level)</v>
      </c>
      <c r="E623" t="str">
        <f>'5. KPI Baselines'!E608</f>
        <v>72%</v>
      </c>
      <c r="F623" t="str">
        <f>'5. KPI Baselines'!F608</f>
        <v>86%</v>
      </c>
      <c r="G623" t="str">
        <f>'5. KPI Baselines'!G608</f>
        <v>84% [ESTIMATED]</v>
      </c>
      <c r="H623" t="str">
        <f>'5. KPI Baselines'!H608</f>
        <v>↑</v>
      </c>
      <c r="I623" t="str">
        <f>'5. KPI Baselines'!I608</f>
        <v>18 months</v>
      </c>
      <c r="J623" t="str">
        <f>'5. KPI Baselines'!J608</f>
        <v>Forecast vs actual comparison</v>
      </c>
      <c r="K623" s="15" t="str">
        <f t="shared" si="82"/>
        <v>86% - 72%</v>
      </c>
      <c r="L623" s="34" cm="1">
        <f t="array" ref="L623">IFERROR(_xlfn.LET(_xlpm.e,E623,_xlpm.f,F623,_xlpm.h,H623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0.19444417438309111</v>
      </c>
      <c r="M623" s="15" cm="1">
        <f t="array" ref="M623">IFERROR(_xlfn.LET(_xlpm.e,E623,_xlpm.f,F623,_xlpm.h,H623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83.9</v>
      </c>
      <c r="N623" s="15" cm="1">
        <f t="array" ref="N623">IFERROR(_xlfn.LET(_xlpm.e,E623,_xlpm.f,F623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623" s="15" t="str">
        <f t="shared" si="83"/>
        <v>86% - 84% [ESTIMATED]</v>
      </c>
      <c r="P623" s="34" t="str" cm="1">
        <f t="array" ref="P623">IFERROR(_xlfn.LET(_xlpm.g,G623,_xlpm.f,F623,_xlpm.h,H623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3" s="15" t="str" cm="1">
        <f t="array" ref="Q623">IFERROR(_xlfn.LET(_xlpm.e,E623,_xlpm.g,G623,_xlpm.h,H623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3" s="15" t="str">
        <f t="shared" si="84"/>
        <v>⚪ N/A</v>
      </c>
      <c r="S623" s="35" cm="1">
        <f t="array" ref="S623">IFERROR(_xlfn.LET(_xlpm.e,E623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72</v>
      </c>
      <c r="T623" s="36">
        <f t="shared" si="85"/>
        <v>19.44441743830911</v>
      </c>
      <c r="U623" s="15">
        <f t="shared" si="86"/>
        <v>473</v>
      </c>
      <c r="V623" s="16">
        <f t="shared" si="87"/>
        <v>1954.5722853162702</v>
      </c>
      <c r="W623" s="16">
        <f t="shared" si="88"/>
        <v>4860.7319792613516</v>
      </c>
      <c r="X623" s="37">
        <f t="shared" si="89"/>
        <v>45</v>
      </c>
      <c r="Y623" s="15" t="str">
        <f t="shared" si="90"/>
        <v>📊 Medium</v>
      </c>
    </row>
    <row r="624" spans="1:25" x14ac:dyDescent="0.2">
      <c r="A624" t="str">
        <f>'5. KPI Baselines'!A609</f>
        <v>Veseris</v>
      </c>
      <c r="B624" t="str">
        <f>'5. KPI Baselines'!B609</f>
        <v>Supply Chain</v>
      </c>
      <c r="C624" t="str">
        <f>'5. KPI Baselines'!C609</f>
        <v>Inventory Management</v>
      </c>
      <c r="D624" t="str">
        <f>'5. KPI Baselines'!D609</f>
        <v>Inventory Turn Days</v>
      </c>
      <c r="E624" t="str">
        <f>'5. KPI Baselines'!E609</f>
        <v>38 days</v>
      </c>
      <c r="F624" t="str">
        <f>'5. KPI Baselines'!F609</f>
        <v>45 days</v>
      </c>
      <c r="G624" t="str">
        <f>'5. KPI Baselines'!G609</f>
        <v>45 days [ESTIMATED]</v>
      </c>
      <c r="H624" t="str">
        <f>'5. KPI Baselines'!H609</f>
        <v>↑</v>
      </c>
      <c r="I624" t="str">
        <f>'5. KPI Baselines'!I609</f>
        <v>24 months</v>
      </c>
      <c r="J624" t="str">
        <f>'5. KPI Baselines'!J609</f>
        <v>ERP inventory reports</v>
      </c>
      <c r="K624" s="15" t="str">
        <f t="shared" si="82"/>
        <v>45 days - 38 days</v>
      </c>
      <c r="L624" s="34" cm="1">
        <f t="array" ref="L624">IFERROR(_xlfn.LET(_xlpm.e,E624,_xlpm.f,F624,_xlpm.h,H624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0.18421004155252221</v>
      </c>
      <c r="M624" s="15" cm="1">
        <f t="array" ref="M624">IFERROR(_xlfn.LET(_xlpm.e,E624,_xlpm.f,F624,_xlpm.h,H624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44</v>
      </c>
      <c r="N624" s="15" cm="1">
        <f t="array" ref="N624">IFERROR(_xlfn.LET(_xlpm.e,E624,_xlpm.f,F624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624" s="15" t="str">
        <f t="shared" si="83"/>
        <v>45 days - 45 days [ESTIMATED]</v>
      </c>
      <c r="P624" s="34" t="str" cm="1">
        <f t="array" ref="P624">IFERROR(_xlfn.LET(_xlpm.g,G624,_xlpm.f,F624,_xlpm.h,H624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4" s="15" t="str" cm="1">
        <f t="array" ref="Q624">IFERROR(_xlfn.LET(_xlpm.e,E624,_xlpm.g,G624,_xlpm.h,H624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4" s="15" t="str">
        <f t="shared" si="84"/>
        <v>⚪ N/A</v>
      </c>
      <c r="S624" s="35" cm="1">
        <f t="array" ref="S624">IFERROR(_xlfn.LET(_xlpm.e,E624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624" s="36">
        <f t="shared" si="85"/>
        <v>18.42100415525222</v>
      </c>
      <c r="U624" s="15">
        <f t="shared" si="86"/>
        <v>480</v>
      </c>
      <c r="V624" s="16">
        <f t="shared" si="87"/>
        <v>977.28492819755741</v>
      </c>
      <c r="W624" s="16">
        <f t="shared" si="88"/>
        <v>2430.3629694469705</v>
      </c>
      <c r="X624" s="37">
        <f t="shared" si="89"/>
        <v>89</v>
      </c>
      <c r="Y624" s="15" t="str">
        <f t="shared" si="90"/>
        <v>📊 Medium</v>
      </c>
    </row>
    <row r="625" spans="1:25" x14ac:dyDescent="0.2">
      <c r="A625" t="str">
        <f>'5. KPI Baselines'!A610</f>
        <v>Veseris</v>
      </c>
      <c r="B625" t="str">
        <f>'5. KPI Baselines'!B610</f>
        <v>Finance</v>
      </c>
      <c r="C625" t="str">
        <f>'5. KPI Baselines'!C610</f>
        <v>Credit &amp; Collections</v>
      </c>
      <c r="D625" t="str">
        <f>'5. KPI Baselines'!D610</f>
        <v>Days Sales Outstanding</v>
      </c>
      <c r="E625" t="str">
        <f>'5. KPI Baselines'!E610</f>
        <v>41 days</v>
      </c>
      <c r="F625" t="str">
        <f>'5. KPI Baselines'!F610</f>
        <v>32 days</v>
      </c>
      <c r="G625" t="str">
        <f>'5. KPI Baselines'!G610</f>
        <v>32 days [ESTIMATED]</v>
      </c>
      <c r="H625" t="str">
        <f>'5. KPI Baselines'!H610</f>
        <v>↓</v>
      </c>
      <c r="I625" t="str">
        <f>'5. KPI Baselines'!I610</f>
        <v>18 months</v>
      </c>
      <c r="J625" t="str">
        <f>'5. KPI Baselines'!J610</f>
        <v>AR aging reports</v>
      </c>
      <c r="K625" s="15" t="str">
        <f t="shared" si="82"/>
        <v>41 days → 32 days</v>
      </c>
      <c r="L625" s="34" cm="1">
        <f t="array" ref="L625">IFERROR(_xlfn.LET(_xlpm.e,E625,_xlpm.f,F625,_xlpm.h,H625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0.21951165972765918</v>
      </c>
      <c r="M625" s="15" cm="1">
        <f t="array" ref="M625">IFERROR(_xlfn.LET(_xlpm.e,E625,_xlpm.f,F625,_xlpm.h,H625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33.4</v>
      </c>
      <c r="N625" s="15" cm="1">
        <f t="array" ref="N625">IFERROR(_xlfn.LET(_xlpm.e,E625,_xlpm.f,F625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625" s="15" t="str">
        <f t="shared" si="83"/>
        <v>32 days [ESTIMATED] → 32 days</v>
      </c>
      <c r="P625" s="34" t="str" cm="1">
        <f t="array" ref="P625">IFERROR(_xlfn.LET(_xlpm.g,G625,_xlpm.f,F625,_xlpm.h,H625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5" s="15" t="str" cm="1">
        <f t="array" ref="Q625">IFERROR(_xlfn.LET(_xlpm.e,E625,_xlpm.g,G625,_xlpm.h,H625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5" s="15" t="str">
        <f t="shared" si="84"/>
        <v>⚪ N/A</v>
      </c>
      <c r="S625" s="35" cm="1">
        <f t="array" ref="S625">IFERROR(_xlfn.LET(_xlpm.e,E625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41</v>
      </c>
      <c r="T625" s="36">
        <f t="shared" si="85"/>
        <v>21.951165972765917</v>
      </c>
      <c r="U625" s="15">
        <f t="shared" si="86"/>
        <v>450</v>
      </c>
      <c r="V625" s="16">
        <f t="shared" si="87"/>
        <v>1256.5094353428406</v>
      </c>
      <c r="W625" s="16">
        <f t="shared" si="88"/>
        <v>3124.7529909728069</v>
      </c>
      <c r="X625" s="37">
        <f t="shared" si="89"/>
        <v>69</v>
      </c>
      <c r="Y625" s="15" t="str">
        <f t="shared" si="90"/>
        <v>📊 Medium</v>
      </c>
    </row>
    <row r="626" spans="1:25" x14ac:dyDescent="0.2">
      <c r="A626" t="str">
        <f>'5. KPI Baselines'!A611</f>
        <v>Veseris</v>
      </c>
      <c r="B626" t="str">
        <f>'5. KPI Baselines'!B611</f>
        <v>Human Resources</v>
      </c>
      <c r="C626" t="str">
        <f>'5. KPI Baselines'!C611</f>
        <v>Training &amp; Development</v>
      </c>
      <c r="D626" t="str">
        <f>'5. KPI Baselines'!D611</f>
        <v>New Hire Time to Productivity</v>
      </c>
      <c r="E626" t="str">
        <f>'5. KPI Baselines'!E611</f>
        <v>67 days</v>
      </c>
      <c r="F626" t="str">
        <f>'5. KPI Baselines'!F611</f>
        <v>42 days</v>
      </c>
      <c r="G626" t="str">
        <f>'5. KPI Baselines'!G611</f>
        <v>45 days [ESTIMATED]</v>
      </c>
      <c r="H626" t="str">
        <f>'5. KPI Baselines'!H611</f>
        <v>↓</v>
      </c>
      <c r="I626" t="str">
        <f>'5. KPI Baselines'!I611</f>
        <v>15 months</v>
      </c>
      <c r="J626" t="str">
        <f>'5. KPI Baselines'!J611</f>
        <v>Performance milestone tracking</v>
      </c>
      <c r="K626" s="15" t="str">
        <f t="shared" si="82"/>
        <v>67 days → 42 days</v>
      </c>
      <c r="L626" s="34" cm="1">
        <f t="array" ref="L626">IFERROR(_xlfn.LET(_xlpm.e,E626,_xlpm.f,F626,_xlpm.h,H626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0.37313377144213217</v>
      </c>
      <c r="M626" s="15" cm="1">
        <f t="array" ref="M626">IFERROR(_xlfn.LET(_xlpm.e,E626,_xlpm.f,F626,_xlpm.h,H626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45.8</v>
      </c>
      <c r="N626" s="15" cm="1">
        <f t="array" ref="N626">IFERROR(_xlfn.LET(_xlpm.e,E626,_xlpm.f,F626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19.13</v>
      </c>
      <c r="O626" s="15" t="str">
        <f t="shared" si="83"/>
        <v>45 days [ESTIMATED] → 42 days</v>
      </c>
      <c r="P626" s="34" t="str" cm="1">
        <f t="array" ref="P626">IFERROR(_xlfn.LET(_xlpm.g,G626,_xlpm.f,F626,_xlpm.h,H626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26" s="15" t="str" cm="1">
        <f t="array" ref="Q626">IFERROR(_xlfn.LET(_xlpm.e,E626,_xlpm.g,G626,_xlpm.h,H626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26" s="15" t="str">
        <f t="shared" si="84"/>
        <v>⚪ N/A</v>
      </c>
      <c r="S626" s="35" cm="1">
        <f t="array" ref="S626">IFERROR(_xlfn.LET(_xlpm.e,E626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626" s="36">
        <f t="shared" si="85"/>
        <v>37.31337714421322</v>
      </c>
      <c r="U626" s="15">
        <f t="shared" si="86"/>
        <v>339</v>
      </c>
      <c r="V626" s="16">
        <f t="shared" si="87"/>
        <v>3490.3072905861331</v>
      </c>
      <c r="W626" s="16">
        <f t="shared" si="88"/>
        <v>8679.8776347408784</v>
      </c>
      <c r="X626" s="37">
        <f t="shared" si="89"/>
        <v>25</v>
      </c>
      <c r="Y626" s="15" t="str">
        <f t="shared" si="90"/>
        <v>⚠️ High</v>
      </c>
    </row>
    <row r="627" spans="1:25" x14ac:dyDescent="0.2">
      <c r="A627" t="str">
        <f>'5. KPI Baselines'!A612</f>
        <v>Visual Comfort</v>
      </c>
      <c r="B627" t="str">
        <f>'5. KPI Baselines'!B612</f>
        <v>Sales &amp; Marketing</v>
      </c>
      <c r="C627" t="str">
        <f>'5. KPI Baselines'!C612</f>
        <v>Design Consultation</v>
      </c>
      <c r="D627" t="str">
        <f>'5. KPI Baselines'!D612</f>
        <v>Specification Response Time</v>
      </c>
      <c r="E627" t="str">
        <f>'5. KPI Baselines'!E612</f>
        <v>4 days</v>
      </c>
      <c r="F627" t="str">
        <f>'5. KPI Baselines'!F612</f>
        <v>1 day</v>
      </c>
      <c r="G627" t="str">
        <f>'5. KPI Baselines'!G612</f>
        <v>2 days</v>
      </c>
      <c r="H627" t="str">
        <f>'5. KPI Baselines'!H612</f>
        <v>↓</v>
      </c>
      <c r="I627" t="str">
        <f>'5. KPI Baselines'!I612</f>
        <v>12 months</v>
      </c>
      <c r="J627" t="str">
        <f>'5. KPI Baselines'!J612</f>
        <v>Average hours from inquiry receipt to specification delivery</v>
      </c>
      <c r="K627" s="15" t="str">
        <f t="shared" si="82"/>
        <v>4 days → 1 day</v>
      </c>
      <c r="L627" s="34" cm="1">
        <f t="array" ref="L627">IFERROR(_xlfn.LET(_xlpm.e,E627,_xlpm.f,F627,_xlpm.h,H627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0.74998125046873831</v>
      </c>
      <c r="M627" s="15" cm="1">
        <f t="array" ref="M627">IFERROR(_xlfn.LET(_xlpm.e,E627,_xlpm.f,F627,_xlpm.h,H627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1.5</v>
      </c>
      <c r="N627" s="15" cm="1">
        <f t="array" ref="N627">IFERROR(_xlfn.LET(_xlpm.e,E627,_xlpm.f,F627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627" s="15" t="str">
        <f t="shared" si="83"/>
        <v>2 days → 1 day</v>
      </c>
      <c r="P627" s="34" cm="1">
        <f t="array" ref="P627">IFERROR(_xlfn.LET(_xlpm.g,G627,_xlpm.f,F627,_xlpm.h,H627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0.49997500124993743</v>
      </c>
      <c r="Q627" s="15" t="str" cm="1">
        <f t="array" ref="Q627">IFERROR(_xlfn.LET(_xlpm.e,E627,_xlpm.g,G627,_xlpm.h,H627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27" s="15" t="str">
        <f t="shared" si="84"/>
        <v>🔴 Lagging</v>
      </c>
      <c r="S627" s="35" cm="1">
        <f t="array" ref="S627">IFERROR(_xlfn.LET(_xlpm.e,E627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</v>
      </c>
      <c r="T627" s="36">
        <f t="shared" si="85"/>
        <v>74.998125046873838</v>
      </c>
      <c r="U627" s="15">
        <f t="shared" si="86"/>
        <v>62</v>
      </c>
      <c r="V627" s="16">
        <f t="shared" si="87"/>
        <v>418.82702932426696</v>
      </c>
      <c r="W627" s="16">
        <f t="shared" si="88"/>
        <v>1041.5608317530614</v>
      </c>
      <c r="X627" s="37">
        <f t="shared" si="89"/>
        <v>206</v>
      </c>
      <c r="Y627" s="15" t="str">
        <f t="shared" si="90"/>
        <v>🔥 Critical</v>
      </c>
    </row>
    <row r="628" spans="1:25" x14ac:dyDescent="0.2">
      <c r="A628" t="str">
        <f>'5. KPI Baselines'!A613</f>
        <v>Visual Comfort</v>
      </c>
      <c r="B628" t="str">
        <f>'5. KPI Baselines'!B613</f>
        <v>Sales &amp; Marketing</v>
      </c>
      <c r="C628" t="str">
        <f>'5. KPI Baselines'!C613</f>
        <v>Partner Support</v>
      </c>
      <c r="D628" t="str">
        <f>'5. KPI Baselines'!D613</f>
        <v>Quote Error Rate</v>
      </c>
      <c r="E628" t="str">
        <f>'5. KPI Baselines'!E613</f>
        <v>15%</v>
      </c>
      <c r="F628" t="str">
        <f>'5. KPI Baselines'!F613</f>
        <v>5%</v>
      </c>
      <c r="G628" t="str">
        <f>'5. KPI Baselines'!G613</f>
        <v>8%</v>
      </c>
      <c r="H628" t="str">
        <f>'5. KPI Baselines'!H613</f>
        <v>↓</v>
      </c>
      <c r="I628" t="str">
        <f>'5. KPI Baselines'!I613</f>
        <v>9 months</v>
      </c>
      <c r="J628" t="str">
        <f>'5. KPI Baselines'!J613</f>
        <v>Percentage of quotes requiring revision before order submission</v>
      </c>
      <c r="K628" s="15" t="str">
        <f t="shared" si="82"/>
        <v>15% → 5%</v>
      </c>
      <c r="L628" s="34" cm="1">
        <f t="array" ref="L628">IFERROR(_xlfn.LET(_xlpm.e,E628,_xlpm.f,F628,_xlpm.h,H628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0.66666222225185168</v>
      </c>
      <c r="M628" s="15" cm="1">
        <f t="array" ref="M628">IFERROR(_xlfn.LET(_xlpm.e,E628,_xlpm.f,F628,_xlpm.h,H628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6.5</v>
      </c>
      <c r="N628" s="15" cm="1">
        <f t="array" ref="N628">IFERROR(_xlfn.LET(_xlpm.e,E628,_xlpm.f,F628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628" s="15" t="str">
        <f t="shared" si="83"/>
        <v>8% → 5%</v>
      </c>
      <c r="P628" s="34" cm="1">
        <f t="array" ref="P628">IFERROR(_xlfn.LET(_xlpm.g,G628,_xlpm.f,F628,_xlpm.h,H628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0.37499531255859303</v>
      </c>
      <c r="Q628" s="15" t="str" cm="1">
        <f t="array" ref="Q628">IFERROR(_xlfn.LET(_xlpm.e,E628,_xlpm.g,G628,_xlpm.h,H628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28" s="15" t="str">
        <f t="shared" si="84"/>
        <v>🔴 Lagging</v>
      </c>
      <c r="S628" s="35" cm="1">
        <f t="array" ref="S628">IFERROR(_xlfn.LET(_xlpm.e,E628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15</v>
      </c>
      <c r="T628" s="36">
        <f t="shared" si="85"/>
        <v>66.666222225185166</v>
      </c>
      <c r="U628" s="15">
        <f t="shared" si="86"/>
        <v>96</v>
      </c>
      <c r="V628" s="16">
        <f t="shared" si="87"/>
        <v>1396.1156925620496</v>
      </c>
      <c r="W628" s="16">
        <f t="shared" si="88"/>
        <v>3471.9330896922525</v>
      </c>
      <c r="X628" s="37">
        <f t="shared" si="89"/>
        <v>62</v>
      </c>
      <c r="Y628" s="15" t="str">
        <f t="shared" si="90"/>
        <v>🔥 Critical</v>
      </c>
    </row>
    <row r="629" spans="1:25" x14ac:dyDescent="0.2">
      <c r="A629" t="str">
        <f>'5. KPI Baselines'!A614</f>
        <v>Visual Comfort</v>
      </c>
      <c r="B629" t="str">
        <f>'5. KPI Baselines'!B614</f>
        <v>Supply Chain</v>
      </c>
      <c r="C629" t="str">
        <f>'5. KPI Baselines'!C614</f>
        <v>Demand Planning</v>
      </c>
      <c r="D629" t="str">
        <f>'5. KPI Baselines'!D614</f>
        <v>SKU-Level Forecast Accuracy</v>
      </c>
      <c r="E629" t="str">
        <f>'5. KPI Baselines'!E614</f>
        <v>77%</v>
      </c>
      <c r="F629" t="str">
        <f>'5. KPI Baselines'!F614</f>
        <v>88%</v>
      </c>
      <c r="G629" t="str">
        <f>'5. KPI Baselines'!G614</f>
        <v>85%</v>
      </c>
      <c r="H629" t="str">
        <f>'5. KPI Baselines'!H614</f>
        <v>↑</v>
      </c>
      <c r="I629" t="str">
        <f>'5. KPI Baselines'!I614</f>
        <v>18 months</v>
      </c>
      <c r="J629" t="str">
        <f>'5. KPI Baselines'!J614</f>
        <v>1 minus mean absolute percentage error across 85,000 SKUs</v>
      </c>
      <c r="K629" s="15" t="str">
        <f t="shared" si="82"/>
        <v>88% - 77%</v>
      </c>
      <c r="L629" s="34" cm="1">
        <f t="array" ref="L629">IFERROR(_xlfn.LET(_xlpm.e,E629,_xlpm.f,F629,_xlpm.h,H629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0.14285695732862683</v>
      </c>
      <c r="M629" s="15" cm="1">
        <f t="array" ref="M629">IFERROR(_xlfn.LET(_xlpm.e,E629,_xlpm.f,F629,_xlpm.h,H629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86.4</v>
      </c>
      <c r="N629" s="15" cm="1">
        <f t="array" ref="N629">IFERROR(_xlfn.LET(_xlpm.e,E629,_xlpm.f,F629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629" s="15" t="str">
        <f t="shared" si="83"/>
        <v>88% - 85%</v>
      </c>
      <c r="P629" s="34" cm="1">
        <f t="array" ref="P629">IFERROR(_xlfn.LET(_xlpm.g,G629,_xlpm.f,F629,_xlpm.h,H629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3.5294076124616325E-2</v>
      </c>
      <c r="Q629" s="15" t="str" cm="1">
        <f t="array" ref="Q629">IFERROR(_xlfn.LET(_xlpm.e,E629,_xlpm.g,G629,_xlpm.h,H629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29" s="15" t="str">
        <f t="shared" si="84"/>
        <v>🔴 Lagging</v>
      </c>
      <c r="S629" s="35" cm="1">
        <f t="array" ref="S629">IFERROR(_xlfn.LET(_xlpm.e,E629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77</v>
      </c>
      <c r="T629" s="36">
        <f t="shared" si="85"/>
        <v>14.285695732862683</v>
      </c>
      <c r="U629" s="15">
        <f t="shared" si="86"/>
        <v>502</v>
      </c>
      <c r="V629" s="16">
        <f t="shared" si="87"/>
        <v>1535.7355055383043</v>
      </c>
      <c r="W629" s="16">
        <f t="shared" si="88"/>
        <v>3819.1468995730966</v>
      </c>
      <c r="X629" s="37">
        <f t="shared" si="89"/>
        <v>57</v>
      </c>
      <c r="Y629" s="15" t="str">
        <f t="shared" si="90"/>
        <v>📊 Medium</v>
      </c>
    </row>
    <row r="630" spans="1:25" x14ac:dyDescent="0.2">
      <c r="A630" t="str">
        <f>'5. KPI Baselines'!A615</f>
        <v>Visual Comfort</v>
      </c>
      <c r="B630" t="str">
        <f>'5. KPI Baselines'!B615</f>
        <v>Supply Chain</v>
      </c>
      <c r="C630" t="str">
        <f>'5. KPI Baselines'!C615</f>
        <v>Inventory Management</v>
      </c>
      <c r="D630" t="str">
        <f>'5. KPI Baselines'!D615</f>
        <v>Excess Inventory Carrying Cost</v>
      </c>
      <c r="E630" t="str">
        <f>'5. KPI Baselines'!E615</f>
        <v>$28M</v>
      </c>
      <c r="F630" t="str">
        <f>'5. KPI Baselines'!F615</f>
        <v>$14M</v>
      </c>
      <c r="G630" t="str">
        <f>'5. KPI Baselines'!G615</f>
        <v>$18M</v>
      </c>
      <c r="H630" t="str">
        <f>'5. KPI Baselines'!H615</f>
        <v>↓</v>
      </c>
      <c r="I630" t="str">
        <f>'5. KPI Baselines'!I615</f>
        <v>24 months</v>
      </c>
      <c r="J630" t="str">
        <f>'5. KPI Baselines'!J615</f>
        <v>Annual cost of stock above 90-day sales forecast</v>
      </c>
      <c r="K630" s="15" t="str">
        <f t="shared" si="82"/>
        <v>$28M → $14M</v>
      </c>
      <c r="L630" s="34" cm="1">
        <f t="array" ref="L630">IFERROR(_xlfn.LET(_xlpm.e,E630,_xlpm.f,F630,_xlpm.h,H630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0.49999821429209179</v>
      </c>
      <c r="M630" s="15" cm="1">
        <f t="array" ref="M630">IFERROR(_xlfn.LET(_xlpm.e,E630,_xlpm.f,F630,_xlpm.h,H630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16.100000000000001</v>
      </c>
      <c r="N630" s="15" cm="1">
        <f t="array" ref="N630">IFERROR(_xlfn.LET(_xlpm.e,E630,_xlpm.f,F630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630" s="15" t="str">
        <f t="shared" si="83"/>
        <v>$18M → $14M</v>
      </c>
      <c r="P630" s="34" cm="1">
        <f t="array" ref="P630">IFERROR(_xlfn.LET(_xlpm.g,G630,_xlpm.f,F630,_xlpm.h,H630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0.22222098766117968</v>
      </c>
      <c r="Q630" s="15" t="str" cm="1">
        <f t="array" ref="Q630">IFERROR(_xlfn.LET(_xlpm.e,E630,_xlpm.g,G630,_xlpm.h,H630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0" s="15" t="str">
        <f t="shared" si="84"/>
        <v>🔴 Lagging</v>
      </c>
      <c r="S630" s="35" cm="1">
        <f t="array" ref="S630">IFERROR(_xlfn.LET(_xlpm.e,E630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28</v>
      </c>
      <c r="T630" s="36">
        <f t="shared" si="85"/>
        <v>49.999821429209177</v>
      </c>
      <c r="U630" s="15">
        <f t="shared" si="86"/>
        <v>224</v>
      </c>
      <c r="V630" s="16">
        <f t="shared" si="87"/>
        <v>1954.5680193999303</v>
      </c>
      <c r="W630" s="16">
        <f t="shared" si="88"/>
        <v>4860.7213705588092</v>
      </c>
      <c r="X630" s="37">
        <f t="shared" si="89"/>
        <v>45</v>
      </c>
      <c r="Y630" s="15" t="str">
        <f t="shared" si="90"/>
        <v>⚠️ High</v>
      </c>
    </row>
    <row r="631" spans="1:25" x14ac:dyDescent="0.2">
      <c r="A631" t="str">
        <f>'5. KPI Baselines'!A616</f>
        <v>Visual Comfort</v>
      </c>
      <c r="B631" t="str">
        <f>'5. KPI Baselines'!B616</f>
        <v>Manufacturing</v>
      </c>
      <c r="C631" t="str">
        <f>'5. KPI Baselines'!C616</f>
        <v>Quality Assurance</v>
      </c>
      <c r="D631" t="str">
        <f>'5. KPI Baselines'!D616</f>
        <v>Quality Hold Time</v>
      </c>
      <c r="E631" t="str">
        <f>'5. KPI Baselines'!E616</f>
        <v>6 days</v>
      </c>
      <c r="F631" t="str">
        <f>'5. KPI Baselines'!F616</f>
        <v>3 days</v>
      </c>
      <c r="G631" t="str">
        <f>'5. KPI Baselines'!G616</f>
        <v>3 days</v>
      </c>
      <c r="H631" t="str">
        <f>'5. KPI Baselines'!H616</f>
        <v>↓</v>
      </c>
      <c r="I631" t="str">
        <f>'5. KPI Baselines'!I616</f>
        <v>12 months</v>
      </c>
      <c r="J631" t="str">
        <f>'5. KPI Baselines'!J616</f>
        <v>Average days from production completion to warehouse release</v>
      </c>
      <c r="K631" s="15" t="str">
        <f t="shared" si="82"/>
        <v>6 days → 3 days</v>
      </c>
      <c r="L631" s="34" cm="1">
        <f t="array" ref="L631">IFERROR(_xlfn.LET(_xlpm.e,E631,_xlpm.f,F631,_xlpm.h,H631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0.49999166680555324</v>
      </c>
      <c r="M631" s="15" cm="1">
        <f t="array" ref="M631">IFERROR(_xlfn.LET(_xlpm.e,E631,_xlpm.f,F631,_xlpm.h,H631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3.5</v>
      </c>
      <c r="N631" s="15" cm="1">
        <f t="array" ref="N631">IFERROR(_xlfn.LET(_xlpm.e,E631,_xlpm.f,F631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2.2999999999999998</v>
      </c>
      <c r="O631" s="15" t="str">
        <f t="shared" si="83"/>
        <v>3 days → 3 days</v>
      </c>
      <c r="P631" s="34" cm="1">
        <f t="array" ref="P631">IFERROR(_xlfn.LET(_xlpm.g,G631,_xlpm.f,F631,_xlpm.h,H631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31" s="15" t="str" cm="1">
        <f t="array" ref="Q631">IFERROR(_xlfn.LET(_xlpm.e,E631,_xlpm.g,G631,_xlpm.h,H631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1" s="15" t="str">
        <f t="shared" si="84"/>
        <v>🔴 Lagging</v>
      </c>
      <c r="S631" s="35" cm="1">
        <f t="array" ref="S631">IFERROR(_xlfn.LET(_xlpm.e,E631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</v>
      </c>
      <c r="T631" s="36">
        <f t="shared" si="85"/>
        <v>49.999166680555327</v>
      </c>
      <c r="U631" s="15">
        <f t="shared" si="86"/>
        <v>241</v>
      </c>
      <c r="V631" s="16">
        <f t="shared" si="87"/>
        <v>418.83051949134176</v>
      </c>
      <c r="W631" s="16">
        <f t="shared" si="88"/>
        <v>1041.5695112820003</v>
      </c>
      <c r="X631" s="37">
        <f t="shared" si="89"/>
        <v>206</v>
      </c>
      <c r="Y631" s="15" t="str">
        <f t="shared" si="90"/>
        <v>⚠️ High</v>
      </c>
    </row>
    <row r="632" spans="1:25" x14ac:dyDescent="0.2">
      <c r="A632" t="str">
        <f>'5. KPI Baselines'!A617</f>
        <v>Visual Comfort</v>
      </c>
      <c r="B632" t="str">
        <f>'5. KPI Baselines'!B617</f>
        <v>Manufacturing</v>
      </c>
      <c r="C632" t="str">
        <f>'5. KPI Baselines'!C617</f>
        <v>Quality Assurance</v>
      </c>
      <c r="D632" t="str">
        <f>'5. KPI Baselines'!D617</f>
        <v>Inspection Hours per Unit</v>
      </c>
      <c r="E632" t="str">
        <f>'5. KPI Baselines'!E617</f>
        <v>18.75 hours per 1,000 units</v>
      </c>
      <c r="F632" t="str">
        <f>'5. KPI Baselines'!F617</f>
        <v>12 hours per 1,000 units</v>
      </c>
      <c r="G632" t="str">
        <f>'5. KPI Baselines'!G617</f>
        <v>12 hours per 1,000 units</v>
      </c>
      <c r="H632" t="str">
        <f>'5. KPI Baselines'!H617</f>
        <v>↓</v>
      </c>
      <c r="I632" t="str">
        <f>'5. KPI Baselines'!I617</f>
        <v>15 months</v>
      </c>
      <c r="J632" t="str">
        <f>'5. KPI Baselines'!J617</f>
        <v>Total QA labor hours divided by annual production volume</v>
      </c>
      <c r="K632" s="15" t="str">
        <f t="shared" si="82"/>
        <v>18.75 hours per 1,000 units → 12 hours per 1,000 units</v>
      </c>
      <c r="L632" s="34" t="str" cm="1">
        <f t="array" ref="L632">IFERROR(_xlfn.LET(_xlpm.e,E632,_xlpm.f,F632,_xlpm.h,H632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32" s="15" t="str" cm="1">
        <f t="array" ref="M632">IFERROR(_xlfn.LET(_xlpm.e,E632,_xlpm.f,F632,_xlpm.h,H632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32" s="15" t="str" cm="1">
        <f t="array" ref="N632">IFERROR(_xlfn.LET(_xlpm.e,E632,_xlpm.f,F632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32" s="15" t="str">
        <f t="shared" si="83"/>
        <v>12 hours per 1,000 units → 12 hours per 1,000 units</v>
      </c>
      <c r="P632" s="34" t="str" cm="1">
        <f t="array" ref="P632">IFERROR(_xlfn.LET(_xlpm.g,G632,_xlpm.f,F632,_xlpm.h,H632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32" s="15" t="str" cm="1">
        <f t="array" ref="Q632">IFERROR(_xlfn.LET(_xlpm.e,E632,_xlpm.g,G632,_xlpm.h,H632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32" s="15" t="str">
        <f t="shared" si="84"/>
        <v>⚪ N/A</v>
      </c>
      <c r="S632" s="35" cm="1">
        <f t="array" ref="S632">IFERROR(_xlfn.LET(_xlpm.e,E632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32" s="36">
        <f t="shared" si="85"/>
        <v>0</v>
      </c>
      <c r="U632" s="15">
        <f t="shared" si="86"/>
        <v>554</v>
      </c>
      <c r="V632" s="16">
        <f t="shared" si="87"/>
        <v>0</v>
      </c>
      <c r="W632" s="16">
        <f t="shared" si="88"/>
        <v>0</v>
      </c>
      <c r="X632" s="37" t="str">
        <f t="shared" si="89"/>
        <v>-</v>
      </c>
      <c r="Y632" s="15" t="str">
        <f t="shared" si="90"/>
        <v>📉 Low</v>
      </c>
    </row>
    <row r="633" spans="1:25" x14ac:dyDescent="0.2">
      <c r="A633" t="str">
        <f>'5. KPI Baselines'!A618</f>
        <v>Visual Comfort</v>
      </c>
      <c r="B633" t="str">
        <f>'5. KPI Baselines'!B618</f>
        <v>Product Development</v>
      </c>
      <c r="C633" t="str">
        <f>'5. KPI Baselines'!C618</f>
        <v>Collection Design</v>
      </c>
      <c r="D633" t="str">
        <f>'5. KPI Baselines'!D618</f>
        <v>Collection Launch Cycle Time</v>
      </c>
      <c r="E633" t="str">
        <f>'5. KPI Baselines'!E618</f>
        <v>18 months</v>
      </c>
      <c r="F633" t="str">
        <f>'5. KPI Baselines'!F618</f>
        <v>12 months</v>
      </c>
      <c r="G633" t="str">
        <f>'5. KPI Baselines'!G618</f>
        <v>14 months</v>
      </c>
      <c r="H633" t="str">
        <f>'5. KPI Baselines'!H618</f>
        <v>↓</v>
      </c>
      <c r="I633" t="str">
        <f>'5. KPI Baselines'!I618</f>
        <v>24 months</v>
      </c>
      <c r="J633" t="str">
        <f>'5. KPI Baselines'!J618</f>
        <v>Concept approval to first customer shipment</v>
      </c>
      <c r="K633" s="15" t="str">
        <f t="shared" si="82"/>
        <v>18 months → 12 months</v>
      </c>
      <c r="L633" s="34" cm="1">
        <f t="array" ref="L633">IFERROR(_xlfn.LET(_xlpm.e,E633,_xlpm.f,F633,_xlpm.h,H633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0.3333314814917695</v>
      </c>
      <c r="M633" s="15" cm="1">
        <f t="array" ref="M633">IFERROR(_xlfn.LET(_xlpm.e,E633,_xlpm.f,F633,_xlpm.h,H633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12.9</v>
      </c>
      <c r="N633" s="15" cm="1">
        <f t="array" ref="N633">IFERROR(_xlfn.LET(_xlpm.e,E633,_xlpm.f,F633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633" s="15" t="str">
        <f t="shared" si="83"/>
        <v>14 months → 12 months</v>
      </c>
      <c r="P633" s="34" cm="1">
        <f t="array" ref="P633">IFERROR(_xlfn.LET(_xlpm.g,G633,_xlpm.f,F633,_xlpm.h,H633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0.14285612245626816</v>
      </c>
      <c r="Q633" s="15" t="str" cm="1">
        <f t="array" ref="Q633">IFERROR(_xlfn.LET(_xlpm.e,E633,_xlpm.g,G633,_xlpm.h,H633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3" s="15" t="str">
        <f t="shared" si="84"/>
        <v>🔴 Lagging</v>
      </c>
      <c r="S633" s="35" cm="1">
        <f t="array" ref="S633">IFERROR(_xlfn.LET(_xlpm.e,E633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33" s="36">
        <f t="shared" si="85"/>
        <v>33.333148149176949</v>
      </c>
      <c r="U633" s="15">
        <f t="shared" si="86"/>
        <v>365</v>
      </c>
      <c r="V633" s="16">
        <f t="shared" si="87"/>
        <v>837.67034627585406</v>
      </c>
      <c r="W633" s="16">
        <f t="shared" si="88"/>
        <v>2083.1621684245524</v>
      </c>
      <c r="X633" s="37">
        <f t="shared" si="89"/>
        <v>104</v>
      </c>
      <c r="Y633" s="15" t="str">
        <f t="shared" si="90"/>
        <v>⚠️ High</v>
      </c>
    </row>
    <row r="634" spans="1:25" x14ac:dyDescent="0.2">
      <c r="A634" t="str">
        <f>'5. KPI Baselines'!A619</f>
        <v>Visual Comfort</v>
      </c>
      <c r="B634" t="str">
        <f>'5. KPI Baselines'!B619</f>
        <v>Product Development</v>
      </c>
      <c r="C634" t="str">
        <f>'5. KPI Baselines'!C619</f>
        <v>Market Research</v>
      </c>
      <c r="D634" t="str">
        <f>'5. KPI Baselines'!D619</f>
        <v>Pre-Launch Market Validation Coverage</v>
      </c>
      <c r="E634" t="str">
        <f>'5. KPI Baselines'!E619</f>
        <v>20%</v>
      </c>
      <c r="F634" t="str">
        <f>'5. KPI Baselines'!F619</f>
        <v>60%</v>
      </c>
      <c r="G634" t="str">
        <f>'5. KPI Baselines'!G619</f>
        <v>45%</v>
      </c>
      <c r="H634" t="str">
        <f>'5. KPI Baselines'!H619</f>
        <v>↑</v>
      </c>
      <c r="I634" t="str">
        <f>'5. KPI Baselines'!I619</f>
        <v>18 months</v>
      </c>
      <c r="J634" t="str">
        <f>'5. KPI Baselines'!J619</f>
        <v>Percentage of SKUs tested with target designers before production</v>
      </c>
      <c r="K634" s="15" t="str">
        <f t="shared" si="82"/>
        <v>60% - 20%</v>
      </c>
      <c r="L634" s="34" cm="1">
        <f t="array" ref="L634">IFERROR(_xlfn.LET(_xlpm.e,E634,_xlpm.f,F634,_xlpm.h,H634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1.9999900000499997</v>
      </c>
      <c r="M634" s="15" cm="1">
        <f t="array" ref="M634">IFERROR(_xlfn.LET(_xlpm.e,E634,_xlpm.f,F634,_xlpm.h,H634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54</v>
      </c>
      <c r="N634" s="15" cm="1">
        <f t="array" ref="N634">IFERROR(_xlfn.LET(_xlpm.e,E634,_xlpm.f,F634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30.6</v>
      </c>
      <c r="O634" s="15" t="str">
        <f t="shared" si="83"/>
        <v>60% - 45%</v>
      </c>
      <c r="P634" s="34" cm="1">
        <f t="array" ref="P634">IFERROR(_xlfn.LET(_xlpm.g,G634,_xlpm.f,F634,_xlpm.h,H634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0.33333259259423864</v>
      </c>
      <c r="Q634" s="15" t="str" cm="1">
        <f t="array" ref="Q634">IFERROR(_xlfn.LET(_xlpm.e,E634,_xlpm.g,G634,_xlpm.h,H634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4" s="15" t="str">
        <f t="shared" si="84"/>
        <v>🔴 Lagging</v>
      </c>
      <c r="S634" s="35" cm="1">
        <f t="array" ref="S634">IFERROR(_xlfn.LET(_xlpm.e,E634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20</v>
      </c>
      <c r="T634" s="36">
        <f t="shared" si="85"/>
        <v>199.99900000499997</v>
      </c>
      <c r="U634" s="15">
        <f t="shared" si="86"/>
        <v>5</v>
      </c>
      <c r="V634" s="16">
        <f t="shared" si="87"/>
        <v>5584.4720776396116</v>
      </c>
      <c r="W634" s="16">
        <f t="shared" si="88"/>
        <v>13887.755504873878</v>
      </c>
      <c r="X634" s="37">
        <f t="shared" si="89"/>
        <v>16</v>
      </c>
      <c r="Y634" s="15" t="str">
        <f t="shared" si="90"/>
        <v>🔥 Critical</v>
      </c>
    </row>
    <row r="635" spans="1:25" x14ac:dyDescent="0.2">
      <c r="A635" t="str">
        <f>'5. KPI Baselines'!A620</f>
        <v>Visual Comfort</v>
      </c>
      <c r="B635" t="str">
        <f>'5. KPI Baselines'!B620</f>
        <v>Finance</v>
      </c>
      <c r="C635" t="str">
        <f>'5. KPI Baselines'!C620</f>
        <v>Accounts Receivable</v>
      </c>
      <c r="D635" t="str">
        <f>'5. KPI Baselines'!D620</f>
        <v>Days Sales Outstanding</v>
      </c>
      <c r="E635" t="str">
        <f>'5. KPI Baselines'!E620</f>
        <v>42 days</v>
      </c>
      <c r="F635" t="str">
        <f>'5. KPI Baselines'!F620</f>
        <v>35 days</v>
      </c>
      <c r="G635" t="str">
        <f>'5. KPI Baselines'!G620</f>
        <v>35 days</v>
      </c>
      <c r="H635" t="str">
        <f>'5. KPI Baselines'!H620</f>
        <v>↓</v>
      </c>
      <c r="I635" t="str">
        <f>'5. KPI Baselines'!I620</f>
        <v>12 months</v>
      </c>
      <c r="J635" t="str">
        <f>'5. KPI Baselines'!J620</f>
        <v>Average collection period for trade receivables</v>
      </c>
      <c r="K635" s="15" t="str">
        <f t="shared" si="82"/>
        <v>42 days → 35 days</v>
      </c>
      <c r="L635" s="34" cm="1">
        <f t="array" ref="L635">IFERROR(_xlfn.LET(_xlpm.e,E635,_xlpm.f,F635,_xlpm.h,H635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0.16666626984221464</v>
      </c>
      <c r="M635" s="15" cm="1">
        <f t="array" ref="M635">IFERROR(_xlfn.LET(_xlpm.e,E635,_xlpm.f,F635,_xlpm.h,H635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36.1</v>
      </c>
      <c r="N635" s="15" cm="1">
        <f t="array" ref="N635">IFERROR(_xlfn.LET(_xlpm.e,E635,_xlpm.f,F635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635" s="15" t="str">
        <f t="shared" si="83"/>
        <v>35 days → 35 days</v>
      </c>
      <c r="P635" s="34" cm="1">
        <f t="array" ref="P635">IFERROR(_xlfn.LET(_xlpm.g,G635,_xlpm.f,F635,_xlpm.h,H635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</v>
      </c>
      <c r="Q635" s="15" t="str" cm="1">
        <f t="array" ref="Q635">IFERROR(_xlfn.LET(_xlpm.e,E635,_xlpm.g,G635,_xlpm.h,H635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5" s="15" t="str">
        <f t="shared" si="84"/>
        <v>🔴 Lagging</v>
      </c>
      <c r="S635" s="35" cm="1">
        <f t="array" ref="S635">IFERROR(_xlfn.LET(_xlpm.e,E635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42</v>
      </c>
      <c r="T635" s="36">
        <f t="shared" si="85"/>
        <v>16.666626984221462</v>
      </c>
      <c r="U635" s="15">
        <f t="shared" si="86"/>
        <v>491</v>
      </c>
      <c r="V635" s="16">
        <f t="shared" si="87"/>
        <v>977.2851731305401</v>
      </c>
      <c r="W635" s="16">
        <f t="shared" si="88"/>
        <v>2430.3635785590463</v>
      </c>
      <c r="X635" s="37">
        <f t="shared" si="89"/>
        <v>89</v>
      </c>
      <c r="Y635" s="15" t="str">
        <f t="shared" si="90"/>
        <v>📊 Medium</v>
      </c>
    </row>
    <row r="636" spans="1:25" x14ac:dyDescent="0.2">
      <c r="A636" t="str">
        <f>'5. KPI Baselines'!A621</f>
        <v>Visual Comfort</v>
      </c>
      <c r="B636" t="str">
        <f>'5. KPI Baselines'!B621</f>
        <v>Customer Service</v>
      </c>
      <c r="C636" t="str">
        <f>'5. KPI Baselines'!C621</f>
        <v>Technical Support</v>
      </c>
      <c r="D636" t="str">
        <f>'5. KPI Baselines'!D621</f>
        <v>First Contact Resolution Rate</v>
      </c>
      <c r="E636" t="str">
        <f>'5. KPI Baselines'!E621</f>
        <v>62%</v>
      </c>
      <c r="F636" t="str">
        <f>'5. KPI Baselines'!F621</f>
        <v>80%</v>
      </c>
      <c r="G636" t="str">
        <f>'5. KPI Baselines'!G621</f>
        <v>75%</v>
      </c>
      <c r="H636" t="str">
        <f>'5. KPI Baselines'!H621</f>
        <v>↑</v>
      </c>
      <c r="I636" t="str">
        <f>'5. KPI Baselines'!I621</f>
        <v>9 months</v>
      </c>
      <c r="J636" t="str">
        <f>'5. KPI Baselines'!J621</f>
        <v>Percentage of inquiries resolved without escalation or follow-up</v>
      </c>
      <c r="K636" s="15" t="str">
        <f t="shared" si="82"/>
        <v>80% - 62%</v>
      </c>
      <c r="L636" s="34" cm="1">
        <f t="array" ref="L636">IFERROR(_xlfn.LET(_xlpm.e,E636,_xlpm.f,F636,_xlpm.h,H636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0.29032211238368971</v>
      </c>
      <c r="M636" s="15" cm="1">
        <f t="array" ref="M636">IFERROR(_xlfn.LET(_xlpm.e,E636,_xlpm.f,F636,_xlpm.h,H636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77.3</v>
      </c>
      <c r="N636" s="15" cm="1">
        <f t="array" ref="N636">IFERROR(_xlfn.LET(_xlpm.e,E636,_xlpm.f,F636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636" s="15" t="str">
        <f t="shared" si="83"/>
        <v>80% - 75%</v>
      </c>
      <c r="P636" s="34" cm="1">
        <f t="array" ref="P636">IFERROR(_xlfn.LET(_xlpm.g,G636,_xlpm.f,F636,_xlpm.h,H636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6.6666577777896294E-2</v>
      </c>
      <c r="Q636" s="15" t="str" cm="1">
        <f t="array" ref="Q636">IFERROR(_xlfn.LET(_xlpm.e,E636,_xlpm.g,G636,_xlpm.h,H636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6" s="15" t="str">
        <f t="shared" si="84"/>
        <v>🔴 Lagging</v>
      </c>
      <c r="S636" s="35" cm="1">
        <f t="array" ref="S636">IFERROR(_xlfn.LET(_xlpm.e,E636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62</v>
      </c>
      <c r="T636" s="36">
        <f t="shared" si="85"/>
        <v>29.032211238368973</v>
      </c>
      <c r="U636" s="15">
        <f t="shared" si="86"/>
        <v>399</v>
      </c>
      <c r="V636" s="16">
        <f t="shared" si="87"/>
        <v>2513.0209467404084</v>
      </c>
      <c r="W636" s="16">
        <f t="shared" si="88"/>
        <v>6249.5111447864447</v>
      </c>
      <c r="X636" s="37">
        <f t="shared" si="89"/>
        <v>35</v>
      </c>
      <c r="Y636" s="15" t="str">
        <f t="shared" si="90"/>
        <v>⚠️ High</v>
      </c>
    </row>
    <row r="637" spans="1:25" x14ac:dyDescent="0.2">
      <c r="A637" t="str">
        <f>'5. KPI Baselines'!A622</f>
        <v>Visual Comfort</v>
      </c>
      <c r="B637" t="str">
        <f>'5. KPI Baselines'!B622</f>
        <v>Legal &amp; Compliance</v>
      </c>
      <c r="C637" t="str">
        <f>'5. KPI Baselines'!C622</f>
        <v>Contract Management</v>
      </c>
      <c r="D637" t="str">
        <f>'5. KPI Baselines'!D622</f>
        <v>Contract Review Cycle Time</v>
      </c>
      <c r="E637" t="str">
        <f>'5. KPI Baselines'!E622</f>
        <v>8 days</v>
      </c>
      <c r="F637" t="str">
        <f>'5. KPI Baselines'!F622</f>
        <v>4 days</v>
      </c>
      <c r="G637" t="str">
        <f>'5. KPI Baselines'!G622</f>
        <v>5 days</v>
      </c>
      <c r="H637" t="str">
        <f>'5. KPI Baselines'!H622</f>
        <v>↓</v>
      </c>
      <c r="I637" t="str">
        <f>'5. KPI Baselines'!I622</f>
        <v>12 months</v>
      </c>
      <c r="J637" t="str">
        <f>'5. KPI Baselines'!J622</f>
        <v>Average days from contract receipt to execution</v>
      </c>
      <c r="K637" s="15" t="str">
        <f t="shared" si="82"/>
        <v>8 days → 4 days</v>
      </c>
      <c r="L637" s="34" cm="1">
        <f t="array" ref="L637">IFERROR(_xlfn.LET(_xlpm.e,E637,_xlpm.f,F637,_xlpm.h,H637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0.49999375007812402</v>
      </c>
      <c r="M637" s="15" cm="1">
        <f t="array" ref="M637">IFERROR(_xlfn.LET(_xlpm.e,E637,_xlpm.f,F637,_xlpm.h,H637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4.5999999999999996</v>
      </c>
      <c r="N637" s="15" cm="1">
        <f t="array" ref="N637">IFERROR(_xlfn.LET(_xlpm.e,E637,_xlpm.f,F637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3.06</v>
      </c>
      <c r="O637" s="15" t="str">
        <f t="shared" si="83"/>
        <v>5 days → 4 days</v>
      </c>
      <c r="P637" s="34" cm="1">
        <f t="array" ref="P637">IFERROR(_xlfn.LET(_xlpm.g,G637,_xlpm.f,F637,_xlpm.h,H637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0.1999960000799984</v>
      </c>
      <c r="Q637" s="15" t="str" cm="1">
        <f t="array" ref="Q637">IFERROR(_xlfn.LET(_xlpm.e,E637,_xlpm.g,G637,_xlpm.h,H637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7" s="15" t="str">
        <f t="shared" si="84"/>
        <v>🔴 Lagging</v>
      </c>
      <c r="S637" s="35" cm="1">
        <f t="array" ref="S637">IFERROR(_xlfn.LET(_xlpm.e,E637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</v>
      </c>
      <c r="T637" s="36">
        <f t="shared" si="85"/>
        <v>49.999375007812404</v>
      </c>
      <c r="U637" s="15">
        <f t="shared" si="86"/>
        <v>239</v>
      </c>
      <c r="V637" s="16">
        <f t="shared" si="87"/>
        <v>558.44301946225664</v>
      </c>
      <c r="W637" s="16">
        <f t="shared" si="88"/>
        <v>1388.7651348009549</v>
      </c>
      <c r="X637" s="37">
        <f t="shared" si="89"/>
        <v>155</v>
      </c>
      <c r="Y637" s="15" t="str">
        <f t="shared" si="90"/>
        <v>⚠️ High</v>
      </c>
    </row>
    <row r="638" spans="1:25" x14ac:dyDescent="0.2">
      <c r="A638" t="str">
        <f>'5. KPI Baselines'!A623</f>
        <v>Visual Comfort</v>
      </c>
      <c r="B638" t="str">
        <f>'5. KPI Baselines'!B623</f>
        <v>Human Resources</v>
      </c>
      <c r="C638" t="str">
        <f>'5. KPI Baselines'!C623</f>
        <v>Talent Acquisition</v>
      </c>
      <c r="D638" t="str">
        <f>'5. KPI Baselines'!D623</f>
        <v>Time to Fill Specialized Roles</v>
      </c>
      <c r="E638" t="str">
        <f>'5. KPI Baselines'!E623</f>
        <v>67 days</v>
      </c>
      <c r="F638" t="str">
        <f>'5. KPI Baselines'!F623</f>
        <v>45 days</v>
      </c>
      <c r="G638" t="str">
        <f>'5. KPI Baselines'!G623</f>
        <v>52 days</v>
      </c>
      <c r="H638" t="str">
        <f>'5. KPI Baselines'!H623</f>
        <v>↓</v>
      </c>
      <c r="I638" t="str">
        <f>'5. KPI Baselines'!I623</f>
        <v>15 months</v>
      </c>
      <c r="J638" t="str">
        <f>'5. KPI Baselines'!J623</f>
        <v>Requisition approval to offer acceptance for design and technical positions</v>
      </c>
      <c r="K638" s="15" t="str">
        <f t="shared" si="82"/>
        <v>67 days → 45 days</v>
      </c>
      <c r="L638" s="34" cm="1">
        <f t="array" ref="L638">IFERROR(_xlfn.LET(_xlpm.e,E638,_xlpm.f,F638,_xlpm.h,H638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0.32835771886907628</v>
      </c>
      <c r="M638" s="15" cm="1">
        <f t="array" ref="M638">IFERROR(_xlfn.LET(_xlpm.e,E638,_xlpm.f,F638,_xlpm.h,H638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48.3</v>
      </c>
      <c r="N638" s="15" cm="1">
        <f t="array" ref="N638">IFERROR(_xlfn.LET(_xlpm.e,E638,_xlpm.f,F638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16.829999999999998</v>
      </c>
      <c r="O638" s="15" t="str">
        <f t="shared" si="83"/>
        <v>52 days → 45 days</v>
      </c>
      <c r="P638" s="34" cm="1">
        <f t="array" ref="P638">IFERROR(_xlfn.LET(_xlpm.g,G638,_xlpm.f,F638,_xlpm.h,H638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0.13461512574014281</v>
      </c>
      <c r="Q638" s="15" t="str" cm="1">
        <f t="array" ref="Q638">IFERROR(_xlfn.LET(_xlpm.e,E638,_xlpm.g,G638,_xlpm.h,H638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8" s="15" t="str">
        <f t="shared" si="84"/>
        <v>🔴 Lagging</v>
      </c>
      <c r="S638" s="35" cm="1">
        <f t="array" ref="S638">IFERROR(_xlfn.LET(_xlpm.e,E638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638" s="36">
        <f t="shared" si="85"/>
        <v>32.835771886907629</v>
      </c>
      <c r="U638" s="15">
        <f t="shared" si="86"/>
        <v>376</v>
      </c>
      <c r="V638" s="16">
        <f t="shared" si="87"/>
        <v>3071.4704157157971</v>
      </c>
      <c r="W638" s="16">
        <f t="shared" si="88"/>
        <v>7638.2923185719737</v>
      </c>
      <c r="X638" s="37">
        <f t="shared" si="89"/>
        <v>28</v>
      </c>
      <c r="Y638" s="15" t="str">
        <f t="shared" si="90"/>
        <v>⚠️ High</v>
      </c>
    </row>
    <row r="639" spans="1:25" x14ac:dyDescent="0.2">
      <c r="A639" t="str">
        <f>'5. KPI Baselines'!A624</f>
        <v>Window Nation</v>
      </c>
      <c r="B639" t="str">
        <f>'5. KPI Baselines'!B624</f>
        <v>Sales Operations</v>
      </c>
      <c r="C639" t="str">
        <f>'5. KPI Baselines'!C624</f>
        <v>Lead Management</v>
      </c>
      <c r="D639" t="str">
        <f>'5. KPI Baselines'!D624</f>
        <v>Lead-to-Quote Conversion</v>
      </c>
      <c r="E639" t="str">
        <f>'5. KPI Baselines'!E624</f>
        <v>24%</v>
      </c>
      <c r="F639" t="str">
        <f>'5. KPI Baselines'!F624</f>
        <v>29%</v>
      </c>
      <c r="G639" t="str">
        <f>'5. KPI Baselines'!G624</f>
        <v>28%</v>
      </c>
      <c r="H639" t="str">
        <f>'5. KPI Baselines'!H624</f>
        <v>↑</v>
      </c>
      <c r="I639" t="str">
        <f>'5. KPI Baselines'!I624</f>
        <v>12 months</v>
      </c>
      <c r="J639" t="str">
        <f>'5. KPI Baselines'!J624</f>
        <v>CRM conversion tracking from qualified lead to signed contract</v>
      </c>
      <c r="K639" s="15" t="str">
        <f t="shared" si="82"/>
        <v>29% - 24%</v>
      </c>
      <c r="L639" s="34" cm="1">
        <f t="array" ref="L639">IFERROR(_xlfn.LET(_xlpm.e,E639,_xlpm.f,F639,_xlpm.h,H639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0.20833246528139465</v>
      </c>
      <c r="M639" s="15" cm="1">
        <f t="array" ref="M639">IFERROR(_xlfn.LET(_xlpm.e,E639,_xlpm.f,F639,_xlpm.h,H639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28.3</v>
      </c>
      <c r="N639" s="15" cm="1">
        <f t="array" ref="N639">IFERROR(_xlfn.LET(_xlpm.e,E639,_xlpm.f,F639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639" s="15" t="str">
        <f t="shared" si="83"/>
        <v>29% - 28%</v>
      </c>
      <c r="P639" s="34" cm="1">
        <f t="array" ref="P639">IFERROR(_xlfn.LET(_xlpm.g,G639,_xlpm.f,F639,_xlpm.h,H639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3.5714158163720845E-2</v>
      </c>
      <c r="Q639" s="15" t="str" cm="1">
        <f t="array" ref="Q639">IFERROR(_xlfn.LET(_xlpm.e,E639,_xlpm.g,G639,_xlpm.h,H639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39" s="15" t="str">
        <f t="shared" si="84"/>
        <v>🔴 Lagging</v>
      </c>
      <c r="S639" s="35" cm="1">
        <f t="array" ref="S639">IFERROR(_xlfn.LET(_xlpm.e,E639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24</v>
      </c>
      <c r="T639" s="36">
        <f t="shared" si="85"/>
        <v>20.833246528139465</v>
      </c>
      <c r="U639" s="15">
        <f t="shared" si="86"/>
        <v>460</v>
      </c>
      <c r="V639" s="16">
        <f t="shared" si="87"/>
        <v>698.059591418369</v>
      </c>
      <c r="W639" s="16">
        <f t="shared" si="88"/>
        <v>1735.9708847444053</v>
      </c>
      <c r="X639" s="37">
        <f t="shared" si="89"/>
        <v>124</v>
      </c>
      <c r="Y639" s="15" t="str">
        <f t="shared" si="90"/>
        <v>📊 Medium</v>
      </c>
    </row>
    <row r="640" spans="1:25" x14ac:dyDescent="0.2">
      <c r="A640" t="str">
        <f>'5. KPI Baselines'!A625</f>
        <v>Window Nation</v>
      </c>
      <c r="B640" t="str">
        <f>'5. KPI Baselines'!B625</f>
        <v>Sales Operations</v>
      </c>
      <c r="C640" t="str">
        <f>'5. KPI Baselines'!C625</f>
        <v>Proposal Generation</v>
      </c>
      <c r="D640" t="str">
        <f>'5. KPI Baselines'!D625</f>
        <v>Proposals per Rep per Week</v>
      </c>
      <c r="E640" t="str">
        <f>'5. KPI Baselines'!E625</f>
        <v>18</v>
      </c>
      <c r="F640" t="str">
        <f>'5. KPI Baselines'!F625</f>
        <v>28</v>
      </c>
      <c r="G640" t="str">
        <f>'5. KPI Baselines'!G625</f>
        <v>24</v>
      </c>
      <c r="H640" t="str">
        <f>'5. KPI Baselines'!H625</f>
        <v>↑</v>
      </c>
      <c r="I640" t="str">
        <f>'5. KPI Baselines'!I625</f>
        <v>9 months</v>
      </c>
      <c r="J640" t="str">
        <f>'5. KPI Baselines'!J625</f>
        <v>Weekly activity reports per sales representative</v>
      </c>
      <c r="K640" s="15" t="str">
        <f t="shared" si="82"/>
        <v>28 - 18</v>
      </c>
      <c r="L640" s="34" cm="1">
        <f t="array" ref="L640">IFERROR(_xlfn.LET(_xlpm.e,E640,_xlpm.f,F640,_xlpm.h,H640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0.5555524691529492</v>
      </c>
      <c r="M640" s="15" cm="1">
        <f t="array" ref="M640">IFERROR(_xlfn.LET(_xlpm.e,E640,_xlpm.f,F640,_xlpm.h,H640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26.5</v>
      </c>
      <c r="N640" s="15" cm="1">
        <f t="array" ref="N640">IFERROR(_xlfn.LET(_xlpm.e,E640,_xlpm.f,F640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640" s="15" t="str">
        <f t="shared" si="83"/>
        <v>28 - 24</v>
      </c>
      <c r="P640" s="34" cm="1">
        <f t="array" ref="P640">IFERROR(_xlfn.LET(_xlpm.g,G640,_xlpm.f,F640,_xlpm.h,H640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0.16666597222511573</v>
      </c>
      <c r="Q640" s="15" t="str" cm="1">
        <f t="array" ref="Q640">IFERROR(_xlfn.LET(_xlpm.e,E640,_xlpm.g,G640,_xlpm.h,H640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0" s="15" t="str">
        <f t="shared" si="84"/>
        <v>🔴 Lagging</v>
      </c>
      <c r="S640" s="35" cm="1">
        <f t="array" ref="S640">IFERROR(_xlfn.LET(_xlpm.e,E640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40" s="36">
        <f t="shared" si="85"/>
        <v>55.555246915294923</v>
      </c>
      <c r="U640" s="15">
        <f t="shared" si="86"/>
        <v>188</v>
      </c>
      <c r="V640" s="16">
        <f t="shared" si="87"/>
        <v>1396.11724379309</v>
      </c>
      <c r="W640" s="16">
        <f t="shared" si="88"/>
        <v>3471.936947374254</v>
      </c>
      <c r="X640" s="37">
        <f t="shared" si="89"/>
        <v>62</v>
      </c>
      <c r="Y640" s="15" t="str">
        <f t="shared" si="90"/>
        <v>🔥 Critical</v>
      </c>
    </row>
    <row r="641" spans="1:25" x14ac:dyDescent="0.2">
      <c r="A641" t="str">
        <f>'5. KPI Baselines'!A626</f>
        <v>Window Nation</v>
      </c>
      <c r="B641" t="str">
        <f>'5. KPI Baselines'!B626</f>
        <v>Installation Operations</v>
      </c>
      <c r="C641" t="str">
        <f>'5. KPI Baselines'!C626</f>
        <v>Logistics Coordination</v>
      </c>
      <c r="D641" t="str">
        <f>'5. KPI Baselines'!D626</f>
        <v>Material-to-Install Cycle Time</v>
      </c>
      <c r="E641" t="str">
        <f>'5. KPI Baselines'!E626</f>
        <v>14 days</v>
      </c>
      <c r="F641" t="str">
        <f>'5. KPI Baselines'!F626</f>
        <v>6 days</v>
      </c>
      <c r="G641" t="str">
        <f>'5. KPI Baselines'!G626</f>
        <v>8 days</v>
      </c>
      <c r="H641" t="str">
        <f>'5. KPI Baselines'!H626</f>
        <v>↓</v>
      </c>
      <c r="I641" t="str">
        <f>'5. KPI Baselines'!I626</f>
        <v>12 months</v>
      </c>
      <c r="J641" t="str">
        <f>'5. KPI Baselines'!J626</f>
        <v>Days between material availability and installation completion</v>
      </c>
      <c r="K641" s="15" t="str">
        <f t="shared" si="82"/>
        <v>14 days → 6 days</v>
      </c>
      <c r="L641" s="34" cm="1">
        <f t="array" ref="L641">IFERROR(_xlfn.LET(_xlpm.e,E641,_xlpm.f,F641,_xlpm.h,H641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0.57142448982507266</v>
      </c>
      <c r="M641" s="15" cm="1">
        <f t="array" ref="M641">IFERROR(_xlfn.LET(_xlpm.e,E641,_xlpm.f,F641,_xlpm.h,H641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7.2</v>
      </c>
      <c r="N641" s="15" cm="1">
        <f t="array" ref="N641">IFERROR(_xlfn.LET(_xlpm.e,E641,_xlpm.f,F641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641" s="15" t="str">
        <f t="shared" si="83"/>
        <v>8 days → 6 days</v>
      </c>
      <c r="P641" s="34" cm="1">
        <f t="array" ref="P641">IFERROR(_xlfn.LET(_xlpm.g,G641,_xlpm.f,F641,_xlpm.h,H641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0.24999687503906201</v>
      </c>
      <c r="Q641" s="15" t="str" cm="1">
        <f t="array" ref="Q641">IFERROR(_xlfn.LET(_xlpm.e,E641,_xlpm.g,G641,_xlpm.h,H641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1" s="15" t="str">
        <f t="shared" si="84"/>
        <v>🔴 Lagging</v>
      </c>
      <c r="S641" s="35" cm="1">
        <f t="array" ref="S641">IFERROR(_xlfn.LET(_xlpm.e,E641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14</v>
      </c>
      <c r="T641" s="36">
        <f t="shared" si="85"/>
        <v>57.142448982507268</v>
      </c>
      <c r="U641" s="15">
        <f t="shared" si="86"/>
        <v>173</v>
      </c>
      <c r="V641" s="16">
        <f t="shared" si="87"/>
        <v>1116.8920221998414</v>
      </c>
      <c r="W641" s="16">
        <f t="shared" si="88"/>
        <v>2777.5451491220724</v>
      </c>
      <c r="X641" s="37">
        <f t="shared" si="89"/>
        <v>78</v>
      </c>
      <c r="Y641" s="15" t="str">
        <f t="shared" si="90"/>
        <v>🔥 Critical</v>
      </c>
    </row>
    <row r="642" spans="1:25" x14ac:dyDescent="0.2">
      <c r="A642" t="str">
        <f>'5. KPI Baselines'!A627</f>
        <v>Window Nation</v>
      </c>
      <c r="B642" t="str">
        <f>'5. KPI Baselines'!B627</f>
        <v>Installation Operations</v>
      </c>
      <c r="C642" t="str">
        <f>'5. KPI Baselines'!C627</f>
        <v>Crew Utilization</v>
      </c>
      <c r="D642" t="str">
        <f>'5. KPI Baselines'!D627</f>
        <v>Billable Hours as % of Total</v>
      </c>
      <c r="E642" t="str">
        <f>'5. KPI Baselines'!E627</f>
        <v>67%</v>
      </c>
      <c r="F642" t="str">
        <f>'5. KPI Baselines'!F627</f>
        <v>82%</v>
      </c>
      <c r="G642" t="str">
        <f>'5. KPI Baselines'!G627</f>
        <v>75%</v>
      </c>
      <c r="H642" t="str">
        <f>'5. KPI Baselines'!H627</f>
        <v>↑</v>
      </c>
      <c r="I642" t="str">
        <f>'5. KPI Baselines'!I627</f>
        <v>18 months</v>
      </c>
      <c r="J642" t="str">
        <f>'5. KPI Baselines'!J627</f>
        <v>Installation hours divided by total crew hours including travel</v>
      </c>
      <c r="K642" s="15" t="str">
        <f t="shared" si="82"/>
        <v>82% - 67%</v>
      </c>
      <c r="L642" s="34" cm="1">
        <f t="array" ref="L642">IFERROR(_xlfn.LET(_xlpm.e,E642,_xlpm.f,F642,_xlpm.h,H642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0.22388026286527929</v>
      </c>
      <c r="M642" s="15" cm="1">
        <f t="array" ref="M642">IFERROR(_xlfn.LET(_xlpm.e,E642,_xlpm.f,F642,_xlpm.h,H642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79.8</v>
      </c>
      <c r="N642" s="15" cm="1">
        <f t="array" ref="N642">IFERROR(_xlfn.LET(_xlpm.e,E642,_xlpm.f,F642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11.48</v>
      </c>
      <c r="O642" s="15" t="str">
        <f t="shared" si="83"/>
        <v>82% - 75%</v>
      </c>
      <c r="P642" s="34" cm="1">
        <f t="array" ref="P642">IFERROR(_xlfn.LET(_xlpm.g,G642,_xlpm.f,F642,_xlpm.h,H642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9.3333208889054817E-2</v>
      </c>
      <c r="Q642" s="15" t="str" cm="1">
        <f t="array" ref="Q642">IFERROR(_xlfn.LET(_xlpm.e,E642,_xlpm.g,G642,_xlpm.h,H642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2" s="15" t="str">
        <f t="shared" si="84"/>
        <v>🔴 Lagging</v>
      </c>
      <c r="S642" s="35" cm="1">
        <f t="array" ref="S642">IFERROR(_xlfn.LET(_xlpm.e,E642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</v>
      </c>
      <c r="T642" s="36">
        <f t="shared" si="85"/>
        <v>22.388026286527928</v>
      </c>
      <c r="U642" s="15">
        <f t="shared" si="86"/>
        <v>443</v>
      </c>
      <c r="V642" s="16">
        <f t="shared" si="87"/>
        <v>2094.1843743516802</v>
      </c>
      <c r="W642" s="16">
        <f t="shared" si="88"/>
        <v>5207.9265808445289</v>
      </c>
      <c r="X642" s="37">
        <f t="shared" si="89"/>
        <v>42</v>
      </c>
      <c r="Y642" s="15" t="str">
        <f t="shared" si="90"/>
        <v>📊 Medium</v>
      </c>
    </row>
    <row r="643" spans="1:25" x14ac:dyDescent="0.2">
      <c r="A643" t="str">
        <f>'5. KPI Baselines'!A628</f>
        <v>Window Nation</v>
      </c>
      <c r="B643" t="str">
        <f>'5. KPI Baselines'!B628</f>
        <v>Installation Operations</v>
      </c>
      <c r="C643" t="str">
        <f>'5. KPI Baselines'!C628</f>
        <v>Route Efficiency</v>
      </c>
      <c r="D643" t="str">
        <f>'5. KPI Baselines'!D628</f>
        <v>Fuel Cost Premium vs Optimized</v>
      </c>
      <c r="E643" t="str">
        <f>'5. KPI Baselines'!E628</f>
        <v>18%</v>
      </c>
      <c r="F643" t="str">
        <f>'5. KPI Baselines'!F628</f>
        <v>7%</v>
      </c>
      <c r="G643" t="str">
        <f>'5. KPI Baselines'!G628</f>
        <v>9%</v>
      </c>
      <c r="H643" t="str">
        <f>'5. KPI Baselines'!H628</f>
        <v>↓</v>
      </c>
      <c r="I643" t="str">
        <f>'5. KPI Baselines'!I628</f>
        <v>9 months</v>
      </c>
      <c r="J643" t="str">
        <f>'5. KPI Baselines'!J628</f>
        <v>Actual fuel cost versus theoretical optimized routing model</v>
      </c>
      <c r="K643" s="15" t="str">
        <f t="shared" si="82"/>
        <v>18% → 7%</v>
      </c>
      <c r="L643" s="34" cm="1">
        <f t="array" ref="L643">IFERROR(_xlfn.LET(_xlpm.e,E643,_xlpm.f,F643,_xlpm.h,H643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0.6111077160682441</v>
      </c>
      <c r="M643" s="15" cm="1">
        <f t="array" ref="M643">IFERROR(_xlfn.LET(_xlpm.e,E643,_xlpm.f,F643,_xlpm.h,H643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8.6999999999999993</v>
      </c>
      <c r="N643" s="15" cm="1">
        <f t="array" ref="N643">IFERROR(_xlfn.LET(_xlpm.e,E643,_xlpm.f,F643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643" s="15" t="str">
        <f t="shared" si="83"/>
        <v>9% → 7%</v>
      </c>
      <c r="P643" s="34" cm="1">
        <f t="array" ref="P643">IFERROR(_xlfn.LET(_xlpm.g,G643,_xlpm.f,F643,_xlpm.h,H643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0.22221975311385431</v>
      </c>
      <c r="Q643" s="15" t="str" cm="1">
        <f t="array" ref="Q643">IFERROR(_xlfn.LET(_xlpm.e,E643,_xlpm.g,G643,_xlpm.h,H643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3" s="15" t="str">
        <f t="shared" si="84"/>
        <v>🔴 Lagging</v>
      </c>
      <c r="S643" s="35" cm="1">
        <f t="array" ref="S643">IFERROR(_xlfn.LET(_xlpm.e,E643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43" s="36">
        <f t="shared" si="85"/>
        <v>61.110771606824407</v>
      </c>
      <c r="U643" s="15">
        <f t="shared" si="86"/>
        <v>146</v>
      </c>
      <c r="V643" s="16">
        <f t="shared" si="87"/>
        <v>1535.7289681723992</v>
      </c>
      <c r="W643" s="16">
        <f t="shared" si="88"/>
        <v>3819.1306421116797</v>
      </c>
      <c r="X643" s="37">
        <f t="shared" si="89"/>
        <v>57</v>
      </c>
      <c r="Y643" s="15" t="str">
        <f t="shared" si="90"/>
        <v>🔥 Critical</v>
      </c>
    </row>
    <row r="644" spans="1:25" x14ac:dyDescent="0.2">
      <c r="A644" t="str">
        <f>'5. KPI Baselines'!A629</f>
        <v>Window Nation</v>
      </c>
      <c r="B644" t="str">
        <f>'5. KPI Baselines'!B629</f>
        <v>Quality Assurance</v>
      </c>
      <c r="C644" t="str">
        <f>'5. KPI Baselines'!C629</f>
        <v>Installation Inspection</v>
      </c>
      <c r="D644" t="str">
        <f>'5. KPI Baselines'!D629</f>
        <v>Defect Detection Consistency</v>
      </c>
      <c r="E644" t="str">
        <f>'5. KPI Baselines'!E629</f>
        <v>73%</v>
      </c>
      <c r="F644" t="str">
        <f>'5. KPI Baselines'!F629</f>
        <v>91%</v>
      </c>
      <c r="G644" t="str">
        <f>'5. KPI Baselines'!G629</f>
        <v>85%</v>
      </c>
      <c r="H644" t="str">
        <f>'5. KPI Baselines'!H629</f>
        <v>↑</v>
      </c>
      <c r="I644" t="str">
        <f>'5. KPI Baselines'!I629</f>
        <v>12 months</v>
      </c>
      <c r="J644" t="str">
        <f>'5. KPI Baselines'!J629</f>
        <v>Inter-inspector agreement on standardized defect taxonomy</v>
      </c>
      <c r="K644" s="15" t="str">
        <f t="shared" si="82"/>
        <v>91% - 73%</v>
      </c>
      <c r="L644" s="34" cm="1">
        <f t="array" ref="L644">IFERROR(_xlfn.LET(_xlpm.e,E644,_xlpm.f,F644,_xlpm.h,H644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0.24657500469177437</v>
      </c>
      <c r="M644" s="15" cm="1">
        <f t="array" ref="M644">IFERROR(_xlfn.LET(_xlpm.e,E644,_xlpm.f,F644,_xlpm.h,H644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88.3</v>
      </c>
      <c r="N644" s="15" cm="1">
        <f t="array" ref="N644">IFERROR(_xlfn.LET(_xlpm.e,E644,_xlpm.f,F644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13.77</v>
      </c>
      <c r="O644" s="15" t="str">
        <f t="shared" si="83"/>
        <v>91% - 85%</v>
      </c>
      <c r="P644" s="34" cm="1">
        <f t="array" ref="P644">IFERROR(_xlfn.LET(_xlpm.g,G644,_xlpm.f,F644,_xlpm.h,H644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7.058815224923265E-2</v>
      </c>
      <c r="Q644" s="15" t="str" cm="1">
        <f t="array" ref="Q644">IFERROR(_xlfn.LET(_xlpm.e,E644,_xlpm.g,G644,_xlpm.h,H644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4" s="15" t="str">
        <f t="shared" si="84"/>
        <v>🔴 Lagging</v>
      </c>
      <c r="S644" s="35" cm="1">
        <f t="array" ref="S644">IFERROR(_xlfn.LET(_xlpm.e,E644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644" s="36">
        <f t="shared" si="85"/>
        <v>24.657500469177439</v>
      </c>
      <c r="U644" s="15">
        <f t="shared" si="86"/>
        <v>427</v>
      </c>
      <c r="V644" s="16">
        <f t="shared" si="87"/>
        <v>2513.0215575047155</v>
      </c>
      <c r="W644" s="16">
        <f t="shared" si="88"/>
        <v>6249.5126636668783</v>
      </c>
      <c r="X644" s="37">
        <f t="shared" si="89"/>
        <v>35</v>
      </c>
      <c r="Y644" s="15" t="str">
        <f t="shared" si="90"/>
        <v>📊 Medium</v>
      </c>
    </row>
    <row r="645" spans="1:25" x14ac:dyDescent="0.2">
      <c r="A645" t="str">
        <f>'5. KPI Baselines'!A630</f>
        <v>Window Nation</v>
      </c>
      <c r="B645" t="str">
        <f>'5. KPI Baselines'!B630</f>
        <v>Customer Service</v>
      </c>
      <c r="C645" t="str">
        <f>'5. KPI Baselines'!C630</f>
        <v>Warranty Claims</v>
      </c>
      <c r="D645" t="str">
        <f>'5. KPI Baselines'!D630</f>
        <v>Average Resolution Time</v>
      </c>
      <c r="E645" t="str">
        <f>'5. KPI Baselines'!E630</f>
        <v>9 days</v>
      </c>
      <c r="F645" t="str">
        <f>'5. KPI Baselines'!F630</f>
        <v>3 days</v>
      </c>
      <c r="G645" t="str">
        <f>'5. KPI Baselines'!G630</f>
        <v>5 days</v>
      </c>
      <c r="H645" t="str">
        <f>'5. KPI Baselines'!H630</f>
        <v>↓</v>
      </c>
      <c r="I645" t="str">
        <f>'5. KPI Baselines'!I630</f>
        <v>9 months</v>
      </c>
      <c r="J645" t="str">
        <f>'5. KPI Baselines'!J630</f>
        <v>Days from claim submission to eligibility determination</v>
      </c>
      <c r="K645" s="15" t="str">
        <f t="shared" si="82"/>
        <v>9 days → 3 days</v>
      </c>
      <c r="L645" s="34" cm="1">
        <f t="array" ref="L645">IFERROR(_xlfn.LET(_xlpm.e,E645,_xlpm.f,F645,_xlpm.h,H645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0.66665925934156289</v>
      </c>
      <c r="M645" s="15" cm="1">
        <f t="array" ref="M645">IFERROR(_xlfn.LET(_xlpm.e,E645,_xlpm.f,F645,_xlpm.h,H645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3.9</v>
      </c>
      <c r="N645" s="15" cm="1">
        <f t="array" ref="N645">IFERROR(_xlfn.LET(_xlpm.e,E645,_xlpm.f,F645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4.59</v>
      </c>
      <c r="O645" s="15" t="str">
        <f t="shared" si="83"/>
        <v>5 days → 3 days</v>
      </c>
      <c r="P645" s="34" cm="1">
        <f t="array" ref="P645">IFERROR(_xlfn.LET(_xlpm.g,G645,_xlpm.f,F645,_xlpm.h,H645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0.39999200015999681</v>
      </c>
      <c r="Q645" s="15" t="str" cm="1">
        <f t="array" ref="Q645">IFERROR(_xlfn.LET(_xlpm.e,E645,_xlpm.g,G645,_xlpm.h,H645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5" s="15" t="str">
        <f t="shared" si="84"/>
        <v>🔴 Lagging</v>
      </c>
      <c r="S645" s="35" cm="1">
        <f t="array" ref="S645">IFERROR(_xlfn.LET(_xlpm.e,E645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9</v>
      </c>
      <c r="T645" s="36">
        <f t="shared" si="85"/>
        <v>66.665925934156292</v>
      </c>
      <c r="U645" s="15">
        <f t="shared" si="86"/>
        <v>102</v>
      </c>
      <c r="V645" s="16">
        <f t="shared" si="87"/>
        <v>837.66569260341555</v>
      </c>
      <c r="W645" s="16">
        <f t="shared" si="88"/>
        <v>2083.1505954299832</v>
      </c>
      <c r="X645" s="37">
        <f t="shared" si="89"/>
        <v>104</v>
      </c>
      <c r="Y645" s="15" t="str">
        <f t="shared" si="90"/>
        <v>🔥 Critical</v>
      </c>
    </row>
    <row r="646" spans="1:25" x14ac:dyDescent="0.2">
      <c r="A646" t="str">
        <f>'5. KPI Baselines'!A631</f>
        <v>Window Nation</v>
      </c>
      <c r="B646" t="str">
        <f>'5. KPI Baselines'!B631</f>
        <v>Customer Service</v>
      </c>
      <c r="C646" t="str">
        <f>'5. KPI Baselines'!C631</f>
        <v>Inquiry Handling</v>
      </c>
      <c r="D646" t="str">
        <f>'5. KPI Baselines'!D631</f>
        <v>Touchpoints per Resolution</v>
      </c>
      <c r="E646" t="str">
        <f>'5. KPI Baselines'!E631</f>
        <v>3.2</v>
      </c>
      <c r="F646" t="str">
        <f>'5. KPI Baselines'!F631</f>
        <v>1.4</v>
      </c>
      <c r="G646" t="str">
        <f>'5. KPI Baselines'!G631</f>
        <v>2.1</v>
      </c>
      <c r="H646" t="str">
        <f>'5. KPI Baselines'!H631</f>
        <v>↓</v>
      </c>
      <c r="I646" t="str">
        <f>'5. KPI Baselines'!I631</f>
        <v>12 months</v>
      </c>
      <c r="J646" t="str">
        <f>'5. KPI Baselines'!J631</f>
        <v>Customer contacts required to resolve inquiry or issue</v>
      </c>
      <c r="K646" s="15" t="str">
        <f t="shared" si="82"/>
        <v>3.2 → 1.4</v>
      </c>
      <c r="L646" s="34" cm="1">
        <f t="array" ref="L646">IFERROR(_xlfn.LET(_xlpm.e,E646,_xlpm.f,F646,_xlpm.h,H646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0.56248242242429924</v>
      </c>
      <c r="M646" s="15" cm="1">
        <f t="array" ref="M646">IFERROR(_xlfn.LET(_xlpm.e,E646,_xlpm.f,F646,_xlpm.h,H646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1.7</v>
      </c>
      <c r="N646" s="15" cm="1">
        <f t="array" ref="N646">IFERROR(_xlfn.LET(_xlpm.e,E646,_xlpm.f,F646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1.38</v>
      </c>
      <c r="O646" s="15" t="str">
        <f t="shared" si="83"/>
        <v>2.1 → 1.4</v>
      </c>
      <c r="P646" s="34" cm="1">
        <f t="array" ref="P646">IFERROR(_xlfn.LET(_xlpm.g,G646,_xlpm.f,F646,_xlpm.h,H646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0.33331746107328225</v>
      </c>
      <c r="Q646" s="15" t="str" cm="1">
        <f t="array" ref="Q646">IFERROR(_xlfn.LET(_xlpm.e,E646,_xlpm.g,G646,_xlpm.h,H646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6" s="15" t="str">
        <f t="shared" si="84"/>
        <v>🔴 Lagging</v>
      </c>
      <c r="S646" s="35" cm="1">
        <f t="array" ref="S646">IFERROR(_xlfn.LET(_xlpm.e,E646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3.2</v>
      </c>
      <c r="T646" s="36">
        <f t="shared" si="85"/>
        <v>56.248242242429924</v>
      </c>
      <c r="U646" s="15">
        <f t="shared" si="86"/>
        <v>184</v>
      </c>
      <c r="V646" s="16">
        <f t="shared" si="87"/>
        <v>251.29464704227993</v>
      </c>
      <c r="W646" s="16">
        <f t="shared" si="88"/>
        <v>624.93259332077184</v>
      </c>
      <c r="X646" s="37">
        <f t="shared" si="89"/>
        <v>339</v>
      </c>
      <c r="Y646" s="15" t="str">
        <f t="shared" si="90"/>
        <v>🔥 Critical</v>
      </c>
    </row>
    <row r="647" spans="1:25" x14ac:dyDescent="0.2">
      <c r="A647" t="str">
        <f>'5. KPI Baselines'!A632</f>
        <v>Window Nation</v>
      </c>
      <c r="B647" t="str">
        <f>'5. KPI Baselines'!B632</f>
        <v>Supply Chain</v>
      </c>
      <c r="C647" t="str">
        <f>'5. KPI Baselines'!C632</f>
        <v>Inventory Management</v>
      </c>
      <c r="D647" t="str">
        <f>'5. KPI Baselines'!D632</f>
        <v>Specialty Product Stockout Rate</v>
      </c>
      <c r="E647" t="str">
        <f>'5. KPI Baselines'!E632</f>
        <v>11%</v>
      </c>
      <c r="F647" t="str">
        <f>'5. KPI Baselines'!F632</f>
        <v>4%</v>
      </c>
      <c r="G647" t="str">
        <f>'5. KPI Baselines'!G632</f>
        <v>6%</v>
      </c>
      <c r="H647" t="str">
        <f>'5. KPI Baselines'!H632</f>
        <v>↓</v>
      </c>
      <c r="I647" t="str">
        <f>'5. KPI Baselines'!I632</f>
        <v>12 months</v>
      </c>
      <c r="J647" t="str">
        <f>'5. KPI Baselines'!J632</f>
        <v>Orders delayed due to material unavailability</v>
      </c>
      <c r="K647" s="15" t="str">
        <f t="shared" si="82"/>
        <v>11% → 4%</v>
      </c>
      <c r="L647" s="34" cm="1">
        <f t="array" ref="L647">IFERROR(_xlfn.LET(_xlpm.e,E647,_xlpm.f,F647,_xlpm.h,H647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0.63635785129226097</v>
      </c>
      <c r="M647" s="15" cm="1">
        <f t="array" ref="M647">IFERROR(_xlfn.LET(_xlpm.e,E647,_xlpm.f,F647,_xlpm.h,H647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5.0999999999999996</v>
      </c>
      <c r="N647" s="15" cm="1">
        <f t="array" ref="N647">IFERROR(_xlfn.LET(_xlpm.e,E647,_xlpm.f,F647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647" s="15" t="str">
        <f t="shared" si="83"/>
        <v>6% → 4%</v>
      </c>
      <c r="P647" s="34" cm="1">
        <f t="array" ref="P647">IFERROR(_xlfn.LET(_xlpm.g,G647,_xlpm.f,F647,_xlpm.h,H647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0.33332777787036882</v>
      </c>
      <c r="Q647" s="15" t="str" cm="1">
        <f t="array" ref="Q647">IFERROR(_xlfn.LET(_xlpm.e,E647,_xlpm.g,G647,_xlpm.h,H647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7" s="15" t="str">
        <f t="shared" si="84"/>
        <v>🔴 Lagging</v>
      </c>
      <c r="S647" s="35" cm="1">
        <f t="array" ref="S647">IFERROR(_xlfn.LET(_xlpm.e,E647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11</v>
      </c>
      <c r="T647" s="36">
        <f t="shared" si="85"/>
        <v>63.635785129226093</v>
      </c>
      <c r="U647" s="15">
        <f t="shared" si="86"/>
        <v>122</v>
      </c>
      <c r="V647" s="16">
        <f t="shared" si="87"/>
        <v>977.27861564894863</v>
      </c>
      <c r="W647" s="16">
        <f t="shared" si="88"/>
        <v>2430.3472710728947</v>
      </c>
      <c r="X647" s="37">
        <f t="shared" si="89"/>
        <v>89</v>
      </c>
      <c r="Y647" s="15" t="str">
        <f t="shared" si="90"/>
        <v>🔥 Critical</v>
      </c>
    </row>
    <row r="648" spans="1:25" x14ac:dyDescent="0.2">
      <c r="A648" t="str">
        <f>'5. KPI Baselines'!A633</f>
        <v>Window Nation</v>
      </c>
      <c r="B648" t="str">
        <f>'5. KPI Baselines'!B633</f>
        <v>Supply Chain</v>
      </c>
      <c r="C648" t="str">
        <f>'5. KPI Baselines'!C633</f>
        <v>Working Capital</v>
      </c>
      <c r="D648" t="str">
        <f>'5. KPI Baselines'!D633</f>
        <v>Excess Inventory Investment</v>
      </c>
      <c r="E648" t="str">
        <f>'5. KPI Baselines'!E633</f>
        <v>$8.7M</v>
      </c>
      <c r="F648" t="str">
        <f>'5. KPI Baselines'!F633</f>
        <v>$5.2M</v>
      </c>
      <c r="G648" t="str">
        <f>'5. KPI Baselines'!G633</f>
        <v>$6.2M</v>
      </c>
      <c r="H648" t="str">
        <f>'5. KPI Baselines'!H633</f>
        <v>↓</v>
      </c>
      <c r="I648" t="str">
        <f>'5. KPI Baselines'!I633</f>
        <v>18 months</v>
      </c>
      <c r="J648" t="str">
        <f>'5. KPI Baselines'!J633</f>
        <v>Inventory value above 60-day rolling forecast requirement</v>
      </c>
      <c r="K648" s="15" t="str">
        <f t="shared" si="82"/>
        <v>$8.7M → $5.2M</v>
      </c>
      <c r="L648" s="34" cm="1">
        <f t="array" ref="L648">IFERROR(_xlfn.LET(_xlpm.e,E648,_xlpm.f,F648,_xlpm.h,H648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0.40229422650314356</v>
      </c>
      <c r="M648" s="15" cm="1">
        <f t="array" ref="M648">IFERROR(_xlfn.LET(_xlpm.e,E648,_xlpm.f,F648,_xlpm.h,H648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5.7</v>
      </c>
      <c r="N648" s="15" cm="1">
        <f t="array" ref="N648">IFERROR(_xlfn.LET(_xlpm.e,E648,_xlpm.f,F648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2.68</v>
      </c>
      <c r="O648" s="15" t="str">
        <f t="shared" si="83"/>
        <v>$6.2M → $5.2M</v>
      </c>
      <c r="P648" s="34" cm="1">
        <f t="array" ref="P648">IFERROR(_xlfn.LET(_xlpm.g,G648,_xlpm.f,F648,_xlpm.h,H648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0.16128772116578766</v>
      </c>
      <c r="Q648" s="15" t="str" cm="1">
        <f t="array" ref="Q648">IFERROR(_xlfn.LET(_xlpm.e,E648,_xlpm.g,G648,_xlpm.h,H648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8" s="15" t="str">
        <f t="shared" si="84"/>
        <v>🔴 Lagging</v>
      </c>
      <c r="S648" s="35" cm="1">
        <f t="array" ref="S648">IFERROR(_xlfn.LET(_xlpm.e,E648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8.6999999999999993</v>
      </c>
      <c r="T648" s="36">
        <f t="shared" si="85"/>
        <v>40.229422650314355</v>
      </c>
      <c r="U648" s="15">
        <f t="shared" si="86"/>
        <v>313</v>
      </c>
      <c r="V648" s="16">
        <f t="shared" si="87"/>
        <v>488.63813346973012</v>
      </c>
      <c r="W648" s="16">
        <f t="shared" si="88"/>
        <v>1215.1707150900136</v>
      </c>
      <c r="X648" s="37">
        <f t="shared" si="89"/>
        <v>177</v>
      </c>
      <c r="Y648" s="15" t="str">
        <f t="shared" si="90"/>
        <v>⚠️ High</v>
      </c>
    </row>
    <row r="649" spans="1:25" x14ac:dyDescent="0.2">
      <c r="A649" t="str">
        <f>'5. KPI Baselines'!A634</f>
        <v>Window Nation</v>
      </c>
      <c r="B649" t="str">
        <f>'5. KPI Baselines'!B634</f>
        <v>Finance</v>
      </c>
      <c r="C649" t="str">
        <f>'5. KPI Baselines'!C634</f>
        <v>Accounts Receivable</v>
      </c>
      <c r="D649" t="str">
        <f>'5. KPI Baselines'!D634</f>
        <v>Days Sales Outstanding</v>
      </c>
      <c r="E649" t="str">
        <f>'5. KPI Baselines'!E634</f>
        <v>38 days</v>
      </c>
      <c r="F649" t="str">
        <f>'5. KPI Baselines'!F634</f>
        <v>24 days</v>
      </c>
      <c r="G649" t="str">
        <f>'5. KPI Baselines'!G634</f>
        <v>28 days</v>
      </c>
      <c r="H649" t="str">
        <f>'5. KPI Baselines'!H634</f>
        <v>↓</v>
      </c>
      <c r="I649" t="str">
        <f>'5. KPI Baselines'!I634</f>
        <v>12 months</v>
      </c>
      <c r="J649" t="str">
        <f>'5. KPI Baselines'!J634</f>
        <v>Average collection period for completed installation invoices</v>
      </c>
      <c r="K649" s="15" t="str">
        <f t="shared" si="82"/>
        <v>38 days → 24 days</v>
      </c>
      <c r="L649" s="34" cm="1">
        <f t="array" ref="L649">IFERROR(_xlfn.LET(_xlpm.e,E649,_xlpm.f,F649,_xlpm.h,H649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0.36842008310504443</v>
      </c>
      <c r="M649" s="15" cm="1">
        <f t="array" ref="M649">IFERROR(_xlfn.LET(_xlpm.e,E649,_xlpm.f,F649,_xlpm.h,H649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26.1</v>
      </c>
      <c r="N649" s="15" cm="1">
        <f t="array" ref="N649">IFERROR(_xlfn.LET(_xlpm.e,E649,_xlpm.f,F649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649" s="15" t="str">
        <f t="shared" si="83"/>
        <v>28 days → 24 days</v>
      </c>
      <c r="P649" s="34" cm="1">
        <f t="array" ref="P649">IFERROR(_xlfn.LET(_xlpm.g,G649,_xlpm.f,F649,_xlpm.h,H649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0.14285663265488338</v>
      </c>
      <c r="Q649" s="15" t="str" cm="1">
        <f t="array" ref="Q649">IFERROR(_xlfn.LET(_xlpm.e,E649,_xlpm.g,G649,_xlpm.h,H649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49" s="15" t="str">
        <f t="shared" si="84"/>
        <v>🔴 Lagging</v>
      </c>
      <c r="S649" s="35" cm="1">
        <f t="array" ref="S649">IFERROR(_xlfn.LET(_xlpm.e,E649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38</v>
      </c>
      <c r="T649" s="36">
        <f t="shared" si="85"/>
        <v>36.84200831050444</v>
      </c>
      <c r="U649" s="15">
        <f t="shared" si="86"/>
        <v>341</v>
      </c>
      <c r="V649" s="16">
        <f t="shared" si="87"/>
        <v>1954.5698563951148</v>
      </c>
      <c r="W649" s="16">
        <f t="shared" si="88"/>
        <v>4860.725938893941</v>
      </c>
      <c r="X649" s="37">
        <f t="shared" si="89"/>
        <v>45</v>
      </c>
      <c r="Y649" s="15" t="str">
        <f t="shared" si="90"/>
        <v>⚠️ High</v>
      </c>
    </row>
    <row r="650" spans="1:25" x14ac:dyDescent="0.2">
      <c r="A650" t="str">
        <f>'5. KPI Baselines'!A635</f>
        <v>Window Nation</v>
      </c>
      <c r="B650" t="str">
        <f>'5. KPI Baselines'!B635</f>
        <v>Marketing</v>
      </c>
      <c r="C650" t="str">
        <f>'5. KPI Baselines'!C635</f>
        <v>Lead Generation</v>
      </c>
      <c r="D650" t="str">
        <f>'5. KPI Baselines'!D635</f>
        <v>Cost per Qualified Lead</v>
      </c>
      <c r="E650" t="str">
        <f>'5. KPI Baselines'!E635</f>
        <v>$340</v>
      </c>
      <c r="F650" t="str">
        <f>'5. KPI Baselines'!F635</f>
        <v>$245</v>
      </c>
      <c r="G650" t="str">
        <f>'5. KPI Baselines'!G635</f>
        <v>$285</v>
      </c>
      <c r="H650" t="str">
        <f>'5. KPI Baselines'!H635</f>
        <v>↓</v>
      </c>
      <c r="I650" t="str">
        <f>'5. KPI Baselines'!I635</f>
        <v>12 months</v>
      </c>
      <c r="J650" t="str">
        <f>'5. KPI Baselines'!J635</f>
        <v>Marketing spend divided by leads meeting qualification criteria</v>
      </c>
      <c r="K650" s="15" t="str">
        <f t="shared" si="82"/>
        <v>$340 → $245</v>
      </c>
      <c r="L650" s="34" cm="1">
        <f t="array" ref="L650">IFERROR(_xlfn.LET(_xlpm.e,E650,_xlpm.f,F650,_xlpm.h,H650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0.27941168252597576</v>
      </c>
      <c r="M650" s="15" cm="1">
        <f t="array" ref="M650">IFERROR(_xlfn.LET(_xlpm.e,E650,_xlpm.f,F650,_xlpm.h,H650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259.3</v>
      </c>
      <c r="N650" s="15" cm="1">
        <f t="array" ref="N650">IFERROR(_xlfn.LET(_xlpm.e,E650,_xlpm.f,F650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72.680000000000007</v>
      </c>
      <c r="O650" s="15" t="str">
        <f t="shared" si="83"/>
        <v>$285 → $245</v>
      </c>
      <c r="P650" s="34" cm="1">
        <f t="array" ref="P650">IFERROR(_xlfn.LET(_xlpm.g,G650,_xlpm.f,F650,_xlpm.h,H650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0.14035082794707793</v>
      </c>
      <c r="Q650" s="15" t="str" cm="1">
        <f t="array" ref="Q650">IFERROR(_xlfn.LET(_xlpm.e,E650,_xlpm.g,G650,_xlpm.h,H650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0" s="15" t="str">
        <f t="shared" si="84"/>
        <v>🔴 Lagging</v>
      </c>
      <c r="S650" s="35" cm="1">
        <f t="array" ref="S650">IFERROR(_xlfn.LET(_xlpm.e,E650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340</v>
      </c>
      <c r="T650" s="36">
        <f t="shared" si="85"/>
        <v>27.941168252597574</v>
      </c>
      <c r="U650" s="15">
        <f t="shared" si="86"/>
        <v>405</v>
      </c>
      <c r="V650" s="16">
        <f t="shared" si="87"/>
        <v>13263.18359906365</v>
      </c>
      <c r="W650" s="16">
        <f t="shared" si="88"/>
        <v>32983.574540120753</v>
      </c>
      <c r="X650" s="37">
        <f t="shared" si="89"/>
        <v>7</v>
      </c>
      <c r="Y650" s="15" t="str">
        <f t="shared" si="90"/>
        <v>⚠️ High</v>
      </c>
    </row>
    <row r="651" spans="1:25" x14ac:dyDescent="0.2">
      <c r="A651" t="str">
        <f>'5. KPI Baselines'!A636</f>
        <v>WorldWide Electric</v>
      </c>
      <c r="B651" t="str">
        <f>'5. KPI Baselines'!B636</f>
        <v>Estimating &amp; Preconstruction</v>
      </c>
      <c r="C651" t="str">
        <f>'5. KPI Baselines'!C636</f>
        <v>Cost Estimation</v>
      </c>
      <c r="D651" t="str">
        <f>'5. KPI Baselines'!D636</f>
        <v>Bid Preparation Cycle Time</v>
      </c>
      <c r="E651" t="str">
        <f>'5. KPI Baselines'!E636</f>
        <v>19 days</v>
      </c>
      <c r="F651" t="str">
        <f>'5. KPI Baselines'!F636</f>
        <v>11 days</v>
      </c>
      <c r="G651" t="str">
        <f>'5. KPI Baselines'!G636</f>
        <v>12 days</v>
      </c>
      <c r="H651" t="str">
        <f>'5. KPI Baselines'!H636</f>
        <v>↓</v>
      </c>
      <c r="I651" t="str">
        <f>'5. KPI Baselines'!I636</f>
        <v>12 months</v>
      </c>
      <c r="J651" t="str">
        <f>'5. KPI Baselines'!J636</f>
        <v>Average days from RFP receipt to bid submission</v>
      </c>
      <c r="K651" s="15" t="str">
        <f t="shared" si="82"/>
        <v>19 days → 11 days</v>
      </c>
      <c r="L651" s="34" cm="1">
        <f t="array" ref="L651">IFERROR(_xlfn.LET(_xlpm.e,E651,_xlpm.f,F651,_xlpm.h,H651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0.42105041552412881</v>
      </c>
      <c r="M651" s="15" cm="1">
        <f t="array" ref="M651">IFERROR(_xlfn.LET(_xlpm.e,E651,_xlpm.f,F651,_xlpm.h,H651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12.2</v>
      </c>
      <c r="N651" s="15" cm="1">
        <f t="array" ref="N651">IFERROR(_xlfn.LET(_xlpm.e,E651,_xlpm.f,F651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6.12</v>
      </c>
      <c r="O651" s="15" t="str">
        <f t="shared" si="83"/>
        <v>12 days → 11 days</v>
      </c>
      <c r="P651" s="34" cm="1">
        <f t="array" ref="P651">IFERROR(_xlfn.LET(_xlpm.g,G651,_xlpm.f,F651,_xlpm.h,H651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8.3332638894675876E-2</v>
      </c>
      <c r="Q651" s="15" t="str" cm="1">
        <f t="array" ref="Q651">IFERROR(_xlfn.LET(_xlpm.e,E651,_xlpm.g,G651,_xlpm.h,H651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1" s="15" t="str">
        <f t="shared" si="84"/>
        <v>🔴 Lagging</v>
      </c>
      <c r="S651" s="35" cm="1">
        <f t="array" ref="S651">IFERROR(_xlfn.LET(_xlpm.e,E651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19</v>
      </c>
      <c r="T651" s="36">
        <f t="shared" si="85"/>
        <v>42.105041552412878</v>
      </c>
      <c r="U651" s="15">
        <f t="shared" si="86"/>
        <v>287</v>
      </c>
      <c r="V651" s="16">
        <f t="shared" si="87"/>
        <v>1116.8941216098863</v>
      </c>
      <c r="W651" s="16">
        <f t="shared" si="88"/>
        <v>2777.5503700441222</v>
      </c>
      <c r="X651" s="37">
        <f t="shared" si="89"/>
        <v>78</v>
      </c>
      <c r="Y651" s="15" t="str">
        <f t="shared" si="90"/>
        <v>⚠️ High</v>
      </c>
    </row>
    <row r="652" spans="1:25" x14ac:dyDescent="0.2">
      <c r="A652" t="str">
        <f>'5. KPI Baselines'!A637</f>
        <v>WorldWide Electric</v>
      </c>
      <c r="B652" t="str">
        <f>'5. KPI Baselines'!B637</f>
        <v>Estimating &amp; Preconstruction</v>
      </c>
      <c r="C652" t="str">
        <f>'5. KPI Baselines'!C637</f>
        <v>Proposal Development</v>
      </c>
      <c r="D652" t="str">
        <f>'5. KPI Baselines'!D637</f>
        <v>Annual Bid Volume Capacity</v>
      </c>
      <c r="E652" t="str">
        <f>'5. KPI Baselines'!E637</f>
        <v>340 bids</v>
      </c>
      <c r="F652" t="str">
        <f>'5. KPI Baselines'!F637</f>
        <v>480 bids</v>
      </c>
      <c r="G652" t="str">
        <f>'5. KPI Baselines'!G637</f>
        <v>450 bids</v>
      </c>
      <c r="H652" t="str">
        <f>'5. KPI Baselines'!H637</f>
        <v>↑</v>
      </c>
      <c r="I652" t="str">
        <f>'5. KPI Baselines'!I637</f>
        <v>18 months</v>
      </c>
      <c r="J652" t="str">
        <f>'5. KPI Baselines'!J637</f>
        <v>Total competitive bids submitted per year</v>
      </c>
      <c r="K652" s="15" t="str">
        <f t="shared" si="82"/>
        <v>480 bids - 340 bids</v>
      </c>
      <c r="L652" s="34" cm="1">
        <f t="array" ref="L652">IFERROR(_xlfn.LET(_xlpm.e,E652,_xlpm.f,F652,_xlpm.h,H652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0.41176458477512218</v>
      </c>
      <c r="M652" s="15" cm="1">
        <f t="array" ref="M652">IFERROR(_xlfn.LET(_xlpm.e,E652,_xlpm.f,F652,_xlpm.h,H652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459</v>
      </c>
      <c r="N652" s="15" cm="1">
        <f t="array" ref="N652">IFERROR(_xlfn.LET(_xlpm.e,E652,_xlpm.f,F652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107.1</v>
      </c>
      <c r="O652" s="15" t="str">
        <f t="shared" si="83"/>
        <v>480 bids - 450 bids</v>
      </c>
      <c r="P652" s="34" cm="1">
        <f t="array" ref="P652">IFERROR(_xlfn.LET(_xlpm.g,G652,_xlpm.f,F652,_xlpm.h,H652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6.6666651851855149E-2</v>
      </c>
      <c r="Q652" s="15" t="str" cm="1">
        <f t="array" ref="Q652">IFERROR(_xlfn.LET(_xlpm.e,E652,_xlpm.g,G652,_xlpm.h,H652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2" s="15" t="str">
        <f t="shared" si="84"/>
        <v>🔴 Lagging</v>
      </c>
      <c r="S652" s="35" cm="1">
        <f t="array" ref="S652">IFERROR(_xlfn.LET(_xlpm.e,E652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340</v>
      </c>
      <c r="T652" s="36">
        <f t="shared" si="85"/>
        <v>41.17645847751222</v>
      </c>
      <c r="U652" s="15">
        <f t="shared" si="86"/>
        <v>301</v>
      </c>
      <c r="V652" s="16">
        <f t="shared" si="87"/>
        <v>19545.744251251694</v>
      </c>
      <c r="W652" s="16">
        <f t="shared" si="88"/>
        <v>48607.373006493734</v>
      </c>
      <c r="X652" s="37">
        <f t="shared" si="89"/>
        <v>4</v>
      </c>
      <c r="Y652" s="15" t="str">
        <f t="shared" si="90"/>
        <v>⚠️ High</v>
      </c>
    </row>
    <row r="653" spans="1:25" x14ac:dyDescent="0.2">
      <c r="A653" t="str">
        <f>'5. KPI Baselines'!A638</f>
        <v>WorldWide Electric</v>
      </c>
      <c r="B653" t="str">
        <f>'5. KPI Baselines'!B638</f>
        <v>Project Management</v>
      </c>
      <c r="C653" t="str">
        <f>'5. KPI Baselines'!C638</f>
        <v>Resource Scheduling</v>
      </c>
      <c r="D653" t="str">
        <f>'5. KPI Baselines'!D638</f>
        <v>Labor Utilization Rate</v>
      </c>
      <c r="E653" t="str">
        <f>'5. KPI Baselines'!E638</f>
        <v>73%</v>
      </c>
      <c r="F653" t="str">
        <f>'5. KPI Baselines'!F638</f>
        <v>82%</v>
      </c>
      <c r="G653" t="str">
        <f>'5. KPI Baselines'!G638</f>
        <v>81%</v>
      </c>
      <c r="H653" t="str">
        <f>'5. KPI Baselines'!H638</f>
        <v>↑</v>
      </c>
      <c r="I653" t="str">
        <f>'5. KPI Baselines'!I638</f>
        <v>12 months</v>
      </c>
      <c r="J653" t="str">
        <f>'5. KPI Baselines'!J638</f>
        <v>Billable hours / Total available hours</v>
      </c>
      <c r="K653" s="15" t="str">
        <f t="shared" si="82"/>
        <v>82% - 73%</v>
      </c>
      <c r="L653" s="34" cm="1">
        <f t="array" ref="L653">IFERROR(_xlfn.LET(_xlpm.e,E653,_xlpm.f,F653,_xlpm.h,H653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0.12328750234588719</v>
      </c>
      <c r="M653" s="15" cm="1">
        <f t="array" ref="M653">IFERROR(_xlfn.LET(_xlpm.e,E653,_xlpm.f,F653,_xlpm.h,H653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80.7</v>
      </c>
      <c r="N653" s="15" cm="1">
        <f t="array" ref="N653">IFERROR(_xlfn.LET(_xlpm.e,E653,_xlpm.f,F653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6.89</v>
      </c>
      <c r="O653" s="15" t="str">
        <f t="shared" si="83"/>
        <v>82% - 81%</v>
      </c>
      <c r="P653" s="34" cm="1">
        <f t="array" ref="P653">IFERROR(_xlfn.LET(_xlpm.g,G653,_xlpm.f,F653,_xlpm.h,H653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1.2345663770785468E-2</v>
      </c>
      <c r="Q653" s="15" t="str" cm="1">
        <f t="array" ref="Q653">IFERROR(_xlfn.LET(_xlpm.e,E653,_xlpm.g,G653,_xlpm.h,H653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3" s="15" t="str">
        <f t="shared" si="84"/>
        <v>🔴 Lagging</v>
      </c>
      <c r="S653" s="35" cm="1">
        <f t="array" ref="S653">IFERROR(_xlfn.LET(_xlpm.e,E653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73</v>
      </c>
      <c r="T653" s="36">
        <f t="shared" si="85"/>
        <v>12.328750234588719</v>
      </c>
      <c r="U653" s="15">
        <f t="shared" si="86"/>
        <v>508</v>
      </c>
      <c r="V653" s="16">
        <f t="shared" si="87"/>
        <v>1256.5107787523577</v>
      </c>
      <c r="W653" s="16">
        <f t="shared" si="88"/>
        <v>3124.7563318334392</v>
      </c>
      <c r="X653" s="37">
        <f t="shared" si="89"/>
        <v>69</v>
      </c>
      <c r="Y653" s="15" t="str">
        <f t="shared" si="90"/>
        <v>📊 Medium</v>
      </c>
    </row>
    <row r="654" spans="1:25" x14ac:dyDescent="0.2">
      <c r="A654" t="str">
        <f>'5. KPI Baselines'!A639</f>
        <v>WorldWide Electric</v>
      </c>
      <c r="B654" t="str">
        <f>'5. KPI Baselines'!B639</f>
        <v>Project Management</v>
      </c>
      <c r="C654" t="str">
        <f>'5. KPI Baselines'!C639</f>
        <v>Schedule Performance</v>
      </c>
      <c r="D654" t="str">
        <f>'5. KPI Baselines'!D639</f>
        <v>Average Project Delay</v>
      </c>
      <c r="E654" t="str">
        <f>'5. KPI Baselines'!E639</f>
        <v>23 days</v>
      </c>
      <c r="F654" t="str">
        <f>'5. KPI Baselines'!F639</f>
        <v>9 days</v>
      </c>
      <c r="G654" t="str">
        <f>'5. KPI Baselines'!G639</f>
        <v>11 days</v>
      </c>
      <c r="H654" t="str">
        <f>'5. KPI Baselines'!H639</f>
        <v>↓</v>
      </c>
      <c r="I654" t="str">
        <f>'5. KPI Baselines'!I639</f>
        <v>18 months</v>
      </c>
      <c r="J654" t="str">
        <f>'5. KPI Baselines'!J639</f>
        <v>Average days beyond contracted completion date</v>
      </c>
      <c r="K654" s="15" t="str">
        <f t="shared" si="82"/>
        <v>23 days → 9 days</v>
      </c>
      <c r="L654" s="34" cm="1">
        <f t="array" ref="L654">IFERROR(_xlfn.LET(_xlpm.e,E654,_xlpm.f,F654,_xlpm.h,H654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0.608693005682584</v>
      </c>
      <c r="M654" s="15" cm="1">
        <f t="array" ref="M654">IFERROR(_xlfn.LET(_xlpm.e,E654,_xlpm.f,F654,_xlpm.h,H654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11.1</v>
      </c>
      <c r="N654" s="15" cm="1">
        <f t="array" ref="N654">IFERROR(_xlfn.LET(_xlpm.e,E654,_xlpm.f,F654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10.71</v>
      </c>
      <c r="O654" s="15" t="str">
        <f t="shared" si="83"/>
        <v>11 days → 9 days</v>
      </c>
      <c r="P654" s="34" cm="1">
        <f t="array" ref="P654">IFERROR(_xlfn.LET(_xlpm.g,G654,_xlpm.f,F654,_xlpm.h,H654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0.18181652894064601</v>
      </c>
      <c r="Q654" s="15" t="str" cm="1">
        <f t="array" ref="Q654">IFERROR(_xlfn.LET(_xlpm.e,E654,_xlpm.g,G654,_xlpm.h,H654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4" s="15" t="str">
        <f t="shared" si="84"/>
        <v>🔴 Lagging</v>
      </c>
      <c r="S654" s="35" cm="1">
        <f t="array" ref="S654">IFERROR(_xlfn.LET(_xlpm.e,E654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23</v>
      </c>
      <c r="T654" s="36">
        <f t="shared" si="85"/>
        <v>60.869300568258403</v>
      </c>
      <c r="U654" s="15">
        <f t="shared" si="86"/>
        <v>148</v>
      </c>
      <c r="V654" s="16">
        <f t="shared" si="87"/>
        <v>1954.5665018847742</v>
      </c>
      <c r="W654" s="16">
        <f t="shared" si="88"/>
        <v>4860.7175967232215</v>
      </c>
      <c r="X654" s="37">
        <f t="shared" si="89"/>
        <v>45</v>
      </c>
      <c r="Y654" s="15" t="str">
        <f t="shared" si="90"/>
        <v>🔥 Critical</v>
      </c>
    </row>
    <row r="655" spans="1:25" x14ac:dyDescent="0.2">
      <c r="A655" t="str">
        <f>'5. KPI Baselines'!A640</f>
        <v>WorldWide Electric</v>
      </c>
      <c r="B655" t="str">
        <f>'5. KPI Baselines'!B640</f>
        <v>Procurement</v>
      </c>
      <c r="C655" t="str">
        <f>'5. KPI Baselines'!C640</f>
        <v>Material Sourcing</v>
      </c>
      <c r="D655" t="str">
        <f>'5. KPI Baselines'!D640</f>
        <v>Procurement Lead Time</v>
      </c>
      <c r="E655" t="str">
        <f>'5. KPI Baselines'!E640</f>
        <v>31 days</v>
      </c>
      <c r="F655" t="str">
        <f>'5. KPI Baselines'!F640</f>
        <v>21 days</v>
      </c>
      <c r="G655" t="str">
        <f>'5. KPI Baselines'!G640</f>
        <v>22 days</v>
      </c>
      <c r="H655" t="str">
        <f>'5. KPI Baselines'!H640</f>
        <v>↓</v>
      </c>
      <c r="I655" t="str">
        <f>'5. KPI Baselines'!I640</f>
        <v>12 months</v>
      </c>
      <c r="J655" t="str">
        <f>'5. KPI Baselines'!J640</f>
        <v>Average days from order to delivery</v>
      </c>
      <c r="K655" s="15" t="str">
        <f t="shared" si="82"/>
        <v>31 days → 21 days</v>
      </c>
      <c r="L655" s="34" cm="1">
        <f t="array" ref="L655">IFERROR(_xlfn.LET(_xlpm.e,E655,_xlpm.f,F655,_xlpm.h,H655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0.3225796045819207</v>
      </c>
      <c r="M655" s="15" cm="1">
        <f t="array" ref="M655">IFERROR(_xlfn.LET(_xlpm.e,E655,_xlpm.f,F655,_xlpm.h,H655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22.5</v>
      </c>
      <c r="N655" s="15" cm="1">
        <f t="array" ref="N655">IFERROR(_xlfn.LET(_xlpm.e,E655,_xlpm.f,F655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7.65</v>
      </c>
      <c r="O655" s="15" t="str">
        <f t="shared" si="83"/>
        <v>22 days → 21 days</v>
      </c>
      <c r="P655" s="34" cm="1">
        <f t="array" ref="P655">IFERROR(_xlfn.LET(_xlpm.g,G655,_xlpm.f,F655,_xlpm.h,H655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4.5454338843914345E-2</v>
      </c>
      <c r="Q655" s="15" t="str" cm="1">
        <f t="array" ref="Q655">IFERROR(_xlfn.LET(_xlpm.e,E655,_xlpm.g,G655,_xlpm.h,H655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5" s="15" t="str">
        <f t="shared" si="84"/>
        <v>🔴 Lagging</v>
      </c>
      <c r="S655" s="35" cm="1">
        <f t="array" ref="S655">IFERROR(_xlfn.LET(_xlpm.e,E655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31</v>
      </c>
      <c r="T655" s="36">
        <f t="shared" si="85"/>
        <v>32.257960458192073</v>
      </c>
      <c r="U655" s="15">
        <f t="shared" si="86"/>
        <v>378</v>
      </c>
      <c r="V655" s="16">
        <f t="shared" si="87"/>
        <v>1396.1204963854952</v>
      </c>
      <c r="W655" s="16">
        <f t="shared" si="88"/>
        <v>3471.9450360901524</v>
      </c>
      <c r="X655" s="37">
        <f t="shared" si="89"/>
        <v>62</v>
      </c>
      <c r="Y655" s="15" t="str">
        <f t="shared" si="90"/>
        <v>⚠️ High</v>
      </c>
    </row>
    <row r="656" spans="1:25" x14ac:dyDescent="0.2">
      <c r="A656" t="str">
        <f>'5. KPI Baselines'!A641</f>
        <v>WorldWide Electric</v>
      </c>
      <c r="B656" t="str">
        <f>'5. KPI Baselines'!B641</f>
        <v>Procurement</v>
      </c>
      <c r="C656" t="str">
        <f>'5. KPI Baselines'!C641</f>
        <v>Cost Management</v>
      </c>
      <c r="D656" t="str">
        <f>'5. KPI Baselines'!D641</f>
        <v>Price Volatility Impact on Margin</v>
      </c>
      <c r="E656" t="str">
        <f>'5. KPI Baselines'!E641</f>
        <v>12% variance</v>
      </c>
      <c r="F656" t="str">
        <f>'5. KPI Baselines'!F641</f>
        <v>7% variance</v>
      </c>
      <c r="G656" t="str">
        <f>'5. KPI Baselines'!G641</f>
        <v>8% variance</v>
      </c>
      <c r="H656" t="str">
        <f>'5. KPI Baselines'!H641</f>
        <v>↓</v>
      </c>
      <c r="I656" t="str">
        <f>'5. KPI Baselines'!I641</f>
        <v>12 months</v>
      </c>
      <c r="J656" t="str">
        <f>'5. KPI Baselines'!J641</f>
        <v>Actual vs budgeted material costs as % of contract value</v>
      </c>
      <c r="K656" s="15" t="str">
        <f t="shared" si="82"/>
        <v>12% variance → 7% variance</v>
      </c>
      <c r="L656" s="34" cm="1">
        <f t="array" ref="L656">IFERROR(_xlfn.LET(_xlpm.e,E656,_xlpm.f,F656,_xlpm.h,H656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0.41666319447337941</v>
      </c>
      <c r="M656" s="15" cm="1">
        <f t="array" ref="M656">IFERROR(_xlfn.LET(_xlpm.e,E656,_xlpm.f,F656,_xlpm.h,H656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7.8</v>
      </c>
      <c r="N656" s="15" cm="1">
        <f t="array" ref="N656">IFERROR(_xlfn.LET(_xlpm.e,E656,_xlpm.f,F656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3.83</v>
      </c>
      <c r="O656" s="15" t="str">
        <f t="shared" si="83"/>
        <v>8% variance → 7% variance</v>
      </c>
      <c r="P656" s="34" cm="1">
        <f t="array" ref="P656">IFERROR(_xlfn.LET(_xlpm.g,G656,_xlpm.f,F656,_xlpm.h,H656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0.12499843751953101</v>
      </c>
      <c r="Q656" s="15" t="str" cm="1">
        <f t="array" ref="Q656">IFERROR(_xlfn.LET(_xlpm.e,E656,_xlpm.g,G656,_xlpm.h,H656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6" s="15" t="str">
        <f t="shared" si="84"/>
        <v>🔴 Lagging</v>
      </c>
      <c r="S656" s="35" cm="1">
        <f t="array" ref="S656">IFERROR(_xlfn.LET(_xlpm.e,E656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12</v>
      </c>
      <c r="T656" s="36">
        <f t="shared" si="85"/>
        <v>41.666319447337941</v>
      </c>
      <c r="U656" s="15">
        <f t="shared" si="86"/>
        <v>292</v>
      </c>
      <c r="V656" s="16">
        <f t="shared" si="87"/>
        <v>698.05668286097625</v>
      </c>
      <c r="W656" s="16">
        <f t="shared" si="88"/>
        <v>1735.963651592662</v>
      </c>
      <c r="X656" s="37">
        <f t="shared" si="89"/>
        <v>124</v>
      </c>
      <c r="Y656" s="15" t="str">
        <f t="shared" si="90"/>
        <v>⚠️ High</v>
      </c>
    </row>
    <row r="657" spans="1:25" x14ac:dyDescent="0.2">
      <c r="A657" t="str">
        <f>'5. KPI Baselines'!A642</f>
        <v>WorldWide Electric</v>
      </c>
      <c r="B657" t="str">
        <f>'5. KPI Baselines'!B642</f>
        <v>Finance &amp; Accounting</v>
      </c>
      <c r="C657" t="str">
        <f>'5. KPI Baselines'!C642</f>
        <v>Cash Management</v>
      </c>
      <c r="D657" t="str">
        <f>'5. KPI Baselines'!D642</f>
        <v>Days Sales Outstanding</v>
      </c>
      <c r="E657" t="str">
        <f>'5. KPI Baselines'!E642</f>
        <v>58 days</v>
      </c>
      <c r="F657" t="str">
        <f>'5. KPI Baselines'!F642</f>
        <v>45 days</v>
      </c>
      <c r="G657" t="str">
        <f>'5. KPI Baselines'!G642</f>
        <v>47 days</v>
      </c>
      <c r="H657" t="str">
        <f>'5. KPI Baselines'!H642</f>
        <v>↓</v>
      </c>
      <c r="I657" t="str">
        <f>'5. KPI Baselines'!I642</f>
        <v>18 months</v>
      </c>
      <c r="J657" t="str">
        <f>'5. KPI Baselines'!J642</f>
        <v>Average collection period for receivables</v>
      </c>
      <c r="K657" s="15" t="str">
        <f t="shared" si="82"/>
        <v>58 days → 45 days</v>
      </c>
      <c r="L657" s="34" cm="1">
        <f t="array" ref="L657">IFERROR(_xlfn.LET(_xlpm.e,E657,_xlpm.f,F657,_xlpm.h,H657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0.22413754459044036</v>
      </c>
      <c r="M657" s="15" cm="1">
        <f t="array" ref="M657">IFERROR(_xlfn.LET(_xlpm.e,E657,_xlpm.f,F657,_xlpm.h,H657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47</v>
      </c>
      <c r="N657" s="15" cm="1">
        <f t="array" ref="N657">IFERROR(_xlfn.LET(_xlpm.e,E657,_xlpm.f,F657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657" s="15" t="str">
        <f t="shared" si="83"/>
        <v>47 days → 45 days</v>
      </c>
      <c r="P657" s="34" cm="1">
        <f t="array" ref="P657">IFERROR(_xlfn.LET(_xlpm.g,G657,_xlpm.f,F657,_xlpm.h,H657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4.2553100950849035E-2</v>
      </c>
      <c r="Q657" s="15" t="str" cm="1">
        <f t="array" ref="Q657">IFERROR(_xlfn.LET(_xlpm.e,E657,_xlpm.g,G657,_xlpm.h,H657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7" s="15" t="str">
        <f t="shared" si="84"/>
        <v>🔴 Lagging</v>
      </c>
      <c r="S657" s="35" cm="1">
        <f t="array" ref="S657">IFERROR(_xlfn.LET(_xlpm.e,E657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58</v>
      </c>
      <c r="T657" s="36">
        <f t="shared" si="85"/>
        <v>22.413754459044036</v>
      </c>
      <c r="U657" s="15">
        <f t="shared" si="86"/>
        <v>442</v>
      </c>
      <c r="V657" s="16">
        <f t="shared" si="87"/>
        <v>1814.9593707597055</v>
      </c>
      <c r="W657" s="16">
        <f t="shared" si="88"/>
        <v>4513.5353247292487</v>
      </c>
      <c r="X657" s="37">
        <f t="shared" si="89"/>
        <v>48</v>
      </c>
      <c r="Y657" s="15" t="str">
        <f t="shared" si="90"/>
        <v>📊 Medium</v>
      </c>
    </row>
    <row r="658" spans="1:25" x14ac:dyDescent="0.2">
      <c r="A658" t="str">
        <f>'5. KPI Baselines'!A643</f>
        <v>WorldWide Electric</v>
      </c>
      <c r="B658" t="str">
        <f>'5. KPI Baselines'!B643</f>
        <v>Safety &amp; Compliance</v>
      </c>
      <c r="C658" t="str">
        <f>'5. KPI Baselines'!C643</f>
        <v>Incident Management</v>
      </c>
      <c r="D658" t="str">
        <f>'5. KPI Baselines'!D643</f>
        <v>Recordable Incident Rate</v>
      </c>
      <c r="E658" t="str">
        <f>'5. KPI Baselines'!E643</f>
        <v>3.2 per 200K hours</v>
      </c>
      <c r="F658" t="str">
        <f>'5. KPI Baselines'!F643</f>
        <v>2.1 per 200K hours</v>
      </c>
      <c r="G658" t="str">
        <f>'5. KPI Baselines'!G643</f>
        <v>2.4 per 200K hours</v>
      </c>
      <c r="H658" t="str">
        <f>'5. KPI Baselines'!H643</f>
        <v>↓</v>
      </c>
      <c r="I658" t="str">
        <f>'5. KPI Baselines'!I643</f>
        <v>24 months</v>
      </c>
      <c r="J658" t="str">
        <f>'5. KPI Baselines'!J643</f>
        <v>OSHA recordable incidents per 200,000 work hours</v>
      </c>
      <c r="K658" s="15" t="str">
        <f t="shared" ref="K658:K662" si="91">IFERROR(IF(OR(E658="",F658=""),"-",IF(H658="↓",E658&amp;" → "&amp;F658,F658&amp;" - "&amp;E658)),"-")</f>
        <v>3.2 per 200K hours → 2.1 per 200K hours</v>
      </c>
      <c r="L658" s="34" t="str" cm="1">
        <f t="array" ref="L658">IFERROR(_xlfn.LET(_xlpm.e,E658,_xlpm.f,F658,_xlpm.h,H658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-</v>
      </c>
      <c r="M658" s="15" t="str" cm="1">
        <f t="array" ref="M658">IFERROR(_xlfn.LET(_xlpm.e,E658,_xlpm.f,F658,_xlpm.h,H658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-</v>
      </c>
      <c r="N658" s="15" t="str" cm="1">
        <f t="array" ref="N658">IFERROR(_xlfn.LET(_xlpm.e,E658,_xlpm.f,F658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-</v>
      </c>
      <c r="O658" s="15" t="str">
        <f t="shared" ref="O658:O662" si="92">IFERROR(IF(OR(G658="",G658="Not Available",F658=""),"-",IF(H658="↓",G658&amp;" → "&amp;F658,F658&amp;" - "&amp;G658)),"-")</f>
        <v>2.4 per 200K hours → 2.1 per 200K hours</v>
      </c>
      <c r="P658" s="34" t="str" cm="1">
        <f t="array" ref="P658">IFERROR(_xlfn.LET(_xlpm.g,G658,_xlpm.f,F658,_xlpm.h,H658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-</v>
      </c>
      <c r="Q658" s="15" t="str" cm="1">
        <f t="array" ref="Q658">IFERROR(_xlfn.LET(_xlpm.e,E658,_xlpm.g,G658,_xlpm.h,H658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-</v>
      </c>
      <c r="R658" s="15" t="str">
        <f t="shared" ref="R658:R662" si="93">IFERROR(IF(Q658="Below Industry","🔴 Lagging",IF(Q658="Above Industry","🟢 Leading","⚪ N/A")),"⚪ N/A")</f>
        <v>⚪ N/A</v>
      </c>
      <c r="S658" s="35" cm="1">
        <f t="array" ref="S658">IFERROR(_xlfn.LET(_xlpm.e,E658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0</v>
      </c>
      <c r="T658" s="36">
        <f t="shared" ref="T658:T662" si="94">IFERROR(IF(L658="-",0,ABS(L658)*100),0)</f>
        <v>0</v>
      </c>
      <c r="U658" s="15">
        <f t="shared" ref="U658:U662" si="95">IFERROR(RANK(T658,$T$17:$T$662,0),"-")</f>
        <v>554</v>
      </c>
      <c r="V658" s="16">
        <f t="shared" ref="V658:V662" si="96">IFERROR(IF(OR(L658="-",S658=0),0,S658*ABS(L658)*$F$9*$B$5*$B$7),0)</f>
        <v>0</v>
      </c>
      <c r="W658" s="16">
        <f t="shared" ref="W658:W662" si="97">IFERROR(IF(V658=0,0,V658*(1-(1/(1+$B$11)^$B$10))/$B$11),0)</f>
        <v>0</v>
      </c>
      <c r="X658" s="37" t="str">
        <f t="shared" ref="X658:X662" si="98">IFERROR(IF(V658=0,"-",ROUND(12/(V658/($F$9*40)+0.001),0)),"-")</f>
        <v>-</v>
      </c>
      <c r="Y658" s="15" t="str">
        <f t="shared" ref="Y658:Y662" si="99">IF(T658&gt;=50,"🔥 Critical",IF(T658&gt;=25,"⚠️ High",IF(T658&gt;=10,"📊 Medium","📉 Low")))</f>
        <v>📉 Low</v>
      </c>
    </row>
    <row r="659" spans="1:25" x14ac:dyDescent="0.2">
      <c r="A659" t="str">
        <f>'5. KPI Baselines'!A644</f>
        <v>WorldWide Electric</v>
      </c>
      <c r="B659" t="str">
        <f>'5. KPI Baselines'!B644</f>
        <v>Safety &amp; Compliance</v>
      </c>
      <c r="C659" t="str">
        <f>'5. KPI Baselines'!C644</f>
        <v>Regulatory Adherence</v>
      </c>
      <c r="D659" t="str">
        <f>'5. KPI Baselines'!D644</f>
        <v>Compliance Documentation Backlog</v>
      </c>
      <c r="E659" t="str">
        <f>'5. KPI Baselines'!E644</f>
        <v>670 open items</v>
      </c>
      <c r="F659" t="str">
        <f>'5. KPI Baselines'!F644</f>
        <v>280 open items</v>
      </c>
      <c r="G659" t="str">
        <f>'5. KPI Baselines'!G644</f>
        <v>320 open items</v>
      </c>
      <c r="H659" t="str">
        <f>'5. KPI Baselines'!H644</f>
        <v>↓</v>
      </c>
      <c r="I659" t="str">
        <f>'5. KPI Baselines'!I644</f>
        <v>12 months</v>
      </c>
      <c r="J659" t="str">
        <f>'5. KPI Baselines'!J644</f>
        <v>Outstanding compliance tasks across all projects</v>
      </c>
      <c r="K659" s="15" t="str">
        <f t="shared" si="91"/>
        <v>670 open items → 280 open items</v>
      </c>
      <c r="L659" s="34" cm="1">
        <f t="array" ref="L659">IFERROR(_xlfn.LET(_xlpm.e,E659,_xlpm.f,F659,_xlpm.h,H659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0.58208946535978134</v>
      </c>
      <c r="M659" s="15" cm="1">
        <f t="array" ref="M659">IFERROR(_xlfn.LET(_xlpm.e,E659,_xlpm.f,F659,_xlpm.h,H659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338.5</v>
      </c>
      <c r="N659" s="15" cm="1">
        <f t="array" ref="N659">IFERROR(_xlfn.LET(_xlpm.e,E659,_xlpm.f,F659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298.35000000000002</v>
      </c>
      <c r="O659" s="15" t="str">
        <f t="shared" si="92"/>
        <v>320 open items → 280 open items</v>
      </c>
      <c r="P659" s="34" cm="1">
        <f t="array" ref="P659">IFERROR(_xlfn.LET(_xlpm.g,G659,_xlpm.f,F659,_xlpm.h,H659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0.12499996093751221</v>
      </c>
      <c r="Q659" s="15" t="str" cm="1">
        <f t="array" ref="Q659">IFERROR(_xlfn.LET(_xlpm.e,E659,_xlpm.g,G659,_xlpm.h,H659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59" s="15" t="str">
        <f t="shared" si="93"/>
        <v>🔴 Lagging</v>
      </c>
      <c r="S659" s="35" cm="1">
        <f t="array" ref="S659">IFERROR(_xlfn.LET(_xlpm.e,E659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670</v>
      </c>
      <c r="T659" s="36">
        <f t="shared" si="94"/>
        <v>58.208946535978136</v>
      </c>
      <c r="U659" s="15">
        <f t="shared" si="95"/>
        <v>167</v>
      </c>
      <c r="V659" s="16">
        <f t="shared" si="96"/>
        <v>54448.866873303457</v>
      </c>
      <c r="W659" s="16">
        <f t="shared" si="97"/>
        <v>135406.27299070969</v>
      </c>
      <c r="X659" s="37">
        <f t="shared" si="98"/>
        <v>2</v>
      </c>
      <c r="Y659" s="15" t="str">
        <f t="shared" si="99"/>
        <v>🔥 Critical</v>
      </c>
    </row>
    <row r="660" spans="1:25" x14ac:dyDescent="0.2">
      <c r="A660" t="str">
        <f>'5. KPI Baselines'!A645</f>
        <v>WorldWide Electric</v>
      </c>
      <c r="B660" t="str">
        <f>'5. KPI Baselines'!B645</f>
        <v>Human Resources</v>
      </c>
      <c r="C660" t="str">
        <f>'5. KPI Baselines'!C645</f>
        <v>Workforce Planning</v>
      </c>
      <c r="D660" t="str">
        <f>'5. KPI Baselines'!D645</f>
        <v>Skilled Labor Vacancy Rate</v>
      </c>
      <c r="E660" t="str">
        <f>'5. KPI Baselines'!E645</f>
        <v>18%</v>
      </c>
      <c r="F660" t="str">
        <f>'5. KPI Baselines'!F645</f>
        <v>11%</v>
      </c>
      <c r="G660" t="str">
        <f>'5. KPI Baselines'!G645</f>
        <v>13%</v>
      </c>
      <c r="H660" t="str">
        <f>'5. KPI Baselines'!H645</f>
        <v>↓</v>
      </c>
      <c r="I660" t="str">
        <f>'5. KPI Baselines'!I645</f>
        <v>18 months</v>
      </c>
      <c r="J660" t="str">
        <f>'5. KPI Baselines'!J645</f>
        <v>Open skilled positions / Total skilled positions</v>
      </c>
      <c r="K660" s="15" t="str">
        <f t="shared" si="91"/>
        <v>18% → 11%</v>
      </c>
      <c r="L660" s="34" cm="1">
        <f t="array" ref="L660">IFERROR(_xlfn.LET(_xlpm.e,E660,_xlpm.f,F660,_xlpm.h,H660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0.3888867284070644</v>
      </c>
      <c r="M660" s="15" cm="1">
        <f t="array" ref="M660">IFERROR(_xlfn.LET(_xlpm.e,E660,_xlpm.f,F660,_xlpm.h,H660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12.1</v>
      </c>
      <c r="N660" s="15" cm="1">
        <f t="array" ref="N660">IFERROR(_xlfn.LET(_xlpm.e,E660,_xlpm.f,F660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5.36</v>
      </c>
      <c r="O660" s="15" t="str">
        <f t="shared" si="92"/>
        <v>13% → 11%</v>
      </c>
      <c r="P660" s="34" cm="1">
        <f t="array" ref="P660">IFERROR(_xlfn.LET(_xlpm.g,G660,_xlpm.f,F660,_xlpm.h,H660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0.15384497042330444</v>
      </c>
      <c r="Q660" s="15" t="str" cm="1">
        <f t="array" ref="Q660">IFERROR(_xlfn.LET(_xlpm.e,E660,_xlpm.g,G660,_xlpm.h,H660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60" s="15" t="str">
        <f t="shared" si="93"/>
        <v>🔴 Lagging</v>
      </c>
      <c r="S660" s="35" cm="1">
        <f t="array" ref="S660">IFERROR(_xlfn.LET(_xlpm.e,E660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18</v>
      </c>
      <c r="T660" s="36">
        <f t="shared" si="94"/>
        <v>38.888672840706441</v>
      </c>
      <c r="U660" s="15">
        <f t="shared" si="95"/>
        <v>319</v>
      </c>
      <c r="V660" s="16">
        <f t="shared" si="96"/>
        <v>977.28207065516278</v>
      </c>
      <c r="W660" s="16">
        <f t="shared" si="97"/>
        <v>2430.3558631619771</v>
      </c>
      <c r="X660" s="37">
        <f t="shared" si="98"/>
        <v>89</v>
      </c>
      <c r="Y660" s="15" t="str">
        <f t="shared" si="99"/>
        <v>⚠️ High</v>
      </c>
    </row>
    <row r="661" spans="1:25" x14ac:dyDescent="0.2">
      <c r="A661" t="str">
        <f>'5. KPI Baselines'!A646</f>
        <v>WorldWide Electric</v>
      </c>
      <c r="B661" t="str">
        <f>'5. KPI Baselines'!B646</f>
        <v>Contract Administration</v>
      </c>
      <c r="C661" t="str">
        <f>'5. KPI Baselines'!C646</f>
        <v>Change Order Processing</v>
      </c>
      <c r="D661" t="str">
        <f>'5. KPI Baselines'!D646</f>
        <v>Change Order Approval Cycle</v>
      </c>
      <c r="E661" t="str">
        <f>'5. KPI Baselines'!E646</f>
        <v>27 days</v>
      </c>
      <c r="F661" t="str">
        <f>'5. KPI Baselines'!F646</f>
        <v>14 days</v>
      </c>
      <c r="G661" t="str">
        <f>'5. KPI Baselines'!G646</f>
        <v>16 days</v>
      </c>
      <c r="H661" t="str">
        <f>'5. KPI Baselines'!H646</f>
        <v>↓</v>
      </c>
      <c r="I661" t="str">
        <f>'5. KPI Baselines'!I646</f>
        <v>12 months</v>
      </c>
      <c r="J661" t="str">
        <f>'5. KPI Baselines'!J646</f>
        <v>Average days from change request to executed amendment</v>
      </c>
      <c r="K661" s="15" t="str">
        <f t="shared" si="91"/>
        <v>27 days → 14 days</v>
      </c>
      <c r="L661" s="34" cm="1">
        <f t="array" ref="L661">IFERROR(_xlfn.LET(_xlpm.e,E661,_xlpm.f,F661,_xlpm.h,H661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0.48147969822333991</v>
      </c>
      <c r="M661" s="15" cm="1">
        <f t="array" ref="M661">IFERROR(_xlfn.LET(_xlpm.e,E661,_xlpm.f,F661,_xlpm.h,H661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16</v>
      </c>
      <c r="N661" s="15" cm="1">
        <f t="array" ref="N661">IFERROR(_xlfn.LET(_xlpm.e,E661,_xlpm.f,F661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9.9499999999999993</v>
      </c>
      <c r="O661" s="15" t="str">
        <f t="shared" si="92"/>
        <v>16 days → 14 days</v>
      </c>
      <c r="P661" s="34" cm="1">
        <f t="array" ref="P661">IFERROR(_xlfn.LET(_xlpm.g,G661,_xlpm.f,F661,_xlpm.h,H661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0.12499921875488279</v>
      </c>
      <c r="Q661" s="15" t="str" cm="1">
        <f t="array" ref="Q661">IFERROR(_xlfn.LET(_xlpm.e,E661,_xlpm.g,G661,_xlpm.h,H661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61" s="15" t="str">
        <f t="shared" si="93"/>
        <v>🔴 Lagging</v>
      </c>
      <c r="S661" s="35" cm="1">
        <f t="array" ref="S661">IFERROR(_xlfn.LET(_xlpm.e,E661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27</v>
      </c>
      <c r="T661" s="36">
        <f t="shared" si="94"/>
        <v>48.147969822333991</v>
      </c>
      <c r="U661" s="15">
        <f t="shared" si="95"/>
        <v>250</v>
      </c>
      <c r="V661" s="16">
        <f t="shared" si="96"/>
        <v>1814.9557779415632</v>
      </c>
      <c r="W661" s="16">
        <f t="shared" si="97"/>
        <v>4513.5263899222982</v>
      </c>
      <c r="X661" s="37">
        <f t="shared" si="98"/>
        <v>48</v>
      </c>
      <c r="Y661" s="15" t="str">
        <f t="shared" si="99"/>
        <v>⚠️ High</v>
      </c>
    </row>
    <row r="662" spans="1:25" x14ac:dyDescent="0.2">
      <c r="A662" t="str">
        <f>'5. KPI Baselines'!A647</f>
        <v>WorldWide Electric</v>
      </c>
      <c r="B662" t="str">
        <f>'5. KPI Baselines'!B647</f>
        <v>Quality Assurance</v>
      </c>
      <c r="C662" t="str">
        <f>'5. KPI Baselines'!C647</f>
        <v>Inspection &amp; Testing</v>
      </c>
      <c r="D662" t="str">
        <f>'5. KPI Baselines'!D647</f>
        <v>First-Pass Inspection Success Rate</v>
      </c>
      <c r="E662" t="str">
        <f>'5. KPI Baselines'!E647</f>
        <v>76%</v>
      </c>
      <c r="F662" t="str">
        <f>'5. KPI Baselines'!F647</f>
        <v>87%</v>
      </c>
      <c r="G662" t="str">
        <f>'5. KPI Baselines'!G647</f>
        <v>84%</v>
      </c>
      <c r="H662" t="str">
        <f>'5. KPI Baselines'!H647</f>
        <v>↑</v>
      </c>
      <c r="I662" t="str">
        <f>'5. KPI Baselines'!I647</f>
        <v>18 months</v>
      </c>
      <c r="J662" t="str">
        <f>'5. KPI Baselines'!J647</f>
        <v>Inspections passed without rework / Total inspections</v>
      </c>
      <c r="K662" s="15" t="str">
        <f t="shared" si="91"/>
        <v>87% - 76%</v>
      </c>
      <c r="L662" s="34" cm="1">
        <f t="array" ref="L662">IFERROR(_xlfn.LET(_xlpm.e,E662,_xlpm.f,F662,_xlpm.h,H662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","")),0)),_xlpm.base,_xlpm.parse(_xlpm.e),_xlpm.tgt,_xlpm.parse(_xlpm.f),IF(OR(_xlpm.base=0,_xlpm.tgt=0,_xlpm.e="",_xlpm.f=""),"-",IF(_xlpm.h="↓",(_xlpm.base-_xlpm.tgt)/ABS(_xlpm.base+0.0001),(_xlpm.tgt-_xlpm.base)/ABS(_xlpm.base+0.0001)))),"-")</f>
        <v>0.14473665166230043</v>
      </c>
      <c r="M662" s="15" cm="1">
        <f t="array" ref="M662">IFERROR(_xlfn.LET(_xlpm.e,E662,_xlpm.f,F662,_xlpm.h,H662,_xlpm.achv,$B$5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","")),0)),_xlpm.base,_xlpm.parse(_xlpm.e),_xlpm.tgt,_xlpm.parse(_xlpm.f),IF(OR(_xlpm.base=0,_xlpm.tgt=0,_xlpm.e="",_xlpm.f=""),"-",IF(_xlpm.h="↓",ROUND(_xlpm.base-(_xlpm.base-_xlpm.tgt)*_xlpm.achv,1),ROUND(_xlpm.base+(_xlpm.tgt-_xlpm.base)*_xlpm.achv,1)))),"-")</f>
        <v>85.4</v>
      </c>
      <c r="N662" s="15" cm="1">
        <f t="array" ref="N662">IFERROR(_xlfn.LET(_xlpm.e,E662,_xlpm.f,F662,_xlpm.achv,$B$5,_xlpm.rsk,$B$7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","")),0)),_xlpm.base,_xlpm.parse(_xlpm.e),_xlpm.tgt,_xlpm.parse(_xlpm.f),IF(OR(_xlpm.base=0,_xlpm.tgt=0,_xlpm.e="",_xlpm.f=""),"-",ROUND(ABS(_xlpm.base-_xlpm.tgt)*_xlpm.achv*_xlpm.rsk,2))),"-")</f>
        <v>8.42</v>
      </c>
      <c r="O662" s="15" t="str">
        <f t="shared" si="92"/>
        <v>87% - 84%</v>
      </c>
      <c r="P662" s="34" cm="1">
        <f t="array" ref="P662">IFERROR(_xlfn.LET(_xlpm.g,G662,_xlpm.f,F662,_xlpm.h,H662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","")),0)),_xlpm.ind,_xlpm.parse(_xlpm.g),_xlpm.tgt,_xlpm.parse(_xlpm.f),IF(OR(_xlpm.ind=0,_xlpm.tgt=0,_xlpm.g="",_xlpm.g="Not Available",_xlpm.f=""),"-",IF(_xlpm.h="↓",(_xlpm.ind-_xlpm.tgt)/ABS(_xlpm.ind+0.0001),(_xlpm.tgt-_xlpm.ind)/ABS(_xlpm.ind+0.0001)))),"-")</f>
        <v>3.5714243197329527E-2</v>
      </c>
      <c r="Q662" s="15" t="str" cm="1">
        <f t="array" ref="Q662">IFERROR(_xlfn.LET(_xlpm.e,E662,_xlpm.g,G662,_xlpm.h,H662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","")),0)),_xlpm.base,_xlpm.parse(_xlpm.e),_xlpm.ind,_xlpm.parse(_xlpm.g),IF(OR(_xlpm.ind=0,_xlpm.base=0,_xlpm.g="",_xlpm.g="Not Available",_xlpm.e=""),"-",IF(_xlpm.h="↓",IF(_xlpm.base&gt;_xlpm.ind,"Below Industry","Above Industry"),IF(_xlpm.base&lt;_xlpm.ind,"Below Industry","Above Industry")))),"-")</f>
        <v>Below Industry</v>
      </c>
      <c r="R662" s="15" t="str">
        <f t="shared" si="93"/>
        <v>🔴 Lagging</v>
      </c>
      <c r="S662" s="35" cm="1">
        <f t="array" ref="S662">IFERROR(_xlfn.LET(_xlpm.e,E662,_xlpm.parse,_xlfn.LAMBDA(_xlpm.txt,IFERROR(_xlfn.NUMBER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EFT(_xlpm.txt&amp;" ",IFERROR(FIND("(",_xlpm.txt)-1,FIND(" ",_xlpm.txt&amp;" ")+99)),"%",""),"$",""),",","")," days","")," day","")," hours","")," hour","")," minutes","")," minute","")," weeks","")," week","")," months","")," month",""),"hours/year","")," per SKU","")," per module","")," annually","")," per 100 FTE","")," bids","")," findings","")," open items","")," variance","")," per certification",""),"x",""),"M","")," average","")," reports","")," SKUs","")," patients","")," unfavorable","")," contacts","")," monthly","")," per month","")," of available time","")," design reuse","")," ","")),0)),ABS(_xlpm.parse(_xlpm.e))),0)</f>
        <v>76</v>
      </c>
      <c r="T662" s="36">
        <f t="shared" si="94"/>
        <v>14.473665166230044</v>
      </c>
      <c r="U662" s="15">
        <f t="shared" si="95"/>
        <v>501</v>
      </c>
      <c r="V662" s="16">
        <f t="shared" si="96"/>
        <v>1535.735479295422</v>
      </c>
      <c r="W662" s="16">
        <f t="shared" si="97"/>
        <v>3819.1468343109327</v>
      </c>
      <c r="X662" s="37">
        <f t="shared" si="98"/>
        <v>57</v>
      </c>
      <c r="Y662" s="15" t="str">
        <f t="shared" si="99"/>
        <v>📊 Medium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BC9C-D507-FB49-AE6B-BE891176815A}">
  <sheetPr>
    <tabColor rgb="FF1F4E79"/>
  </sheetPr>
  <dimension ref="A1:M92"/>
  <sheetViews>
    <sheetView topLeftCell="E13" zoomScale="160" zoomScaleNormal="160" workbookViewId="0">
      <selection activeCell="C3" sqref="C3"/>
    </sheetView>
  </sheetViews>
  <sheetFormatPr baseColWidth="10" defaultRowHeight="16" x14ac:dyDescent="0.2"/>
  <cols>
    <col min="1" max="10" width="18.33203125" customWidth="1"/>
  </cols>
  <sheetData>
    <row r="1" spans="1:13" ht="24" x14ac:dyDescent="0.3">
      <c r="A1" s="3">
        <v>1.5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54" t="s">
        <v>7218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">
      <c r="A3" s="55"/>
    </row>
    <row r="5" spans="1:13" ht="19" x14ac:dyDescent="0.25">
      <c r="A5" s="56" t="s">
        <v>7219</v>
      </c>
      <c r="B5" s="6"/>
      <c r="C5" s="6"/>
      <c r="D5" s="6"/>
      <c r="F5" s="56" t="s">
        <v>7247</v>
      </c>
      <c r="G5" s="6"/>
      <c r="H5" s="6"/>
      <c r="I5" s="6"/>
      <c r="J5" s="6"/>
    </row>
    <row r="6" spans="1:13" x14ac:dyDescent="0.2">
      <c r="A6" s="58" t="s">
        <v>7132</v>
      </c>
      <c r="B6" s="58" t="s">
        <v>7133</v>
      </c>
      <c r="C6" s="58" t="s">
        <v>7220</v>
      </c>
      <c r="D6" s="58" t="s">
        <v>7041</v>
      </c>
      <c r="F6" s="58" t="s">
        <v>7248</v>
      </c>
      <c r="G6" s="58" t="s">
        <v>7249</v>
      </c>
      <c r="H6" s="58" t="s">
        <v>7250</v>
      </c>
      <c r="I6" s="58" t="s">
        <v>7251</v>
      </c>
      <c r="J6" s="58" t="s">
        <v>7203</v>
      </c>
    </row>
    <row r="7" spans="1:13" x14ac:dyDescent="0.2">
      <c r="A7" s="60" t="s">
        <v>7221</v>
      </c>
      <c r="B7" s="61"/>
      <c r="C7" s="61"/>
      <c r="D7" s="61"/>
      <c r="F7" t="s">
        <v>109</v>
      </c>
      <c r="G7" s="11" t="s">
        <v>7252</v>
      </c>
      <c r="H7" t="s">
        <v>7253</v>
      </c>
      <c r="I7" s="66" t="s">
        <v>7254</v>
      </c>
      <c r="J7">
        <f>IF(G7="All",COUNTA('3. Use Cases Catalog'!G:G)-1,COUNTIF('3. Use Cases Catalog'!G:G,G7))</f>
        <v>540</v>
      </c>
    </row>
    <row r="8" spans="1:13" x14ac:dyDescent="0.2">
      <c r="A8" t="s">
        <v>6988</v>
      </c>
      <c r="B8" s="62">
        <v>0.9</v>
      </c>
      <c r="C8" t="s">
        <v>7222</v>
      </c>
      <c r="D8" t="s">
        <v>7223</v>
      </c>
      <c r="F8" t="s">
        <v>17</v>
      </c>
      <c r="G8" s="11" t="s">
        <v>7252</v>
      </c>
      <c r="H8" t="s">
        <v>7255</v>
      </c>
      <c r="I8" s="66" t="s">
        <v>7254</v>
      </c>
      <c r="J8">
        <f>IF(G8="All",COUNTA('3. Use Cases Catalog'!A:A)-1,COUNTIF('3. Use Cases Catalog'!A:A,G8))</f>
        <v>540</v>
      </c>
    </row>
    <row r="9" spans="1:13" x14ac:dyDescent="0.2">
      <c r="A9" t="s">
        <v>6990</v>
      </c>
      <c r="B9" s="62">
        <v>0.75</v>
      </c>
      <c r="C9" t="s">
        <v>7222</v>
      </c>
      <c r="D9" t="s">
        <v>7224</v>
      </c>
      <c r="F9" t="s">
        <v>106</v>
      </c>
      <c r="G9" s="11" t="s">
        <v>7252</v>
      </c>
      <c r="H9" t="s">
        <v>7255</v>
      </c>
      <c r="I9" s="66" t="s">
        <v>7254</v>
      </c>
      <c r="J9">
        <f>IF(G9="All",COUNTA('3. Use Cases Catalog'!D:D)-1,COUNTIF('3. Use Cases Catalog'!D:D,G9))</f>
        <v>540</v>
      </c>
    </row>
    <row r="10" spans="1:13" x14ac:dyDescent="0.2">
      <c r="A10" t="s">
        <v>6992</v>
      </c>
      <c r="B10" s="62">
        <v>0.8</v>
      </c>
      <c r="C10" t="s">
        <v>7225</v>
      </c>
      <c r="D10" t="s">
        <v>7226</v>
      </c>
      <c r="F10" t="s">
        <v>7256</v>
      </c>
      <c r="G10" s="11" t="s">
        <v>7252</v>
      </c>
      <c r="H10" t="s">
        <v>7257</v>
      </c>
      <c r="I10" s="66" t="s">
        <v>7254</v>
      </c>
      <c r="J10">
        <f>COUNTA('3. Use Cases Catalog'!A:A)-1</f>
        <v>540</v>
      </c>
    </row>
    <row r="11" spans="1:13" x14ac:dyDescent="0.2">
      <c r="A11" t="s">
        <v>7227</v>
      </c>
      <c r="B11" s="62">
        <v>0.85</v>
      </c>
      <c r="C11" t="s">
        <v>7228</v>
      </c>
      <c r="D11" t="s">
        <v>7229</v>
      </c>
      <c r="F11" t="s">
        <v>7258</v>
      </c>
      <c r="G11" s="64">
        <v>0</v>
      </c>
      <c r="H11" t="s">
        <v>7259</v>
      </c>
      <c r="I11" s="66" t="s">
        <v>7254</v>
      </c>
      <c r="J11">
        <f>COUNTIF('3. Use Cases Catalog'!M:M,"&gt;="&amp;G11)</f>
        <v>540</v>
      </c>
    </row>
    <row r="12" spans="1:13" x14ac:dyDescent="0.2">
      <c r="A12" s="60" t="s">
        <v>7230</v>
      </c>
      <c r="B12" s="61"/>
      <c r="C12" s="61"/>
      <c r="D12" s="61"/>
      <c r="F12" t="s">
        <v>7260</v>
      </c>
      <c r="G12" s="67">
        <v>24</v>
      </c>
      <c r="H12" t="s">
        <v>7261</v>
      </c>
      <c r="I12" s="66" t="s">
        <v>7254</v>
      </c>
      <c r="J12">
        <f>COUNTIF('3. Use Cases Catalog'!O:O,"&lt;="&amp;G12)</f>
        <v>540</v>
      </c>
    </row>
    <row r="13" spans="1:13" x14ac:dyDescent="0.2">
      <c r="A13" t="s">
        <v>6995</v>
      </c>
      <c r="B13" s="63">
        <v>395</v>
      </c>
      <c r="C13" t="s">
        <v>7231</v>
      </c>
      <c r="D13" t="s">
        <v>7232</v>
      </c>
      <c r="F13" t="s">
        <v>7262</v>
      </c>
      <c r="G13" s="62">
        <v>0.5</v>
      </c>
      <c r="H13" t="s">
        <v>7222</v>
      </c>
      <c r="I13" s="66" t="s">
        <v>7254</v>
      </c>
      <c r="J13">
        <f>COUNTIF('3. Use Cases Catalog'!N:N,"&gt;="&amp;G13)</f>
        <v>540</v>
      </c>
    </row>
    <row r="14" spans="1:13" x14ac:dyDescent="0.2">
      <c r="A14" t="s">
        <v>6997</v>
      </c>
      <c r="B14" s="63">
        <v>150</v>
      </c>
      <c r="C14" t="s">
        <v>7233</v>
      </c>
      <c r="D14" t="s">
        <v>7234</v>
      </c>
      <c r="F14" s="19"/>
      <c r="G14" s="19"/>
      <c r="H14" s="19"/>
      <c r="I14" s="19"/>
      <c r="J14" s="19"/>
    </row>
    <row r="15" spans="1:13" x14ac:dyDescent="0.2">
      <c r="A15" t="s">
        <v>6999</v>
      </c>
      <c r="B15" s="63">
        <v>100</v>
      </c>
      <c r="C15" t="s">
        <v>7235</v>
      </c>
      <c r="D15" t="s">
        <v>7236</v>
      </c>
      <c r="F15" s="7" t="s">
        <v>7263</v>
      </c>
      <c r="G15" s="59">
        <f>J7</f>
        <v>540</v>
      </c>
    </row>
    <row r="16" spans="1:13" x14ac:dyDescent="0.2">
      <c r="A16" t="s">
        <v>7001</v>
      </c>
      <c r="B16" s="63">
        <v>85</v>
      </c>
      <c r="C16" t="s">
        <v>7237</v>
      </c>
      <c r="D16" t="s">
        <v>7238</v>
      </c>
    </row>
    <row r="17" spans="1:10" x14ac:dyDescent="0.2">
      <c r="A17" s="60" t="s">
        <v>7003</v>
      </c>
      <c r="B17" s="61"/>
      <c r="C17" s="61"/>
      <c r="D17" s="61"/>
    </row>
    <row r="18" spans="1:10" x14ac:dyDescent="0.2">
      <c r="A18" t="s">
        <v>7004</v>
      </c>
      <c r="B18" s="64">
        <v>3</v>
      </c>
      <c r="C18" t="s">
        <v>7239</v>
      </c>
      <c r="D18" t="s">
        <v>7240</v>
      </c>
    </row>
    <row r="19" spans="1:10" x14ac:dyDescent="0.2">
      <c r="A19" t="s">
        <v>7006</v>
      </c>
      <c r="B19" s="64">
        <v>15</v>
      </c>
      <c r="C19" t="s">
        <v>7241</v>
      </c>
      <c r="D19" t="s">
        <v>7242</v>
      </c>
    </row>
    <row r="20" spans="1:10" x14ac:dyDescent="0.2">
      <c r="A20" s="60" t="s">
        <v>7243</v>
      </c>
      <c r="B20" s="61"/>
      <c r="C20" s="61"/>
      <c r="D20" s="61"/>
    </row>
    <row r="21" spans="1:10" x14ac:dyDescent="0.2">
      <c r="A21" t="s">
        <v>7244</v>
      </c>
      <c r="B21" s="65">
        <v>1</v>
      </c>
      <c r="C21" t="s">
        <v>7245</v>
      </c>
      <c r="D21" t="s">
        <v>7246</v>
      </c>
    </row>
    <row r="23" spans="1:10" ht="19" x14ac:dyDescent="0.25">
      <c r="A23" s="68" t="s">
        <v>7264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">
      <c r="A24" s="58" t="s">
        <v>7265</v>
      </c>
      <c r="B24" s="58" t="s">
        <v>7266</v>
      </c>
      <c r="C24" s="58" t="s">
        <v>7267</v>
      </c>
      <c r="D24" s="58" t="s">
        <v>2875</v>
      </c>
      <c r="E24" s="58" t="s">
        <v>2883</v>
      </c>
      <c r="F24" s="58" t="s">
        <v>7268</v>
      </c>
      <c r="G24" s="58" t="s">
        <v>7269</v>
      </c>
      <c r="H24" s="58" t="s">
        <v>7270</v>
      </c>
      <c r="I24" s="58" t="s">
        <v>7271</v>
      </c>
      <c r="J24" s="58" t="s">
        <v>7272</v>
      </c>
    </row>
    <row r="25" spans="1:10" x14ac:dyDescent="0.2">
      <c r="A25" s="44" t="s">
        <v>7273</v>
      </c>
      <c r="B25" s="70">
        <f>SUMIF('3. Use Cases Catalog'!I:I,"&gt;0",'3. Use Cases Catalog'!I:I)</f>
        <v>169.05148600000012</v>
      </c>
      <c r="C25" s="70">
        <f>B25*$B$8*$B$9*$B$21</f>
        <v>114.10975305000008</v>
      </c>
      <c r="D25" s="71">
        <f>C25/C29</f>
        <v>0.39317277455637722</v>
      </c>
      <c r="E25" s="72">
        <f>COUNTIF('3. Use Cases Catalog'!I:I,"&gt;0")</f>
        <v>482</v>
      </c>
      <c r="F25" s="70">
        <f>C25/E25</f>
        <v>0.23674222624481345</v>
      </c>
      <c r="G25" s="72">
        <f>COUNTIFS('3. Use Cases Catalog'!I:I,"&gt;1",'3. Use Cases Catalog'!G:G,"Critical")</f>
        <v>7</v>
      </c>
      <c r="H25" s="72">
        <f>COUNTIFS('3. Use Cases Catalog'!I:I,"&gt;0",'3. Use Cases Catalog'!O:O,"&lt;6")</f>
        <v>43</v>
      </c>
      <c r="I25" s="70">
        <f>C25-B25*0.675</f>
        <v>0</v>
      </c>
      <c r="J25" s="70">
        <f>C25*AVERAGEIF('3. Use Cases Catalog'!I:I,"&gt;0",'3. Use Cases Catalog'!N:N)</f>
        <v>86.609776049402598</v>
      </c>
    </row>
    <row r="26" spans="1:10" x14ac:dyDescent="0.2">
      <c r="A26" s="73" t="s">
        <v>7274</v>
      </c>
      <c r="B26" s="75">
        <f>SUMIF('3. Use Cases Catalog'!J:J,"&gt;0",'3. Use Cases Catalog'!J:J)</f>
        <v>148.10121980000002</v>
      </c>
      <c r="C26" s="75">
        <f>B26*$B$8*$B$9*$B$21</f>
        <v>99.968323365000032</v>
      </c>
      <c r="D26" s="76">
        <f>C26/C29</f>
        <v>0.34444753419055929</v>
      </c>
      <c r="E26" s="77">
        <f>COUNTIF('3. Use Cases Catalog'!J:J,"&gt;0")</f>
        <v>208</v>
      </c>
      <c r="F26" s="75">
        <f>C26/E26</f>
        <v>0.48061693925480786</v>
      </c>
      <c r="G26" s="77">
        <f>COUNTIFS('3. Use Cases Catalog'!J:J,"&gt;1",'3. Use Cases Catalog'!G:G,"Critical")</f>
        <v>10</v>
      </c>
      <c r="H26" s="77">
        <f>COUNTIFS('3. Use Cases Catalog'!J:J,"&gt;0",'3. Use Cases Catalog'!O:O,"&lt;6")</f>
        <v>18</v>
      </c>
      <c r="I26" s="75">
        <f>C26-B26*0.675</f>
        <v>0</v>
      </c>
      <c r="J26" s="75">
        <f>C26*AVERAGEIF('3. Use Cases Catalog'!J:J,"&gt;0",'3. Use Cases Catalog'!N:N)</f>
        <v>73.866017394071434</v>
      </c>
    </row>
    <row r="27" spans="1:10" x14ac:dyDescent="0.2">
      <c r="A27" s="78" t="s">
        <v>7275</v>
      </c>
      <c r="B27" s="80">
        <f>SUMIF('3. Use Cases Catalog'!K:K,"&gt;0",'3. Use Cases Catalog'!K:K)</f>
        <v>65.960392399999989</v>
      </c>
      <c r="C27" s="80">
        <f>B27*$B$10*$B$9*$B$21</f>
        <v>39.576235439999998</v>
      </c>
      <c r="D27" s="81">
        <f>C27/C29</f>
        <v>0.13636256216962531</v>
      </c>
      <c r="E27" s="82">
        <f>COUNTIF('3. Use Cases Catalog'!K:K,"&gt;0")</f>
        <v>225</v>
      </c>
      <c r="F27" s="80">
        <f>C27/E27</f>
        <v>0.17589437973333333</v>
      </c>
      <c r="G27" s="82">
        <f>COUNTIFS('3. Use Cases Catalog'!K:K,"&gt;1",'3. Use Cases Catalog'!G:G,"Critical")</f>
        <v>2</v>
      </c>
      <c r="H27" s="82">
        <f>COUNTIFS('3. Use Cases Catalog'!K:K,"&gt;0",'3. Use Cases Catalog'!O:O,"&lt;6")</f>
        <v>15</v>
      </c>
      <c r="I27" s="80">
        <f>C27-B27*0.675</f>
        <v>-4.9470294300000006</v>
      </c>
      <c r="J27" s="80">
        <f>C27*AVERAGEIF('3. Use Cases Catalog'!K:K,"&gt;0",'3. Use Cases Catalog'!N:N)</f>
        <v>29.863347791125317</v>
      </c>
    </row>
    <row r="28" spans="1:10" x14ac:dyDescent="0.2">
      <c r="A28" s="83" t="s">
        <v>7276</v>
      </c>
      <c r="B28" s="85">
        <f>SUMIF('3. Use Cases Catalog'!L:L,"&gt;0",'3. Use Cases Catalog'!L:L)</f>
        <v>57.370511300000011</v>
      </c>
      <c r="C28" s="85">
        <f>B28*$B$11*$B$9*$B$21</f>
        <v>36.573700953750006</v>
      </c>
      <c r="D28" s="86">
        <f>C28/C29</f>
        <v>0.12601712908343815</v>
      </c>
      <c r="E28" s="87">
        <f>COUNTIF('3. Use Cases Catalog'!L:L,"&gt;0")</f>
        <v>145</v>
      </c>
      <c r="F28" s="85">
        <f>C28/E28</f>
        <v>0.25223242037068971</v>
      </c>
      <c r="G28" s="87">
        <f>COUNTIFS('3. Use Cases Catalog'!L:L,"&gt;1",'3. Use Cases Catalog'!G:G,"Critical")</f>
        <v>1</v>
      </c>
      <c r="H28" s="87">
        <f>COUNTIFS('3. Use Cases Catalog'!L:L,"&gt;0",'3. Use Cases Catalog'!O:O,"&lt;6")</f>
        <v>5</v>
      </c>
      <c r="I28" s="85">
        <f>C28-B28*0.675</f>
        <v>-2.1513941737500062</v>
      </c>
      <c r="J28" s="85">
        <f>C28*AVERAGEIF('3. Use Cases Catalog'!L:L,"&gt;0",'3. Use Cases Catalog'!N:N)</f>
        <v>27.692597432498012</v>
      </c>
    </row>
    <row r="29" spans="1:10" x14ac:dyDescent="0.2">
      <c r="A29" s="88" t="s">
        <v>7277</v>
      </c>
      <c r="B29" s="89">
        <f>SUM(B25:B28)</f>
        <v>440.48360950000017</v>
      </c>
      <c r="C29" s="89">
        <f>SUM(C25:C28)</f>
        <v>290.22801280875012</v>
      </c>
      <c r="D29" s="90">
        <v>1</v>
      </c>
      <c r="E29" s="91">
        <f>COUNTA('3. Use Cases Catalog'!A:A)-1</f>
        <v>540</v>
      </c>
      <c r="F29" s="89">
        <f>C29/E29</f>
        <v>0.5374592829791669</v>
      </c>
      <c r="G29" s="91">
        <f>SUM(G25:G28)</f>
        <v>20</v>
      </c>
      <c r="H29" s="91">
        <f>SUM(H25:H28)</f>
        <v>81</v>
      </c>
      <c r="I29" s="89">
        <f>SUM(I25:I28)</f>
        <v>-7.0984236037500068</v>
      </c>
      <c r="J29" s="89">
        <f>SUM(J25:J28)</f>
        <v>218.03173866709736</v>
      </c>
    </row>
    <row r="30" spans="1:10" x14ac:dyDescent="0.2">
      <c r="A30" s="55"/>
    </row>
    <row r="31" spans="1:10" x14ac:dyDescent="0.2">
      <c r="A31" s="59" t="s">
        <v>7278</v>
      </c>
      <c r="B31" s="92">
        <f>C29-B29*0.675</f>
        <v>-7.0984236037500068</v>
      </c>
      <c r="C31" s="20" t="s">
        <v>7279</v>
      </c>
    </row>
    <row r="32" spans="1:10" x14ac:dyDescent="0.2">
      <c r="A32" s="59" t="s">
        <v>7280</v>
      </c>
      <c r="B32" s="93">
        <f>C29*2-C29</f>
        <v>290.22801280875012</v>
      </c>
      <c r="C32" s="20" t="s">
        <v>7281</v>
      </c>
    </row>
    <row r="35" spans="1:10" ht="19" x14ac:dyDescent="0.25">
      <c r="A35" s="56" t="s">
        <v>7282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58" t="s">
        <v>109</v>
      </c>
      <c r="B36" s="58" t="s">
        <v>2883</v>
      </c>
      <c r="C36" s="58" t="s">
        <v>2878</v>
      </c>
      <c r="D36" s="58" t="s">
        <v>43</v>
      </c>
      <c r="E36" s="58" t="s">
        <v>2879</v>
      </c>
      <c r="F36" s="58" t="s">
        <v>2880</v>
      </c>
      <c r="G36" s="58" t="s">
        <v>19</v>
      </c>
      <c r="H36" s="58" t="s">
        <v>7283</v>
      </c>
      <c r="I36" s="58" t="s">
        <v>7284</v>
      </c>
      <c r="J36" s="58" t="s">
        <v>7285</v>
      </c>
    </row>
    <row r="37" spans="1:10" x14ac:dyDescent="0.2">
      <c r="A37" s="94" t="s">
        <v>7286</v>
      </c>
      <c r="B37" s="95">
        <f>COUNTIF('3. Use Cases Catalog'!G:G,"Critical")</f>
        <v>111</v>
      </c>
      <c r="C37" s="96">
        <f>SUMIF('3. Use Cases Catalog'!G:G,"Critical",'3. Use Cases Catalog'!I:I)</f>
        <v>46.600397299999969</v>
      </c>
      <c r="D37" s="96">
        <f>SUMIF('3. Use Cases Catalog'!G:G,"Critical",'3. Use Cases Catalog'!J:J)</f>
        <v>46.700605999999993</v>
      </c>
      <c r="E37" s="96">
        <f>SUMIF('3. Use Cases Catalog'!G:G,"Critical",'3. Use Cases Catalog'!K:K)</f>
        <v>6.000089</v>
      </c>
      <c r="F37" s="96">
        <f>SUMIF('3. Use Cases Catalog'!G:G,"Critical",'3. Use Cases Catalog'!L:L)</f>
        <v>3.7801721000000001</v>
      </c>
      <c r="G37" s="96">
        <f>SUMIF('3. Use Cases Catalog'!G:G,"Critical",'3. Use Cases Catalog'!M:M)</f>
        <v>98.701260099999999</v>
      </c>
      <c r="H37" s="96">
        <f>G37*$B$8*$B$9*$B$21</f>
        <v>66.623350567500012</v>
      </c>
      <c r="I37" s="97">
        <f>AVERAGEIF('3. Use Cases Catalog'!G:G,"Critical",'3. Use Cases Catalog'!N:N)</f>
        <v>0.75765765765765747</v>
      </c>
      <c r="J37" s="98">
        <f>AVERAGEIF('3. Use Cases Catalog'!G:G,"Critical",'3. Use Cases Catalog'!O:O)</f>
        <v>7.1171171171171173</v>
      </c>
    </row>
    <row r="38" spans="1:10" x14ac:dyDescent="0.2">
      <c r="A38" s="99" t="s">
        <v>7287</v>
      </c>
      <c r="B38" s="100">
        <f>COUNTIF('3. Use Cases Catalog'!G:G,"High")</f>
        <v>247</v>
      </c>
      <c r="C38" s="101">
        <f>SUMIF('3. Use Cases Catalog'!G:G,"High",'3. Use Cases Catalog'!I:I)</f>
        <v>92.790658800000074</v>
      </c>
      <c r="D38" s="101">
        <f>SUMIF('3. Use Cases Catalog'!G:G,"High",'3. Use Cases Catalog'!J:J)</f>
        <v>84.20038049999998</v>
      </c>
      <c r="E38" s="101">
        <f>SUMIF('3. Use Cases Catalog'!G:G,"High",'3. Use Cases Catalog'!K:K)</f>
        <v>43.500207900000007</v>
      </c>
      <c r="F38" s="101">
        <f>SUMIF('3. Use Cases Catalog'!G:G,"High",'3. Use Cases Catalog'!L:L)</f>
        <v>35.700194400000001</v>
      </c>
      <c r="G38" s="101">
        <f>SUMIF('3. Use Cases Catalog'!G:G,"High",'3. Use Cases Catalog'!M:M)</f>
        <v>235.40145630000001</v>
      </c>
      <c r="H38" s="101">
        <f>G38*$B$8*$B$9*$B$21</f>
        <v>158.89598300250003</v>
      </c>
      <c r="I38" s="102">
        <f>AVERAGEIF('3. Use Cases Catalog'!G:G,"High",'3. Use Cases Catalog'!N:N)</f>
        <v>0.7578542510121461</v>
      </c>
      <c r="J38" s="103">
        <f>AVERAGEIF('3. Use Cases Catalog'!G:G,"High",'3. Use Cases Catalog'!O:O)</f>
        <v>8.2955465587044532</v>
      </c>
    </row>
    <row r="39" spans="1:10" x14ac:dyDescent="0.2">
      <c r="A39" s="104" t="s">
        <v>7288</v>
      </c>
      <c r="B39" s="105">
        <f>COUNTIF('3. Use Cases Catalog'!G:G,"Medium")</f>
        <v>182</v>
      </c>
      <c r="C39" s="106">
        <f>SUMIF('3. Use Cases Catalog'!G:G,"Medium",'3. Use Cases Catalog'!I:I)</f>
        <v>29.660429900000004</v>
      </c>
      <c r="D39" s="106">
        <f>SUMIF('3. Use Cases Catalog'!G:G,"Medium",'3. Use Cases Catalog'!J:J)</f>
        <v>17.200233300000004</v>
      </c>
      <c r="E39" s="106">
        <f>SUMIF('3. Use Cases Catalog'!G:G,"Medium",'3. Use Cases Catalog'!K:K)</f>
        <v>16.460095500000001</v>
      </c>
      <c r="F39" s="106">
        <f>SUMIF('3. Use Cases Catalog'!G:G,"Medium",'3. Use Cases Catalog'!L:L)</f>
        <v>17.890144799999998</v>
      </c>
      <c r="G39" s="106">
        <f>SUMIF('3. Use Cases Catalog'!G:G,"Medium",'3. Use Cases Catalog'!M:M)</f>
        <v>54.890904200000008</v>
      </c>
      <c r="H39" s="106">
        <f>G39*$B$8*$B$9*$B$21</f>
        <v>37.051360335000012</v>
      </c>
      <c r="I39" s="107">
        <f>AVERAGEIF('3. Use Cases Catalog'!G:G,"Medium",'3. Use Cases Catalog'!N:N)</f>
        <v>0.74752747252747254</v>
      </c>
      <c r="J39" s="108">
        <f>AVERAGEIF('3. Use Cases Catalog'!G:G,"Medium",'3. Use Cases Catalog'!O:O)</f>
        <v>9.9120879120879124</v>
      </c>
    </row>
    <row r="40" spans="1:10" x14ac:dyDescent="0.2">
      <c r="A40" s="88" t="s">
        <v>7289</v>
      </c>
      <c r="B40" s="91">
        <f t="shared" ref="B40:H40" si="0">SUM(B37:B39)</f>
        <v>540</v>
      </c>
      <c r="C40" s="89">
        <f t="shared" si="0"/>
        <v>169.05148600000004</v>
      </c>
      <c r="D40" s="89">
        <f t="shared" si="0"/>
        <v>148.1012198</v>
      </c>
      <c r="E40" s="89">
        <f t="shared" si="0"/>
        <v>65.960392400000018</v>
      </c>
      <c r="F40" s="89">
        <f t="shared" si="0"/>
        <v>57.370511300000004</v>
      </c>
      <c r="G40" s="89">
        <f t="shared" si="0"/>
        <v>388.99362060000004</v>
      </c>
      <c r="H40" s="89">
        <f t="shared" si="0"/>
        <v>262.57069390500004</v>
      </c>
      <c r="I40" s="109">
        <f>AVERAGE(I37:I39)</f>
        <v>0.75434646039909203</v>
      </c>
      <c r="J40" s="110">
        <f>AVERAGE(J37:J39)</f>
        <v>8.4415838626364934</v>
      </c>
    </row>
    <row r="43" spans="1:10" ht="19" x14ac:dyDescent="0.25">
      <c r="A43" s="56" t="s">
        <v>7290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58" t="s">
        <v>17</v>
      </c>
      <c r="B44" s="58" t="s">
        <v>2883</v>
      </c>
      <c r="C44" s="58" t="s">
        <v>2878</v>
      </c>
      <c r="D44" s="58" t="s">
        <v>43</v>
      </c>
      <c r="E44" s="58" t="s">
        <v>2879</v>
      </c>
      <c r="F44" s="58" t="s">
        <v>2880</v>
      </c>
      <c r="G44" s="58" t="s">
        <v>19</v>
      </c>
      <c r="H44" s="58" t="s">
        <v>7291</v>
      </c>
      <c r="I44" s="58" t="s">
        <v>7292</v>
      </c>
      <c r="J44" s="58" t="s">
        <v>7270</v>
      </c>
    </row>
    <row r="45" spans="1:10" x14ac:dyDescent="0.2">
      <c r="A45" s="69" t="s">
        <v>26</v>
      </c>
      <c r="B45" s="72">
        <f>COUNTIF('3. Use Cases Catalog'!A:A,A45)</f>
        <v>10</v>
      </c>
      <c r="C45" s="70">
        <f>SUMIF('3. Use Cases Catalog'!A:A,A45,'3. Use Cases Catalog'!I:I)</f>
        <v>18.2</v>
      </c>
      <c r="D45" s="70">
        <f>SUMIF('3. Use Cases Catalog'!A:A,A45,'3. Use Cases Catalog'!J:J)</f>
        <v>40.299999999999997</v>
      </c>
      <c r="E45" s="70">
        <f>SUMIF('3. Use Cases Catalog'!A:A,A45,'3. Use Cases Catalog'!K:K)</f>
        <v>9.9</v>
      </c>
      <c r="F45" s="70">
        <f>SUMIF('3. Use Cases Catalog'!A:A,A45,'3. Use Cases Catalog'!L:L)</f>
        <v>22.199999999999996</v>
      </c>
      <c r="G45" s="70">
        <f>SUMIF('3. Use Cases Catalog'!A:A,A45,'3. Use Cases Catalog'!M:M)</f>
        <v>90.6</v>
      </c>
      <c r="H45" s="70">
        <f t="shared" ref="H45:H59" si="1">G45*$B$8*$B$9*$B$21</f>
        <v>61.154999999999994</v>
      </c>
      <c r="I45" s="72">
        <f>COUNTIFS('3. Use Cases Catalog'!A:A,A45,'3. Use Cases Catalog'!G:G,"Critical")</f>
        <v>0</v>
      </c>
      <c r="J45" s="72">
        <f>COUNTIFS('3. Use Cases Catalog'!A:A,A45,'3. Use Cases Catalog'!O:O,"&lt;6")</f>
        <v>1</v>
      </c>
    </row>
    <row r="46" spans="1:10" x14ac:dyDescent="0.2">
      <c r="A46" s="74" t="s">
        <v>29</v>
      </c>
      <c r="B46" s="77">
        <f>COUNTIF('3. Use Cases Catalog'!A:A,A46)</f>
        <v>10</v>
      </c>
      <c r="C46" s="75">
        <f>SUMIF('3. Use Cases Catalog'!A:A,A46,'3. Use Cases Catalog'!I:I)</f>
        <v>55.3</v>
      </c>
      <c r="D46" s="75">
        <f>SUMIF('3. Use Cases Catalog'!A:A,A46,'3. Use Cases Catalog'!J:J)</f>
        <v>15.600000000000001</v>
      </c>
      <c r="E46" s="75">
        <f>SUMIF('3. Use Cases Catalog'!A:A,A46,'3. Use Cases Catalog'!K:K)</f>
        <v>8.6</v>
      </c>
      <c r="F46" s="75">
        <f>SUMIF('3. Use Cases Catalog'!A:A,A46,'3. Use Cases Catalog'!L:L)</f>
        <v>2.1</v>
      </c>
      <c r="G46" s="75">
        <f>SUMIF('3. Use Cases Catalog'!A:A,A46,'3. Use Cases Catalog'!M:M)</f>
        <v>81.600000000000009</v>
      </c>
      <c r="H46" s="75">
        <f t="shared" si="1"/>
        <v>55.080000000000013</v>
      </c>
      <c r="I46" s="77">
        <f>COUNTIFS('3. Use Cases Catalog'!A:A,A46,'3. Use Cases Catalog'!G:G,"Critical")</f>
        <v>2</v>
      </c>
      <c r="J46" s="77">
        <f>COUNTIFS('3. Use Cases Catalog'!A:A,A46,'3. Use Cases Catalog'!O:O,"&lt;6")</f>
        <v>3</v>
      </c>
    </row>
    <row r="47" spans="1:10" x14ac:dyDescent="0.2">
      <c r="A47" s="69" t="s">
        <v>22</v>
      </c>
      <c r="B47" s="72">
        <f>COUNTIF('3. Use Cases Catalog'!A:A,A47)</f>
        <v>10</v>
      </c>
      <c r="C47" s="70">
        <f>SUMIF('3. Use Cases Catalog'!A:A,A47,'3. Use Cases Catalog'!I:I)</f>
        <v>14.3</v>
      </c>
      <c r="D47" s="70">
        <f>SUMIF('3. Use Cases Catalog'!A:A,A47,'3. Use Cases Catalog'!J:J)</f>
        <v>29</v>
      </c>
      <c r="E47" s="70">
        <f>SUMIF('3. Use Cases Catalog'!A:A,A47,'3. Use Cases Catalog'!K:K)</f>
        <v>21.7</v>
      </c>
      <c r="F47" s="70">
        <f>SUMIF('3. Use Cases Catalog'!A:A,A47,'3. Use Cases Catalog'!L:L)</f>
        <v>4.9000000000000004</v>
      </c>
      <c r="G47" s="70">
        <f>SUMIF('3. Use Cases Catalog'!A:A,A47,'3. Use Cases Catalog'!M:M)</f>
        <v>69.900000000000006</v>
      </c>
      <c r="H47" s="70">
        <f t="shared" si="1"/>
        <v>47.182500000000005</v>
      </c>
      <c r="I47" s="72">
        <f>COUNTIFS('3. Use Cases Catalog'!A:A,A47,'3. Use Cases Catalog'!G:G,"Critical")</f>
        <v>4</v>
      </c>
      <c r="J47" s="72">
        <f>COUNTIFS('3. Use Cases Catalog'!A:A,A47,'3. Use Cases Catalog'!O:O,"&lt;6")</f>
        <v>0</v>
      </c>
    </row>
    <row r="48" spans="1:10" x14ac:dyDescent="0.2">
      <c r="A48" s="74" t="s">
        <v>78</v>
      </c>
      <c r="B48" s="77">
        <f>COUNTIF('3. Use Cases Catalog'!A:A,A48)</f>
        <v>10</v>
      </c>
      <c r="C48" s="75">
        <f>SUMIF('3. Use Cases Catalog'!A:A,A48,'3. Use Cases Catalog'!I:I)</f>
        <v>15.399999999999999</v>
      </c>
      <c r="D48" s="75">
        <f>SUMIF('3. Use Cases Catalog'!A:A,A48,'3. Use Cases Catalog'!J:J)</f>
        <v>27.1</v>
      </c>
      <c r="E48" s="75">
        <f>SUMIF('3. Use Cases Catalog'!A:A,A48,'3. Use Cases Catalog'!K:K)</f>
        <v>3.2</v>
      </c>
      <c r="F48" s="75">
        <f>SUMIF('3. Use Cases Catalog'!A:A,A48,'3. Use Cases Catalog'!L:L)</f>
        <v>5.4</v>
      </c>
      <c r="G48" s="75">
        <f>SUMIF('3. Use Cases Catalog'!A:A,A48,'3. Use Cases Catalog'!M:M)</f>
        <v>51.1</v>
      </c>
      <c r="H48" s="75">
        <f t="shared" si="1"/>
        <v>34.4925</v>
      </c>
      <c r="I48" s="77">
        <f>COUNTIFS('3. Use Cases Catalog'!A:A,A48,'3. Use Cases Catalog'!G:G,"Critical")</f>
        <v>4</v>
      </c>
      <c r="J48" s="77">
        <f>COUNTIFS('3. Use Cases Catalog'!A:A,A48,'3. Use Cases Catalog'!O:O,"&lt;6")</f>
        <v>0</v>
      </c>
    </row>
    <row r="49" spans="1:10" x14ac:dyDescent="0.2">
      <c r="A49" s="69" t="s">
        <v>34</v>
      </c>
      <c r="B49" s="72">
        <f>COUNTIF('3. Use Cases Catalog'!A:A,A49)</f>
        <v>10</v>
      </c>
      <c r="C49" s="70">
        <f>SUMIF('3. Use Cases Catalog'!A:A,A49,'3. Use Cases Catalog'!I:I)</f>
        <v>13.500000000000002</v>
      </c>
      <c r="D49" s="70">
        <f>SUMIF('3. Use Cases Catalog'!A:A,A49,'3. Use Cases Catalog'!J:J)</f>
        <v>19.900000000000002</v>
      </c>
      <c r="E49" s="70">
        <f>SUMIF('3. Use Cases Catalog'!A:A,A49,'3. Use Cases Catalog'!K:K)</f>
        <v>1.58</v>
      </c>
      <c r="F49" s="70">
        <f>SUMIF('3. Use Cases Catalog'!A:A,A49,'3. Use Cases Catalog'!L:L)</f>
        <v>11.55</v>
      </c>
      <c r="G49" s="70">
        <f>SUMIF('3. Use Cases Catalog'!A:A,A49,'3. Use Cases Catalog'!M:M)</f>
        <v>46.53</v>
      </c>
      <c r="H49" s="70">
        <f t="shared" si="1"/>
        <v>31.40775</v>
      </c>
      <c r="I49" s="72">
        <f>COUNTIFS('3. Use Cases Catalog'!A:A,A49,'3. Use Cases Catalog'!G:G,"Critical")</f>
        <v>3</v>
      </c>
      <c r="J49" s="72">
        <f>COUNTIFS('3. Use Cases Catalog'!A:A,A49,'3. Use Cases Catalog'!O:O,"&lt;6")</f>
        <v>3</v>
      </c>
    </row>
    <row r="50" spans="1:10" x14ac:dyDescent="0.2">
      <c r="A50" s="74" t="s">
        <v>94</v>
      </c>
      <c r="B50" s="77">
        <f>COUNTIF('3. Use Cases Catalog'!A:A,A50)</f>
        <v>10</v>
      </c>
      <c r="C50" s="75">
        <f>SUMIF('3. Use Cases Catalog'!A:A,A50,'3. Use Cases Catalog'!I:I)</f>
        <v>1.6000184999999998</v>
      </c>
      <c r="D50" s="75">
        <f>SUMIF('3. Use Cases Catalog'!A:A,A50,'3. Use Cases Catalog'!J:J)</f>
        <v>7.4999999999999993E-6</v>
      </c>
      <c r="E50" s="75">
        <f>SUMIF('3. Use Cases Catalog'!A:A,A50,'3. Use Cases Catalog'!K:K)</f>
        <v>1.5000013000000001</v>
      </c>
      <c r="F50" s="75">
        <f>SUMIF('3. Use Cases Catalog'!A:A,A50,'3. Use Cases Catalog'!L:L)</f>
        <v>0.80000250000000006</v>
      </c>
      <c r="G50" s="75">
        <f>SUMIF('3. Use Cases Catalog'!A:A,A50,'3. Use Cases Catalog'!M:M)</f>
        <v>3.3699999999999992E-5</v>
      </c>
      <c r="H50" s="75">
        <f t="shared" si="1"/>
        <v>2.2747499999999995E-5</v>
      </c>
      <c r="I50" s="77">
        <f>COUNTIFS('3. Use Cases Catalog'!A:A,A50,'3. Use Cases Catalog'!G:G,"Critical")</f>
        <v>0</v>
      </c>
      <c r="J50" s="77">
        <f>COUNTIFS('3. Use Cases Catalog'!A:A,A50,'3. Use Cases Catalog'!O:O,"&lt;6")</f>
        <v>2</v>
      </c>
    </row>
    <row r="51" spans="1:10" x14ac:dyDescent="0.2">
      <c r="A51" s="69" t="s">
        <v>99</v>
      </c>
      <c r="B51" s="72">
        <f>COUNTIF('3. Use Cases Catalog'!A:A,A51)</f>
        <v>10</v>
      </c>
      <c r="C51" s="70">
        <f>SUMIF('3. Use Cases Catalog'!A:A,A51,'3. Use Cases Catalog'!I:I)</f>
        <v>7.6</v>
      </c>
      <c r="D51" s="70">
        <f>SUMIF('3. Use Cases Catalog'!A:A,A51,'3. Use Cases Catalog'!J:J)</f>
        <v>9.4</v>
      </c>
      <c r="E51" s="70">
        <f>SUMIF('3. Use Cases Catalog'!A:A,A51,'3. Use Cases Catalog'!K:K)</f>
        <v>1.1000000000000001</v>
      </c>
      <c r="F51" s="70">
        <f>SUMIF('3. Use Cases Catalog'!A:A,A51,'3. Use Cases Catalog'!L:L)</f>
        <v>2.2999999999999998</v>
      </c>
      <c r="G51" s="70">
        <f>SUMIF('3. Use Cases Catalog'!A:A,A51,'3. Use Cases Catalog'!M:M)</f>
        <v>20.400000000000002</v>
      </c>
      <c r="H51" s="70">
        <f t="shared" si="1"/>
        <v>13.770000000000003</v>
      </c>
      <c r="I51" s="72">
        <f>COUNTIFS('3. Use Cases Catalog'!A:A,A51,'3. Use Cases Catalog'!G:G,"Critical")</f>
        <v>1</v>
      </c>
      <c r="J51" s="72">
        <f>COUNTIFS('3. Use Cases Catalog'!A:A,A51,'3. Use Cases Catalog'!O:O,"&lt;6")</f>
        <v>0</v>
      </c>
    </row>
    <row r="52" spans="1:10" x14ac:dyDescent="0.2">
      <c r="A52" s="74" t="s">
        <v>100</v>
      </c>
      <c r="B52" s="77">
        <f>COUNTIF('3. Use Cases Catalog'!A:A,A52)</f>
        <v>10</v>
      </c>
      <c r="C52" s="75">
        <f>SUMIF('3. Use Cases Catalog'!A:A,A52,'3. Use Cases Catalog'!I:I)</f>
        <v>5.9</v>
      </c>
      <c r="D52" s="75">
        <f>SUMIF('3. Use Cases Catalog'!A:A,A52,'3. Use Cases Catalog'!J:J)</f>
        <v>4.0999999999999996</v>
      </c>
      <c r="E52" s="75">
        <f>SUMIF('3. Use Cases Catalog'!A:A,A52,'3. Use Cases Catalog'!K:K)</f>
        <v>1.3</v>
      </c>
      <c r="F52" s="75">
        <f>SUMIF('3. Use Cases Catalog'!A:A,A52,'3. Use Cases Catalog'!L:L)</f>
        <v>3.4000000000000004</v>
      </c>
      <c r="G52" s="75">
        <f>SUMIF('3. Use Cases Catalog'!A:A,A52,'3. Use Cases Catalog'!M:M)</f>
        <v>14.699999999999996</v>
      </c>
      <c r="H52" s="75">
        <f t="shared" si="1"/>
        <v>9.9224999999999977</v>
      </c>
      <c r="I52" s="77">
        <f>COUNTIFS('3. Use Cases Catalog'!A:A,A52,'3. Use Cases Catalog'!G:G,"Critical")</f>
        <v>2</v>
      </c>
      <c r="J52" s="77">
        <f>COUNTIFS('3. Use Cases Catalog'!A:A,A52,'3. Use Cases Catalog'!O:O,"&lt;6")</f>
        <v>3</v>
      </c>
    </row>
    <row r="53" spans="1:10" x14ac:dyDescent="0.2">
      <c r="A53" s="69" t="s">
        <v>82</v>
      </c>
      <c r="B53" s="72">
        <f>COUNTIF('3. Use Cases Catalog'!A:A,A53)</f>
        <v>10</v>
      </c>
      <c r="C53" s="70">
        <f>SUMIF('3. Use Cases Catalog'!A:A,A53,'3. Use Cases Catalog'!I:I)</f>
        <v>0.80002450000000003</v>
      </c>
      <c r="D53" s="70">
        <f>SUMIF('3. Use Cases Catalog'!A:A,A53,'3. Use Cases Catalog'!J:J)</f>
        <v>2.7699999999999999E-5</v>
      </c>
      <c r="E53" s="70">
        <f>SUMIF('3. Use Cases Catalog'!A:A,A53,'3. Use Cases Catalog'!K:K)</f>
        <v>0.90000160000000007</v>
      </c>
      <c r="F53" s="70">
        <f>SUMIF('3. Use Cases Catalog'!A:A,A53,'3. Use Cases Catalog'!L:L)</f>
        <v>0</v>
      </c>
      <c r="G53" s="70">
        <f>SUMIF('3. Use Cases Catalog'!A:A,A53,'3. Use Cases Catalog'!M:M)</f>
        <v>5.5499999999999994E-5</v>
      </c>
      <c r="H53" s="70">
        <f t="shared" si="1"/>
        <v>3.7462499999999996E-5</v>
      </c>
      <c r="I53" s="72">
        <f>COUNTIFS('3. Use Cases Catalog'!A:A,A53,'3. Use Cases Catalog'!G:G,"Critical")</f>
        <v>3</v>
      </c>
      <c r="J53" s="72">
        <f>COUNTIFS('3. Use Cases Catalog'!A:A,A53,'3. Use Cases Catalog'!O:O,"&lt;6")</f>
        <v>5</v>
      </c>
    </row>
    <row r="54" spans="1:10" x14ac:dyDescent="0.2">
      <c r="A54" s="74" t="s">
        <v>97</v>
      </c>
      <c r="B54" s="77">
        <f>COUNTIF('3. Use Cases Catalog'!A:A,A54)</f>
        <v>10</v>
      </c>
      <c r="C54" s="75">
        <f>SUMIF('3. Use Cases Catalog'!A:A,A54,'3. Use Cases Catalog'!I:I)</f>
        <v>4.2000019000000002</v>
      </c>
      <c r="D54" s="75">
        <f>SUMIF('3. Use Cases Catalog'!A:A,A54,'3. Use Cases Catalog'!J:J)</f>
        <v>0.8000138</v>
      </c>
      <c r="E54" s="75">
        <f>SUMIF('3. Use Cases Catalog'!A:A,A54,'3. Use Cases Catalog'!K:K)</f>
        <v>1.8000000000000003</v>
      </c>
      <c r="F54" s="75">
        <f>SUMIF('3. Use Cases Catalog'!A:A,A54,'3. Use Cases Catalog'!L:L)</f>
        <v>1.2000000000000002</v>
      </c>
      <c r="G54" s="75">
        <f>SUMIF('3. Use Cases Catalog'!A:A,A54,'3. Use Cases Catalog'!M:M)</f>
        <v>1.5000225999999999</v>
      </c>
      <c r="H54" s="75">
        <f t="shared" si="1"/>
        <v>1.0125152549999998</v>
      </c>
      <c r="I54" s="77">
        <f>COUNTIFS('3. Use Cases Catalog'!A:A,A54,'3. Use Cases Catalog'!G:G,"Critical")</f>
        <v>0</v>
      </c>
      <c r="J54" s="77">
        <f>COUNTIFS('3. Use Cases Catalog'!A:A,A54,'3. Use Cases Catalog'!O:O,"&lt;6")</f>
        <v>0</v>
      </c>
    </row>
    <row r="55" spans="1:10" x14ac:dyDescent="0.2">
      <c r="A55" s="69" t="s">
        <v>98</v>
      </c>
      <c r="B55" s="72">
        <f>COUNTIF('3. Use Cases Catalog'!A:A,A55)</f>
        <v>10</v>
      </c>
      <c r="C55" s="70">
        <f>SUMIF('3. Use Cases Catalog'!A:A,A55,'3. Use Cases Catalog'!I:I)</f>
        <v>2.8000069000000001</v>
      </c>
      <c r="D55" s="70">
        <f>SUMIF('3. Use Cases Catalog'!A:A,A55,'3. Use Cases Catalog'!J:J)</f>
        <v>6.0999999999999992E-6</v>
      </c>
      <c r="E55" s="70">
        <f>SUMIF('3. Use Cases Catalog'!A:A,A55,'3. Use Cases Catalog'!K:K)</f>
        <v>0.20000300000000001</v>
      </c>
      <c r="F55" s="70">
        <f>SUMIF('3. Use Cases Catalog'!A:A,A55,'3. Use Cases Catalog'!L:L)</f>
        <v>0.40000180000000002</v>
      </c>
      <c r="G55" s="70">
        <f>SUMIF('3. Use Cases Catalog'!A:A,A55,'3. Use Cases Catalog'!M:M)</f>
        <v>2.1000190999999999</v>
      </c>
      <c r="H55" s="70">
        <f t="shared" si="1"/>
        <v>1.4175128925</v>
      </c>
      <c r="I55" s="72">
        <f>COUNTIFS('3. Use Cases Catalog'!A:A,A55,'3. Use Cases Catalog'!G:G,"Critical")</f>
        <v>1</v>
      </c>
      <c r="J55" s="72">
        <f>COUNTIFS('3. Use Cases Catalog'!A:A,A55,'3. Use Cases Catalog'!O:O,"&lt;6")</f>
        <v>3</v>
      </c>
    </row>
    <row r="56" spans="1:10" x14ac:dyDescent="0.2">
      <c r="A56" s="74" t="s">
        <v>95</v>
      </c>
      <c r="B56" s="77">
        <f>COUNTIF('3. Use Cases Catalog'!A:A,A56)</f>
        <v>10</v>
      </c>
      <c r="C56" s="75">
        <f>SUMIF('3. Use Cases Catalog'!A:A,A56,'3. Use Cases Catalog'!I:I)</f>
        <v>1.3199999999999999E-5</v>
      </c>
      <c r="D56" s="75">
        <f>SUMIF('3. Use Cases Catalog'!A:A,A56,'3. Use Cases Catalog'!J:J)</f>
        <v>0.80000940000000009</v>
      </c>
      <c r="E56" s="75">
        <f>SUMIF('3. Use Cases Catalog'!A:A,A56,'3. Use Cases Catalog'!K:K)</f>
        <v>1.7000012</v>
      </c>
      <c r="F56" s="75">
        <f>SUMIF('3. Use Cases Catalog'!A:A,A56,'3. Use Cases Catalog'!L:L)</f>
        <v>9.9999999999999995E-7</v>
      </c>
      <c r="G56" s="75">
        <f>SUMIF('3. Use Cases Catalog'!A:A,A56,'3. Use Cases Catalog'!M:M)</f>
        <v>1.7000256</v>
      </c>
      <c r="H56" s="75">
        <f t="shared" si="1"/>
        <v>1.1475172800000002</v>
      </c>
      <c r="I56" s="77">
        <f>COUNTIFS('3. Use Cases Catalog'!A:A,A56,'3. Use Cases Catalog'!G:G,"Critical")</f>
        <v>1</v>
      </c>
      <c r="J56" s="77">
        <f>COUNTIFS('3. Use Cases Catalog'!A:A,A56,'3. Use Cases Catalog'!O:O,"&lt;6")</f>
        <v>1</v>
      </c>
    </row>
    <row r="57" spans="1:10" x14ac:dyDescent="0.2">
      <c r="A57" s="69" t="s">
        <v>101</v>
      </c>
      <c r="B57" s="72">
        <f>COUNTIF('3. Use Cases Catalog'!A:A,A57)</f>
        <v>10</v>
      </c>
      <c r="C57" s="70">
        <f>SUMIF('3. Use Cases Catalog'!A:A,A57,'3. Use Cases Catalog'!I:I)</f>
        <v>4.3000017000000001</v>
      </c>
      <c r="D57" s="70">
        <f>SUMIF('3. Use Cases Catalog'!A:A,A57,'3. Use Cases Catalog'!J:J)</f>
        <v>0.3</v>
      </c>
      <c r="E57" s="70">
        <f>SUMIF('3. Use Cases Catalog'!A:A,A57,'3. Use Cases Catalog'!K:K)</f>
        <v>2.4000011999999997</v>
      </c>
      <c r="F57" s="70">
        <f>SUMIF('3. Use Cases Catalog'!A:A,A57,'3. Use Cases Catalog'!L:L)</f>
        <v>0.30000369999999998</v>
      </c>
      <c r="G57" s="70">
        <f>SUMIF('3. Use Cases Catalog'!A:A,A57,'3. Use Cases Catalog'!M:M)</f>
        <v>1.7000121999999998</v>
      </c>
      <c r="H57" s="70">
        <f t="shared" si="1"/>
        <v>1.1475082349999999</v>
      </c>
      <c r="I57" s="72">
        <f>COUNTIFS('3. Use Cases Catalog'!A:A,A57,'3. Use Cases Catalog'!G:G,"Critical")</f>
        <v>2</v>
      </c>
      <c r="J57" s="72">
        <f>COUNTIFS('3. Use Cases Catalog'!A:A,A57,'3. Use Cases Catalog'!O:O,"&lt;6")</f>
        <v>0</v>
      </c>
    </row>
    <row r="58" spans="1:10" x14ac:dyDescent="0.2">
      <c r="A58" s="74" t="s">
        <v>90</v>
      </c>
      <c r="B58" s="77">
        <f>COUNTIF('3. Use Cases Catalog'!A:A,A58)</f>
        <v>10</v>
      </c>
      <c r="C58" s="75">
        <f>SUMIF('3. Use Cases Catalog'!A:A,A58,'3. Use Cases Catalog'!I:I)</f>
        <v>1.6000144000000001</v>
      </c>
      <c r="D58" s="75">
        <f>SUMIF('3. Use Cases Catalog'!A:A,A58,'3. Use Cases Catalog'!J:J)</f>
        <v>8.8999999999999995E-6</v>
      </c>
      <c r="E58" s="75">
        <f>SUMIF('3. Use Cases Catalog'!A:A,A58,'3. Use Cases Catalog'!K:K)</f>
        <v>0.40000540000000001</v>
      </c>
      <c r="F58" s="75">
        <f>SUMIF('3. Use Cases Catalog'!A:A,A58,'3. Use Cases Catalog'!L:L)</f>
        <v>8.1999999999999994E-6</v>
      </c>
      <c r="G58" s="75">
        <f>SUMIF('3. Use Cases Catalog'!A:A,A58,'3. Use Cases Catalog'!M:M)</f>
        <v>1.5000374000000001</v>
      </c>
      <c r="H58" s="75">
        <f t="shared" si="1"/>
        <v>1.012525245</v>
      </c>
      <c r="I58" s="77">
        <f>COUNTIFS('3. Use Cases Catalog'!A:A,A58,'3. Use Cases Catalog'!G:G,"Critical")</f>
        <v>3</v>
      </c>
      <c r="J58" s="77">
        <f>COUNTIFS('3. Use Cases Catalog'!A:A,A58,'3. Use Cases Catalog'!O:O,"&lt;6")</f>
        <v>0</v>
      </c>
    </row>
    <row r="59" spans="1:10" x14ac:dyDescent="0.2">
      <c r="A59" s="69" t="s">
        <v>91</v>
      </c>
      <c r="B59" s="72">
        <f>COUNTIF('3. Use Cases Catalog'!A:A,A59)</f>
        <v>10</v>
      </c>
      <c r="C59" s="70">
        <f>SUMIF('3. Use Cases Catalog'!A:A,A59,'3. Use Cases Catalog'!I:I)</f>
        <v>1.9000101000000003</v>
      </c>
      <c r="D59" s="70">
        <f>SUMIF('3. Use Cases Catalog'!A:A,A59,'3. Use Cases Catalog'!J:J)</f>
        <v>1.9199999999999999E-5</v>
      </c>
      <c r="E59" s="70">
        <f>SUMIF('3. Use Cases Catalog'!A:A,A59,'3. Use Cases Catalog'!K:K)</f>
        <v>0.2</v>
      </c>
      <c r="F59" s="70">
        <f>SUMIF('3. Use Cases Catalog'!A:A,A59,'3. Use Cases Catalog'!L:L)</f>
        <v>5.5999999999999997E-6</v>
      </c>
      <c r="G59" s="70">
        <f>SUMIF('3. Use Cases Catalog'!A:A,A59,'3. Use Cases Catalog'!M:M)</f>
        <v>1.4000356</v>
      </c>
      <c r="H59" s="70">
        <f t="shared" si="1"/>
        <v>0.94502403000000001</v>
      </c>
      <c r="I59" s="72">
        <f>COUNTIFS('3. Use Cases Catalog'!A:A,A59,'3. Use Cases Catalog'!G:G,"Critical")</f>
        <v>2</v>
      </c>
      <c r="J59" s="72">
        <f>COUNTIFS('3. Use Cases Catalog'!A:A,A59,'3. Use Cases Catalog'!O:O,"&lt;6")</f>
        <v>1</v>
      </c>
    </row>
    <row r="60" spans="1:10" x14ac:dyDescent="0.2">
      <c r="A60" s="88" t="s">
        <v>7293</v>
      </c>
      <c r="B60" s="91">
        <f t="shared" ref="B60:J60" si="2">SUM(B45:B59)</f>
        <v>150</v>
      </c>
      <c r="C60" s="89">
        <f t="shared" si="2"/>
        <v>147.40009119999999</v>
      </c>
      <c r="D60" s="89">
        <f t="shared" si="2"/>
        <v>147.30009260000003</v>
      </c>
      <c r="E60" s="89">
        <f t="shared" si="2"/>
        <v>56.480013700000008</v>
      </c>
      <c r="F60" s="89">
        <f t="shared" si="2"/>
        <v>54.550022799999986</v>
      </c>
      <c r="G60" s="89">
        <f t="shared" si="2"/>
        <v>384.73024170000002</v>
      </c>
      <c r="H60" s="89">
        <f t="shared" si="2"/>
        <v>259.69291314750001</v>
      </c>
      <c r="I60" s="111">
        <f t="shared" si="2"/>
        <v>28</v>
      </c>
      <c r="J60" s="111">
        <f t="shared" si="2"/>
        <v>22</v>
      </c>
    </row>
    <row r="63" spans="1:10" ht="19" x14ac:dyDescent="0.25">
      <c r="A63" s="56" t="s">
        <v>7294</v>
      </c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58" t="s">
        <v>106</v>
      </c>
      <c r="B64" s="58" t="s">
        <v>2883</v>
      </c>
      <c r="C64" s="58" t="s">
        <v>2878</v>
      </c>
      <c r="D64" s="58" t="s">
        <v>43</v>
      </c>
      <c r="E64" s="58" t="s">
        <v>2879</v>
      </c>
      <c r="F64" s="58" t="s">
        <v>2880</v>
      </c>
      <c r="G64" s="58" t="s">
        <v>19</v>
      </c>
      <c r="H64" s="58" t="s">
        <v>7291</v>
      </c>
      <c r="I64" s="58" t="s">
        <v>7295</v>
      </c>
      <c r="J64" s="58" t="s">
        <v>7296</v>
      </c>
    </row>
    <row r="65" spans="1:10" x14ac:dyDescent="0.2">
      <c r="A65" s="69" t="s">
        <v>166</v>
      </c>
      <c r="B65" s="72">
        <f>COUNTIF('3. Use Cases Catalog'!D:D,A65)</f>
        <v>39</v>
      </c>
      <c r="C65" s="70">
        <f>SUMIF('3. Use Cases Catalog'!D:D,A65,'3. Use Cases Catalog'!I:I)</f>
        <v>4.500061500000001</v>
      </c>
      <c r="D65" s="70">
        <f>SUMIF('3. Use Cases Catalog'!D:D,A65,'3. Use Cases Catalog'!J:J)</f>
        <v>1.8000004000000001</v>
      </c>
      <c r="E65" s="70">
        <f>SUMIF('3. Use Cases Catalog'!D:D,A65,'3. Use Cases Catalog'!K:K)</f>
        <v>3.0800068</v>
      </c>
      <c r="F65" s="70">
        <f>SUMIF('3. Use Cases Catalog'!D:D,A65,'3. Use Cases Catalog'!L:L)</f>
        <v>8.1401022999999988</v>
      </c>
      <c r="G65" s="70">
        <f>SUMIF('3. Use Cases Catalog'!D:D,A65,'3. Use Cases Catalog'!M:M)</f>
        <v>12.400173000000001</v>
      </c>
      <c r="H65" s="70">
        <f t="shared" ref="H65:H78" si="3">G65*$B$8*$B$9*$B$21</f>
        <v>8.3701167749999996</v>
      </c>
      <c r="I65" s="71">
        <f>AVERAGEIF('3. Use Cases Catalog'!D:D,A65,'3. Use Cases Catalog'!N:N)</f>
        <v>0.77692307692307705</v>
      </c>
      <c r="J65" s="112">
        <f>AVERAGEIF('3. Use Cases Catalog'!D:D,A65,'3. Use Cases Catalog'!O:O)</f>
        <v>7.7948717948717947</v>
      </c>
    </row>
    <row r="66" spans="1:10" x14ac:dyDescent="0.2">
      <c r="A66" s="74" t="s">
        <v>125</v>
      </c>
      <c r="B66" s="77">
        <f>COUNTIF('3. Use Cases Catalog'!D:D,A66)</f>
        <v>31</v>
      </c>
      <c r="C66" s="75">
        <f>SUMIF('3. Use Cases Catalog'!D:D,A66,'3. Use Cases Catalog'!I:I)</f>
        <v>13.700078000000001</v>
      </c>
      <c r="D66" s="75">
        <f>SUMIF('3. Use Cases Catalog'!D:D,A66,'3. Use Cases Catalog'!J:J)</f>
        <v>4.5000186000000006</v>
      </c>
      <c r="E66" s="75">
        <f>SUMIF('3. Use Cases Catalog'!D:D,A66,'3. Use Cases Catalog'!K:K)</f>
        <v>1.8800067999999999</v>
      </c>
      <c r="F66" s="75">
        <f>SUMIF('3. Use Cases Catalog'!D:D,A66,'3. Use Cases Catalog'!L:L)</f>
        <v>0.85</v>
      </c>
      <c r="G66" s="75">
        <f>SUMIF('3. Use Cases Catalog'!D:D,A66,'3. Use Cases Catalog'!M:M)</f>
        <v>18.330105999999994</v>
      </c>
      <c r="H66" s="75">
        <f t="shared" si="3"/>
        <v>12.372821549999998</v>
      </c>
      <c r="I66" s="76">
        <f>AVERAGEIF('3. Use Cases Catalog'!D:D,A66,'3. Use Cases Catalog'!N:N)</f>
        <v>0.79516129032258087</v>
      </c>
      <c r="J66" s="113">
        <f>AVERAGEIF('3. Use Cases Catalog'!D:D,A66,'3. Use Cases Catalog'!O:O)</f>
        <v>7.4838709677419351</v>
      </c>
    </row>
    <row r="67" spans="1:10" x14ac:dyDescent="0.2">
      <c r="A67" s="69" t="s">
        <v>315</v>
      </c>
      <c r="B67" s="72">
        <f>COUNTIF('3. Use Cases Catalog'!D:D,A67)</f>
        <v>26</v>
      </c>
      <c r="C67" s="70">
        <f>SUMIF('3. Use Cases Catalog'!D:D,A67,'3. Use Cases Catalog'!I:I)</f>
        <v>2.4001027000000001</v>
      </c>
      <c r="D67" s="70">
        <f>SUMIF('3. Use Cases Catalog'!D:D,A67,'3. Use Cases Catalog'!J:J)</f>
        <v>4.7700000000000001E-5</v>
      </c>
      <c r="E67" s="70">
        <f>SUMIF('3. Use Cases Catalog'!D:D,A67,'3. Use Cases Catalog'!K:K)</f>
        <v>0.60001549999999992</v>
      </c>
      <c r="F67" s="70">
        <f>SUMIF('3. Use Cases Catalog'!D:D,A67,'3. Use Cases Catalog'!L:L)</f>
        <v>0.40000990000000003</v>
      </c>
      <c r="G67" s="70">
        <f>SUMIF('3. Use Cases Catalog'!D:D,A67,'3. Use Cases Catalog'!M:M)</f>
        <v>2.5001739000000001</v>
      </c>
      <c r="H67" s="70">
        <f t="shared" si="3"/>
        <v>1.6876173825</v>
      </c>
      <c r="I67" s="71">
        <f>AVERAGEIF('3. Use Cases Catalog'!D:D,A67,'3. Use Cases Catalog'!N:N)</f>
        <v>0.74230769230769234</v>
      </c>
      <c r="J67" s="112">
        <f>AVERAGEIF('3. Use Cases Catalog'!D:D,A67,'3. Use Cases Catalog'!O:O)</f>
        <v>9.8461538461538467</v>
      </c>
    </row>
    <row r="68" spans="1:10" x14ac:dyDescent="0.2">
      <c r="A68" s="74" t="s">
        <v>328</v>
      </c>
      <c r="B68" s="77">
        <f>COUNTIF('3. Use Cases Catalog'!D:D,A68)</f>
        <v>26</v>
      </c>
      <c r="C68" s="75">
        <f>SUMIF('3. Use Cases Catalog'!D:D,A68,'3. Use Cases Catalog'!I:I)</f>
        <v>3.6000335999999993</v>
      </c>
      <c r="D68" s="75">
        <f>SUMIF('3. Use Cases Catalog'!D:D,A68,'3. Use Cases Catalog'!J:J)</f>
        <v>7.6001723999999999</v>
      </c>
      <c r="E68" s="75">
        <f>SUMIF('3. Use Cases Catalog'!D:D,A68,'3. Use Cases Catalog'!K:K)</f>
        <v>0</v>
      </c>
      <c r="F68" s="75">
        <f>SUMIF('3. Use Cases Catalog'!D:D,A68,'3. Use Cases Catalog'!L:L)</f>
        <v>2.8999999999999998E-6</v>
      </c>
      <c r="G68" s="75">
        <f>SUMIF('3. Use Cases Catalog'!D:D,A68,'3. Use Cases Catalog'!M:M)</f>
        <v>9.4002107000000006</v>
      </c>
      <c r="H68" s="75">
        <f t="shared" si="3"/>
        <v>6.3451422224999998</v>
      </c>
      <c r="I68" s="76">
        <f>AVERAGEIF('3. Use Cases Catalog'!D:D,A68,'3. Use Cases Catalog'!N:N)</f>
        <v>0.73461538461538467</v>
      </c>
      <c r="J68" s="113">
        <f>AVERAGEIF('3. Use Cases Catalog'!D:D,A68,'3. Use Cases Catalog'!O:O)</f>
        <v>7.2692307692307692</v>
      </c>
    </row>
    <row r="69" spans="1:10" x14ac:dyDescent="0.2">
      <c r="A69" s="69" t="s">
        <v>595</v>
      </c>
      <c r="B69" s="72">
        <f>COUNTIF('3. Use Cases Catalog'!D:D,A69)</f>
        <v>28</v>
      </c>
      <c r="C69" s="70">
        <f>SUMIF('3. Use Cases Catalog'!D:D,A69,'3. Use Cases Catalog'!I:I)</f>
        <v>6.6000737000000003</v>
      </c>
      <c r="D69" s="70">
        <f>SUMIF('3. Use Cases Catalog'!D:D,A69,'3. Use Cases Catalog'!J:J)</f>
        <v>2.8000075999999998</v>
      </c>
      <c r="E69" s="70">
        <f>SUMIF('3. Use Cases Catalog'!D:D,A69,'3. Use Cases Catalog'!K:K)</f>
        <v>0.50002190000000002</v>
      </c>
      <c r="F69" s="70">
        <f>SUMIF('3. Use Cases Catalog'!D:D,A69,'3. Use Cases Catalog'!L:L)</f>
        <v>16.100115499999998</v>
      </c>
      <c r="G69" s="70">
        <f>SUMIF('3. Use Cases Catalog'!D:D,A69,'3. Use Cases Catalog'!M:M)</f>
        <v>25.300218300000001</v>
      </c>
      <c r="H69" s="70">
        <f t="shared" si="3"/>
        <v>17.077647352500001</v>
      </c>
      <c r="I69" s="71">
        <f>AVERAGEIF('3. Use Cases Catalog'!D:D,A69,'3. Use Cases Catalog'!N:N)</f>
        <v>0.72857142857142854</v>
      </c>
      <c r="J69" s="112">
        <f>AVERAGEIF('3. Use Cases Catalog'!D:D,A69,'3. Use Cases Catalog'!O:O)</f>
        <v>10.964285714285714</v>
      </c>
    </row>
    <row r="70" spans="1:10" x14ac:dyDescent="0.2">
      <c r="A70" s="74" t="s">
        <v>250</v>
      </c>
      <c r="B70" s="77">
        <f>COUNTIF('3. Use Cases Catalog'!D:D,A70)</f>
        <v>17</v>
      </c>
      <c r="C70" s="75">
        <f>SUMIF('3. Use Cases Catalog'!D:D,A70,'3. Use Cases Catalog'!I:I)</f>
        <v>4.4001193000000001</v>
      </c>
      <c r="D70" s="75">
        <f>SUMIF('3. Use Cases Catalog'!D:D,A70,'3. Use Cases Catalog'!J:J)</f>
        <v>1.4000777</v>
      </c>
      <c r="E70" s="75">
        <f>SUMIF('3. Use Cases Catalog'!D:D,A70,'3. Use Cases Catalog'!K:K)</f>
        <v>1.6000205000000001</v>
      </c>
      <c r="F70" s="75">
        <f>SUMIF('3. Use Cases Catalog'!D:D,A70,'3. Use Cases Catalog'!L:L)</f>
        <v>1.7000032</v>
      </c>
      <c r="G70" s="75">
        <f>SUMIF('3. Use Cases Catalog'!D:D,A70,'3. Use Cases Catalog'!M:M)</f>
        <v>6.5002135999999995</v>
      </c>
      <c r="H70" s="75">
        <f t="shared" si="3"/>
        <v>4.3876441799999997</v>
      </c>
      <c r="I70" s="76">
        <f>AVERAGEIF('3. Use Cases Catalog'!D:D,A70,'3. Use Cases Catalog'!N:N)</f>
        <v>0.77823529411764714</v>
      </c>
      <c r="J70" s="113">
        <f>AVERAGEIF('3. Use Cases Catalog'!D:D,A70,'3. Use Cases Catalog'!O:O)</f>
        <v>9.882352941176471</v>
      </c>
    </row>
    <row r="71" spans="1:10" x14ac:dyDescent="0.2">
      <c r="A71" s="69" t="s">
        <v>504</v>
      </c>
      <c r="B71" s="72">
        <f>COUNTIF('3. Use Cases Catalog'!D:D,A71)</f>
        <v>20</v>
      </c>
      <c r="C71" s="70">
        <f>SUMIF('3. Use Cases Catalog'!D:D,A71,'3. Use Cases Catalog'!I:I)</f>
        <v>1.9000690000000005</v>
      </c>
      <c r="D71" s="70">
        <f>SUMIF('3. Use Cases Catalog'!D:D,A71,'3. Use Cases Catalog'!J:J)</f>
        <v>3.1699999999999998E-5</v>
      </c>
      <c r="E71" s="70">
        <f>SUMIF('3. Use Cases Catalog'!D:D,A71,'3. Use Cases Catalog'!K:K)</f>
        <v>1.6000114999999999</v>
      </c>
      <c r="F71" s="70">
        <f>SUMIF('3. Use Cases Catalog'!D:D,A71,'3. Use Cases Catalog'!L:L)</f>
        <v>1.2000278</v>
      </c>
      <c r="G71" s="70">
        <f>SUMIF('3. Use Cases Catalog'!D:D,A71,'3. Use Cases Catalog'!M:M)</f>
        <v>2.2001425000000001</v>
      </c>
      <c r="H71" s="70">
        <f t="shared" si="3"/>
        <v>1.4850961875000002</v>
      </c>
      <c r="I71" s="71">
        <f>AVERAGEIF('3. Use Cases Catalog'!D:D,A71,'3. Use Cases Catalog'!N:N)</f>
        <v>0.74250000000000005</v>
      </c>
      <c r="J71" s="112">
        <f>AVERAGEIF('3. Use Cases Catalog'!D:D,A71,'3. Use Cases Catalog'!O:O)</f>
        <v>9.6999999999999993</v>
      </c>
    </row>
    <row r="72" spans="1:10" x14ac:dyDescent="0.2">
      <c r="A72" s="74" t="s">
        <v>287</v>
      </c>
      <c r="B72" s="77">
        <f>COUNTIF('3. Use Cases Catalog'!D:D,A72)</f>
        <v>18</v>
      </c>
      <c r="C72" s="75">
        <f>SUMIF('3. Use Cases Catalog'!D:D,A72,'3. Use Cases Catalog'!I:I)</f>
        <v>9.7000236999999991</v>
      </c>
      <c r="D72" s="75">
        <f>SUMIF('3. Use Cases Catalog'!D:D,A72,'3. Use Cases Catalog'!J:J)</f>
        <v>0.60000279999999995</v>
      </c>
      <c r="E72" s="75">
        <f>SUMIF('3. Use Cases Catalog'!D:D,A72,'3. Use Cases Catalog'!K:K)</f>
        <v>6.6000290000000019</v>
      </c>
      <c r="F72" s="75">
        <f>SUMIF('3. Use Cases Catalog'!D:D,A72,'3. Use Cases Catalog'!L:L)</f>
        <v>3.7999999999999996E-6</v>
      </c>
      <c r="G72" s="75">
        <f>SUMIF('3. Use Cases Catalog'!D:D,A72,'3. Use Cases Catalog'!M:M)</f>
        <v>16.000060199999997</v>
      </c>
      <c r="H72" s="75">
        <f t="shared" si="3"/>
        <v>10.800040634999998</v>
      </c>
      <c r="I72" s="76">
        <f>AVERAGEIF('3. Use Cases Catalog'!D:D,A72,'3. Use Cases Catalog'!N:N)</f>
        <v>0.77055555555555566</v>
      </c>
      <c r="J72" s="113">
        <f>AVERAGEIF('3. Use Cases Catalog'!D:D,A72,'3. Use Cases Catalog'!O:O)</f>
        <v>7.833333333333333</v>
      </c>
    </row>
    <row r="73" spans="1:10" x14ac:dyDescent="0.2">
      <c r="A73" s="69" t="s">
        <v>188</v>
      </c>
      <c r="B73" s="72">
        <f>COUNTIF('3. Use Cases Catalog'!D:D,A73)</f>
        <v>19</v>
      </c>
      <c r="C73" s="70">
        <f>SUMIF('3. Use Cases Catalog'!D:D,A73,'3. Use Cases Catalog'!I:I)</f>
        <v>5.7600652999999999</v>
      </c>
      <c r="D73" s="70">
        <f>SUMIF('3. Use Cases Catalog'!D:D,A73,'3. Use Cases Catalog'!J:J)</f>
        <v>2.7000025000000001</v>
      </c>
      <c r="E73" s="70">
        <f>SUMIF('3. Use Cases Catalog'!D:D,A73,'3. Use Cases Catalog'!K:K)</f>
        <v>1.7000076000000002</v>
      </c>
      <c r="F73" s="70">
        <f>SUMIF('3. Use Cases Catalog'!D:D,A73,'3. Use Cases Catalog'!L:L)</f>
        <v>2.3999999999999999E-6</v>
      </c>
      <c r="G73" s="70">
        <f>SUMIF('3. Use Cases Catalog'!D:D,A73,'3. Use Cases Catalog'!M:M)</f>
        <v>9.1600788000000009</v>
      </c>
      <c r="H73" s="70">
        <f t="shared" si="3"/>
        <v>6.1830531900000008</v>
      </c>
      <c r="I73" s="71">
        <f>AVERAGEIF('3. Use Cases Catalog'!D:D,A73,'3. Use Cases Catalog'!N:N)</f>
        <v>0.74736842105263168</v>
      </c>
      <c r="J73" s="112">
        <f>AVERAGEIF('3. Use Cases Catalog'!D:D,A73,'3. Use Cases Catalog'!O:O)</f>
        <v>7.9473684210526319</v>
      </c>
    </row>
    <row r="74" spans="1:10" x14ac:dyDescent="0.2">
      <c r="A74" s="74" t="s">
        <v>236</v>
      </c>
      <c r="B74" s="77">
        <f>COUNTIF('3. Use Cases Catalog'!D:D,A74)</f>
        <v>12</v>
      </c>
      <c r="C74" s="75">
        <f>SUMIF('3. Use Cases Catalog'!D:D,A74,'3. Use Cases Catalog'!I:I)</f>
        <v>0.70004600000000006</v>
      </c>
      <c r="D74" s="75">
        <f>SUMIF('3. Use Cases Catalog'!D:D,A74,'3. Use Cases Catalog'!J:J)</f>
        <v>1.1000305000000001</v>
      </c>
      <c r="E74" s="75">
        <f>SUMIF('3. Use Cases Catalog'!D:D,A74,'3. Use Cases Catalog'!K:K)</f>
        <v>0.2000053</v>
      </c>
      <c r="F74" s="75">
        <f>SUMIF('3. Use Cases Catalog'!D:D,A74,'3. Use Cases Catalog'!L:L)</f>
        <v>1.5000817000000002</v>
      </c>
      <c r="G74" s="75">
        <f>SUMIF('3. Use Cases Catalog'!D:D,A74,'3. Use Cases Catalog'!M:M)</f>
        <v>3.5001633000000005</v>
      </c>
      <c r="H74" s="75">
        <f t="shared" si="3"/>
        <v>2.3626102275000003</v>
      </c>
      <c r="I74" s="76">
        <f>AVERAGEIF('3. Use Cases Catalog'!D:D,A74,'3. Use Cases Catalog'!N:N)</f>
        <v>0.7599999999999999</v>
      </c>
      <c r="J74" s="113">
        <f>AVERAGEIF('3. Use Cases Catalog'!D:D,A74,'3. Use Cases Catalog'!O:O)</f>
        <v>9.3333333333333339</v>
      </c>
    </row>
    <row r="75" spans="1:10" x14ac:dyDescent="0.2">
      <c r="A75" s="69" t="s">
        <v>181</v>
      </c>
      <c r="B75" s="72">
        <f>COUNTIF('3. Use Cases Catalog'!D:D,A75)</f>
        <v>13</v>
      </c>
      <c r="C75" s="70">
        <f>SUMIF('3. Use Cases Catalog'!D:D,A75,'3. Use Cases Catalog'!I:I)</f>
        <v>5.8200110000000009</v>
      </c>
      <c r="D75" s="70">
        <f>SUMIF('3. Use Cases Catalog'!D:D,A75,'3. Use Cases Catalog'!J:J)</f>
        <v>16.4000296</v>
      </c>
      <c r="E75" s="70">
        <f>SUMIF('3. Use Cases Catalog'!D:D,A75,'3. Use Cases Catalog'!K:K)</f>
        <v>0.4</v>
      </c>
      <c r="F75" s="70">
        <f>SUMIF('3. Use Cases Catalog'!D:D,A75,'3. Use Cases Catalog'!L:L)</f>
        <v>0</v>
      </c>
      <c r="G75" s="70">
        <f>SUMIF('3. Use Cases Catalog'!D:D,A75,'3. Use Cases Catalog'!M:M)</f>
        <v>21.4000418</v>
      </c>
      <c r="H75" s="70">
        <f t="shared" si="3"/>
        <v>14.445028215000001</v>
      </c>
      <c r="I75" s="71">
        <f>AVERAGEIF('3. Use Cases Catalog'!D:D,A75,'3. Use Cases Catalog'!N:N)</f>
        <v>0.73846153846153839</v>
      </c>
      <c r="J75" s="112">
        <f>AVERAGEIF('3. Use Cases Catalog'!D:D,A75,'3. Use Cases Catalog'!O:O)</f>
        <v>5.8461538461538458</v>
      </c>
    </row>
    <row r="76" spans="1:10" x14ac:dyDescent="0.2">
      <c r="A76" s="74" t="s">
        <v>437</v>
      </c>
      <c r="B76" s="77">
        <f>COUNTIF('3. Use Cases Catalog'!D:D,A76)</f>
        <v>13</v>
      </c>
      <c r="C76" s="75">
        <f>SUMIF('3. Use Cases Catalog'!D:D,A76,'3. Use Cases Catalog'!I:I)</f>
        <v>6.5000212000000008</v>
      </c>
      <c r="D76" s="75">
        <f>SUMIF('3. Use Cases Catalog'!D:D,A76,'3. Use Cases Catalog'!J:J)</f>
        <v>3.8000752999999996</v>
      </c>
      <c r="E76" s="75">
        <f>SUMIF('3. Use Cases Catalog'!D:D,A76,'3. Use Cases Catalog'!K:K)</f>
        <v>5.9999999999999997E-7</v>
      </c>
      <c r="F76" s="75">
        <f>SUMIF('3. Use Cases Catalog'!D:D,A76,'3. Use Cases Catalog'!L:L)</f>
        <v>0.8</v>
      </c>
      <c r="G76" s="75">
        <f>SUMIF('3. Use Cases Catalog'!D:D,A76,'3. Use Cases Catalog'!M:M)</f>
        <v>9.8000954999999976</v>
      </c>
      <c r="H76" s="75">
        <f t="shared" si="3"/>
        <v>6.6150644624999977</v>
      </c>
      <c r="I76" s="76">
        <f>AVERAGEIF('3. Use Cases Catalog'!D:D,A76,'3. Use Cases Catalog'!N:N)</f>
        <v>0.73461538461538467</v>
      </c>
      <c r="J76" s="113">
        <f>AVERAGEIF('3. Use Cases Catalog'!D:D,A76,'3. Use Cases Catalog'!O:O)</f>
        <v>8.4615384615384617</v>
      </c>
    </row>
    <row r="77" spans="1:10" x14ac:dyDescent="0.2">
      <c r="A77" s="69" t="s">
        <v>481</v>
      </c>
      <c r="B77" s="72">
        <f>COUNTIF('3. Use Cases Catalog'!D:D,A77)</f>
        <v>9</v>
      </c>
      <c r="C77" s="70">
        <f>SUMIF('3. Use Cases Catalog'!D:D,A77,'3. Use Cases Catalog'!I:I)</f>
        <v>2.1100000000000001E-5</v>
      </c>
      <c r="D77" s="70">
        <f>SUMIF('3. Use Cases Catalog'!D:D,A77,'3. Use Cases Catalog'!J:J)</f>
        <v>2.2499999999999998E-5</v>
      </c>
      <c r="E77" s="70">
        <f>SUMIF('3. Use Cases Catalog'!D:D,A77,'3. Use Cases Catalog'!K:K)</f>
        <v>1.0000012999999999</v>
      </c>
      <c r="F77" s="70">
        <f>SUMIF('3. Use Cases Catalog'!D:D,A77,'3. Use Cases Catalog'!L:L)</f>
        <v>7.0999999999999998E-6</v>
      </c>
      <c r="G77" s="70">
        <f>SUMIF('3. Use Cases Catalog'!D:D,A77,'3. Use Cases Catalog'!M:M)</f>
        <v>5.2999999999999994E-5</v>
      </c>
      <c r="H77" s="70">
        <f t="shared" si="3"/>
        <v>3.5774999999999995E-5</v>
      </c>
      <c r="I77" s="71">
        <f>AVERAGEIF('3. Use Cases Catalog'!D:D,A77,'3. Use Cases Catalog'!N:N)</f>
        <v>0.78888888888888875</v>
      </c>
      <c r="J77" s="112">
        <f>AVERAGEIF('3. Use Cases Catalog'!D:D,A77,'3. Use Cases Catalog'!O:O)</f>
        <v>7.2222222222222223</v>
      </c>
    </row>
    <row r="78" spans="1:10" x14ac:dyDescent="0.2">
      <c r="A78" s="74" t="s">
        <v>464</v>
      </c>
      <c r="B78" s="77">
        <f>COUNTIF('3. Use Cases Catalog'!D:D,A78)</f>
        <v>12</v>
      </c>
      <c r="C78" s="75">
        <f>SUMIF('3. Use Cases Catalog'!D:D,A78,'3. Use Cases Catalog'!I:I)</f>
        <v>3.1200185</v>
      </c>
      <c r="D78" s="75">
        <f>SUMIF('3. Use Cases Catalog'!D:D,A78,'3. Use Cases Catalog'!J:J)</f>
        <v>4.3000121</v>
      </c>
      <c r="E78" s="75">
        <f>SUMIF('3. Use Cases Catalog'!D:D,A78,'3. Use Cases Catalog'!K:K)</f>
        <v>7.5000000000000002E-6</v>
      </c>
      <c r="F78" s="75">
        <f>SUMIF('3. Use Cases Catalog'!D:D,A78,'3. Use Cases Catalog'!L:L)</f>
        <v>0</v>
      </c>
      <c r="G78" s="75">
        <f>SUMIF('3. Use Cases Catalog'!D:D,A78,'3. Use Cases Catalog'!M:M)</f>
        <v>5.7000397999999999</v>
      </c>
      <c r="H78" s="75">
        <f t="shared" si="3"/>
        <v>3.8475268649999999</v>
      </c>
      <c r="I78" s="76">
        <f>AVERAGEIF('3. Use Cases Catalog'!D:D,A78,'3. Use Cases Catalog'!N:N)</f>
        <v>0.73749999999999993</v>
      </c>
      <c r="J78" s="113">
        <f>AVERAGEIF('3. Use Cases Catalog'!D:D,A78,'3. Use Cases Catalog'!O:O)</f>
        <v>8.4166666666666661</v>
      </c>
    </row>
    <row r="79" spans="1:10" x14ac:dyDescent="0.2">
      <c r="A79" s="88" t="s">
        <v>7297</v>
      </c>
      <c r="B79" s="91">
        <f t="shared" ref="B79:H79" si="4">SUM(B65:B78)</f>
        <v>283</v>
      </c>
      <c r="C79" s="89">
        <f t="shared" si="4"/>
        <v>68.700744600000007</v>
      </c>
      <c r="D79" s="89">
        <f t="shared" si="4"/>
        <v>47.0005314</v>
      </c>
      <c r="E79" s="89">
        <f t="shared" si="4"/>
        <v>19.160134299999999</v>
      </c>
      <c r="F79" s="89">
        <f t="shared" si="4"/>
        <v>30.690356600000001</v>
      </c>
      <c r="G79" s="89">
        <f t="shared" si="4"/>
        <v>142.1917704</v>
      </c>
      <c r="H79" s="89">
        <f t="shared" si="4"/>
        <v>95.97944502</v>
      </c>
      <c r="I79" s="109">
        <f>AVERAGE(I65:I78)</f>
        <v>0.75540742538798633</v>
      </c>
      <c r="J79" s="110">
        <f>AVERAGE(J65:J78)</f>
        <v>8.4286701655543599</v>
      </c>
    </row>
    <row r="82" spans="1:10" ht="19" x14ac:dyDescent="0.25">
      <c r="A82" s="68" t="s">
        <v>7298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">
      <c r="A83" s="58" t="s">
        <v>7299</v>
      </c>
      <c r="B83" s="114">
        <v>0.5</v>
      </c>
      <c r="C83" s="114">
        <v>0.6</v>
      </c>
      <c r="D83" s="114">
        <v>0.7</v>
      </c>
      <c r="E83" s="114">
        <v>0.8</v>
      </c>
      <c r="F83" s="114">
        <v>0.9</v>
      </c>
      <c r="G83" s="114">
        <v>1</v>
      </c>
      <c r="H83" s="115"/>
      <c r="I83" s="115"/>
      <c r="J83" s="115"/>
    </row>
    <row r="84" spans="1:10" x14ac:dyDescent="0.2">
      <c r="A84" s="69" t="s">
        <v>7300</v>
      </c>
      <c r="B84" s="116">
        <f>$B$29*0.5*$B$9</f>
        <v>165.18135356250008</v>
      </c>
      <c r="C84" s="116">
        <f>$B$29*0.6*$B$9</f>
        <v>198.21762427500008</v>
      </c>
      <c r="D84" s="116">
        <f>$B$29*0.7*$B$9</f>
        <v>231.25389498750008</v>
      </c>
      <c r="E84" s="116">
        <f>$B$29*0.8*$B$9</f>
        <v>264.2901657000001</v>
      </c>
      <c r="F84" s="116">
        <f>$B$29*0.9*$B$9</f>
        <v>297.32643641250013</v>
      </c>
      <c r="G84" s="116">
        <f>$B$29*1*$B$9</f>
        <v>330.36270712500016</v>
      </c>
      <c r="H84" s="69"/>
      <c r="I84" s="69"/>
      <c r="J84" s="69"/>
    </row>
    <row r="85" spans="1:10" x14ac:dyDescent="0.2">
      <c r="A85" s="55"/>
    </row>
    <row r="86" spans="1:10" x14ac:dyDescent="0.2">
      <c r="A86" s="58" t="s">
        <v>7301</v>
      </c>
      <c r="B86" s="114">
        <v>0.5</v>
      </c>
      <c r="C86" s="114">
        <v>0.6</v>
      </c>
      <c r="D86" s="114">
        <v>0.7</v>
      </c>
      <c r="E86" s="114">
        <v>0.8</v>
      </c>
      <c r="F86" s="114">
        <v>0.9</v>
      </c>
      <c r="G86" s="114">
        <v>1</v>
      </c>
      <c r="H86" s="115"/>
      <c r="I86" s="115"/>
      <c r="J86" s="115"/>
    </row>
    <row r="87" spans="1:10" x14ac:dyDescent="0.2">
      <c r="A87" s="74" t="s">
        <v>7300</v>
      </c>
      <c r="B87" s="117">
        <f>$B$29*$B$8*0.5</f>
        <v>198.21762427500008</v>
      </c>
      <c r="C87" s="117">
        <f>$B$29*$B$8*0.6</f>
        <v>237.86114913000009</v>
      </c>
      <c r="D87" s="117">
        <f>$B$29*$B$8*0.7</f>
        <v>277.50467398500007</v>
      </c>
      <c r="E87" s="117">
        <f>$B$29*$B$8*0.8</f>
        <v>317.14819884000013</v>
      </c>
      <c r="F87" s="117">
        <f>$B$29*$B$8*0.9</f>
        <v>356.79172369500014</v>
      </c>
      <c r="G87" s="117">
        <f>$B$29*$B$8*1</f>
        <v>396.43524855000015</v>
      </c>
      <c r="H87" s="74"/>
      <c r="I87" s="74"/>
      <c r="J87" s="74"/>
    </row>
    <row r="88" spans="1:10" x14ac:dyDescent="0.2">
      <c r="A88" s="55"/>
    </row>
    <row r="89" spans="1:10" x14ac:dyDescent="0.2">
      <c r="A89" s="58" t="s">
        <v>7302</v>
      </c>
      <c r="B89" s="58" t="s">
        <v>7303</v>
      </c>
      <c r="C89" s="58" t="s">
        <v>7304</v>
      </c>
      <c r="D89" s="58" t="s">
        <v>7305</v>
      </c>
      <c r="E89" s="58" t="s">
        <v>7306</v>
      </c>
      <c r="F89" s="58" t="s">
        <v>7307</v>
      </c>
      <c r="G89" s="58" t="s">
        <v>7308</v>
      </c>
      <c r="H89" s="115"/>
      <c r="I89" s="115"/>
      <c r="J89" s="115"/>
    </row>
    <row r="90" spans="1:10" x14ac:dyDescent="0.2">
      <c r="A90" s="79" t="s">
        <v>7300</v>
      </c>
      <c r="B90" s="118">
        <f>$C$29*0.5</f>
        <v>145.11400640437506</v>
      </c>
      <c r="C90" s="118">
        <f>$C$29*0.75</f>
        <v>217.67100960656259</v>
      </c>
      <c r="D90" s="118">
        <f>$C$29*1</f>
        <v>290.22801280875012</v>
      </c>
      <c r="E90" s="118">
        <f>$C$29*1.25</f>
        <v>362.78501601093762</v>
      </c>
      <c r="F90" s="118">
        <f>$C$29*1.5</f>
        <v>435.34201921312518</v>
      </c>
      <c r="G90" s="118">
        <f>$C$29*2</f>
        <v>580.45602561750025</v>
      </c>
      <c r="H90" s="79"/>
      <c r="I90" s="79"/>
      <c r="J90" s="79"/>
    </row>
    <row r="91" spans="1:10" x14ac:dyDescent="0.2">
      <c r="A91" s="55"/>
    </row>
    <row r="92" spans="1:10" x14ac:dyDescent="0.2">
      <c r="A92" s="119" t="s">
        <v>7309</v>
      </c>
      <c r="B92" s="84"/>
      <c r="C92" s="84"/>
      <c r="D92" s="84"/>
      <c r="E92" s="84"/>
      <c r="F92" s="84"/>
      <c r="G92" s="84"/>
      <c r="H92" s="84"/>
      <c r="I92" s="84"/>
      <c r="J92" s="8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8EB-FA03-6A4B-9D4F-375D6A520641}">
  <sheetPr>
    <tabColor rgb="FF1F4E79"/>
  </sheetPr>
  <dimension ref="A1:T548"/>
  <sheetViews>
    <sheetView zoomScale="130" zoomScaleNormal="130" workbookViewId="0">
      <selection activeCell="E106" sqref="E106"/>
    </sheetView>
  </sheetViews>
  <sheetFormatPr baseColWidth="10" defaultRowHeight="16" x14ac:dyDescent="0.2"/>
  <cols>
    <col min="1" max="1" width="58.83203125" bestFit="1" customWidth="1"/>
    <col min="2" max="2" width="13.33203125" customWidth="1"/>
    <col min="3" max="3" width="45.83203125" customWidth="1"/>
    <col min="4" max="4" width="25" customWidth="1"/>
    <col min="5" max="5" width="40.33203125" customWidth="1"/>
    <col min="6" max="7" width="16.6640625" customWidth="1"/>
    <col min="8" max="9" width="25" customWidth="1"/>
    <col min="10" max="11" width="16.6640625" customWidth="1"/>
    <col min="12" max="12" width="10.33203125" bestFit="1" customWidth="1"/>
    <col min="13" max="13" width="12.1640625" bestFit="1" customWidth="1"/>
    <col min="14" max="14" width="32.6640625" bestFit="1" customWidth="1"/>
  </cols>
  <sheetData>
    <row r="1" spans="1:20" ht="24" x14ac:dyDescent="0.3">
      <c r="A1" s="122" t="s">
        <v>7316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3" spans="1:20" x14ac:dyDescent="0.2">
      <c r="A3" s="88" t="s">
        <v>7317</v>
      </c>
      <c r="B3" s="4"/>
      <c r="C3" s="4"/>
      <c r="D3" s="4"/>
    </row>
    <row r="4" spans="1:20" x14ac:dyDescent="0.2">
      <c r="A4" s="57" t="s">
        <v>7318</v>
      </c>
      <c r="B4" s="57" t="s">
        <v>7133</v>
      </c>
      <c r="C4" s="57" t="s">
        <v>7041</v>
      </c>
      <c r="D4" s="57" t="s">
        <v>7319</v>
      </c>
    </row>
    <row r="5" spans="1:20" x14ac:dyDescent="0.2">
      <c r="A5" t="s">
        <v>7320</v>
      </c>
      <c r="B5" s="123">
        <v>0.9</v>
      </c>
      <c r="C5" t="s">
        <v>7321</v>
      </c>
      <c r="D5" t="s">
        <v>7322</v>
      </c>
    </row>
    <row r="6" spans="1:20" x14ac:dyDescent="0.2">
      <c r="A6" t="s">
        <v>7323</v>
      </c>
      <c r="B6" s="123">
        <v>0.8</v>
      </c>
      <c r="C6" t="s">
        <v>7324</v>
      </c>
      <c r="D6" t="s">
        <v>7126</v>
      </c>
    </row>
    <row r="7" spans="1:20" x14ac:dyDescent="0.2">
      <c r="A7" t="s">
        <v>7325</v>
      </c>
      <c r="B7" s="123">
        <v>0.75</v>
      </c>
      <c r="C7" t="s">
        <v>7326</v>
      </c>
      <c r="D7" t="s">
        <v>7327</v>
      </c>
    </row>
    <row r="8" spans="1:20" x14ac:dyDescent="0.2">
      <c r="A8" t="s">
        <v>7328</v>
      </c>
      <c r="B8" s="123">
        <v>0.85</v>
      </c>
      <c r="C8" t="s">
        <v>7329</v>
      </c>
      <c r="D8" t="s">
        <v>7128</v>
      </c>
    </row>
    <row r="9" spans="1:20" x14ac:dyDescent="0.2">
      <c r="A9" t="s">
        <v>7330</v>
      </c>
      <c r="B9" s="123">
        <v>0.95</v>
      </c>
      <c r="C9" t="s">
        <v>7331</v>
      </c>
      <c r="D9" t="s">
        <v>7124</v>
      </c>
    </row>
    <row r="10" spans="1:20" x14ac:dyDescent="0.2">
      <c r="A10" t="s">
        <v>7332</v>
      </c>
      <c r="B10" s="123">
        <v>0.8</v>
      </c>
      <c r="C10" t="s">
        <v>7333</v>
      </c>
      <c r="D10" t="s">
        <v>7126</v>
      </c>
    </row>
    <row r="12" spans="1:20" x14ac:dyDescent="0.2">
      <c r="A12" s="88" t="s">
        <v>7355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">
      <c r="A13" s="58" t="s">
        <v>17</v>
      </c>
      <c r="B13" s="58" t="s">
        <v>104</v>
      </c>
      <c r="C13" s="58" t="s">
        <v>105</v>
      </c>
      <c r="D13" s="131" t="s">
        <v>7356</v>
      </c>
      <c r="E13" s="131" t="s">
        <v>7357</v>
      </c>
      <c r="F13" s="131" t="s">
        <v>7358</v>
      </c>
      <c r="G13" s="131" t="s">
        <v>7359</v>
      </c>
      <c r="H13" s="45" t="s">
        <v>7360</v>
      </c>
      <c r="I13" s="45" t="s">
        <v>7361</v>
      </c>
      <c r="J13" s="45" t="s">
        <v>7362</v>
      </c>
      <c r="K13" s="45" t="s">
        <v>7363</v>
      </c>
      <c r="L13" s="132" t="s">
        <v>7364</v>
      </c>
      <c r="M13" s="132" t="s">
        <v>7365</v>
      </c>
      <c r="N13" s="132" t="s">
        <v>7366</v>
      </c>
      <c r="O13" s="132" t="s">
        <v>7367</v>
      </c>
      <c r="P13" s="132" t="s">
        <v>7368</v>
      </c>
      <c r="Q13" s="133" t="s">
        <v>7369</v>
      </c>
      <c r="R13" s="133" t="s">
        <v>7370</v>
      </c>
      <c r="S13" s="133" t="s">
        <v>7371</v>
      </c>
      <c r="T13" s="133" t="s">
        <v>7372</v>
      </c>
    </row>
    <row r="14" spans="1:20" x14ac:dyDescent="0.2">
      <c r="A14" t="s">
        <v>93</v>
      </c>
      <c r="B14" t="s">
        <v>123</v>
      </c>
      <c r="C14" t="s">
        <v>124</v>
      </c>
      <c r="D14" s="10" t="s">
        <v>7373</v>
      </c>
      <c r="E14" t="s">
        <v>7374</v>
      </c>
      <c r="F14" s="125">
        <f>'3. Use Cases Catalog'!I2*1000000</f>
        <v>4.0999999999999996</v>
      </c>
      <c r="G14" s="125">
        <f>'3. Use Cases Catalog'!I2*1000000</f>
        <v>4.0999999999999996</v>
      </c>
      <c r="H14" s="10"/>
      <c r="I14" t="s">
        <v>129</v>
      </c>
      <c r="J14" s="125">
        <f>'3. Use Cases Catalog'!J2*1000000</f>
        <v>0</v>
      </c>
      <c r="K14" s="125">
        <f>'3. Use Cases Catalog'!J2*1000000</f>
        <v>0</v>
      </c>
      <c r="L14" s="123"/>
      <c r="M14" s="124"/>
      <c r="N14" t="s">
        <v>130</v>
      </c>
      <c r="O14" s="125" t="str">
        <f t="shared" ref="O14:O77" si="0">IF(AND(L14&lt;&gt;"",M14&lt;&gt;""),L14*M14*$B$7*$B$8,"")</f>
        <v/>
      </c>
      <c r="P14" s="125">
        <f>'3. Use Cases Catalog'!K2*1000000</f>
        <v>0</v>
      </c>
      <c r="Q14" s="126"/>
      <c r="R14" s="124"/>
      <c r="S14" s="125" t="str">
        <f t="shared" ref="S14:S77" si="1">IF(AND(Q14&lt;&gt;"",R14&lt;&gt;""),Q14*R14*$B$9*$B$8,"")</f>
        <v/>
      </c>
      <c r="T14" s="125">
        <f>'3. Use Cases Catalog'!L2*1000000</f>
        <v>0</v>
      </c>
    </row>
    <row r="15" spans="1:20" x14ac:dyDescent="0.2">
      <c r="A15" t="s">
        <v>93</v>
      </c>
      <c r="B15" t="s">
        <v>133</v>
      </c>
      <c r="C15" t="s">
        <v>134</v>
      </c>
      <c r="D15" s="10" t="s">
        <v>7375</v>
      </c>
      <c r="E15" t="s">
        <v>7376</v>
      </c>
      <c r="F15" s="125">
        <f>'3. Use Cases Catalog'!I3*1000000</f>
        <v>800000</v>
      </c>
      <c r="G15" s="125">
        <f>'3. Use Cases Catalog'!I3*1000000</f>
        <v>800000</v>
      </c>
      <c r="H15" s="10" t="s">
        <v>7377</v>
      </c>
      <c r="I15" t="s">
        <v>7378</v>
      </c>
      <c r="J15" s="125">
        <f>'3. Use Cases Catalog'!J3*1000000</f>
        <v>8.5</v>
      </c>
      <c r="K15" s="125">
        <f>'3. Use Cases Catalog'!J3*1000000</f>
        <v>8.5</v>
      </c>
      <c r="L15" s="123"/>
      <c r="M15" s="124"/>
      <c r="N15" t="s">
        <v>130</v>
      </c>
      <c r="O15" s="125" t="str">
        <f t="shared" si="0"/>
        <v/>
      </c>
      <c r="P15" s="125">
        <f>'3. Use Cases Catalog'!K3*1000000</f>
        <v>0</v>
      </c>
      <c r="Q15" s="126"/>
      <c r="R15" s="124"/>
      <c r="S15" s="125" t="str">
        <f t="shared" si="1"/>
        <v/>
      </c>
      <c r="T15" s="125">
        <f>'3. Use Cases Catalog'!L3*1000000</f>
        <v>0</v>
      </c>
    </row>
    <row r="16" spans="1:20" x14ac:dyDescent="0.2">
      <c r="A16" t="s">
        <v>93</v>
      </c>
      <c r="B16" t="s">
        <v>141</v>
      </c>
      <c r="C16" t="s">
        <v>7379</v>
      </c>
      <c r="D16" s="10" t="s">
        <v>7380</v>
      </c>
      <c r="E16" t="s">
        <v>7381</v>
      </c>
      <c r="F16" s="125">
        <f>'3. Use Cases Catalog'!I4*1000000</f>
        <v>5.2</v>
      </c>
      <c r="G16" s="125">
        <f>'3. Use Cases Catalog'!I4*1000000</f>
        <v>5.2</v>
      </c>
      <c r="H16" s="10"/>
      <c r="I16" t="s">
        <v>129</v>
      </c>
      <c r="J16" s="125">
        <f>'3. Use Cases Catalog'!J4*1000000</f>
        <v>0</v>
      </c>
      <c r="K16" s="125">
        <f>'3. Use Cases Catalog'!J4*1000000</f>
        <v>0</v>
      </c>
      <c r="L16" s="123">
        <v>0.45</v>
      </c>
      <c r="M16" s="124">
        <v>2100000</v>
      </c>
      <c r="N16" t="s">
        <v>7382</v>
      </c>
      <c r="O16" s="125">
        <f t="shared" si="0"/>
        <v>602437.5</v>
      </c>
      <c r="P16" s="125">
        <f>'3. Use Cases Catalog'!K4*1000000</f>
        <v>900000</v>
      </c>
      <c r="Q16" s="126"/>
      <c r="R16" s="124"/>
      <c r="S16" s="125" t="str">
        <f t="shared" si="1"/>
        <v/>
      </c>
      <c r="T16" s="125">
        <f>'3. Use Cases Catalog'!L4*1000000</f>
        <v>0</v>
      </c>
    </row>
    <row r="17" spans="1:20" x14ac:dyDescent="0.2">
      <c r="A17" t="s">
        <v>93</v>
      </c>
      <c r="B17" t="s">
        <v>149</v>
      </c>
      <c r="C17" t="s">
        <v>150</v>
      </c>
      <c r="D17" s="10" t="s">
        <v>7383</v>
      </c>
      <c r="E17" t="s">
        <v>7384</v>
      </c>
      <c r="F17" s="125">
        <f>'3. Use Cases Catalog'!I5*1000000</f>
        <v>1.6</v>
      </c>
      <c r="G17" s="125">
        <f>'3. Use Cases Catalog'!I5*1000000</f>
        <v>1.6</v>
      </c>
      <c r="H17" s="10" t="s">
        <v>7385</v>
      </c>
      <c r="I17" t="s">
        <v>7386</v>
      </c>
      <c r="J17" s="125">
        <f>'3. Use Cases Catalog'!J5*1000000</f>
        <v>5.7</v>
      </c>
      <c r="K17" s="125">
        <f>'3. Use Cases Catalog'!J5*1000000</f>
        <v>5.7</v>
      </c>
      <c r="L17" s="123"/>
      <c r="M17" s="124"/>
      <c r="N17" t="s">
        <v>130</v>
      </c>
      <c r="O17" s="125" t="str">
        <f t="shared" si="0"/>
        <v/>
      </c>
      <c r="P17" s="125">
        <f>'3. Use Cases Catalog'!K5*1000000</f>
        <v>0</v>
      </c>
      <c r="Q17" s="126"/>
      <c r="R17" s="124"/>
      <c r="S17" s="125" t="str">
        <f t="shared" si="1"/>
        <v/>
      </c>
      <c r="T17" s="125">
        <f>'3. Use Cases Catalog'!L5*1000000</f>
        <v>0</v>
      </c>
    </row>
    <row r="18" spans="1:20" x14ac:dyDescent="0.2">
      <c r="A18" t="s">
        <v>93</v>
      </c>
      <c r="B18" t="s">
        <v>156</v>
      </c>
      <c r="C18" t="s">
        <v>157</v>
      </c>
      <c r="D18" s="10" t="s">
        <v>7387</v>
      </c>
      <c r="E18" t="s">
        <v>7388</v>
      </c>
      <c r="F18" s="125">
        <f>'3. Use Cases Catalog'!I6*1000000</f>
        <v>900000</v>
      </c>
      <c r="G18" s="125">
        <f>'3. Use Cases Catalog'!I6*1000000</f>
        <v>900000</v>
      </c>
      <c r="H18" s="10"/>
      <c r="I18" t="s">
        <v>129</v>
      </c>
      <c r="J18" s="125">
        <f>'3. Use Cases Catalog'!J6*1000000</f>
        <v>0</v>
      </c>
      <c r="K18" s="125">
        <f>'3. Use Cases Catalog'!J6*1000000</f>
        <v>0</v>
      </c>
      <c r="L18" s="123"/>
      <c r="M18" s="124"/>
      <c r="N18" t="s">
        <v>130</v>
      </c>
      <c r="O18" s="125" t="str">
        <f t="shared" si="0"/>
        <v/>
      </c>
      <c r="P18" s="125">
        <f>'3. Use Cases Catalog'!K6*1000000</f>
        <v>0</v>
      </c>
      <c r="Q18" s="126">
        <v>5</v>
      </c>
      <c r="R18" s="124">
        <v>350</v>
      </c>
      <c r="S18" s="125">
        <f t="shared" si="1"/>
        <v>1413.125</v>
      </c>
      <c r="T18" s="125">
        <f>'3. Use Cases Catalog'!L6*1000000</f>
        <v>1.7</v>
      </c>
    </row>
    <row r="19" spans="1:20" x14ac:dyDescent="0.2">
      <c r="A19" t="s">
        <v>93</v>
      </c>
      <c r="B19" t="s">
        <v>164</v>
      </c>
      <c r="C19" t="s">
        <v>165</v>
      </c>
      <c r="D19" s="10" t="s">
        <v>7389</v>
      </c>
      <c r="E19" t="s">
        <v>7390</v>
      </c>
      <c r="F19" s="125">
        <f>'3. Use Cases Catalog'!I7*1000000</f>
        <v>600000</v>
      </c>
      <c r="G19" s="125">
        <f>'3. Use Cases Catalog'!I7*1000000</f>
        <v>600000</v>
      </c>
      <c r="H19" s="10"/>
      <c r="I19" t="s">
        <v>129</v>
      </c>
      <c r="J19" s="125">
        <f>'3. Use Cases Catalog'!J7*1000000</f>
        <v>0</v>
      </c>
      <c r="K19" s="125">
        <f>'3. Use Cases Catalog'!J7*1000000</f>
        <v>0</v>
      </c>
      <c r="L19" s="123">
        <v>0.5</v>
      </c>
      <c r="M19" s="124"/>
      <c r="N19" t="s">
        <v>7391</v>
      </c>
      <c r="O19" s="125" t="str">
        <f t="shared" si="0"/>
        <v/>
      </c>
      <c r="P19" s="125">
        <f>'3. Use Cases Catalog'!K7*1000000</f>
        <v>200000</v>
      </c>
      <c r="Q19" s="126">
        <v>6</v>
      </c>
      <c r="R19" s="124">
        <v>350</v>
      </c>
      <c r="S19" s="125">
        <f t="shared" si="1"/>
        <v>1695.75</v>
      </c>
      <c r="T19" s="125">
        <f>'3. Use Cases Catalog'!L7*1000000</f>
        <v>1.5</v>
      </c>
    </row>
    <row r="20" spans="1:20" x14ac:dyDescent="0.2">
      <c r="A20" t="s">
        <v>93</v>
      </c>
      <c r="B20" t="s">
        <v>172</v>
      </c>
      <c r="C20" t="s">
        <v>7392</v>
      </c>
      <c r="D20" s="10"/>
      <c r="E20" t="s">
        <v>1009</v>
      </c>
      <c r="F20" s="125">
        <f>'3. Use Cases Catalog'!I8*1000000</f>
        <v>0</v>
      </c>
      <c r="G20" s="125">
        <f>'3. Use Cases Catalog'!I8*1000000</f>
        <v>0</v>
      </c>
      <c r="H20" s="10"/>
      <c r="I20" t="s">
        <v>129</v>
      </c>
      <c r="J20" s="125">
        <f>'3. Use Cases Catalog'!J8*1000000</f>
        <v>0</v>
      </c>
      <c r="K20" s="125">
        <f>'3. Use Cases Catalog'!J8*1000000</f>
        <v>0</v>
      </c>
      <c r="L20" s="123">
        <v>0.75</v>
      </c>
      <c r="M20" s="124">
        <v>2100000</v>
      </c>
      <c r="N20" t="s">
        <v>7382</v>
      </c>
      <c r="O20" s="125">
        <f t="shared" si="0"/>
        <v>1004062.5</v>
      </c>
      <c r="P20" s="125">
        <f>'3. Use Cases Catalog'!K8*1000000</f>
        <v>1.2</v>
      </c>
      <c r="Q20" s="126"/>
      <c r="R20" s="124"/>
      <c r="S20" s="125" t="str">
        <f t="shared" si="1"/>
        <v/>
      </c>
      <c r="T20" s="125">
        <f>'3. Use Cases Catalog'!L8*1000000</f>
        <v>0</v>
      </c>
    </row>
    <row r="21" spans="1:20" x14ac:dyDescent="0.2">
      <c r="A21" t="s">
        <v>93</v>
      </c>
      <c r="B21" t="s">
        <v>179</v>
      </c>
      <c r="C21" t="s">
        <v>180</v>
      </c>
      <c r="D21" s="10" t="s">
        <v>7393</v>
      </c>
      <c r="E21" t="s">
        <v>7394</v>
      </c>
      <c r="F21" s="125">
        <f>'3. Use Cases Catalog'!I9*1000000</f>
        <v>200000</v>
      </c>
      <c r="G21" s="125">
        <f>'3. Use Cases Catalog'!I9*1000000</f>
        <v>200000</v>
      </c>
      <c r="H21" s="10"/>
      <c r="I21" t="s">
        <v>129</v>
      </c>
      <c r="J21" s="125">
        <f>'3. Use Cases Catalog'!J9*1000000</f>
        <v>0</v>
      </c>
      <c r="K21" s="125">
        <f>'3. Use Cases Catalog'!J9*1000000</f>
        <v>0</v>
      </c>
      <c r="L21" s="123"/>
      <c r="M21" s="124"/>
      <c r="N21" t="s">
        <v>130</v>
      </c>
      <c r="O21" s="125" t="str">
        <f t="shared" si="0"/>
        <v/>
      </c>
      <c r="P21" s="125">
        <f>'3. Use Cases Catalog'!K9*1000000</f>
        <v>0</v>
      </c>
      <c r="Q21" s="126"/>
      <c r="R21" s="124"/>
      <c r="S21" s="125" t="str">
        <f t="shared" si="1"/>
        <v/>
      </c>
      <c r="T21" s="125">
        <f>'3. Use Cases Catalog'!L9*1000000</f>
        <v>0</v>
      </c>
    </row>
    <row r="22" spans="1:20" x14ac:dyDescent="0.2">
      <c r="A22" t="s">
        <v>93</v>
      </c>
      <c r="B22" t="s">
        <v>186</v>
      </c>
      <c r="C22" t="s">
        <v>187</v>
      </c>
      <c r="D22" s="10" t="s">
        <v>7395</v>
      </c>
      <c r="E22" t="s">
        <v>7396</v>
      </c>
      <c r="F22" s="125">
        <f>'3. Use Cases Catalog'!I10*1000000</f>
        <v>60000</v>
      </c>
      <c r="G22" s="125">
        <f>'3. Use Cases Catalog'!I10*1000000</f>
        <v>60000</v>
      </c>
      <c r="H22" s="10"/>
      <c r="I22" t="s">
        <v>129</v>
      </c>
      <c r="J22" s="125">
        <f>'3. Use Cases Catalog'!J10*1000000</f>
        <v>0</v>
      </c>
      <c r="K22" s="125">
        <f>'3. Use Cases Catalog'!J10*1000000</f>
        <v>0</v>
      </c>
      <c r="L22" s="123">
        <v>0.4</v>
      </c>
      <c r="M22" s="124"/>
      <c r="N22" t="s">
        <v>7397</v>
      </c>
      <c r="O22" s="125" t="str">
        <f t="shared" si="0"/>
        <v/>
      </c>
      <c r="P22" s="125">
        <f>'3. Use Cases Catalog'!K10*1000000</f>
        <v>100000</v>
      </c>
      <c r="Q22" s="126"/>
      <c r="R22" s="124"/>
      <c r="S22" s="125" t="str">
        <f t="shared" si="1"/>
        <v/>
      </c>
      <c r="T22" s="125">
        <f>'3. Use Cases Catalog'!L10*1000000</f>
        <v>0</v>
      </c>
    </row>
    <row r="23" spans="1:20" x14ac:dyDescent="0.2">
      <c r="A23" t="s">
        <v>93</v>
      </c>
      <c r="B23" t="s">
        <v>194</v>
      </c>
      <c r="C23" t="s">
        <v>195</v>
      </c>
      <c r="D23" s="10" t="s">
        <v>7398</v>
      </c>
      <c r="E23" t="s">
        <v>7399</v>
      </c>
      <c r="F23" s="125">
        <f>'3. Use Cases Catalog'!I11*1000000</f>
        <v>200000</v>
      </c>
      <c r="G23" s="125">
        <f>'3. Use Cases Catalog'!I11*1000000</f>
        <v>200000</v>
      </c>
      <c r="H23" s="10"/>
      <c r="I23" t="s">
        <v>129</v>
      </c>
      <c r="J23" s="125">
        <f>'3. Use Cases Catalog'!J11*1000000</f>
        <v>0</v>
      </c>
      <c r="K23" s="125">
        <f>'3. Use Cases Catalog'!J11*1000000</f>
        <v>0</v>
      </c>
      <c r="L23" s="123">
        <v>0.5</v>
      </c>
      <c r="M23" s="124"/>
      <c r="N23" t="s">
        <v>7400</v>
      </c>
      <c r="O23" s="125" t="str">
        <f t="shared" si="0"/>
        <v/>
      </c>
      <c r="P23" s="125">
        <f>'3. Use Cases Catalog'!K11*1000000</f>
        <v>300000</v>
      </c>
      <c r="Q23" s="126">
        <v>4</v>
      </c>
      <c r="R23" s="124">
        <v>350</v>
      </c>
      <c r="S23" s="125">
        <f t="shared" si="1"/>
        <v>1130.5</v>
      </c>
      <c r="T23" s="125">
        <f>'3. Use Cases Catalog'!L11*1000000</f>
        <v>600000</v>
      </c>
    </row>
    <row r="24" spans="1:20" x14ac:dyDescent="0.2">
      <c r="A24" t="s">
        <v>57</v>
      </c>
      <c r="B24" t="s">
        <v>149</v>
      </c>
      <c r="C24" t="s">
        <v>7401</v>
      </c>
      <c r="D24" s="10" t="s">
        <v>7402</v>
      </c>
      <c r="E24" t="s">
        <v>7403</v>
      </c>
      <c r="F24" s="125">
        <f>'3. Use Cases Catalog'!I12*1000000</f>
        <v>2.4</v>
      </c>
      <c r="G24" s="125">
        <f>'3. Use Cases Catalog'!I12*1000000</f>
        <v>2.4</v>
      </c>
      <c r="H24" s="10" t="s">
        <v>7404</v>
      </c>
      <c r="I24" t="s">
        <v>7405</v>
      </c>
      <c r="J24" s="125">
        <f>'3. Use Cases Catalog'!J12*1000000</f>
        <v>11.8</v>
      </c>
      <c r="K24" s="125">
        <f>'3. Use Cases Catalog'!J12*1000000</f>
        <v>11.8</v>
      </c>
      <c r="L24" s="123"/>
      <c r="M24" s="124"/>
      <c r="N24" t="s">
        <v>130</v>
      </c>
      <c r="O24" s="125" t="str">
        <f t="shared" si="0"/>
        <v/>
      </c>
      <c r="P24" s="125">
        <f>'3. Use Cases Catalog'!K12*1000000</f>
        <v>0</v>
      </c>
      <c r="Q24" s="126"/>
      <c r="R24" s="124"/>
      <c r="S24" s="125" t="str">
        <f t="shared" si="1"/>
        <v/>
      </c>
      <c r="T24" s="125">
        <f>'3. Use Cases Catalog'!L12*1000000</f>
        <v>0</v>
      </c>
    </row>
    <row r="25" spans="1:20" x14ac:dyDescent="0.2">
      <c r="A25" t="s">
        <v>57</v>
      </c>
      <c r="B25" t="s">
        <v>156</v>
      </c>
      <c r="C25" t="s">
        <v>7406</v>
      </c>
      <c r="D25" s="10" t="s">
        <v>7407</v>
      </c>
      <c r="E25" t="s">
        <v>7408</v>
      </c>
      <c r="F25" s="125">
        <f>'3. Use Cases Catalog'!I13*1000000</f>
        <v>3.6</v>
      </c>
      <c r="G25" s="125">
        <f>'3. Use Cases Catalog'!I13*1000000</f>
        <v>3.6</v>
      </c>
      <c r="H25" s="10" t="s">
        <v>7409</v>
      </c>
      <c r="I25" t="s">
        <v>7410</v>
      </c>
      <c r="J25" s="125">
        <f>'3. Use Cases Catalog'!J13*1000000</f>
        <v>8.1</v>
      </c>
      <c r="K25" s="125">
        <f>'3. Use Cases Catalog'!J13*1000000</f>
        <v>8.1</v>
      </c>
      <c r="L25" s="123"/>
      <c r="M25" s="124"/>
      <c r="N25" t="s">
        <v>130</v>
      </c>
      <c r="O25" s="125" t="str">
        <f t="shared" si="0"/>
        <v/>
      </c>
      <c r="P25" s="125">
        <f>'3. Use Cases Catalog'!K13*1000000</f>
        <v>0</v>
      </c>
      <c r="Q25" s="126"/>
      <c r="R25" s="124"/>
      <c r="S25" s="125" t="str">
        <f t="shared" si="1"/>
        <v/>
      </c>
      <c r="T25" s="125">
        <f>'3. Use Cases Catalog'!L13*1000000</f>
        <v>0</v>
      </c>
    </row>
    <row r="26" spans="1:20" x14ac:dyDescent="0.2">
      <c r="A26" t="s">
        <v>57</v>
      </c>
      <c r="B26" t="s">
        <v>172</v>
      </c>
      <c r="C26" t="s">
        <v>7411</v>
      </c>
      <c r="D26" s="10" t="s">
        <v>7412</v>
      </c>
      <c r="E26" t="s">
        <v>7413</v>
      </c>
      <c r="F26" s="125">
        <f>'3. Use Cases Catalog'!I14*1000000</f>
        <v>4.7</v>
      </c>
      <c r="G26" s="125">
        <f>'3. Use Cases Catalog'!I14*1000000</f>
        <v>4.7</v>
      </c>
      <c r="H26" s="10"/>
      <c r="I26" t="s">
        <v>129</v>
      </c>
      <c r="J26" s="125">
        <f>'3. Use Cases Catalog'!J14*1000000</f>
        <v>0</v>
      </c>
      <c r="K26" s="125">
        <f>'3. Use Cases Catalog'!J14*1000000</f>
        <v>0</v>
      </c>
      <c r="L26" s="123">
        <v>0.5</v>
      </c>
      <c r="M26" s="124">
        <v>17300000</v>
      </c>
      <c r="N26" t="s">
        <v>7414</v>
      </c>
      <c r="O26" s="125">
        <f t="shared" si="0"/>
        <v>5514375</v>
      </c>
      <c r="P26" s="125">
        <f>'3. Use Cases Catalog'!K14*1000000</f>
        <v>5.2</v>
      </c>
      <c r="Q26" s="126"/>
      <c r="R26" s="124"/>
      <c r="S26" s="125" t="str">
        <f t="shared" si="1"/>
        <v/>
      </c>
      <c r="T26" s="125">
        <f>'3. Use Cases Catalog'!L14*1000000</f>
        <v>0</v>
      </c>
    </row>
    <row r="27" spans="1:20" x14ac:dyDescent="0.2">
      <c r="A27" t="s">
        <v>57</v>
      </c>
      <c r="B27" t="s">
        <v>186</v>
      </c>
      <c r="C27" t="s">
        <v>7415</v>
      </c>
      <c r="D27" s="10" t="s">
        <v>7416</v>
      </c>
      <c r="E27" t="s">
        <v>7417</v>
      </c>
      <c r="F27" s="125">
        <f>'3. Use Cases Catalog'!I15*1000000</f>
        <v>1.6</v>
      </c>
      <c r="G27" s="125">
        <f>'3. Use Cases Catalog'!I15*1000000</f>
        <v>1.6</v>
      </c>
      <c r="H27" s="10" t="s">
        <v>7418</v>
      </c>
      <c r="I27" t="s">
        <v>7419</v>
      </c>
      <c r="J27" s="125">
        <f>'3. Use Cases Catalog'!J15*1000000</f>
        <v>10.8</v>
      </c>
      <c r="K27" s="125">
        <f>'3. Use Cases Catalog'!J15*1000000</f>
        <v>10.8</v>
      </c>
      <c r="L27" s="123"/>
      <c r="M27" s="124"/>
      <c r="N27" t="s">
        <v>130</v>
      </c>
      <c r="O27" s="125" t="str">
        <f t="shared" si="0"/>
        <v/>
      </c>
      <c r="P27" s="125">
        <f>'3. Use Cases Catalog'!K15*1000000</f>
        <v>0</v>
      </c>
      <c r="Q27" s="126"/>
      <c r="R27" s="124"/>
      <c r="S27" s="125" t="str">
        <f t="shared" si="1"/>
        <v/>
      </c>
      <c r="T27" s="125">
        <f>'3. Use Cases Catalog'!L15*1000000</f>
        <v>0</v>
      </c>
    </row>
    <row r="28" spans="1:20" x14ac:dyDescent="0.2">
      <c r="A28" t="s">
        <v>57</v>
      </c>
      <c r="B28" t="s">
        <v>194</v>
      </c>
      <c r="C28" t="s">
        <v>7420</v>
      </c>
      <c r="D28" s="10" t="s">
        <v>7421</v>
      </c>
      <c r="E28" t="s">
        <v>7422</v>
      </c>
      <c r="F28" s="125">
        <f>'3. Use Cases Catalog'!I16*1000000</f>
        <v>2.8</v>
      </c>
      <c r="G28" s="125">
        <f>'3. Use Cases Catalog'!I16*1000000</f>
        <v>2.8</v>
      </c>
      <c r="H28" s="10"/>
      <c r="I28" t="s">
        <v>129</v>
      </c>
      <c r="J28" s="125">
        <f>'3. Use Cases Catalog'!J16*1000000</f>
        <v>0</v>
      </c>
      <c r="K28" s="125">
        <f>'3. Use Cases Catalog'!J16*1000000</f>
        <v>0</v>
      </c>
      <c r="L28" s="123">
        <v>0.3</v>
      </c>
      <c r="M28" s="124">
        <v>4800000</v>
      </c>
      <c r="N28" t="s">
        <v>7423</v>
      </c>
      <c r="O28" s="125">
        <f t="shared" si="0"/>
        <v>918000</v>
      </c>
      <c r="P28" s="125">
        <f>'3. Use Cases Catalog'!K16*1000000</f>
        <v>0.9</v>
      </c>
      <c r="Q28" s="126">
        <v>18</v>
      </c>
      <c r="R28" s="124"/>
      <c r="S28" s="125" t="str">
        <f t="shared" si="1"/>
        <v/>
      </c>
      <c r="T28" s="125">
        <f>'3. Use Cases Catalog'!L16*1000000</f>
        <v>5.4</v>
      </c>
    </row>
    <row r="29" spans="1:20" x14ac:dyDescent="0.2">
      <c r="A29" t="s">
        <v>57</v>
      </c>
      <c r="B29" t="s">
        <v>141</v>
      </c>
      <c r="C29" t="s">
        <v>7424</v>
      </c>
      <c r="D29" s="10" t="s">
        <v>7425</v>
      </c>
      <c r="E29" t="s">
        <v>7426</v>
      </c>
      <c r="F29" s="125">
        <f>'3. Use Cases Catalog'!I17*1000000</f>
        <v>13.9</v>
      </c>
      <c r="G29" s="125">
        <f>'3. Use Cases Catalog'!I17*1000000</f>
        <v>13.9</v>
      </c>
      <c r="H29" s="10"/>
      <c r="I29" t="s">
        <v>129</v>
      </c>
      <c r="J29" s="125">
        <f>'3. Use Cases Catalog'!J17*1000000</f>
        <v>0</v>
      </c>
      <c r="K29" s="125">
        <f>'3. Use Cases Catalog'!J17*1000000</f>
        <v>0</v>
      </c>
      <c r="L29" s="123">
        <v>0.25</v>
      </c>
      <c r="M29" s="124">
        <v>9200000</v>
      </c>
      <c r="N29" t="s">
        <v>7427</v>
      </c>
      <c r="O29" s="125">
        <f t="shared" si="0"/>
        <v>1466250</v>
      </c>
      <c r="P29" s="125">
        <f>'3. Use Cases Catalog'!K17*1000000</f>
        <v>1.4</v>
      </c>
      <c r="Q29" s="126">
        <v>2.7</v>
      </c>
      <c r="R29" s="124"/>
      <c r="S29" s="125" t="str">
        <f t="shared" si="1"/>
        <v/>
      </c>
      <c r="T29" s="125">
        <f>'3. Use Cases Catalog'!L17*1000000</f>
        <v>4.8</v>
      </c>
    </row>
    <row r="30" spans="1:20" x14ac:dyDescent="0.2">
      <c r="A30" t="s">
        <v>57</v>
      </c>
      <c r="B30" t="s">
        <v>123</v>
      </c>
      <c r="C30" t="s">
        <v>7428</v>
      </c>
      <c r="D30" s="10" t="s">
        <v>7429</v>
      </c>
      <c r="E30" t="s">
        <v>7430</v>
      </c>
      <c r="F30" s="125">
        <f>'3. Use Cases Catalog'!I18*1000000</f>
        <v>11.2</v>
      </c>
      <c r="G30" s="125">
        <f>'3. Use Cases Catalog'!I18*1000000</f>
        <v>11.2</v>
      </c>
      <c r="H30" s="10" t="s">
        <v>7431</v>
      </c>
      <c r="I30" t="s">
        <v>7432</v>
      </c>
      <c r="J30" s="125">
        <f>'3. Use Cases Catalog'!J18*1000000</f>
        <v>24.3</v>
      </c>
      <c r="K30" s="125">
        <f>'3. Use Cases Catalog'!J18*1000000</f>
        <v>24.3</v>
      </c>
      <c r="L30" s="123">
        <v>0.4</v>
      </c>
      <c r="M30" s="124">
        <v>7800000</v>
      </c>
      <c r="N30" t="s">
        <v>7433</v>
      </c>
      <c r="O30" s="125">
        <f t="shared" si="0"/>
        <v>1989000</v>
      </c>
      <c r="P30" s="125">
        <f>'3. Use Cases Catalog'!K18*1000000</f>
        <v>1.9</v>
      </c>
      <c r="Q30" s="126"/>
      <c r="R30" s="124"/>
      <c r="S30" s="125" t="str">
        <f t="shared" si="1"/>
        <v/>
      </c>
      <c r="T30" s="125">
        <f>'3. Use Cases Catalog'!L18*1000000</f>
        <v>0</v>
      </c>
    </row>
    <row r="31" spans="1:20" x14ac:dyDescent="0.2">
      <c r="A31" t="s">
        <v>57</v>
      </c>
      <c r="B31" t="s">
        <v>133</v>
      </c>
      <c r="C31" t="s">
        <v>7434</v>
      </c>
      <c r="D31" s="10" t="s">
        <v>7435</v>
      </c>
      <c r="E31" t="s">
        <v>7436</v>
      </c>
      <c r="F31" s="125">
        <f>'3. Use Cases Catalog'!I19*1000000</f>
        <v>1.8</v>
      </c>
      <c r="G31" s="125">
        <f>'3. Use Cases Catalog'!I19*1000000</f>
        <v>1.8</v>
      </c>
      <c r="H31" s="10" t="s">
        <v>7437</v>
      </c>
      <c r="I31" t="s">
        <v>7438</v>
      </c>
      <c r="J31" s="125">
        <f>'3. Use Cases Catalog'!J19*1000000</f>
        <v>16.2</v>
      </c>
      <c r="K31" s="125">
        <f>'3. Use Cases Catalog'!J19*1000000</f>
        <v>16.2</v>
      </c>
      <c r="L31" s="123"/>
      <c r="M31" s="124"/>
      <c r="N31" t="s">
        <v>130</v>
      </c>
      <c r="O31" s="125" t="str">
        <f t="shared" si="0"/>
        <v/>
      </c>
      <c r="P31" s="125">
        <f>'3. Use Cases Catalog'!K19*1000000</f>
        <v>0</v>
      </c>
      <c r="Q31" s="126"/>
      <c r="R31" s="124"/>
      <c r="S31" s="125" t="str">
        <f t="shared" si="1"/>
        <v/>
      </c>
      <c r="T31" s="125">
        <f>'3. Use Cases Catalog'!L19*1000000</f>
        <v>8.6999999999999993</v>
      </c>
    </row>
    <row r="32" spans="1:20" x14ac:dyDescent="0.2">
      <c r="A32" t="s">
        <v>57</v>
      </c>
      <c r="B32" t="s">
        <v>164</v>
      </c>
      <c r="C32" t="s">
        <v>7439</v>
      </c>
      <c r="D32" s="10" t="s">
        <v>7440</v>
      </c>
      <c r="E32" t="s">
        <v>7441</v>
      </c>
      <c r="F32" s="125">
        <f>'3. Use Cases Catalog'!I20*1000000</f>
        <v>3.2</v>
      </c>
      <c r="G32" s="125">
        <f>'3. Use Cases Catalog'!I20*1000000</f>
        <v>3.2</v>
      </c>
      <c r="H32" s="10" t="s">
        <v>7442</v>
      </c>
      <c r="I32" t="s">
        <v>7443</v>
      </c>
      <c r="J32" s="125">
        <f>'3. Use Cases Catalog'!J20*1000000</f>
        <v>4.5999999999999996</v>
      </c>
      <c r="K32" s="125">
        <f>'3. Use Cases Catalog'!J20*1000000</f>
        <v>4.5999999999999996</v>
      </c>
      <c r="L32" s="123"/>
      <c r="M32" s="124"/>
      <c r="N32" t="s">
        <v>130</v>
      </c>
      <c r="O32" s="125" t="str">
        <f t="shared" si="0"/>
        <v/>
      </c>
      <c r="P32" s="125">
        <f>'3. Use Cases Catalog'!K20*1000000</f>
        <v>0</v>
      </c>
      <c r="Q32" s="126"/>
      <c r="R32" s="124"/>
      <c r="S32" s="125" t="str">
        <f t="shared" si="1"/>
        <v/>
      </c>
      <c r="T32" s="125">
        <f>'3. Use Cases Catalog'!L20*1000000</f>
        <v>0</v>
      </c>
    </row>
    <row r="33" spans="1:20" x14ac:dyDescent="0.2">
      <c r="A33" t="s">
        <v>57</v>
      </c>
      <c r="B33" t="s">
        <v>179</v>
      </c>
      <c r="C33" t="s">
        <v>7444</v>
      </c>
      <c r="D33" s="10" t="s">
        <v>7445</v>
      </c>
      <c r="E33" t="s">
        <v>7446</v>
      </c>
      <c r="F33" s="125">
        <f>'3. Use Cases Catalog'!I21*1000000</f>
        <v>2.1</v>
      </c>
      <c r="G33" s="125">
        <f>'3. Use Cases Catalog'!I21*1000000</f>
        <v>2.1</v>
      </c>
      <c r="H33" s="10"/>
      <c r="I33" t="s">
        <v>129</v>
      </c>
      <c r="J33" s="125">
        <f>'3. Use Cases Catalog'!J21*1000000</f>
        <v>0</v>
      </c>
      <c r="K33" s="125">
        <f>'3. Use Cases Catalog'!J21*1000000</f>
        <v>0</v>
      </c>
      <c r="L33" s="123"/>
      <c r="M33" s="124"/>
      <c r="N33" t="s">
        <v>130</v>
      </c>
      <c r="O33" s="125" t="str">
        <f t="shared" si="0"/>
        <v/>
      </c>
      <c r="P33" s="125">
        <f>'3. Use Cases Catalog'!K21*1000000</f>
        <v>0</v>
      </c>
      <c r="Q33" s="126">
        <v>32</v>
      </c>
      <c r="R33" s="124"/>
      <c r="S33" s="125" t="str">
        <f t="shared" si="1"/>
        <v/>
      </c>
      <c r="T33" s="125">
        <f>'3. Use Cases Catalog'!L21*1000000</f>
        <v>2.4</v>
      </c>
    </row>
    <row r="34" spans="1:20" x14ac:dyDescent="0.2">
      <c r="A34" t="s">
        <v>102</v>
      </c>
      <c r="B34" t="s">
        <v>149</v>
      </c>
      <c r="C34" t="s">
        <v>279</v>
      </c>
      <c r="D34" s="10" t="s">
        <v>7447</v>
      </c>
      <c r="E34" t="s">
        <v>7448</v>
      </c>
      <c r="F34" s="125">
        <f>'3. Use Cases Catalog'!I22*1000000</f>
        <v>0.1</v>
      </c>
      <c r="G34" s="125">
        <f>'3. Use Cases Catalog'!I22*1000000</f>
        <v>0.1</v>
      </c>
      <c r="H34" s="10"/>
      <c r="I34" t="s">
        <v>129</v>
      </c>
      <c r="J34" s="125">
        <f>'3. Use Cases Catalog'!J22*1000000</f>
        <v>0</v>
      </c>
      <c r="K34" s="125">
        <f>'3. Use Cases Catalog'!J22*1000000</f>
        <v>0</v>
      </c>
      <c r="L34" s="123"/>
      <c r="M34" s="124"/>
      <c r="N34" t="s">
        <v>130</v>
      </c>
      <c r="O34" s="125" t="str">
        <f t="shared" si="0"/>
        <v/>
      </c>
      <c r="P34" s="125">
        <f>'3. Use Cases Catalog'!K22*1000000</f>
        <v>0</v>
      </c>
      <c r="Q34" s="126"/>
      <c r="R34" s="124"/>
      <c r="S34" s="125" t="str">
        <f t="shared" si="1"/>
        <v/>
      </c>
      <c r="T34" s="125">
        <f>'3. Use Cases Catalog'!L22*1000000</f>
        <v>0</v>
      </c>
    </row>
    <row r="35" spans="1:20" x14ac:dyDescent="0.2">
      <c r="A35" t="s">
        <v>102</v>
      </c>
      <c r="B35" t="s">
        <v>194</v>
      </c>
      <c r="C35" t="s">
        <v>286</v>
      </c>
      <c r="D35" s="10" t="s">
        <v>7449</v>
      </c>
      <c r="E35" t="s">
        <v>7450</v>
      </c>
      <c r="F35" s="125">
        <f>'3. Use Cases Catalog'!I23*1000000</f>
        <v>0</v>
      </c>
      <c r="G35" s="125">
        <f>'3. Use Cases Catalog'!I23*1000000</f>
        <v>0</v>
      </c>
      <c r="H35" s="10"/>
      <c r="I35" t="s">
        <v>129</v>
      </c>
      <c r="J35" s="125">
        <f>'3. Use Cases Catalog'!J23*1000000</f>
        <v>0</v>
      </c>
      <c r="K35" s="125">
        <f>'3. Use Cases Catalog'!J23*1000000</f>
        <v>0</v>
      </c>
      <c r="L35" s="123"/>
      <c r="M35" s="124">
        <v>1200000</v>
      </c>
      <c r="N35" t="s">
        <v>7451</v>
      </c>
      <c r="O35" s="125" t="str">
        <f t="shared" si="0"/>
        <v/>
      </c>
      <c r="P35" s="125">
        <f>'3. Use Cases Catalog'!K23*1000000</f>
        <v>0.1</v>
      </c>
      <c r="Q35" s="126"/>
      <c r="R35" s="124"/>
      <c r="S35" s="125" t="str">
        <f t="shared" si="1"/>
        <v/>
      </c>
      <c r="T35" s="125">
        <f>'3. Use Cases Catalog'!L23*1000000</f>
        <v>0</v>
      </c>
    </row>
    <row r="36" spans="1:20" x14ac:dyDescent="0.2">
      <c r="A36" t="s">
        <v>102</v>
      </c>
      <c r="B36" t="s">
        <v>141</v>
      </c>
      <c r="C36" t="s">
        <v>293</v>
      </c>
      <c r="D36" s="10"/>
      <c r="E36" t="s">
        <v>1009</v>
      </c>
      <c r="F36" s="125">
        <f>'3. Use Cases Catalog'!I24*1000000</f>
        <v>0</v>
      </c>
      <c r="G36" s="125">
        <f>'3. Use Cases Catalog'!I24*1000000</f>
        <v>0</v>
      </c>
      <c r="H36" s="10" t="s">
        <v>7452</v>
      </c>
      <c r="I36" t="s">
        <v>7453</v>
      </c>
      <c r="J36" s="125">
        <f>'3. Use Cases Catalog'!J24*1000000</f>
        <v>1.8</v>
      </c>
      <c r="K36" s="125">
        <f>'3. Use Cases Catalog'!J24*1000000</f>
        <v>1.8</v>
      </c>
      <c r="L36" s="123"/>
      <c r="M36" s="124"/>
      <c r="N36" t="s">
        <v>130</v>
      </c>
      <c r="O36" s="125" t="str">
        <f t="shared" si="0"/>
        <v/>
      </c>
      <c r="P36" s="125">
        <f>'3. Use Cases Catalog'!K24*1000000</f>
        <v>0</v>
      </c>
      <c r="Q36" s="126"/>
      <c r="R36" s="124"/>
      <c r="S36" s="125" t="str">
        <f t="shared" si="1"/>
        <v/>
      </c>
      <c r="T36" s="125">
        <f>'3. Use Cases Catalog'!L24*1000000</f>
        <v>0</v>
      </c>
    </row>
    <row r="37" spans="1:20" x14ac:dyDescent="0.2">
      <c r="A37" t="s">
        <v>102</v>
      </c>
      <c r="B37" t="s">
        <v>123</v>
      </c>
      <c r="C37" t="s">
        <v>299</v>
      </c>
      <c r="D37" s="10" t="s">
        <v>7454</v>
      </c>
      <c r="E37" t="s">
        <v>7455</v>
      </c>
      <c r="F37" s="125">
        <f>'3. Use Cases Catalog'!I25*1000000</f>
        <v>0.4</v>
      </c>
      <c r="G37" s="125">
        <f>'3. Use Cases Catalog'!I25*1000000</f>
        <v>0.4</v>
      </c>
      <c r="H37" s="10"/>
      <c r="I37" t="s">
        <v>129</v>
      </c>
      <c r="J37" s="125">
        <f>'3. Use Cases Catalog'!J25*1000000</f>
        <v>0</v>
      </c>
      <c r="K37" s="125">
        <f>'3. Use Cases Catalog'!J25*1000000</f>
        <v>0</v>
      </c>
      <c r="L37" s="123"/>
      <c r="M37" s="124"/>
      <c r="N37" t="s">
        <v>130</v>
      </c>
      <c r="O37" s="125" t="str">
        <f t="shared" si="0"/>
        <v/>
      </c>
      <c r="P37" s="125">
        <f>'3. Use Cases Catalog'!K25*1000000</f>
        <v>0</v>
      </c>
      <c r="Q37" s="126"/>
      <c r="R37" s="124"/>
      <c r="S37" s="125" t="str">
        <f t="shared" si="1"/>
        <v/>
      </c>
      <c r="T37" s="125">
        <f>'3. Use Cases Catalog'!L25*1000000</f>
        <v>0</v>
      </c>
    </row>
    <row r="38" spans="1:20" x14ac:dyDescent="0.2">
      <c r="A38" t="s">
        <v>102</v>
      </c>
      <c r="B38" t="s">
        <v>133</v>
      </c>
      <c r="C38" t="s">
        <v>303</v>
      </c>
      <c r="D38" s="10" t="s">
        <v>7456</v>
      </c>
      <c r="E38" t="s">
        <v>7457</v>
      </c>
      <c r="F38" s="125">
        <f>'3. Use Cases Catalog'!I26*1000000</f>
        <v>0.1</v>
      </c>
      <c r="G38" s="125">
        <f>'3. Use Cases Catalog'!I26*1000000</f>
        <v>0.1</v>
      </c>
      <c r="H38" s="10"/>
      <c r="I38" t="s">
        <v>129</v>
      </c>
      <c r="J38" s="125">
        <f>'3. Use Cases Catalog'!J26*1000000</f>
        <v>0</v>
      </c>
      <c r="K38" s="125">
        <f>'3. Use Cases Catalog'!J26*1000000</f>
        <v>0</v>
      </c>
      <c r="L38" s="123"/>
      <c r="M38" s="124"/>
      <c r="N38" t="s">
        <v>130</v>
      </c>
      <c r="O38" s="125" t="str">
        <f t="shared" si="0"/>
        <v/>
      </c>
      <c r="P38" s="125">
        <f>'3. Use Cases Catalog'!K26*1000000</f>
        <v>0</v>
      </c>
      <c r="Q38" s="126">
        <v>6</v>
      </c>
      <c r="R38" s="124"/>
      <c r="S38" s="125" t="str">
        <f t="shared" si="1"/>
        <v/>
      </c>
      <c r="T38" s="125">
        <f>'3. Use Cases Catalog'!L26*1000000</f>
        <v>0.2</v>
      </c>
    </row>
    <row r="39" spans="1:20" x14ac:dyDescent="0.2">
      <c r="A39" t="s">
        <v>102</v>
      </c>
      <c r="B39" t="s">
        <v>156</v>
      </c>
      <c r="C39" t="s">
        <v>308</v>
      </c>
      <c r="D39" s="10" t="s">
        <v>7458</v>
      </c>
      <c r="E39" t="s">
        <v>7459</v>
      </c>
      <c r="F39" s="125">
        <f>'3. Use Cases Catalog'!I27*1000000</f>
        <v>0</v>
      </c>
      <c r="G39" s="125">
        <f>'3. Use Cases Catalog'!I27*1000000</f>
        <v>0</v>
      </c>
      <c r="H39" s="10"/>
      <c r="I39" t="s">
        <v>129</v>
      </c>
      <c r="J39" s="125">
        <f>'3. Use Cases Catalog'!J27*1000000</f>
        <v>0</v>
      </c>
      <c r="K39" s="125">
        <f>'3. Use Cases Catalog'!J27*1000000</f>
        <v>0</v>
      </c>
      <c r="L39" s="123"/>
      <c r="M39" s="124"/>
      <c r="N39" t="s">
        <v>130</v>
      </c>
      <c r="O39" s="125" t="str">
        <f t="shared" si="0"/>
        <v/>
      </c>
      <c r="P39" s="125">
        <f>'3. Use Cases Catalog'!K27*1000000</f>
        <v>0</v>
      </c>
      <c r="Q39" s="126"/>
      <c r="R39" s="124"/>
      <c r="S39" s="125" t="str">
        <f t="shared" si="1"/>
        <v/>
      </c>
      <c r="T39" s="125">
        <f>'3. Use Cases Catalog'!L27*1000000</f>
        <v>0</v>
      </c>
    </row>
    <row r="40" spans="1:20" x14ac:dyDescent="0.2">
      <c r="A40" t="s">
        <v>102</v>
      </c>
      <c r="B40" t="s">
        <v>164</v>
      </c>
      <c r="C40" t="s">
        <v>314</v>
      </c>
      <c r="D40" s="10"/>
      <c r="E40" t="s">
        <v>1009</v>
      </c>
      <c r="F40" s="125">
        <f>'3. Use Cases Catalog'!I28*1000000</f>
        <v>0</v>
      </c>
      <c r="G40" s="125">
        <f>'3. Use Cases Catalog'!I28*1000000</f>
        <v>0</v>
      </c>
      <c r="H40" s="10" t="s">
        <v>7460</v>
      </c>
      <c r="I40" t="s">
        <v>7461</v>
      </c>
      <c r="J40" s="125">
        <f>'3. Use Cases Catalog'!J28*1000000</f>
        <v>0.4</v>
      </c>
      <c r="K40" s="125">
        <f>'3. Use Cases Catalog'!J28*1000000</f>
        <v>0.4</v>
      </c>
      <c r="L40" s="123"/>
      <c r="M40" s="124">
        <v>100000</v>
      </c>
      <c r="N40" t="s">
        <v>7462</v>
      </c>
      <c r="O40" s="125" t="str">
        <f t="shared" si="0"/>
        <v/>
      </c>
      <c r="P40" s="125">
        <f>'3. Use Cases Catalog'!K28*1000000</f>
        <v>0.1</v>
      </c>
      <c r="Q40" s="126"/>
      <c r="R40" s="124"/>
      <c r="S40" s="125" t="str">
        <f t="shared" si="1"/>
        <v/>
      </c>
      <c r="T40" s="125">
        <f>'3. Use Cases Catalog'!L28*1000000</f>
        <v>0</v>
      </c>
    </row>
    <row r="41" spans="1:20" x14ac:dyDescent="0.2">
      <c r="A41" t="s">
        <v>102</v>
      </c>
      <c r="B41" t="s">
        <v>172</v>
      </c>
      <c r="C41" t="s">
        <v>322</v>
      </c>
      <c r="D41" s="10"/>
      <c r="E41" t="s">
        <v>1009</v>
      </c>
      <c r="F41" s="125">
        <f>'3. Use Cases Catalog'!I29*1000000</f>
        <v>0</v>
      </c>
      <c r="G41" s="125">
        <f>'3. Use Cases Catalog'!I29*1000000</f>
        <v>0</v>
      </c>
      <c r="H41" s="10" t="s">
        <v>7463</v>
      </c>
      <c r="I41" t="s">
        <v>7464</v>
      </c>
      <c r="J41" s="125">
        <f>'3. Use Cases Catalog'!J29*1000000</f>
        <v>0.2</v>
      </c>
      <c r="K41" s="125">
        <f>'3. Use Cases Catalog'!J29*1000000</f>
        <v>0.2</v>
      </c>
      <c r="L41" s="123"/>
      <c r="M41" s="124"/>
      <c r="N41" t="s">
        <v>130</v>
      </c>
      <c r="O41" s="125" t="str">
        <f t="shared" si="0"/>
        <v/>
      </c>
      <c r="P41" s="125">
        <f>'3. Use Cases Catalog'!K29*1000000</f>
        <v>0</v>
      </c>
      <c r="Q41" s="126"/>
      <c r="R41" s="124"/>
      <c r="S41" s="125" t="str">
        <f t="shared" si="1"/>
        <v/>
      </c>
      <c r="T41" s="125">
        <f>'3. Use Cases Catalog'!L29*1000000</f>
        <v>0</v>
      </c>
    </row>
    <row r="42" spans="1:20" x14ac:dyDescent="0.2">
      <c r="A42" t="s">
        <v>102</v>
      </c>
      <c r="B42" t="s">
        <v>179</v>
      </c>
      <c r="C42" t="s">
        <v>327</v>
      </c>
      <c r="D42" s="10"/>
      <c r="E42" t="s">
        <v>1009</v>
      </c>
      <c r="F42" s="125">
        <f>'3. Use Cases Catalog'!I30*1000000</f>
        <v>0</v>
      </c>
      <c r="G42" s="125">
        <f>'3. Use Cases Catalog'!I30*1000000</f>
        <v>0</v>
      </c>
      <c r="H42" s="10" t="s">
        <v>7465</v>
      </c>
      <c r="I42" t="s">
        <v>7466</v>
      </c>
      <c r="J42" s="125">
        <f>'3. Use Cases Catalog'!J30*1000000</f>
        <v>0.3</v>
      </c>
      <c r="K42" s="125">
        <f>'3. Use Cases Catalog'!J30*1000000</f>
        <v>0.3</v>
      </c>
      <c r="L42" s="123"/>
      <c r="M42" s="124"/>
      <c r="N42" t="s">
        <v>130</v>
      </c>
      <c r="O42" s="125" t="str">
        <f t="shared" si="0"/>
        <v/>
      </c>
      <c r="P42" s="125">
        <f>'3. Use Cases Catalog'!K30*1000000</f>
        <v>0</v>
      </c>
      <c r="Q42" s="126"/>
      <c r="R42" s="124"/>
      <c r="S42" s="125" t="str">
        <f t="shared" si="1"/>
        <v/>
      </c>
      <c r="T42" s="125">
        <f>'3. Use Cases Catalog'!L30*1000000</f>
        <v>0</v>
      </c>
    </row>
    <row r="43" spans="1:20" x14ac:dyDescent="0.2">
      <c r="A43" t="s">
        <v>102</v>
      </c>
      <c r="B43" t="s">
        <v>186</v>
      </c>
      <c r="C43" t="s">
        <v>333</v>
      </c>
      <c r="D43" s="10"/>
      <c r="E43" t="s">
        <v>1009</v>
      </c>
      <c r="F43" s="125">
        <f>'3. Use Cases Catalog'!I31*1000000</f>
        <v>0</v>
      </c>
      <c r="G43" s="125">
        <f>'3. Use Cases Catalog'!I31*1000000</f>
        <v>0</v>
      </c>
      <c r="H43" s="10" t="s">
        <v>7467</v>
      </c>
      <c r="I43" t="s">
        <v>7468</v>
      </c>
      <c r="J43" s="125">
        <f>'3. Use Cases Catalog'!J31*1000000</f>
        <v>0.4</v>
      </c>
      <c r="K43" s="125">
        <f>'3. Use Cases Catalog'!J31*1000000</f>
        <v>0.4</v>
      </c>
      <c r="L43" s="123"/>
      <c r="M43" s="124"/>
      <c r="N43" t="s">
        <v>130</v>
      </c>
      <c r="O43" s="125" t="str">
        <f t="shared" si="0"/>
        <v/>
      </c>
      <c r="P43" s="125">
        <f>'3. Use Cases Catalog'!K31*1000000</f>
        <v>0</v>
      </c>
      <c r="Q43" s="126"/>
      <c r="R43" s="124"/>
      <c r="S43" s="125" t="str">
        <f t="shared" si="1"/>
        <v/>
      </c>
      <c r="T43" s="125">
        <f>'3. Use Cases Catalog'!L31*1000000</f>
        <v>0</v>
      </c>
    </row>
    <row r="44" spans="1:20" x14ac:dyDescent="0.2">
      <c r="A44" t="s">
        <v>103</v>
      </c>
      <c r="B44" t="s">
        <v>141</v>
      </c>
      <c r="C44" t="s">
        <v>7469</v>
      </c>
      <c r="D44" s="10"/>
      <c r="E44" t="s">
        <v>1009</v>
      </c>
      <c r="F44" s="125">
        <f>'3. Use Cases Catalog'!I32*1000000</f>
        <v>9</v>
      </c>
      <c r="G44" s="125">
        <f>'3. Use Cases Catalog'!I32*1000000</f>
        <v>9</v>
      </c>
      <c r="H44" s="10" t="s">
        <v>7470</v>
      </c>
      <c r="I44" t="s">
        <v>7471</v>
      </c>
      <c r="J44" s="125">
        <f>'3. Use Cases Catalog'!J32*1000000</f>
        <v>1.8</v>
      </c>
      <c r="K44" s="125">
        <f>'3. Use Cases Catalog'!J32*1000000</f>
        <v>1.8</v>
      </c>
      <c r="L44" s="123">
        <v>0.3</v>
      </c>
      <c r="M44" s="124">
        <v>6400000</v>
      </c>
      <c r="N44" t="s">
        <v>7472</v>
      </c>
      <c r="O44" s="125">
        <f t="shared" si="0"/>
        <v>1224000</v>
      </c>
      <c r="P44" s="125">
        <f>'3. Use Cases Catalog'!K32*1000000</f>
        <v>2.1</v>
      </c>
      <c r="Q44" s="126">
        <v>5</v>
      </c>
      <c r="R44" s="124">
        <v>350</v>
      </c>
      <c r="S44" s="125">
        <f t="shared" si="1"/>
        <v>1413.125</v>
      </c>
      <c r="T44" s="125">
        <f>'3. Use Cases Catalog'!L32*1000000</f>
        <v>3.2</v>
      </c>
    </row>
    <row r="45" spans="1:20" x14ac:dyDescent="0.2">
      <c r="A45" t="s">
        <v>103</v>
      </c>
      <c r="B45" t="s">
        <v>123</v>
      </c>
      <c r="C45" t="s">
        <v>344</v>
      </c>
      <c r="D45" s="10"/>
      <c r="E45" t="s">
        <v>1009</v>
      </c>
      <c r="F45" s="125">
        <f>'3. Use Cases Catalog'!I33*1000000</f>
        <v>12.6</v>
      </c>
      <c r="G45" s="125">
        <f>'3. Use Cases Catalog'!I33*1000000</f>
        <v>12.6</v>
      </c>
      <c r="H45" s="10" t="s">
        <v>7473</v>
      </c>
      <c r="I45" t="s">
        <v>7474</v>
      </c>
      <c r="J45" s="125">
        <f>'3. Use Cases Catalog'!J33*1000000</f>
        <v>4.5</v>
      </c>
      <c r="K45" s="125">
        <f>'3. Use Cases Catalog'!J33*1000000</f>
        <v>4.5</v>
      </c>
      <c r="L45" s="123">
        <v>0.25</v>
      </c>
      <c r="M45" s="124">
        <v>7200000</v>
      </c>
      <c r="N45" t="s">
        <v>7475</v>
      </c>
      <c r="O45" s="125">
        <f t="shared" si="0"/>
        <v>1147500</v>
      </c>
      <c r="P45" s="125">
        <f>'3. Use Cases Catalog'!K33*1000000</f>
        <v>1.4</v>
      </c>
      <c r="Q45" s="126"/>
      <c r="R45" s="124"/>
      <c r="S45" s="125" t="str">
        <f t="shared" si="1"/>
        <v/>
      </c>
      <c r="T45" s="125">
        <f>'3. Use Cases Catalog'!L33*1000000</f>
        <v>0</v>
      </c>
    </row>
    <row r="46" spans="1:20" x14ac:dyDescent="0.2">
      <c r="A46" t="s">
        <v>103</v>
      </c>
      <c r="B46" t="s">
        <v>133</v>
      </c>
      <c r="C46" t="s">
        <v>349</v>
      </c>
      <c r="D46" s="10"/>
      <c r="E46" t="s">
        <v>1009</v>
      </c>
      <c r="F46" s="125">
        <f>'3. Use Cases Catalog'!I34*1000000</f>
        <v>2.7</v>
      </c>
      <c r="G46" s="125">
        <f>'3. Use Cases Catalog'!I34*1000000</f>
        <v>2.7</v>
      </c>
      <c r="H46" s="10" t="s">
        <v>7476</v>
      </c>
      <c r="I46" t="s">
        <v>7477</v>
      </c>
      <c r="J46" s="125">
        <f>'3. Use Cases Catalog'!J34*1000000</f>
        <v>5.7</v>
      </c>
      <c r="K46" s="125">
        <f>'3. Use Cases Catalog'!J34*1000000</f>
        <v>5.7</v>
      </c>
      <c r="L46" s="123">
        <v>0.2</v>
      </c>
      <c r="M46" s="124">
        <v>5200000</v>
      </c>
      <c r="N46" t="s">
        <v>7478</v>
      </c>
      <c r="O46" s="125">
        <f t="shared" si="0"/>
        <v>663000</v>
      </c>
      <c r="P46" s="125">
        <f>'3. Use Cases Catalog'!K34*1000000</f>
        <v>0.9</v>
      </c>
      <c r="Q46" s="126">
        <v>12</v>
      </c>
      <c r="R46" s="124">
        <v>350</v>
      </c>
      <c r="S46" s="125">
        <f t="shared" si="1"/>
        <v>3391.5</v>
      </c>
      <c r="T46" s="125">
        <f>'3. Use Cases Catalog'!L34*1000000</f>
        <v>4.8</v>
      </c>
    </row>
    <row r="47" spans="1:20" x14ac:dyDescent="0.2">
      <c r="A47" t="s">
        <v>103</v>
      </c>
      <c r="B47" t="s">
        <v>172</v>
      </c>
      <c r="C47" t="s">
        <v>354</v>
      </c>
      <c r="D47" s="10"/>
      <c r="E47" t="s">
        <v>1009</v>
      </c>
      <c r="F47" s="125">
        <f>'3. Use Cases Catalog'!I35*1000000</f>
        <v>1.8</v>
      </c>
      <c r="G47" s="125">
        <f>'3. Use Cases Catalog'!I35*1000000</f>
        <v>1.8</v>
      </c>
      <c r="H47" s="10" t="s">
        <v>7479</v>
      </c>
      <c r="I47" t="s">
        <v>7480</v>
      </c>
      <c r="J47" s="125">
        <f>'3. Use Cases Catalog'!J35*1000000</f>
        <v>7.2</v>
      </c>
      <c r="K47" s="125">
        <f>'3. Use Cases Catalog'!J35*1000000</f>
        <v>7.2</v>
      </c>
      <c r="L47" s="123"/>
      <c r="M47" s="124"/>
      <c r="N47" t="s">
        <v>130</v>
      </c>
      <c r="O47" s="125" t="str">
        <f t="shared" si="0"/>
        <v/>
      </c>
      <c r="P47" s="125">
        <f>'3. Use Cases Catalog'!K35*1000000</f>
        <v>0</v>
      </c>
      <c r="Q47" s="126">
        <v>18</v>
      </c>
      <c r="R47" s="124">
        <v>350</v>
      </c>
      <c r="S47" s="125">
        <f t="shared" si="1"/>
        <v>5087.25</v>
      </c>
      <c r="T47" s="125">
        <f>'3. Use Cases Catalog'!L35*1000000</f>
        <v>4.5</v>
      </c>
    </row>
    <row r="48" spans="1:20" x14ac:dyDescent="0.2">
      <c r="A48" t="s">
        <v>103</v>
      </c>
      <c r="B48" t="s">
        <v>194</v>
      </c>
      <c r="C48" t="s">
        <v>7481</v>
      </c>
      <c r="D48" s="10"/>
      <c r="E48" t="s">
        <v>1009</v>
      </c>
      <c r="F48" s="125">
        <f>'3. Use Cases Catalog'!I36*1000000</f>
        <v>0.9</v>
      </c>
      <c r="G48" s="125">
        <f>'3. Use Cases Catalog'!I36*1000000</f>
        <v>0.9</v>
      </c>
      <c r="H48" s="10" t="s">
        <v>7482</v>
      </c>
      <c r="I48" t="s">
        <v>7483</v>
      </c>
      <c r="J48" s="125">
        <f>'3. Use Cases Catalog'!J36*1000000</f>
        <v>2.8</v>
      </c>
      <c r="K48" s="125">
        <f>'3. Use Cases Catalog'!J36*1000000</f>
        <v>2.8</v>
      </c>
      <c r="L48" s="123">
        <v>0.4</v>
      </c>
      <c r="M48" s="124">
        <v>1800000</v>
      </c>
      <c r="N48" t="s">
        <v>7484</v>
      </c>
      <c r="O48" s="125">
        <f t="shared" si="0"/>
        <v>459000</v>
      </c>
      <c r="P48" s="125">
        <f>'3. Use Cases Catalog'!K36*1000000</f>
        <v>0.5</v>
      </c>
      <c r="Q48" s="126"/>
      <c r="R48" s="124"/>
      <c r="S48" s="125" t="str">
        <f t="shared" si="1"/>
        <v/>
      </c>
      <c r="T48" s="125">
        <f>'3. Use Cases Catalog'!L36*1000000</f>
        <v>0</v>
      </c>
    </row>
    <row r="49" spans="1:20" x14ac:dyDescent="0.2">
      <c r="A49" t="s">
        <v>103</v>
      </c>
      <c r="B49" t="s">
        <v>149</v>
      </c>
      <c r="C49" t="s">
        <v>368</v>
      </c>
      <c r="D49" s="10"/>
      <c r="E49" t="s">
        <v>1009</v>
      </c>
      <c r="F49" s="125">
        <f>'3. Use Cases Catalog'!I37*1000000</f>
        <v>3.8</v>
      </c>
      <c r="G49" s="125">
        <f>'3. Use Cases Catalog'!I37*1000000</f>
        <v>3.8</v>
      </c>
      <c r="H49" s="10" t="s">
        <v>7485</v>
      </c>
      <c r="I49" t="s">
        <v>7486</v>
      </c>
      <c r="J49" s="125">
        <f>'3. Use Cases Catalog'!J37*1000000</f>
        <v>2.8</v>
      </c>
      <c r="K49" s="125">
        <f>'3. Use Cases Catalog'!J37*1000000</f>
        <v>2.8</v>
      </c>
      <c r="L49" s="123">
        <v>0.35</v>
      </c>
      <c r="M49" s="124">
        <v>9000000</v>
      </c>
      <c r="N49" t="s">
        <v>7487</v>
      </c>
      <c r="O49" s="125">
        <f t="shared" si="0"/>
        <v>2008125</v>
      </c>
      <c r="P49" s="125">
        <f>'3. Use Cases Catalog'!K37*1000000</f>
        <v>2</v>
      </c>
      <c r="Q49" s="126"/>
      <c r="R49" s="124"/>
      <c r="S49" s="125" t="str">
        <f t="shared" si="1"/>
        <v/>
      </c>
      <c r="T49" s="125">
        <f>'3. Use Cases Catalog'!L37*1000000</f>
        <v>0</v>
      </c>
    </row>
    <row r="50" spans="1:20" x14ac:dyDescent="0.2">
      <c r="A50" t="s">
        <v>103</v>
      </c>
      <c r="B50" t="s">
        <v>156</v>
      </c>
      <c r="C50" t="s">
        <v>373</v>
      </c>
      <c r="D50" s="10"/>
      <c r="E50" t="s">
        <v>1009</v>
      </c>
      <c r="F50" s="125">
        <f>'3. Use Cases Catalog'!I38*1000000</f>
        <v>3.6</v>
      </c>
      <c r="G50" s="125">
        <f>'3. Use Cases Catalog'!I38*1000000</f>
        <v>3.6</v>
      </c>
      <c r="H50" s="10" t="s">
        <v>7488</v>
      </c>
      <c r="I50" t="s">
        <v>7489</v>
      </c>
      <c r="J50" s="125">
        <f>'3. Use Cases Catalog'!J38*1000000</f>
        <v>1.8</v>
      </c>
      <c r="K50" s="125">
        <f>'3. Use Cases Catalog'!J38*1000000</f>
        <v>1.8</v>
      </c>
      <c r="L50" s="123"/>
      <c r="M50" s="124"/>
      <c r="N50" t="s">
        <v>130</v>
      </c>
      <c r="O50" s="125" t="str">
        <f t="shared" si="0"/>
        <v/>
      </c>
      <c r="P50" s="125">
        <f>'3. Use Cases Catalog'!K38*1000000</f>
        <v>0</v>
      </c>
      <c r="Q50" s="126">
        <v>30</v>
      </c>
      <c r="R50" s="124">
        <v>350</v>
      </c>
      <c r="S50" s="125">
        <f t="shared" si="1"/>
        <v>8478.75</v>
      </c>
      <c r="T50" s="125">
        <f>'3. Use Cases Catalog'!L38*1000000</f>
        <v>6.4</v>
      </c>
    </row>
    <row r="51" spans="1:20" x14ac:dyDescent="0.2">
      <c r="A51" t="s">
        <v>103</v>
      </c>
      <c r="B51" t="s">
        <v>164</v>
      </c>
      <c r="C51" t="s">
        <v>378</v>
      </c>
      <c r="D51" s="10"/>
      <c r="E51" t="s">
        <v>1009</v>
      </c>
      <c r="F51" s="125">
        <f>'3. Use Cases Catalog'!I39*1000000</f>
        <v>3.2</v>
      </c>
      <c r="G51" s="125">
        <f>'3. Use Cases Catalog'!I39*1000000</f>
        <v>3.2</v>
      </c>
      <c r="H51" s="10" t="s">
        <v>7490</v>
      </c>
      <c r="I51" t="s">
        <v>7491</v>
      </c>
      <c r="J51" s="125">
        <f>'3. Use Cases Catalog'!J39*1000000</f>
        <v>6.8</v>
      </c>
      <c r="K51" s="125">
        <f>'3. Use Cases Catalog'!J39*1000000</f>
        <v>6.8</v>
      </c>
      <c r="L51" s="123"/>
      <c r="M51" s="124"/>
      <c r="N51" t="s">
        <v>130</v>
      </c>
      <c r="O51" s="125" t="str">
        <f t="shared" si="0"/>
        <v/>
      </c>
      <c r="P51" s="125">
        <f>'3. Use Cases Catalog'!K39*1000000</f>
        <v>0</v>
      </c>
      <c r="Q51" s="126">
        <v>45</v>
      </c>
      <c r="R51" s="124">
        <v>350</v>
      </c>
      <c r="S51" s="125">
        <f t="shared" si="1"/>
        <v>12718.125</v>
      </c>
      <c r="T51" s="125">
        <f>'3. Use Cases Catalog'!L39*1000000</f>
        <v>8.1999999999999993</v>
      </c>
    </row>
    <row r="52" spans="1:20" x14ac:dyDescent="0.2">
      <c r="A52" t="s">
        <v>103</v>
      </c>
      <c r="B52" t="s">
        <v>179</v>
      </c>
      <c r="C52" t="s">
        <v>383</v>
      </c>
      <c r="D52" s="10"/>
      <c r="E52" t="s">
        <v>1009</v>
      </c>
      <c r="F52" s="125">
        <f>'3. Use Cases Catalog'!I40*1000000</f>
        <v>1.4</v>
      </c>
      <c r="G52" s="125">
        <f>'3. Use Cases Catalog'!I40*1000000</f>
        <v>1.4</v>
      </c>
      <c r="H52" s="10" t="s">
        <v>7492</v>
      </c>
      <c r="I52" t="s">
        <v>7493</v>
      </c>
      <c r="J52" s="125">
        <f>'3. Use Cases Catalog'!J40*1000000</f>
        <v>2.5</v>
      </c>
      <c r="K52" s="125">
        <f>'3. Use Cases Catalog'!J40*1000000</f>
        <v>2.5</v>
      </c>
      <c r="L52" s="123"/>
      <c r="M52" s="124"/>
      <c r="N52" t="s">
        <v>130</v>
      </c>
      <c r="O52" s="125" t="str">
        <f t="shared" si="0"/>
        <v/>
      </c>
      <c r="P52" s="125">
        <f>'3. Use Cases Catalog'!K40*1000000</f>
        <v>0</v>
      </c>
      <c r="Q52" s="126"/>
      <c r="R52" s="124"/>
      <c r="S52" s="125" t="str">
        <f t="shared" si="1"/>
        <v/>
      </c>
      <c r="T52" s="125">
        <f>'3. Use Cases Catalog'!L40*1000000</f>
        <v>0</v>
      </c>
    </row>
    <row r="53" spans="1:20" x14ac:dyDescent="0.2">
      <c r="A53" t="s">
        <v>103</v>
      </c>
      <c r="B53" t="s">
        <v>186</v>
      </c>
      <c r="C53" t="s">
        <v>388</v>
      </c>
      <c r="D53" s="10"/>
      <c r="E53" t="s">
        <v>1009</v>
      </c>
      <c r="F53" s="125">
        <f>'3. Use Cases Catalog'!I41*1000000</f>
        <v>1.9</v>
      </c>
      <c r="G53" s="125">
        <f>'3. Use Cases Catalog'!I41*1000000</f>
        <v>1.9</v>
      </c>
      <c r="H53" s="10" t="s">
        <v>7494</v>
      </c>
      <c r="I53" t="s">
        <v>7495</v>
      </c>
      <c r="J53" s="125">
        <f>'3. Use Cases Catalog'!J41*1000000</f>
        <v>1.8</v>
      </c>
      <c r="K53" s="125">
        <f>'3. Use Cases Catalog'!J41*1000000</f>
        <v>1.8</v>
      </c>
      <c r="L53" s="123">
        <v>0.3</v>
      </c>
      <c r="M53" s="124">
        <v>3200000</v>
      </c>
      <c r="N53" t="s">
        <v>7496</v>
      </c>
      <c r="O53" s="125">
        <f t="shared" si="0"/>
        <v>612000</v>
      </c>
      <c r="P53" s="125">
        <f>'3. Use Cases Catalog'!K41*1000000</f>
        <v>0.8</v>
      </c>
      <c r="Q53" s="126"/>
      <c r="R53" s="124"/>
      <c r="S53" s="125" t="str">
        <f t="shared" si="1"/>
        <v/>
      </c>
      <c r="T53" s="125">
        <f>'3. Use Cases Catalog'!L41*1000000</f>
        <v>0</v>
      </c>
    </row>
    <row r="54" spans="1:20" x14ac:dyDescent="0.2">
      <c r="A54" t="s">
        <v>53</v>
      </c>
      <c r="B54" t="s">
        <v>141</v>
      </c>
      <c r="C54" t="s">
        <v>393</v>
      </c>
      <c r="D54" s="10" t="s">
        <v>7497</v>
      </c>
      <c r="E54" t="s">
        <v>7498</v>
      </c>
      <c r="F54" s="125">
        <f>'3. Use Cases Catalog'!I42*1000000</f>
        <v>30.599999999999998</v>
      </c>
      <c r="G54" s="125">
        <f>'3. Use Cases Catalog'!I42*1000000</f>
        <v>30.599999999999998</v>
      </c>
      <c r="H54" s="10"/>
      <c r="I54" t="s">
        <v>129</v>
      </c>
      <c r="J54" s="125">
        <f>'3. Use Cases Catalog'!J42*1000000</f>
        <v>0</v>
      </c>
      <c r="K54" s="125">
        <f>'3. Use Cases Catalog'!J42*1000000</f>
        <v>0</v>
      </c>
      <c r="L54" s="123">
        <v>0.15</v>
      </c>
      <c r="M54" s="124">
        <v>12000000</v>
      </c>
      <c r="N54" t="s">
        <v>7496</v>
      </c>
      <c r="O54" s="125">
        <f t="shared" si="0"/>
        <v>1147500</v>
      </c>
      <c r="P54" s="125">
        <f>'3. Use Cases Catalog'!K42*1000000</f>
        <v>1.4</v>
      </c>
      <c r="Q54" s="126"/>
      <c r="R54" s="124"/>
      <c r="S54" s="125" t="str">
        <f t="shared" si="1"/>
        <v/>
      </c>
      <c r="T54" s="125">
        <f>'3. Use Cases Catalog'!L42*1000000</f>
        <v>0</v>
      </c>
    </row>
    <row r="55" spans="1:20" x14ac:dyDescent="0.2">
      <c r="A55" t="s">
        <v>53</v>
      </c>
      <c r="B55" t="s">
        <v>156</v>
      </c>
      <c r="C55" t="s">
        <v>399</v>
      </c>
      <c r="D55" s="10" t="s">
        <v>7499</v>
      </c>
      <c r="E55" t="s">
        <v>7500</v>
      </c>
      <c r="F55" s="125">
        <f>'3. Use Cases Catalog'!I43*1000000</f>
        <v>2.7</v>
      </c>
      <c r="G55" s="125">
        <f>'3. Use Cases Catalog'!I43*1000000</f>
        <v>2.7</v>
      </c>
      <c r="H55" s="10" t="s">
        <v>7501</v>
      </c>
      <c r="I55" t="s">
        <v>7502</v>
      </c>
      <c r="J55" s="125">
        <f>'3. Use Cases Catalog'!J43*1000000</f>
        <v>8.1</v>
      </c>
      <c r="K55" s="125">
        <f>'3. Use Cases Catalog'!J43*1000000</f>
        <v>8.1</v>
      </c>
      <c r="L55" s="123">
        <v>0.1</v>
      </c>
      <c r="M55" s="124">
        <v>15000000</v>
      </c>
      <c r="N55" t="s">
        <v>7503</v>
      </c>
      <c r="O55" s="125">
        <f t="shared" si="0"/>
        <v>956250</v>
      </c>
      <c r="P55" s="125">
        <f>'3. Use Cases Catalog'!K43*1000000</f>
        <v>0.9</v>
      </c>
      <c r="Q55" s="126"/>
      <c r="R55" s="124"/>
      <c r="S55" s="125" t="str">
        <f t="shared" si="1"/>
        <v/>
      </c>
      <c r="T55" s="125">
        <f>'3. Use Cases Catalog'!L43*1000000</f>
        <v>0</v>
      </c>
    </row>
    <row r="56" spans="1:20" x14ac:dyDescent="0.2">
      <c r="A56" t="s">
        <v>53</v>
      </c>
      <c r="B56" t="s">
        <v>123</v>
      </c>
      <c r="C56" t="s">
        <v>406</v>
      </c>
      <c r="D56" s="10" t="s">
        <v>7504</v>
      </c>
      <c r="E56" t="s">
        <v>7505</v>
      </c>
      <c r="F56" s="125">
        <f>'3. Use Cases Catalog'!I44*1000000</f>
        <v>9.5</v>
      </c>
      <c r="G56" s="125">
        <f>'3. Use Cases Catalog'!I44*1000000</f>
        <v>9.5</v>
      </c>
      <c r="H56" s="10" t="s">
        <v>7506</v>
      </c>
      <c r="I56" t="s">
        <v>7507</v>
      </c>
      <c r="J56" s="125">
        <f>'3. Use Cases Catalog'!J44*1000000</f>
        <v>15.2</v>
      </c>
      <c r="K56" s="125">
        <f>'3. Use Cases Catalog'!J44*1000000</f>
        <v>15.2</v>
      </c>
      <c r="L56" s="123">
        <v>0.25</v>
      </c>
      <c r="M56" s="124">
        <v>18000000</v>
      </c>
      <c r="N56" t="s">
        <v>7508</v>
      </c>
      <c r="O56" s="125">
        <f t="shared" si="0"/>
        <v>2868750</v>
      </c>
      <c r="P56" s="125">
        <f>'3. Use Cases Catalog'!K44*1000000</f>
        <v>2.7</v>
      </c>
      <c r="Q56" s="126"/>
      <c r="R56" s="124"/>
      <c r="S56" s="125" t="str">
        <f t="shared" si="1"/>
        <v/>
      </c>
      <c r="T56" s="125">
        <f>'3. Use Cases Catalog'!L44*1000000</f>
        <v>0</v>
      </c>
    </row>
    <row r="57" spans="1:20" x14ac:dyDescent="0.2">
      <c r="A57" t="s">
        <v>53</v>
      </c>
      <c r="B57" t="s">
        <v>149</v>
      </c>
      <c r="C57" t="s">
        <v>7509</v>
      </c>
      <c r="D57" s="10" t="s">
        <v>7336</v>
      </c>
      <c r="E57" t="s">
        <v>7510</v>
      </c>
      <c r="F57" s="125">
        <f>'3. Use Cases Catalog'!I45*1000000</f>
        <v>13.7</v>
      </c>
      <c r="G57" s="125">
        <f>'3. Use Cases Catalog'!I45*1000000</f>
        <v>13.7</v>
      </c>
      <c r="H57" s="10" t="s">
        <v>7511</v>
      </c>
      <c r="I57" t="s">
        <v>7512</v>
      </c>
      <c r="J57" s="125">
        <f>'3. Use Cases Catalog'!J45*1000000</f>
        <v>22.8</v>
      </c>
      <c r="K57" s="125">
        <f>'3. Use Cases Catalog'!J45*1000000</f>
        <v>22.8</v>
      </c>
      <c r="L57" s="123"/>
      <c r="M57" s="124"/>
      <c r="N57" t="s">
        <v>130</v>
      </c>
      <c r="O57" s="125" t="str">
        <f t="shared" si="0"/>
        <v/>
      </c>
      <c r="P57" s="125">
        <f>'3. Use Cases Catalog'!K45*1000000</f>
        <v>0</v>
      </c>
      <c r="Q57" s="126"/>
      <c r="R57" s="124"/>
      <c r="S57" s="125" t="str">
        <f t="shared" si="1"/>
        <v/>
      </c>
      <c r="T57" s="125">
        <f>'3. Use Cases Catalog'!L45*1000000</f>
        <v>0</v>
      </c>
    </row>
    <row r="58" spans="1:20" x14ac:dyDescent="0.2">
      <c r="A58" t="s">
        <v>53</v>
      </c>
      <c r="B58" t="s">
        <v>133</v>
      </c>
      <c r="C58" t="s">
        <v>419</v>
      </c>
      <c r="D58" s="10"/>
      <c r="E58" t="s">
        <v>1009</v>
      </c>
      <c r="F58" s="125">
        <f>'3. Use Cases Catalog'!I46*1000000</f>
        <v>0</v>
      </c>
      <c r="G58" s="125">
        <f>'3. Use Cases Catalog'!I46*1000000</f>
        <v>0</v>
      </c>
      <c r="H58" s="10" t="s">
        <v>7513</v>
      </c>
      <c r="I58" t="s">
        <v>7514</v>
      </c>
      <c r="J58" s="125">
        <f>'3. Use Cases Catalog'!J46*1000000</f>
        <v>20.5</v>
      </c>
      <c r="K58" s="125">
        <f>'3. Use Cases Catalog'!J46*1000000</f>
        <v>20.5</v>
      </c>
      <c r="L58" s="123"/>
      <c r="M58" s="124"/>
      <c r="N58" t="s">
        <v>130</v>
      </c>
      <c r="O58" s="125" t="str">
        <f t="shared" si="0"/>
        <v/>
      </c>
      <c r="P58" s="125">
        <f>'3. Use Cases Catalog'!K46*1000000</f>
        <v>0</v>
      </c>
      <c r="Q58" s="126">
        <v>5</v>
      </c>
      <c r="R58" s="124"/>
      <c r="S58" s="125" t="str">
        <f t="shared" si="1"/>
        <v/>
      </c>
      <c r="T58" s="125">
        <f>'3. Use Cases Catalog'!L46*1000000</f>
        <v>4.0999999999999996</v>
      </c>
    </row>
    <row r="59" spans="1:20" x14ac:dyDescent="0.2">
      <c r="A59" t="s">
        <v>53</v>
      </c>
      <c r="B59" t="s">
        <v>164</v>
      </c>
      <c r="C59" t="s">
        <v>7515</v>
      </c>
      <c r="D59" s="10" t="s">
        <v>7516</v>
      </c>
      <c r="E59" t="s">
        <v>7517</v>
      </c>
      <c r="F59" s="125">
        <f>'3. Use Cases Catalog'!I47*1000000</f>
        <v>7.3</v>
      </c>
      <c r="G59" s="125">
        <f>'3. Use Cases Catalog'!I47*1000000</f>
        <v>7.3</v>
      </c>
      <c r="H59" s="10"/>
      <c r="I59" t="s">
        <v>129</v>
      </c>
      <c r="J59" s="125">
        <f>'3. Use Cases Catalog'!J47*1000000</f>
        <v>0</v>
      </c>
      <c r="K59" s="125">
        <f>'3. Use Cases Catalog'!J47*1000000</f>
        <v>0</v>
      </c>
      <c r="L59" s="123">
        <v>0.5</v>
      </c>
      <c r="M59" s="124">
        <v>19000000</v>
      </c>
      <c r="N59" t="s">
        <v>7518</v>
      </c>
      <c r="O59" s="125">
        <f t="shared" si="0"/>
        <v>6056250</v>
      </c>
      <c r="P59" s="125">
        <f>'3. Use Cases Catalog'!K47*1000000</f>
        <v>5.8</v>
      </c>
      <c r="Q59" s="126"/>
      <c r="R59" s="124"/>
      <c r="S59" s="125" t="str">
        <f t="shared" si="1"/>
        <v/>
      </c>
      <c r="T59" s="125">
        <f>'3. Use Cases Catalog'!L47*1000000</f>
        <v>0</v>
      </c>
    </row>
    <row r="60" spans="1:20" x14ac:dyDescent="0.2">
      <c r="A60" t="s">
        <v>53</v>
      </c>
      <c r="B60" t="s">
        <v>172</v>
      </c>
      <c r="C60" t="s">
        <v>430</v>
      </c>
      <c r="D60" s="10" t="s">
        <v>7519</v>
      </c>
      <c r="E60" t="s">
        <v>7520</v>
      </c>
      <c r="F60" s="125">
        <f>'3. Use Cases Catalog'!I48*1000000</f>
        <v>3.4</v>
      </c>
      <c r="G60" s="125">
        <f>'3. Use Cases Catalog'!I48*1000000</f>
        <v>3.4</v>
      </c>
      <c r="H60" s="10" t="s">
        <v>7521</v>
      </c>
      <c r="I60" t="s">
        <v>7522</v>
      </c>
      <c r="J60" s="125">
        <f>'3. Use Cases Catalog'!J48*1000000</f>
        <v>3.2</v>
      </c>
      <c r="K60" s="125">
        <f>'3. Use Cases Catalog'!J48*1000000</f>
        <v>3.2</v>
      </c>
      <c r="L60" s="123"/>
      <c r="M60" s="124"/>
      <c r="N60" t="s">
        <v>130</v>
      </c>
      <c r="O60" s="125" t="str">
        <f t="shared" si="0"/>
        <v/>
      </c>
      <c r="P60" s="125">
        <f>'3. Use Cases Catalog'!K48*1000000</f>
        <v>0</v>
      </c>
      <c r="Q60" s="126">
        <v>8</v>
      </c>
      <c r="R60" s="124">
        <v>95</v>
      </c>
      <c r="S60" s="125">
        <f t="shared" si="1"/>
        <v>613.69999999999993</v>
      </c>
      <c r="T60" s="125">
        <f>'3. Use Cases Catalog'!L48*1000000</f>
        <v>2.9</v>
      </c>
    </row>
    <row r="61" spans="1:20" x14ac:dyDescent="0.2">
      <c r="A61" t="s">
        <v>53</v>
      </c>
      <c r="B61" t="s">
        <v>179</v>
      </c>
      <c r="C61" t="s">
        <v>436</v>
      </c>
      <c r="D61" s="10" t="s">
        <v>7523</v>
      </c>
      <c r="E61" t="s">
        <v>7524</v>
      </c>
      <c r="F61" s="125">
        <f>'3. Use Cases Catalog'!I49*1000000</f>
        <v>1.6</v>
      </c>
      <c r="G61" s="125">
        <f>'3. Use Cases Catalog'!I49*1000000</f>
        <v>1.6</v>
      </c>
      <c r="H61" s="10" t="s">
        <v>7525</v>
      </c>
      <c r="I61" t="s">
        <v>7526</v>
      </c>
      <c r="J61" s="125">
        <f>'3. Use Cases Catalog'!J49*1000000</f>
        <v>27.4</v>
      </c>
      <c r="K61" s="125">
        <f>'3. Use Cases Catalog'!J49*1000000</f>
        <v>27.4</v>
      </c>
      <c r="L61" s="123"/>
      <c r="M61" s="124"/>
      <c r="N61" t="s">
        <v>130</v>
      </c>
      <c r="O61" s="125" t="str">
        <f t="shared" si="0"/>
        <v/>
      </c>
      <c r="P61" s="125">
        <f>'3. Use Cases Catalog'!K49*1000000</f>
        <v>0</v>
      </c>
      <c r="Q61" s="126"/>
      <c r="R61" s="124"/>
      <c r="S61" s="125" t="str">
        <f t="shared" si="1"/>
        <v/>
      </c>
      <c r="T61" s="125">
        <f>'3. Use Cases Catalog'!L49*1000000</f>
        <v>0</v>
      </c>
    </row>
    <row r="62" spans="1:20" x14ac:dyDescent="0.2">
      <c r="A62" t="s">
        <v>53</v>
      </c>
      <c r="B62" t="s">
        <v>186</v>
      </c>
      <c r="C62" t="s">
        <v>443</v>
      </c>
      <c r="D62" s="10" t="s">
        <v>7527</v>
      </c>
      <c r="E62" t="s">
        <v>7528</v>
      </c>
      <c r="F62" s="125">
        <f>'3. Use Cases Catalog'!I50*1000000</f>
        <v>6.1</v>
      </c>
      <c r="G62" s="125">
        <f>'3. Use Cases Catalog'!I50*1000000</f>
        <v>6.1</v>
      </c>
      <c r="H62" s="10" t="s">
        <v>7529</v>
      </c>
      <c r="I62" t="s">
        <v>7530</v>
      </c>
      <c r="J62" s="125">
        <f>'3. Use Cases Catalog'!J50*1000000</f>
        <v>5.8</v>
      </c>
      <c r="K62" s="125">
        <f>'3. Use Cases Catalog'!J50*1000000</f>
        <v>5.8</v>
      </c>
      <c r="L62" s="123">
        <v>0.2</v>
      </c>
      <c r="M62" s="124">
        <v>15000000</v>
      </c>
      <c r="N62" t="s">
        <v>7531</v>
      </c>
      <c r="O62" s="125">
        <f t="shared" si="0"/>
        <v>1912500</v>
      </c>
      <c r="P62" s="125">
        <f>'3. Use Cases Catalog'!K50*1000000</f>
        <v>1.8</v>
      </c>
      <c r="Q62" s="126"/>
      <c r="R62" s="124"/>
      <c r="S62" s="125" t="str">
        <f t="shared" si="1"/>
        <v/>
      </c>
      <c r="T62" s="125">
        <f>'3. Use Cases Catalog'!L50*1000000</f>
        <v>0</v>
      </c>
    </row>
    <row r="63" spans="1:20" x14ac:dyDescent="0.2">
      <c r="A63" t="s">
        <v>53</v>
      </c>
      <c r="B63" t="s">
        <v>194</v>
      </c>
      <c r="C63" t="s">
        <v>450</v>
      </c>
      <c r="D63" s="10" t="s">
        <v>7532</v>
      </c>
      <c r="E63" t="s">
        <v>7533</v>
      </c>
      <c r="F63" s="125">
        <f>'3. Use Cases Catalog'!I51*1000000</f>
        <v>22.9</v>
      </c>
      <c r="G63" s="125">
        <f>'3. Use Cases Catalog'!I51*1000000</f>
        <v>22.9</v>
      </c>
      <c r="H63" s="10"/>
      <c r="I63" t="s">
        <v>129</v>
      </c>
      <c r="J63" s="125">
        <f>'3. Use Cases Catalog'!J51*1000000</f>
        <v>0</v>
      </c>
      <c r="K63" s="125">
        <f>'3. Use Cases Catalog'!J51*1000000</f>
        <v>0</v>
      </c>
      <c r="L63" s="123"/>
      <c r="M63" s="124"/>
      <c r="N63" t="s">
        <v>130</v>
      </c>
      <c r="O63" s="125" t="str">
        <f t="shared" si="0"/>
        <v/>
      </c>
      <c r="P63" s="125">
        <f>'3. Use Cases Catalog'!K51*1000000</f>
        <v>0</v>
      </c>
      <c r="Q63" s="126"/>
      <c r="R63" s="124"/>
      <c r="S63" s="125" t="str">
        <f t="shared" si="1"/>
        <v/>
      </c>
      <c r="T63" s="125">
        <f>'3. Use Cases Catalog'!L51*1000000</f>
        <v>0</v>
      </c>
    </row>
    <row r="64" spans="1:20" x14ac:dyDescent="0.2">
      <c r="A64" t="s">
        <v>92</v>
      </c>
      <c r="B64" t="s">
        <v>141</v>
      </c>
      <c r="C64" t="s">
        <v>455</v>
      </c>
      <c r="D64" s="10" t="s">
        <v>7534</v>
      </c>
      <c r="E64" t="s">
        <v>7535</v>
      </c>
      <c r="F64" s="125">
        <f>'3. Use Cases Catalog'!I52*1000000</f>
        <v>2.7</v>
      </c>
      <c r="G64" s="125">
        <f>'3. Use Cases Catalog'!I52*1000000</f>
        <v>2.7</v>
      </c>
      <c r="H64" s="10" t="s">
        <v>7536</v>
      </c>
      <c r="I64" t="s">
        <v>7537</v>
      </c>
      <c r="J64" s="125">
        <f>'3. Use Cases Catalog'!J52*1000000</f>
        <v>2</v>
      </c>
      <c r="K64" s="125">
        <f>'3. Use Cases Catalog'!J52*1000000</f>
        <v>2</v>
      </c>
      <c r="L64" s="123"/>
      <c r="M64" s="124"/>
      <c r="N64" t="s">
        <v>130</v>
      </c>
      <c r="O64" s="125" t="str">
        <f t="shared" si="0"/>
        <v/>
      </c>
      <c r="P64" s="125">
        <f>'3. Use Cases Catalog'!K52*1000000</f>
        <v>0</v>
      </c>
      <c r="Q64" s="126"/>
      <c r="R64" s="124"/>
      <c r="S64" s="125" t="str">
        <f t="shared" si="1"/>
        <v/>
      </c>
      <c r="T64" s="125">
        <f>'3. Use Cases Catalog'!L52*1000000</f>
        <v>0</v>
      </c>
    </row>
    <row r="65" spans="1:20" x14ac:dyDescent="0.2">
      <c r="A65" t="s">
        <v>92</v>
      </c>
      <c r="B65" t="s">
        <v>156</v>
      </c>
      <c r="C65" t="s">
        <v>463</v>
      </c>
      <c r="D65" s="10" t="s">
        <v>7538</v>
      </c>
      <c r="E65" t="s">
        <v>7539</v>
      </c>
      <c r="F65" s="125">
        <f>'3. Use Cases Catalog'!I53*1000000</f>
        <v>700000</v>
      </c>
      <c r="G65" s="125">
        <f>'3. Use Cases Catalog'!I53*1000000</f>
        <v>700000</v>
      </c>
      <c r="H65" s="10"/>
      <c r="I65" t="s">
        <v>129</v>
      </c>
      <c r="J65" s="125">
        <f>'3. Use Cases Catalog'!J53*1000000</f>
        <v>0</v>
      </c>
      <c r="K65" s="125">
        <f>'3. Use Cases Catalog'!J53*1000000</f>
        <v>0</v>
      </c>
      <c r="L65" s="123">
        <v>0.11</v>
      </c>
      <c r="M65" s="124">
        <v>14000000</v>
      </c>
      <c r="N65" t="s">
        <v>7540</v>
      </c>
      <c r="O65" s="125">
        <f t="shared" si="0"/>
        <v>981750</v>
      </c>
      <c r="P65" s="125">
        <f>'3. Use Cases Catalog'!K53*1000000</f>
        <v>1.4</v>
      </c>
      <c r="Q65" s="126"/>
      <c r="R65" s="124"/>
      <c r="S65" s="125" t="str">
        <f t="shared" si="1"/>
        <v/>
      </c>
      <c r="T65" s="125">
        <f>'3. Use Cases Catalog'!L53*1000000</f>
        <v>0</v>
      </c>
    </row>
    <row r="66" spans="1:20" x14ac:dyDescent="0.2">
      <c r="A66" t="s">
        <v>92</v>
      </c>
      <c r="B66" t="s">
        <v>179</v>
      </c>
      <c r="C66" t="s">
        <v>7541</v>
      </c>
      <c r="D66" s="10" t="s">
        <v>7542</v>
      </c>
      <c r="E66" t="s">
        <v>7543</v>
      </c>
      <c r="F66" s="125">
        <f>'3. Use Cases Catalog'!I54*1000000</f>
        <v>300000</v>
      </c>
      <c r="G66" s="125">
        <f>'3. Use Cases Catalog'!I54*1000000</f>
        <v>300000</v>
      </c>
      <c r="H66" s="10"/>
      <c r="I66" t="s">
        <v>129</v>
      </c>
      <c r="J66" s="125">
        <f>'3. Use Cases Catalog'!J54*1000000</f>
        <v>0</v>
      </c>
      <c r="K66" s="125">
        <f>'3. Use Cases Catalog'!J54*1000000</f>
        <v>0</v>
      </c>
      <c r="L66" s="123">
        <v>0.4</v>
      </c>
      <c r="M66" s="124">
        <v>1000000</v>
      </c>
      <c r="N66" t="s">
        <v>7478</v>
      </c>
      <c r="O66" s="125">
        <f t="shared" si="0"/>
        <v>255000</v>
      </c>
      <c r="P66" s="125">
        <f>'3. Use Cases Catalog'!K54*1000000</f>
        <v>300000</v>
      </c>
      <c r="Q66" s="126">
        <v>3</v>
      </c>
      <c r="R66" s="124"/>
      <c r="S66" s="125" t="str">
        <f t="shared" si="1"/>
        <v/>
      </c>
      <c r="T66" s="125">
        <f>'3. Use Cases Catalog'!L54*1000000</f>
        <v>1.2</v>
      </c>
    </row>
    <row r="67" spans="1:20" x14ac:dyDescent="0.2">
      <c r="A67" t="s">
        <v>92</v>
      </c>
      <c r="B67" t="s">
        <v>186</v>
      </c>
      <c r="C67" t="s">
        <v>475</v>
      </c>
      <c r="D67" s="10" t="s">
        <v>7544</v>
      </c>
      <c r="E67" t="s">
        <v>7545</v>
      </c>
      <c r="F67" s="125">
        <f>'3. Use Cases Catalog'!I55*1000000</f>
        <v>200000</v>
      </c>
      <c r="G67" s="125">
        <f>'3. Use Cases Catalog'!I55*1000000</f>
        <v>200000</v>
      </c>
      <c r="H67" s="10" t="s">
        <v>7546</v>
      </c>
      <c r="I67" t="s">
        <v>7547</v>
      </c>
      <c r="J67" s="125">
        <f>'3. Use Cases Catalog'!J55*1000000</f>
        <v>800000</v>
      </c>
      <c r="K67" s="125">
        <f>'3. Use Cases Catalog'!J55*1000000</f>
        <v>800000</v>
      </c>
      <c r="L67" s="123"/>
      <c r="M67" s="124"/>
      <c r="N67" t="s">
        <v>130</v>
      </c>
      <c r="O67" s="125" t="str">
        <f t="shared" si="0"/>
        <v/>
      </c>
      <c r="P67" s="125">
        <f>'3. Use Cases Catalog'!K55*1000000</f>
        <v>0</v>
      </c>
      <c r="Q67" s="126"/>
      <c r="R67" s="124"/>
      <c r="S67" s="125" t="str">
        <f t="shared" si="1"/>
        <v/>
      </c>
      <c r="T67" s="125">
        <f>'3. Use Cases Catalog'!L55*1000000</f>
        <v>0</v>
      </c>
    </row>
    <row r="68" spans="1:20" x14ac:dyDescent="0.2">
      <c r="A68" t="s">
        <v>92</v>
      </c>
      <c r="B68" t="s">
        <v>194</v>
      </c>
      <c r="C68" t="s">
        <v>480</v>
      </c>
      <c r="D68" s="10"/>
      <c r="E68" t="s">
        <v>1009</v>
      </c>
      <c r="F68" s="125">
        <f>'3. Use Cases Catalog'!I56*1000000</f>
        <v>0</v>
      </c>
      <c r="G68" s="125">
        <f>'3. Use Cases Catalog'!I56*1000000</f>
        <v>0</v>
      </c>
      <c r="H68" s="10" t="s">
        <v>7548</v>
      </c>
      <c r="I68" t="s">
        <v>7549</v>
      </c>
      <c r="J68" s="125">
        <f>'3. Use Cases Catalog'!J56*1000000</f>
        <v>2.1</v>
      </c>
      <c r="K68" s="125">
        <f>'3. Use Cases Catalog'!J56*1000000</f>
        <v>2.1</v>
      </c>
      <c r="L68" s="123">
        <v>2.5000000000000001E-2</v>
      </c>
      <c r="M68" s="124">
        <v>79000000</v>
      </c>
      <c r="N68" t="s">
        <v>7550</v>
      </c>
      <c r="O68" s="125">
        <f t="shared" si="0"/>
        <v>1259062.5</v>
      </c>
      <c r="P68" s="125">
        <f>'3. Use Cases Catalog'!K56*1000000</f>
        <v>1.3</v>
      </c>
      <c r="Q68" s="126"/>
      <c r="R68" s="124"/>
      <c r="S68" s="125" t="str">
        <f t="shared" si="1"/>
        <v/>
      </c>
      <c r="T68" s="125">
        <f>'3. Use Cases Catalog'!L56*1000000</f>
        <v>0</v>
      </c>
    </row>
    <row r="69" spans="1:20" x14ac:dyDescent="0.2">
      <c r="A69" t="s">
        <v>92</v>
      </c>
      <c r="B69" t="s">
        <v>123</v>
      </c>
      <c r="C69" t="s">
        <v>486</v>
      </c>
      <c r="D69" s="10" t="s">
        <v>7551</v>
      </c>
      <c r="E69" t="s">
        <v>7552</v>
      </c>
      <c r="F69" s="125">
        <f>'3. Use Cases Catalog'!I57*1000000</f>
        <v>5.4</v>
      </c>
      <c r="G69" s="125">
        <f>'3. Use Cases Catalog'!I57*1000000</f>
        <v>5.4</v>
      </c>
      <c r="H69" s="10"/>
      <c r="I69" t="s">
        <v>129</v>
      </c>
      <c r="J69" s="125">
        <f>'3. Use Cases Catalog'!J57*1000000</f>
        <v>0</v>
      </c>
      <c r="K69" s="125">
        <f>'3. Use Cases Catalog'!J57*1000000</f>
        <v>0</v>
      </c>
      <c r="L69" s="123">
        <v>2.5000000000000001E-2</v>
      </c>
      <c r="M69" s="124">
        <v>127000000</v>
      </c>
      <c r="N69" t="s">
        <v>7553</v>
      </c>
      <c r="O69" s="125">
        <f t="shared" si="0"/>
        <v>2024062.5</v>
      </c>
      <c r="P69" s="125">
        <f>'3. Use Cases Catalog'!K57*1000000</f>
        <v>1.1000000000000001</v>
      </c>
      <c r="Q69" s="126"/>
      <c r="R69" s="124"/>
      <c r="S69" s="125" t="str">
        <f t="shared" si="1"/>
        <v/>
      </c>
      <c r="T69" s="125">
        <f>'3. Use Cases Catalog'!L57*1000000</f>
        <v>0</v>
      </c>
    </row>
    <row r="70" spans="1:20" x14ac:dyDescent="0.2">
      <c r="A70" t="s">
        <v>92</v>
      </c>
      <c r="B70" t="s">
        <v>149</v>
      </c>
      <c r="C70" t="s">
        <v>493</v>
      </c>
      <c r="D70" s="10" t="s">
        <v>7554</v>
      </c>
      <c r="E70" t="s">
        <v>7555</v>
      </c>
      <c r="F70" s="125">
        <f>'3. Use Cases Catalog'!I58*1000000</f>
        <v>600000</v>
      </c>
      <c r="G70" s="125">
        <f>'3. Use Cases Catalog'!I58*1000000</f>
        <v>600000</v>
      </c>
      <c r="H70" s="10" t="s">
        <v>7556</v>
      </c>
      <c r="I70" t="s">
        <v>7557</v>
      </c>
      <c r="J70" s="125">
        <f>'3. Use Cases Catalog'!J58*1000000</f>
        <v>3.8</v>
      </c>
      <c r="K70" s="125">
        <f>'3. Use Cases Catalog'!J58*1000000</f>
        <v>3.8</v>
      </c>
      <c r="L70" s="123"/>
      <c r="M70" s="124"/>
      <c r="N70" t="s">
        <v>130</v>
      </c>
      <c r="O70" s="125" t="str">
        <f t="shared" si="0"/>
        <v/>
      </c>
      <c r="P70" s="125">
        <f>'3. Use Cases Catalog'!K58*1000000</f>
        <v>0</v>
      </c>
      <c r="Q70" s="126"/>
      <c r="R70" s="124"/>
      <c r="S70" s="125" t="str">
        <f t="shared" si="1"/>
        <v/>
      </c>
      <c r="T70" s="125">
        <f>'3. Use Cases Catalog'!L58*1000000</f>
        <v>0</v>
      </c>
    </row>
    <row r="71" spans="1:20" x14ac:dyDescent="0.2">
      <c r="A71" t="s">
        <v>92</v>
      </c>
      <c r="B71" t="s">
        <v>133</v>
      </c>
      <c r="C71" t="s">
        <v>499</v>
      </c>
      <c r="D71" s="10"/>
      <c r="E71" t="s">
        <v>1009</v>
      </c>
      <c r="F71" s="125">
        <f>'3. Use Cases Catalog'!I59*1000000</f>
        <v>0</v>
      </c>
      <c r="G71" s="125">
        <f>'3. Use Cases Catalog'!I59*1000000</f>
        <v>0</v>
      </c>
      <c r="H71" s="10" t="s">
        <v>7558</v>
      </c>
      <c r="I71" t="s">
        <v>7559</v>
      </c>
      <c r="J71" s="125">
        <f>'3. Use Cases Catalog'!J59*1000000</f>
        <v>6.8</v>
      </c>
      <c r="K71" s="125">
        <f>'3. Use Cases Catalog'!J59*1000000</f>
        <v>6.8</v>
      </c>
      <c r="L71" s="123"/>
      <c r="M71" s="124"/>
      <c r="N71" t="s">
        <v>130</v>
      </c>
      <c r="O71" s="125" t="str">
        <f t="shared" si="0"/>
        <v/>
      </c>
      <c r="P71" s="125">
        <f>'3. Use Cases Catalog'!K59*1000000</f>
        <v>0</v>
      </c>
      <c r="Q71" s="126"/>
      <c r="R71" s="124"/>
      <c r="S71" s="125" t="str">
        <f t="shared" si="1"/>
        <v/>
      </c>
      <c r="T71" s="125">
        <f>'3. Use Cases Catalog'!L59*1000000</f>
        <v>0</v>
      </c>
    </row>
    <row r="72" spans="1:20" x14ac:dyDescent="0.2">
      <c r="A72" t="s">
        <v>92</v>
      </c>
      <c r="B72" t="s">
        <v>164</v>
      </c>
      <c r="C72" t="s">
        <v>503</v>
      </c>
      <c r="D72" s="10" t="s">
        <v>7560</v>
      </c>
      <c r="E72" t="s">
        <v>7561</v>
      </c>
      <c r="F72" s="125">
        <f>'3. Use Cases Catalog'!I60*1000000</f>
        <v>1.8</v>
      </c>
      <c r="G72" s="125">
        <f>'3. Use Cases Catalog'!I60*1000000</f>
        <v>1.8</v>
      </c>
      <c r="H72" s="10"/>
      <c r="I72" t="s">
        <v>129</v>
      </c>
      <c r="J72" s="125">
        <f>'3. Use Cases Catalog'!J60*1000000</f>
        <v>0</v>
      </c>
      <c r="K72" s="125">
        <f>'3. Use Cases Catalog'!J60*1000000</f>
        <v>0</v>
      </c>
      <c r="L72" s="123">
        <v>0.25</v>
      </c>
      <c r="M72" s="124">
        <v>4000000</v>
      </c>
      <c r="N72" t="s">
        <v>7562</v>
      </c>
      <c r="O72" s="125">
        <f t="shared" si="0"/>
        <v>637500</v>
      </c>
      <c r="P72" s="125">
        <f>'3. Use Cases Catalog'!K60*1000000</f>
        <v>600000</v>
      </c>
      <c r="Q72" s="126"/>
      <c r="R72" s="124"/>
      <c r="S72" s="125" t="str">
        <f t="shared" si="1"/>
        <v/>
      </c>
      <c r="T72" s="125">
        <f>'3. Use Cases Catalog'!L60*1000000</f>
        <v>0</v>
      </c>
    </row>
    <row r="73" spans="1:20" x14ac:dyDescent="0.2">
      <c r="A73" t="s">
        <v>92</v>
      </c>
      <c r="B73" t="s">
        <v>172</v>
      </c>
      <c r="C73" t="s">
        <v>510</v>
      </c>
      <c r="D73" s="10" t="s">
        <v>7563</v>
      </c>
      <c r="E73" t="s">
        <v>7564</v>
      </c>
      <c r="F73" s="125">
        <f>'3. Use Cases Catalog'!I61*1000000</f>
        <v>500000</v>
      </c>
      <c r="G73" s="125">
        <f>'3. Use Cases Catalog'!I61*1000000</f>
        <v>500000</v>
      </c>
      <c r="H73" s="10" t="s">
        <v>7565</v>
      </c>
      <c r="I73" t="s">
        <v>7566</v>
      </c>
      <c r="J73" s="125">
        <f>'3. Use Cases Catalog'!J61*1000000</f>
        <v>1.4</v>
      </c>
      <c r="K73" s="125">
        <f>'3. Use Cases Catalog'!J61*1000000</f>
        <v>1.4</v>
      </c>
      <c r="L73" s="123"/>
      <c r="M73" s="124"/>
      <c r="N73" t="s">
        <v>130</v>
      </c>
      <c r="O73" s="125" t="str">
        <f t="shared" si="0"/>
        <v/>
      </c>
      <c r="P73" s="125">
        <f>'3. Use Cases Catalog'!K61*1000000</f>
        <v>0</v>
      </c>
      <c r="Q73" s="126"/>
      <c r="R73" s="124"/>
      <c r="S73" s="125" t="str">
        <f t="shared" si="1"/>
        <v/>
      </c>
      <c r="T73" s="125">
        <f>'3. Use Cases Catalog'!L61*1000000</f>
        <v>0</v>
      </c>
    </row>
    <row r="74" spans="1:20" x14ac:dyDescent="0.2">
      <c r="A74" t="s">
        <v>66</v>
      </c>
      <c r="B74" t="s">
        <v>123</v>
      </c>
      <c r="C74" t="s">
        <v>515</v>
      </c>
      <c r="D74" s="10" t="s">
        <v>7567</v>
      </c>
      <c r="E74" t="s">
        <v>7568</v>
      </c>
      <c r="F74" s="125">
        <f>'3. Use Cases Catalog'!I62*1000000</f>
        <v>12.9</v>
      </c>
      <c r="G74" s="125">
        <f>'3. Use Cases Catalog'!I62*1000000</f>
        <v>12.9</v>
      </c>
      <c r="H74" s="10"/>
      <c r="I74" t="s">
        <v>129</v>
      </c>
      <c r="J74" s="125">
        <f>'3. Use Cases Catalog'!J62*1000000</f>
        <v>0</v>
      </c>
      <c r="K74" s="125">
        <f>'3. Use Cases Catalog'!J62*1000000</f>
        <v>0</v>
      </c>
      <c r="L74" s="123"/>
      <c r="M74" s="124"/>
      <c r="N74" t="s">
        <v>130</v>
      </c>
      <c r="O74" s="125" t="str">
        <f t="shared" si="0"/>
        <v/>
      </c>
      <c r="P74" s="125">
        <f>'3. Use Cases Catalog'!K62*1000000</f>
        <v>0</v>
      </c>
      <c r="Q74" s="126"/>
      <c r="R74" s="124"/>
      <c r="S74" s="125" t="str">
        <f t="shared" si="1"/>
        <v/>
      </c>
      <c r="T74" s="125">
        <f>'3. Use Cases Catalog'!L62*1000000</f>
        <v>0</v>
      </c>
    </row>
    <row r="75" spans="1:20" x14ac:dyDescent="0.2">
      <c r="A75" t="s">
        <v>66</v>
      </c>
      <c r="B75" t="s">
        <v>133</v>
      </c>
      <c r="C75" t="s">
        <v>524</v>
      </c>
      <c r="D75" s="10"/>
      <c r="E75" t="s">
        <v>1009</v>
      </c>
      <c r="F75" s="125">
        <f>'3. Use Cases Catalog'!I63*1000000</f>
        <v>0</v>
      </c>
      <c r="G75" s="125">
        <f>'3. Use Cases Catalog'!I63*1000000</f>
        <v>0</v>
      </c>
      <c r="H75" s="10"/>
      <c r="I75" t="s">
        <v>129</v>
      </c>
      <c r="J75" s="125">
        <f>'3. Use Cases Catalog'!J63*1000000</f>
        <v>0</v>
      </c>
      <c r="K75" s="125">
        <f>'3. Use Cases Catalog'!J63*1000000</f>
        <v>0</v>
      </c>
      <c r="L75" s="123"/>
      <c r="M75" s="124">
        <v>11800000</v>
      </c>
      <c r="N75" t="s">
        <v>7569</v>
      </c>
      <c r="O75" s="125" t="str">
        <f t="shared" si="0"/>
        <v/>
      </c>
      <c r="P75" s="125">
        <f>'3. Use Cases Catalog'!K63*1000000</f>
        <v>11.8</v>
      </c>
      <c r="Q75" s="126"/>
      <c r="R75" s="124"/>
      <c r="S75" s="125" t="str">
        <f t="shared" si="1"/>
        <v/>
      </c>
      <c r="T75" s="125">
        <f>'3. Use Cases Catalog'!L63*1000000</f>
        <v>0</v>
      </c>
    </row>
    <row r="76" spans="1:20" x14ac:dyDescent="0.2">
      <c r="A76" t="s">
        <v>66</v>
      </c>
      <c r="B76" t="s">
        <v>156</v>
      </c>
      <c r="C76" t="s">
        <v>531</v>
      </c>
      <c r="D76" s="10"/>
      <c r="E76" t="s">
        <v>1009</v>
      </c>
      <c r="F76" s="125">
        <f>'3. Use Cases Catalog'!I64*1000000</f>
        <v>0</v>
      </c>
      <c r="G76" s="125">
        <f>'3. Use Cases Catalog'!I64*1000000</f>
        <v>0</v>
      </c>
      <c r="H76" s="10" t="s">
        <v>7570</v>
      </c>
      <c r="I76" t="s">
        <v>7571</v>
      </c>
      <c r="J76" s="125">
        <f>'3. Use Cases Catalog'!J64*1000000</f>
        <v>4.2</v>
      </c>
      <c r="K76" s="125">
        <f>'3. Use Cases Catalog'!J64*1000000</f>
        <v>4.2</v>
      </c>
      <c r="L76" s="123"/>
      <c r="M76" s="124"/>
      <c r="N76" t="s">
        <v>130</v>
      </c>
      <c r="O76" s="125" t="str">
        <f t="shared" si="0"/>
        <v/>
      </c>
      <c r="P76" s="125">
        <f>'3. Use Cases Catalog'!K64*1000000</f>
        <v>0</v>
      </c>
      <c r="Q76" s="126">
        <v>7</v>
      </c>
      <c r="R76" s="124"/>
      <c r="S76" s="125" t="str">
        <f t="shared" si="1"/>
        <v/>
      </c>
      <c r="T76" s="125">
        <f>'3. Use Cases Catalog'!L64*1000000</f>
        <v>2.9</v>
      </c>
    </row>
    <row r="77" spans="1:20" x14ac:dyDescent="0.2">
      <c r="A77" t="s">
        <v>66</v>
      </c>
      <c r="B77" t="s">
        <v>172</v>
      </c>
      <c r="C77" t="s">
        <v>539</v>
      </c>
      <c r="D77" s="10"/>
      <c r="E77" t="s">
        <v>1009</v>
      </c>
      <c r="F77" s="125">
        <f>'3. Use Cases Catalog'!I65*1000000</f>
        <v>0</v>
      </c>
      <c r="G77" s="125">
        <f>'3. Use Cases Catalog'!I65*1000000</f>
        <v>0</v>
      </c>
      <c r="H77" s="10"/>
      <c r="I77" t="s">
        <v>129</v>
      </c>
      <c r="J77" s="125">
        <f>'3. Use Cases Catalog'!J65*1000000</f>
        <v>0</v>
      </c>
      <c r="K77" s="125">
        <f>'3. Use Cases Catalog'!J65*1000000</f>
        <v>0</v>
      </c>
      <c r="L77" s="123"/>
      <c r="M77" s="124">
        <v>6000000</v>
      </c>
      <c r="N77" t="s">
        <v>7572</v>
      </c>
      <c r="O77" s="125" t="str">
        <f t="shared" si="0"/>
        <v/>
      </c>
      <c r="P77" s="125">
        <f>'3. Use Cases Catalog'!K65*1000000</f>
        <v>2.7</v>
      </c>
      <c r="Q77" s="126">
        <v>5</v>
      </c>
      <c r="R77" s="124"/>
      <c r="S77" s="125" t="str">
        <f t="shared" si="1"/>
        <v/>
      </c>
      <c r="T77" s="125">
        <f>'3. Use Cases Catalog'!L65*1000000</f>
        <v>4.8</v>
      </c>
    </row>
    <row r="78" spans="1:20" x14ac:dyDescent="0.2">
      <c r="A78" t="s">
        <v>66</v>
      </c>
      <c r="B78" t="s">
        <v>179</v>
      </c>
      <c r="C78" t="s">
        <v>546</v>
      </c>
      <c r="D78" s="10" t="s">
        <v>7573</v>
      </c>
      <c r="E78" t="s">
        <v>7574</v>
      </c>
      <c r="F78" s="125">
        <f>'3. Use Cases Catalog'!I66*1000000</f>
        <v>1.9</v>
      </c>
      <c r="G78" s="125">
        <f>'3. Use Cases Catalog'!I66*1000000</f>
        <v>1.9</v>
      </c>
      <c r="H78" s="10"/>
      <c r="I78" t="s">
        <v>129</v>
      </c>
      <c r="J78" s="125">
        <f>'3. Use Cases Catalog'!J66*1000000</f>
        <v>0</v>
      </c>
      <c r="K78" s="125">
        <f>'3. Use Cases Catalog'!J66*1000000</f>
        <v>0</v>
      </c>
      <c r="L78" s="123"/>
      <c r="M78" s="124"/>
      <c r="N78" t="s">
        <v>130</v>
      </c>
      <c r="O78" s="125" t="str">
        <f t="shared" ref="O78:O141" si="2">IF(AND(L78&lt;&gt;"",M78&lt;&gt;""),L78*M78*$B$7*$B$8,"")</f>
        <v/>
      </c>
      <c r="P78" s="125">
        <f>'3. Use Cases Catalog'!K66*1000000</f>
        <v>0</v>
      </c>
      <c r="Q78" s="126"/>
      <c r="R78" s="124"/>
      <c r="S78" s="125" t="str">
        <f t="shared" ref="S78:S141" si="3">IF(AND(Q78&lt;&gt;"",R78&lt;&gt;""),Q78*R78*$B$9*$B$8,"")</f>
        <v/>
      </c>
      <c r="T78" s="125">
        <f>'3. Use Cases Catalog'!L66*1000000</f>
        <v>0</v>
      </c>
    </row>
    <row r="79" spans="1:20" x14ac:dyDescent="0.2">
      <c r="A79" t="s">
        <v>66</v>
      </c>
      <c r="B79" t="s">
        <v>141</v>
      </c>
      <c r="C79" t="s">
        <v>553</v>
      </c>
      <c r="D79" s="10" t="s">
        <v>7575</v>
      </c>
      <c r="E79" t="s">
        <v>7576</v>
      </c>
      <c r="F79" s="125">
        <f>'3. Use Cases Catalog'!I67*1000000</f>
        <v>20.6</v>
      </c>
      <c r="G79" s="125">
        <f>'3. Use Cases Catalog'!I67*1000000</f>
        <v>20.6</v>
      </c>
      <c r="H79" s="10"/>
      <c r="I79" t="s">
        <v>129</v>
      </c>
      <c r="J79" s="125">
        <f>'3. Use Cases Catalog'!J67*1000000</f>
        <v>0</v>
      </c>
      <c r="K79" s="125">
        <f>'3. Use Cases Catalog'!J67*1000000</f>
        <v>0</v>
      </c>
      <c r="L79" s="123"/>
      <c r="M79" s="124"/>
      <c r="N79" t="s">
        <v>130</v>
      </c>
      <c r="O79" s="125" t="str">
        <f t="shared" si="2"/>
        <v/>
      </c>
      <c r="P79" s="125">
        <f>'3. Use Cases Catalog'!K67*1000000</f>
        <v>0</v>
      </c>
      <c r="Q79" s="126"/>
      <c r="R79" s="124"/>
      <c r="S79" s="125" t="str">
        <f t="shared" si="3"/>
        <v/>
      </c>
      <c r="T79" s="125">
        <f>'3. Use Cases Catalog'!L67*1000000</f>
        <v>0</v>
      </c>
    </row>
    <row r="80" spans="1:20" x14ac:dyDescent="0.2">
      <c r="A80" t="s">
        <v>66</v>
      </c>
      <c r="B80" t="s">
        <v>149</v>
      </c>
      <c r="C80" t="s">
        <v>559</v>
      </c>
      <c r="D80" s="10" t="s">
        <v>7577</v>
      </c>
      <c r="E80" t="s">
        <v>7578</v>
      </c>
      <c r="F80" s="125">
        <f>'3. Use Cases Catalog'!I68*1000000</f>
        <v>5.9</v>
      </c>
      <c r="G80" s="125">
        <f>'3. Use Cases Catalog'!I68*1000000</f>
        <v>5.9</v>
      </c>
      <c r="H80" s="10" t="s">
        <v>7579</v>
      </c>
      <c r="I80" t="s">
        <v>7580</v>
      </c>
      <c r="J80" s="125">
        <f>'3. Use Cases Catalog'!J68*1000000</f>
        <v>5.6</v>
      </c>
      <c r="K80" s="125">
        <f>'3. Use Cases Catalog'!J68*1000000</f>
        <v>5.6</v>
      </c>
      <c r="L80" s="123"/>
      <c r="M80" s="124"/>
      <c r="N80" t="s">
        <v>130</v>
      </c>
      <c r="O80" s="125" t="str">
        <f t="shared" si="2"/>
        <v/>
      </c>
      <c r="P80" s="125">
        <f>'3. Use Cases Catalog'!K68*1000000</f>
        <v>0</v>
      </c>
      <c r="Q80" s="126"/>
      <c r="R80" s="124"/>
      <c r="S80" s="125" t="str">
        <f t="shared" si="3"/>
        <v/>
      </c>
      <c r="T80" s="125">
        <f>'3. Use Cases Catalog'!L68*1000000</f>
        <v>0</v>
      </c>
    </row>
    <row r="81" spans="1:20" x14ac:dyDescent="0.2">
      <c r="A81" t="s">
        <v>66</v>
      </c>
      <c r="B81" t="s">
        <v>164</v>
      </c>
      <c r="C81" t="s">
        <v>303</v>
      </c>
      <c r="D81" s="10"/>
      <c r="E81" t="s">
        <v>1009</v>
      </c>
      <c r="F81" s="125">
        <f>'3. Use Cases Catalog'!I69*1000000</f>
        <v>0</v>
      </c>
      <c r="G81" s="125">
        <f>'3. Use Cases Catalog'!I69*1000000</f>
        <v>0</v>
      </c>
      <c r="H81" s="10"/>
      <c r="I81" t="s">
        <v>129</v>
      </c>
      <c r="J81" s="125">
        <f>'3. Use Cases Catalog'!J69*1000000</f>
        <v>0</v>
      </c>
      <c r="K81" s="125">
        <f>'3. Use Cases Catalog'!J69*1000000</f>
        <v>0</v>
      </c>
      <c r="L81" s="123"/>
      <c r="M81" s="124"/>
      <c r="N81" t="s">
        <v>130</v>
      </c>
      <c r="O81" s="125" t="str">
        <f t="shared" si="2"/>
        <v/>
      </c>
      <c r="P81" s="125">
        <f>'3. Use Cases Catalog'!K69*1000000</f>
        <v>0</v>
      </c>
      <c r="Q81" s="126">
        <v>10</v>
      </c>
      <c r="R81" s="124"/>
      <c r="S81" s="125" t="str">
        <f t="shared" si="3"/>
        <v/>
      </c>
      <c r="T81" s="125">
        <f>'3. Use Cases Catalog'!L69*1000000</f>
        <v>7.6</v>
      </c>
    </row>
    <row r="82" spans="1:20" x14ac:dyDescent="0.2">
      <c r="A82" t="s">
        <v>66</v>
      </c>
      <c r="B82" t="s">
        <v>186</v>
      </c>
      <c r="C82" t="s">
        <v>569</v>
      </c>
      <c r="D82" s="10"/>
      <c r="E82" t="s">
        <v>1009</v>
      </c>
      <c r="F82" s="125">
        <f>'3. Use Cases Catalog'!I70*1000000</f>
        <v>0</v>
      </c>
      <c r="G82" s="125">
        <f>'3. Use Cases Catalog'!I70*1000000</f>
        <v>0</v>
      </c>
      <c r="H82" s="10" t="s">
        <v>7581</v>
      </c>
      <c r="I82" t="s">
        <v>7582</v>
      </c>
      <c r="J82" s="125">
        <f>'3. Use Cases Catalog'!J70*1000000</f>
        <v>18.2</v>
      </c>
      <c r="K82" s="125">
        <f>'3. Use Cases Catalog'!J70*1000000</f>
        <v>18.2</v>
      </c>
      <c r="L82" s="123"/>
      <c r="M82" s="124"/>
      <c r="N82" t="s">
        <v>130</v>
      </c>
      <c r="O82" s="125" t="str">
        <f t="shared" si="2"/>
        <v/>
      </c>
      <c r="P82" s="125">
        <f>'3. Use Cases Catalog'!K70*1000000</f>
        <v>0</v>
      </c>
      <c r="Q82" s="126"/>
      <c r="R82" s="124"/>
      <c r="S82" s="125" t="str">
        <f t="shared" si="3"/>
        <v/>
      </c>
      <c r="T82" s="125">
        <f>'3. Use Cases Catalog'!L70*1000000</f>
        <v>0</v>
      </c>
    </row>
    <row r="83" spans="1:20" x14ac:dyDescent="0.2">
      <c r="A83" t="s">
        <v>66</v>
      </c>
      <c r="B83" t="s">
        <v>194</v>
      </c>
      <c r="C83" t="s">
        <v>574</v>
      </c>
      <c r="D83" s="10"/>
      <c r="E83" t="s">
        <v>1009</v>
      </c>
      <c r="F83" s="125">
        <f>'3. Use Cases Catalog'!I71*1000000</f>
        <v>0</v>
      </c>
      <c r="G83" s="125">
        <f>'3. Use Cases Catalog'!I71*1000000</f>
        <v>0</v>
      </c>
      <c r="H83" s="10"/>
      <c r="I83" t="s">
        <v>129</v>
      </c>
      <c r="J83" s="125">
        <f>'3. Use Cases Catalog'!J71*1000000</f>
        <v>0</v>
      </c>
      <c r="K83" s="125">
        <f>'3. Use Cases Catalog'!J71*1000000</f>
        <v>0</v>
      </c>
      <c r="L83" s="123"/>
      <c r="M83" s="124">
        <v>7800000</v>
      </c>
      <c r="N83" t="s">
        <v>7583</v>
      </c>
      <c r="O83" s="125" t="str">
        <f t="shared" si="2"/>
        <v/>
      </c>
      <c r="P83" s="125">
        <f>'3. Use Cases Catalog'!K71*1000000</f>
        <v>7.8</v>
      </c>
      <c r="Q83" s="126"/>
      <c r="R83" s="124"/>
      <c r="S83" s="125" t="str">
        <f t="shared" si="3"/>
        <v/>
      </c>
      <c r="T83" s="125">
        <f>'3. Use Cases Catalog'!L71*1000000</f>
        <v>0</v>
      </c>
    </row>
    <row r="84" spans="1:20" x14ac:dyDescent="0.2">
      <c r="A84" t="s">
        <v>81</v>
      </c>
      <c r="B84" t="s">
        <v>141</v>
      </c>
      <c r="C84" t="s">
        <v>579</v>
      </c>
      <c r="D84" s="10" t="s">
        <v>7584</v>
      </c>
      <c r="E84" t="s">
        <v>7585</v>
      </c>
      <c r="F84" s="125">
        <f>'3. Use Cases Catalog'!I72*1000000</f>
        <v>5.2</v>
      </c>
      <c r="G84" s="125">
        <f>'3. Use Cases Catalog'!I72*1000000</f>
        <v>5.2</v>
      </c>
      <c r="H84" s="10"/>
      <c r="I84" t="s">
        <v>129</v>
      </c>
      <c r="J84" s="125">
        <f>'3. Use Cases Catalog'!J72*1000000</f>
        <v>0</v>
      </c>
      <c r="K84" s="125">
        <f>'3. Use Cases Catalog'!J72*1000000</f>
        <v>0</v>
      </c>
      <c r="L84" s="123">
        <v>0.3</v>
      </c>
      <c r="M84" s="124">
        <v>8199999.9999999991</v>
      </c>
      <c r="N84" t="s">
        <v>7586</v>
      </c>
      <c r="O84" s="125">
        <f t="shared" si="2"/>
        <v>1568249.9999999995</v>
      </c>
      <c r="P84" s="125">
        <f>'3. Use Cases Catalog'!K72*1000000</f>
        <v>4.9000000000000004</v>
      </c>
      <c r="Q84" s="126"/>
      <c r="R84" s="124"/>
      <c r="S84" s="125" t="str">
        <f t="shared" si="3"/>
        <v/>
      </c>
      <c r="T84" s="125">
        <f>'3. Use Cases Catalog'!L72*1000000</f>
        <v>0</v>
      </c>
    </row>
    <row r="85" spans="1:20" x14ac:dyDescent="0.2">
      <c r="A85" t="s">
        <v>81</v>
      </c>
      <c r="B85" t="s">
        <v>149</v>
      </c>
      <c r="C85" t="s">
        <v>586</v>
      </c>
      <c r="D85" s="10" t="s">
        <v>7587</v>
      </c>
      <c r="E85" t="s">
        <v>7588</v>
      </c>
      <c r="F85" s="125">
        <f>'3. Use Cases Catalog'!I73*1000000</f>
        <v>6</v>
      </c>
      <c r="G85" s="125">
        <f>'3. Use Cases Catalog'!I73*1000000</f>
        <v>6</v>
      </c>
      <c r="H85" s="10"/>
      <c r="I85" t="s">
        <v>129</v>
      </c>
      <c r="J85" s="125">
        <f>'3. Use Cases Catalog'!J73*1000000</f>
        <v>0</v>
      </c>
      <c r="K85" s="125">
        <f>'3. Use Cases Catalog'!J73*1000000</f>
        <v>0</v>
      </c>
      <c r="L85" s="123"/>
      <c r="M85" s="124"/>
      <c r="N85" t="s">
        <v>130</v>
      </c>
      <c r="O85" s="125" t="str">
        <f t="shared" si="2"/>
        <v/>
      </c>
      <c r="P85" s="125">
        <f>'3. Use Cases Catalog'!K73*1000000</f>
        <v>0</v>
      </c>
      <c r="Q85" s="126"/>
      <c r="R85" s="124"/>
      <c r="S85" s="125" t="str">
        <f t="shared" si="3"/>
        <v/>
      </c>
      <c r="T85" s="125">
        <f>'3. Use Cases Catalog'!L73*1000000</f>
        <v>3.8</v>
      </c>
    </row>
    <row r="86" spans="1:20" x14ac:dyDescent="0.2">
      <c r="A86" t="s">
        <v>81</v>
      </c>
      <c r="B86" t="s">
        <v>156</v>
      </c>
      <c r="C86" t="s">
        <v>594</v>
      </c>
      <c r="D86" s="10"/>
      <c r="E86" t="s">
        <v>1009</v>
      </c>
      <c r="F86" s="125">
        <f>'3. Use Cases Catalog'!I74*1000000</f>
        <v>0</v>
      </c>
      <c r="G86" s="125">
        <f>'3. Use Cases Catalog'!I74*1000000</f>
        <v>0</v>
      </c>
      <c r="H86" s="10"/>
      <c r="I86" t="s">
        <v>129</v>
      </c>
      <c r="J86" s="125">
        <f>'3. Use Cases Catalog'!J74*1000000</f>
        <v>0</v>
      </c>
      <c r="K86" s="125">
        <f>'3. Use Cases Catalog'!J74*1000000</f>
        <v>0</v>
      </c>
      <c r="L86" s="123"/>
      <c r="M86" s="124"/>
      <c r="N86" t="s">
        <v>130</v>
      </c>
      <c r="O86" s="125" t="str">
        <f t="shared" si="2"/>
        <v/>
      </c>
      <c r="P86" s="125">
        <f>'3. Use Cases Catalog'!K74*1000000</f>
        <v>0</v>
      </c>
      <c r="Q86" s="126">
        <v>15</v>
      </c>
      <c r="R86" s="124"/>
      <c r="S86" s="125" t="str">
        <f t="shared" si="3"/>
        <v/>
      </c>
      <c r="T86" s="125">
        <f>'3. Use Cases Catalog'!L74*1000000</f>
        <v>5.9</v>
      </c>
    </row>
    <row r="87" spans="1:20" x14ac:dyDescent="0.2">
      <c r="A87" t="s">
        <v>81</v>
      </c>
      <c r="B87" t="s">
        <v>164</v>
      </c>
      <c r="C87" t="s">
        <v>598</v>
      </c>
      <c r="D87" s="10" t="s">
        <v>7589</v>
      </c>
      <c r="E87" t="s">
        <v>7590</v>
      </c>
      <c r="F87" s="125">
        <f>'3. Use Cases Catalog'!I75*1000000</f>
        <v>1.8</v>
      </c>
      <c r="G87" s="125">
        <f>'3. Use Cases Catalog'!I75*1000000</f>
        <v>1.8</v>
      </c>
      <c r="H87" s="10"/>
      <c r="I87" t="s">
        <v>129</v>
      </c>
      <c r="J87" s="125">
        <f>'3. Use Cases Catalog'!J75*1000000</f>
        <v>0</v>
      </c>
      <c r="K87" s="125">
        <f>'3. Use Cases Catalog'!J75*1000000</f>
        <v>0</v>
      </c>
      <c r="L87" s="123"/>
      <c r="M87" s="124"/>
      <c r="N87" t="s">
        <v>130</v>
      </c>
      <c r="O87" s="125" t="str">
        <f t="shared" si="2"/>
        <v/>
      </c>
      <c r="P87" s="125">
        <f>'3. Use Cases Catalog'!K75*1000000</f>
        <v>0</v>
      </c>
      <c r="Q87" s="126"/>
      <c r="R87" s="124"/>
      <c r="S87" s="125" t="str">
        <f t="shared" si="3"/>
        <v/>
      </c>
      <c r="T87" s="125">
        <f>'3. Use Cases Catalog'!L75*1000000</f>
        <v>0</v>
      </c>
    </row>
    <row r="88" spans="1:20" x14ac:dyDescent="0.2">
      <c r="A88" t="s">
        <v>81</v>
      </c>
      <c r="B88" t="s">
        <v>172</v>
      </c>
      <c r="C88" t="s">
        <v>602</v>
      </c>
      <c r="D88" s="10" t="s">
        <v>7591</v>
      </c>
      <c r="E88" t="s">
        <v>7592</v>
      </c>
      <c r="F88" s="125">
        <f>'3. Use Cases Catalog'!I76*1000000</f>
        <v>2.9</v>
      </c>
      <c r="G88" s="125">
        <f>'3. Use Cases Catalog'!I76*1000000</f>
        <v>2.9</v>
      </c>
      <c r="H88" s="10" t="s">
        <v>7593</v>
      </c>
      <c r="I88" t="s">
        <v>7594</v>
      </c>
      <c r="J88" s="125">
        <f>'3. Use Cases Catalog'!J76*1000000</f>
        <v>3.7</v>
      </c>
      <c r="K88" s="125">
        <f>'3. Use Cases Catalog'!J76*1000000</f>
        <v>3.7</v>
      </c>
      <c r="L88" s="123"/>
      <c r="M88" s="124"/>
      <c r="N88" t="s">
        <v>130</v>
      </c>
      <c r="O88" s="125" t="str">
        <f t="shared" si="2"/>
        <v/>
      </c>
      <c r="P88" s="125">
        <f>'3. Use Cases Catalog'!K76*1000000</f>
        <v>0</v>
      </c>
      <c r="Q88" s="126"/>
      <c r="R88" s="124"/>
      <c r="S88" s="125" t="str">
        <f t="shared" si="3"/>
        <v/>
      </c>
      <c r="T88" s="125">
        <f>'3. Use Cases Catalog'!L76*1000000</f>
        <v>0</v>
      </c>
    </row>
    <row r="89" spans="1:20" x14ac:dyDescent="0.2">
      <c r="A89" t="s">
        <v>81</v>
      </c>
      <c r="B89" t="s">
        <v>186</v>
      </c>
      <c r="C89" t="s">
        <v>607</v>
      </c>
      <c r="D89" s="10" t="s">
        <v>7595</v>
      </c>
      <c r="E89" t="s">
        <v>7596</v>
      </c>
      <c r="F89" s="125">
        <f>'3. Use Cases Catalog'!I77*1000000</f>
        <v>2.4</v>
      </c>
      <c r="G89" s="125">
        <f>'3. Use Cases Catalog'!I77*1000000</f>
        <v>2.4</v>
      </c>
      <c r="H89" s="10"/>
      <c r="I89" t="s">
        <v>129</v>
      </c>
      <c r="J89" s="125">
        <f>'3. Use Cases Catalog'!J77*1000000</f>
        <v>0</v>
      </c>
      <c r="K89" s="125">
        <f>'3. Use Cases Catalog'!J77*1000000</f>
        <v>0</v>
      </c>
      <c r="L89" s="123">
        <v>0.84</v>
      </c>
      <c r="M89" s="124">
        <v>8199999.9999999991</v>
      </c>
      <c r="N89" t="s">
        <v>7572</v>
      </c>
      <c r="O89" s="125">
        <f t="shared" si="2"/>
        <v>4391099.9999999991</v>
      </c>
      <c r="P89" s="125">
        <f>'3. Use Cases Catalog'!K77*1000000</f>
        <v>3.9</v>
      </c>
      <c r="Q89" s="126"/>
      <c r="R89" s="124"/>
      <c r="S89" s="125" t="str">
        <f t="shared" si="3"/>
        <v/>
      </c>
      <c r="T89" s="125">
        <f>'3. Use Cases Catalog'!L77*1000000</f>
        <v>0</v>
      </c>
    </row>
    <row r="90" spans="1:20" x14ac:dyDescent="0.2">
      <c r="A90" t="s">
        <v>81</v>
      </c>
      <c r="B90" t="s">
        <v>123</v>
      </c>
      <c r="C90" t="s">
        <v>613</v>
      </c>
      <c r="D90" s="10" t="s">
        <v>7597</v>
      </c>
      <c r="E90" t="s">
        <v>7598</v>
      </c>
      <c r="F90" s="125">
        <f>'3. Use Cases Catalog'!I78*1000000</f>
        <v>8.9</v>
      </c>
      <c r="G90" s="125">
        <f>'3. Use Cases Catalog'!I78*1000000</f>
        <v>8.9</v>
      </c>
      <c r="H90" s="10"/>
      <c r="I90" t="s">
        <v>129</v>
      </c>
      <c r="J90" s="125">
        <f>'3. Use Cases Catalog'!J78*1000000</f>
        <v>0</v>
      </c>
      <c r="K90" s="125">
        <f>'3. Use Cases Catalog'!J78*1000000</f>
        <v>0</v>
      </c>
      <c r="L90" s="123"/>
      <c r="M90" s="124"/>
      <c r="N90" t="s">
        <v>130</v>
      </c>
      <c r="O90" s="125" t="str">
        <f t="shared" si="2"/>
        <v/>
      </c>
      <c r="P90" s="125">
        <f>'3. Use Cases Catalog'!K78*1000000</f>
        <v>0</v>
      </c>
      <c r="Q90" s="126"/>
      <c r="R90" s="124"/>
      <c r="S90" s="125" t="str">
        <f t="shared" si="3"/>
        <v/>
      </c>
      <c r="T90" s="125">
        <f>'3. Use Cases Catalog'!L78*1000000</f>
        <v>0</v>
      </c>
    </row>
    <row r="91" spans="1:20" x14ac:dyDescent="0.2">
      <c r="A91" t="s">
        <v>81</v>
      </c>
      <c r="B91" t="s">
        <v>133</v>
      </c>
      <c r="C91" t="s">
        <v>617</v>
      </c>
      <c r="D91" s="10" t="s">
        <v>7599</v>
      </c>
      <c r="E91" t="s">
        <v>7600</v>
      </c>
      <c r="F91" s="125">
        <f>'3. Use Cases Catalog'!I79*1000000</f>
        <v>1.3</v>
      </c>
      <c r="G91" s="125">
        <f>'3. Use Cases Catalog'!I79*1000000</f>
        <v>1.3</v>
      </c>
      <c r="H91" s="10"/>
      <c r="I91" t="s">
        <v>129</v>
      </c>
      <c r="J91" s="125">
        <f>'3. Use Cases Catalog'!J79*1000000</f>
        <v>0</v>
      </c>
      <c r="K91" s="125">
        <f>'3. Use Cases Catalog'!J79*1000000</f>
        <v>0</v>
      </c>
      <c r="L91" s="123"/>
      <c r="M91" s="124"/>
      <c r="N91" t="s">
        <v>130</v>
      </c>
      <c r="O91" s="125" t="str">
        <f t="shared" si="2"/>
        <v/>
      </c>
      <c r="P91" s="125">
        <f>'3. Use Cases Catalog'!K79*1000000</f>
        <v>0</v>
      </c>
      <c r="Q91" s="126"/>
      <c r="R91" s="124"/>
      <c r="S91" s="125" t="str">
        <f t="shared" si="3"/>
        <v/>
      </c>
      <c r="T91" s="125">
        <f>'3. Use Cases Catalog'!L79*1000000</f>
        <v>0</v>
      </c>
    </row>
    <row r="92" spans="1:20" x14ac:dyDescent="0.2">
      <c r="A92" t="s">
        <v>81</v>
      </c>
      <c r="B92" t="s">
        <v>179</v>
      </c>
      <c r="C92" t="s">
        <v>539</v>
      </c>
      <c r="D92" s="10"/>
      <c r="E92" t="s">
        <v>1009</v>
      </c>
      <c r="F92" s="125">
        <f>'3. Use Cases Catalog'!I80*1000000</f>
        <v>0</v>
      </c>
      <c r="G92" s="125">
        <f>'3. Use Cases Catalog'!I80*1000000</f>
        <v>0</v>
      </c>
      <c r="H92" s="10" t="s">
        <v>7601</v>
      </c>
      <c r="I92" t="s">
        <v>7602</v>
      </c>
      <c r="J92" s="125">
        <f>'3. Use Cases Catalog'!J80*1000000</f>
        <v>4.8</v>
      </c>
      <c r="K92" s="125">
        <f>'3. Use Cases Catalog'!J80*1000000</f>
        <v>4.8</v>
      </c>
      <c r="L92" s="123"/>
      <c r="M92" s="124"/>
      <c r="N92" t="s">
        <v>130</v>
      </c>
      <c r="O92" s="125" t="str">
        <f t="shared" si="2"/>
        <v/>
      </c>
      <c r="P92" s="125">
        <f>'3. Use Cases Catalog'!K80*1000000</f>
        <v>0</v>
      </c>
      <c r="Q92" s="126"/>
      <c r="R92" s="124"/>
      <c r="S92" s="125" t="str">
        <f t="shared" si="3"/>
        <v/>
      </c>
      <c r="T92" s="125">
        <f>'3. Use Cases Catalog'!L80*1000000</f>
        <v>0</v>
      </c>
    </row>
    <row r="93" spans="1:20" x14ac:dyDescent="0.2">
      <c r="A93" t="s">
        <v>81</v>
      </c>
      <c r="B93" t="s">
        <v>194</v>
      </c>
      <c r="C93" t="s">
        <v>625</v>
      </c>
      <c r="D93" s="10" t="s">
        <v>7603</v>
      </c>
      <c r="E93" t="s">
        <v>7604</v>
      </c>
      <c r="F93" s="125">
        <f>'3. Use Cases Catalog'!I81*1000000</f>
        <v>1</v>
      </c>
      <c r="G93" s="125">
        <f>'3. Use Cases Catalog'!I81*1000000</f>
        <v>1</v>
      </c>
      <c r="H93" s="10"/>
      <c r="I93" t="s">
        <v>129</v>
      </c>
      <c r="J93" s="125">
        <f>'3. Use Cases Catalog'!J81*1000000</f>
        <v>0</v>
      </c>
      <c r="K93" s="125">
        <f>'3. Use Cases Catalog'!J81*1000000</f>
        <v>0</v>
      </c>
      <c r="L93" s="123"/>
      <c r="M93" s="124"/>
      <c r="N93" t="s">
        <v>130</v>
      </c>
      <c r="O93" s="125" t="str">
        <f t="shared" si="2"/>
        <v/>
      </c>
      <c r="P93" s="125">
        <f>'3. Use Cases Catalog'!K81*1000000</f>
        <v>0</v>
      </c>
      <c r="Q93" s="126"/>
      <c r="R93" s="124"/>
      <c r="S93" s="125" t="str">
        <f t="shared" si="3"/>
        <v/>
      </c>
      <c r="T93" s="125">
        <f>'3. Use Cases Catalog'!L81*1000000</f>
        <v>0</v>
      </c>
    </row>
    <row r="94" spans="1:20" x14ac:dyDescent="0.2">
      <c r="A94" t="s">
        <v>29</v>
      </c>
      <c r="B94" t="s">
        <v>149</v>
      </c>
      <c r="C94" t="s">
        <v>32</v>
      </c>
      <c r="D94" s="10" t="s">
        <v>7605</v>
      </c>
      <c r="E94" t="s">
        <v>7606</v>
      </c>
      <c r="F94" s="125">
        <f>'3. Use Cases Catalog'!I82*1000000</f>
        <v>2900000</v>
      </c>
      <c r="G94" s="125">
        <f>'3. Use Cases Catalog'!I82*1000000</f>
        <v>2900000</v>
      </c>
      <c r="H94" s="10" t="s">
        <v>7607</v>
      </c>
      <c r="I94" t="s">
        <v>7608</v>
      </c>
      <c r="J94" s="125">
        <f>'3. Use Cases Catalog'!J82*1000000</f>
        <v>11800000</v>
      </c>
      <c r="K94" s="125">
        <f>'3. Use Cases Catalog'!J82*1000000</f>
        <v>11800000</v>
      </c>
      <c r="L94" s="123"/>
      <c r="M94" s="124"/>
      <c r="N94" t="s">
        <v>130</v>
      </c>
      <c r="O94" s="125" t="str">
        <f t="shared" si="2"/>
        <v/>
      </c>
      <c r="P94" s="125">
        <f>'3. Use Cases Catalog'!K82*1000000</f>
        <v>0</v>
      </c>
      <c r="Q94" s="126"/>
      <c r="R94" s="124"/>
      <c r="S94" s="125" t="str">
        <f t="shared" si="3"/>
        <v/>
      </c>
      <c r="T94" s="125">
        <f>'3. Use Cases Catalog'!L82*1000000</f>
        <v>0</v>
      </c>
    </row>
    <row r="95" spans="1:20" x14ac:dyDescent="0.2">
      <c r="A95" t="s">
        <v>29</v>
      </c>
      <c r="B95" t="s">
        <v>133</v>
      </c>
      <c r="C95" t="s">
        <v>634</v>
      </c>
      <c r="D95" s="10" t="s">
        <v>7609</v>
      </c>
      <c r="E95" t="s">
        <v>7610</v>
      </c>
      <c r="F95" s="125">
        <f>'3. Use Cases Catalog'!I83*1000000</f>
        <v>4200000</v>
      </c>
      <c r="G95" s="125">
        <f>'3. Use Cases Catalog'!I83*1000000</f>
        <v>4200000</v>
      </c>
      <c r="H95" s="10"/>
      <c r="I95" t="s">
        <v>129</v>
      </c>
      <c r="J95" s="125">
        <f>'3. Use Cases Catalog'!J83*1000000</f>
        <v>0</v>
      </c>
      <c r="K95" s="125">
        <f>'3. Use Cases Catalog'!J83*1000000</f>
        <v>0</v>
      </c>
      <c r="L95" s="123"/>
      <c r="M95" s="124"/>
      <c r="N95" t="s">
        <v>130</v>
      </c>
      <c r="O95" s="125" t="str">
        <f t="shared" si="2"/>
        <v/>
      </c>
      <c r="P95" s="125">
        <f>'3. Use Cases Catalog'!K83*1000000</f>
        <v>0</v>
      </c>
      <c r="Q95" s="126"/>
      <c r="R95" s="124"/>
      <c r="S95" s="125" t="str">
        <f t="shared" si="3"/>
        <v/>
      </c>
      <c r="T95" s="125">
        <f>'3. Use Cases Catalog'!L83*1000000</f>
        <v>0</v>
      </c>
    </row>
    <row r="96" spans="1:20" x14ac:dyDescent="0.2">
      <c r="A96" t="s">
        <v>29</v>
      </c>
      <c r="B96" t="s">
        <v>156</v>
      </c>
      <c r="C96" t="s">
        <v>639</v>
      </c>
      <c r="D96" s="10" t="s">
        <v>7611</v>
      </c>
      <c r="E96" t="s">
        <v>7612</v>
      </c>
      <c r="F96" s="125">
        <f>'3. Use Cases Catalog'!I84*1000000</f>
        <v>6100000</v>
      </c>
      <c r="G96" s="125">
        <f>'3. Use Cases Catalog'!I84*1000000</f>
        <v>6100000</v>
      </c>
      <c r="H96" s="10"/>
      <c r="I96" t="s">
        <v>129</v>
      </c>
      <c r="J96" s="125">
        <f>'3. Use Cases Catalog'!J84*1000000</f>
        <v>0</v>
      </c>
      <c r="K96" s="125">
        <f>'3. Use Cases Catalog'!J84*1000000</f>
        <v>0</v>
      </c>
      <c r="L96" s="123">
        <v>0.2</v>
      </c>
      <c r="M96" s="124">
        <v>5500000</v>
      </c>
      <c r="N96" t="s">
        <v>7613</v>
      </c>
      <c r="O96" s="125">
        <f t="shared" si="2"/>
        <v>701250</v>
      </c>
      <c r="P96" s="125">
        <f>'3. Use Cases Catalog'!K84*1000000</f>
        <v>800000</v>
      </c>
      <c r="Q96" s="126"/>
      <c r="R96" s="124"/>
      <c r="S96" s="125" t="str">
        <f t="shared" si="3"/>
        <v/>
      </c>
      <c r="T96" s="125">
        <f>'3. Use Cases Catalog'!L84*1000000</f>
        <v>0</v>
      </c>
    </row>
    <row r="97" spans="1:20" x14ac:dyDescent="0.2">
      <c r="A97" t="s">
        <v>29</v>
      </c>
      <c r="B97" t="s">
        <v>164</v>
      </c>
      <c r="C97" t="s">
        <v>7614</v>
      </c>
      <c r="D97" s="10" t="s">
        <v>7615</v>
      </c>
      <c r="E97" t="s">
        <v>7616</v>
      </c>
      <c r="F97" s="125">
        <f>'3. Use Cases Catalog'!I85*1000000</f>
        <v>6200000</v>
      </c>
      <c r="G97" s="125">
        <f>'3. Use Cases Catalog'!I85*1000000</f>
        <v>6200000</v>
      </c>
      <c r="H97" s="10"/>
      <c r="I97" t="s">
        <v>129</v>
      </c>
      <c r="J97" s="125">
        <f>'3. Use Cases Catalog'!J85*1000000</f>
        <v>0</v>
      </c>
      <c r="K97" s="125">
        <f>'3. Use Cases Catalog'!J85*1000000</f>
        <v>0</v>
      </c>
      <c r="L97" s="123">
        <v>0.3</v>
      </c>
      <c r="M97" s="124">
        <v>25000000</v>
      </c>
      <c r="N97" t="s">
        <v>7617</v>
      </c>
      <c r="O97" s="125">
        <f t="shared" si="2"/>
        <v>4781250</v>
      </c>
      <c r="P97" s="125">
        <f>'3. Use Cases Catalog'!K85*1000000</f>
        <v>4500000</v>
      </c>
      <c r="Q97" s="126"/>
      <c r="R97" s="124"/>
      <c r="S97" s="125" t="str">
        <f t="shared" si="3"/>
        <v/>
      </c>
      <c r="T97" s="125">
        <f>'3. Use Cases Catalog'!L85*1000000</f>
        <v>0</v>
      </c>
    </row>
    <row r="98" spans="1:20" x14ac:dyDescent="0.2">
      <c r="A98" t="s">
        <v>29</v>
      </c>
      <c r="B98" t="s">
        <v>172</v>
      </c>
      <c r="C98" t="s">
        <v>650</v>
      </c>
      <c r="D98" s="10" t="s">
        <v>7618</v>
      </c>
      <c r="E98" t="s">
        <v>7619</v>
      </c>
      <c r="F98" s="125">
        <f>'3. Use Cases Catalog'!I86*1000000</f>
        <v>3600000</v>
      </c>
      <c r="G98" s="125">
        <f>'3. Use Cases Catalog'!I86*1000000</f>
        <v>3600000</v>
      </c>
      <c r="H98" s="10"/>
      <c r="I98" t="s">
        <v>129</v>
      </c>
      <c r="J98" s="125">
        <f>'3. Use Cases Catalog'!J86*1000000</f>
        <v>0</v>
      </c>
      <c r="K98" s="125">
        <f>'3. Use Cases Catalog'!J86*1000000</f>
        <v>0</v>
      </c>
      <c r="L98" s="123"/>
      <c r="M98" s="124"/>
      <c r="N98" t="s">
        <v>130</v>
      </c>
      <c r="O98" s="125" t="str">
        <f t="shared" si="2"/>
        <v/>
      </c>
      <c r="P98" s="125">
        <f>'3. Use Cases Catalog'!K86*1000000</f>
        <v>0</v>
      </c>
      <c r="Q98" s="126"/>
      <c r="R98" s="124"/>
      <c r="S98" s="125" t="str">
        <f t="shared" si="3"/>
        <v/>
      </c>
      <c r="T98" s="125">
        <f>'3. Use Cases Catalog'!L86*1000000</f>
        <v>0</v>
      </c>
    </row>
    <row r="99" spans="1:20" x14ac:dyDescent="0.2">
      <c r="A99" t="s">
        <v>29</v>
      </c>
      <c r="B99" t="s">
        <v>179</v>
      </c>
      <c r="C99" t="s">
        <v>654</v>
      </c>
      <c r="D99" s="10" t="s">
        <v>7620</v>
      </c>
      <c r="E99" t="s">
        <v>7621</v>
      </c>
      <c r="F99" s="125">
        <f>'3. Use Cases Catalog'!I87*1000000</f>
        <v>2100000</v>
      </c>
      <c r="G99" s="125">
        <f>'3. Use Cases Catalog'!I87*1000000</f>
        <v>2100000</v>
      </c>
      <c r="H99" s="10"/>
      <c r="I99" t="s">
        <v>129</v>
      </c>
      <c r="J99" s="125">
        <f>'3. Use Cases Catalog'!J87*1000000</f>
        <v>0</v>
      </c>
      <c r="K99" s="125">
        <f>'3. Use Cases Catalog'!J87*1000000</f>
        <v>0</v>
      </c>
      <c r="L99" s="123"/>
      <c r="M99" s="124"/>
      <c r="N99" t="s">
        <v>130</v>
      </c>
      <c r="O99" s="125" t="str">
        <f t="shared" si="2"/>
        <v/>
      </c>
      <c r="P99" s="125">
        <f>'3. Use Cases Catalog'!K87*1000000</f>
        <v>0</v>
      </c>
      <c r="Q99" s="126"/>
      <c r="R99" s="124"/>
      <c r="S99" s="125" t="str">
        <f t="shared" si="3"/>
        <v/>
      </c>
      <c r="T99" s="125">
        <f>'3. Use Cases Catalog'!L87*1000000</f>
        <v>0</v>
      </c>
    </row>
    <row r="100" spans="1:20" x14ac:dyDescent="0.2">
      <c r="A100" t="s">
        <v>29</v>
      </c>
      <c r="B100" t="s">
        <v>186</v>
      </c>
      <c r="C100" t="s">
        <v>659</v>
      </c>
      <c r="D100" s="10" t="s">
        <v>7622</v>
      </c>
      <c r="E100" t="s">
        <v>7623</v>
      </c>
      <c r="F100" s="125">
        <f>'3. Use Cases Catalog'!I88*1000000</f>
        <v>3200000</v>
      </c>
      <c r="G100" s="125">
        <f>'3. Use Cases Catalog'!I88*1000000</f>
        <v>3200000</v>
      </c>
      <c r="H100" s="10"/>
      <c r="I100" t="s">
        <v>129</v>
      </c>
      <c r="J100" s="125">
        <f>'3. Use Cases Catalog'!J88*1000000</f>
        <v>0</v>
      </c>
      <c r="K100" s="125">
        <f>'3. Use Cases Catalog'!J88*1000000</f>
        <v>0</v>
      </c>
      <c r="L100" s="123"/>
      <c r="M100" s="124"/>
      <c r="N100" t="s">
        <v>130</v>
      </c>
      <c r="O100" s="125" t="str">
        <f t="shared" si="2"/>
        <v/>
      </c>
      <c r="P100" s="125">
        <f>'3. Use Cases Catalog'!K88*1000000</f>
        <v>0</v>
      </c>
      <c r="Q100" s="126"/>
      <c r="R100" s="124"/>
      <c r="S100" s="125" t="str">
        <f t="shared" si="3"/>
        <v/>
      </c>
      <c r="T100" s="125">
        <f>'3. Use Cases Catalog'!L88*1000000</f>
        <v>0</v>
      </c>
    </row>
    <row r="101" spans="1:20" x14ac:dyDescent="0.2">
      <c r="A101" t="s">
        <v>29</v>
      </c>
      <c r="B101" t="s">
        <v>194</v>
      </c>
      <c r="C101" t="s">
        <v>663</v>
      </c>
      <c r="D101" s="10" t="s">
        <v>7624</v>
      </c>
      <c r="E101" t="s">
        <v>7625</v>
      </c>
      <c r="F101" s="125">
        <f>'3. Use Cases Catalog'!I89*1000000</f>
        <v>7800000</v>
      </c>
      <c r="G101" s="125">
        <f>'3. Use Cases Catalog'!I89*1000000</f>
        <v>7800000</v>
      </c>
      <c r="H101" s="10"/>
      <c r="I101" t="s">
        <v>129</v>
      </c>
      <c r="J101" s="125">
        <f>'3. Use Cases Catalog'!J89*1000000</f>
        <v>0</v>
      </c>
      <c r="K101" s="125">
        <f>'3. Use Cases Catalog'!J89*1000000</f>
        <v>0</v>
      </c>
      <c r="L101" s="123">
        <v>0.15</v>
      </c>
      <c r="M101" s="124">
        <v>12000000</v>
      </c>
      <c r="N101" t="s">
        <v>7626</v>
      </c>
      <c r="O101" s="125">
        <f t="shared" si="2"/>
        <v>1147500</v>
      </c>
      <c r="P101" s="125">
        <f>'3. Use Cases Catalog'!K89*1000000</f>
        <v>1400000</v>
      </c>
      <c r="Q101" s="126"/>
      <c r="R101" s="124"/>
      <c r="S101" s="125" t="str">
        <f t="shared" si="3"/>
        <v/>
      </c>
      <c r="T101" s="125">
        <f>'3. Use Cases Catalog'!L89*1000000</f>
        <v>0</v>
      </c>
    </row>
    <row r="102" spans="1:20" x14ac:dyDescent="0.2">
      <c r="A102" t="s">
        <v>29</v>
      </c>
      <c r="B102" t="s">
        <v>141</v>
      </c>
      <c r="C102" t="s">
        <v>668</v>
      </c>
      <c r="D102" s="10" t="s">
        <v>7627</v>
      </c>
      <c r="E102" t="s">
        <v>7628</v>
      </c>
      <c r="F102" s="125">
        <f>'3. Use Cases Catalog'!I90*1000000</f>
        <v>6000000</v>
      </c>
      <c r="G102" s="125">
        <f>'3. Use Cases Catalog'!I90*1000000</f>
        <v>6000000</v>
      </c>
      <c r="H102" s="10" t="s">
        <v>7629</v>
      </c>
      <c r="I102" t="s">
        <v>7630</v>
      </c>
      <c r="J102" s="125">
        <f>'3. Use Cases Catalog'!J90*1000000</f>
        <v>3800000</v>
      </c>
      <c r="K102" s="125">
        <f>'3. Use Cases Catalog'!J90*1000000</f>
        <v>3800000</v>
      </c>
      <c r="L102" s="123"/>
      <c r="M102" s="124"/>
      <c r="N102" t="s">
        <v>130</v>
      </c>
      <c r="O102" s="125" t="str">
        <f t="shared" si="2"/>
        <v/>
      </c>
      <c r="P102" s="125">
        <f>'3. Use Cases Catalog'!K90*1000000</f>
        <v>0</v>
      </c>
      <c r="Q102" s="126"/>
      <c r="R102" s="124"/>
      <c r="S102" s="125" t="str">
        <f t="shared" si="3"/>
        <v/>
      </c>
      <c r="T102" s="125">
        <f>'3. Use Cases Catalog'!L90*1000000</f>
        <v>0</v>
      </c>
    </row>
    <row r="103" spans="1:20" x14ac:dyDescent="0.2">
      <c r="A103" t="s">
        <v>29</v>
      </c>
      <c r="B103" t="s">
        <v>123</v>
      </c>
      <c r="C103" t="s">
        <v>30</v>
      </c>
      <c r="D103" s="10" t="s">
        <v>7631</v>
      </c>
      <c r="E103" t="s">
        <v>7632</v>
      </c>
      <c r="F103" s="125">
        <f>'3. Use Cases Catalog'!I91*1000000</f>
        <v>13200000</v>
      </c>
      <c r="G103" s="125">
        <f>'3. Use Cases Catalog'!I91*1000000</f>
        <v>13200000</v>
      </c>
      <c r="H103" s="10"/>
      <c r="I103" t="s">
        <v>129</v>
      </c>
      <c r="J103" s="125">
        <f>'3. Use Cases Catalog'!J91*1000000</f>
        <v>0</v>
      </c>
      <c r="K103" s="125">
        <f>'3. Use Cases Catalog'!J91*1000000</f>
        <v>0</v>
      </c>
      <c r="L103" s="123">
        <v>0.25</v>
      </c>
      <c r="M103" s="124">
        <v>10000000</v>
      </c>
      <c r="N103" t="s">
        <v>7633</v>
      </c>
      <c r="O103" s="125">
        <f t="shared" si="2"/>
        <v>1593750</v>
      </c>
      <c r="P103" s="125">
        <f>'3. Use Cases Catalog'!K91*1000000</f>
        <v>1900000</v>
      </c>
      <c r="Q103" s="126">
        <v>10</v>
      </c>
      <c r="R103" s="124">
        <v>43</v>
      </c>
      <c r="S103" s="125">
        <f t="shared" si="3"/>
        <v>347.22499999999997</v>
      </c>
      <c r="T103" s="125">
        <f>'3. Use Cases Catalog'!L91*1000000</f>
        <v>2100000</v>
      </c>
    </row>
    <row r="104" spans="1:20" x14ac:dyDescent="0.2">
      <c r="A104" t="s">
        <v>75</v>
      </c>
      <c r="B104" t="s">
        <v>141</v>
      </c>
      <c r="C104" t="s">
        <v>679</v>
      </c>
      <c r="D104" s="10" t="s">
        <v>7634</v>
      </c>
      <c r="E104" t="s">
        <v>7635</v>
      </c>
      <c r="F104" s="125">
        <f>'3. Use Cases Catalog'!I92*1000000</f>
        <v>11.6</v>
      </c>
      <c r="G104" s="125">
        <f>'3. Use Cases Catalog'!I92*1000000</f>
        <v>11.6</v>
      </c>
      <c r="H104" s="10"/>
      <c r="I104" t="s">
        <v>129</v>
      </c>
      <c r="J104" s="125">
        <f>'3. Use Cases Catalog'!J92*1000000</f>
        <v>0</v>
      </c>
      <c r="K104" s="125">
        <f>'3. Use Cases Catalog'!J92*1000000</f>
        <v>0</v>
      </c>
      <c r="L104" s="123"/>
      <c r="M104" s="124"/>
      <c r="N104" t="s">
        <v>130</v>
      </c>
      <c r="O104" s="125" t="str">
        <f t="shared" si="2"/>
        <v/>
      </c>
      <c r="P104" s="125">
        <f>'3. Use Cases Catalog'!K92*1000000</f>
        <v>0</v>
      </c>
      <c r="Q104" s="126">
        <v>10</v>
      </c>
      <c r="R104" s="124"/>
      <c r="S104" s="125" t="str">
        <f t="shared" si="3"/>
        <v/>
      </c>
      <c r="T104" s="125">
        <f>'3. Use Cases Catalog'!L92*1000000</f>
        <v>5.4</v>
      </c>
    </row>
    <row r="105" spans="1:20" x14ac:dyDescent="0.2">
      <c r="A105" t="s">
        <v>75</v>
      </c>
      <c r="B105" t="s">
        <v>123</v>
      </c>
      <c r="C105" t="s">
        <v>685</v>
      </c>
      <c r="D105" s="10" t="s">
        <v>7636</v>
      </c>
      <c r="E105" t="s">
        <v>7637</v>
      </c>
      <c r="F105" s="125">
        <f>'3. Use Cases Catalog'!I93*1000000</f>
        <v>1.9</v>
      </c>
      <c r="G105" s="125">
        <f>'3. Use Cases Catalog'!I93*1000000</f>
        <v>1.9</v>
      </c>
      <c r="H105" s="10" t="s">
        <v>7638</v>
      </c>
      <c r="I105" t="s">
        <v>7639</v>
      </c>
      <c r="J105" s="125">
        <f>'3. Use Cases Catalog'!J93*1000000</f>
        <v>6.8</v>
      </c>
      <c r="K105" s="125">
        <f>'3. Use Cases Catalog'!J93*1000000</f>
        <v>6.8</v>
      </c>
      <c r="L105" s="123"/>
      <c r="M105" s="124"/>
      <c r="N105" t="s">
        <v>130</v>
      </c>
      <c r="O105" s="125" t="str">
        <f t="shared" si="2"/>
        <v/>
      </c>
      <c r="P105" s="125">
        <f>'3. Use Cases Catalog'!K93*1000000</f>
        <v>0</v>
      </c>
      <c r="Q105" s="126"/>
      <c r="R105" s="124"/>
      <c r="S105" s="125" t="str">
        <f t="shared" si="3"/>
        <v/>
      </c>
      <c r="T105" s="125">
        <f>'3. Use Cases Catalog'!L93*1000000</f>
        <v>0</v>
      </c>
    </row>
    <row r="106" spans="1:20" x14ac:dyDescent="0.2">
      <c r="A106" t="s">
        <v>75</v>
      </c>
      <c r="B106" t="s">
        <v>133</v>
      </c>
      <c r="C106" t="s">
        <v>7640</v>
      </c>
      <c r="D106" s="10" t="s">
        <v>7641</v>
      </c>
      <c r="E106" t="s">
        <v>7642</v>
      </c>
      <c r="F106" s="125">
        <f>'3. Use Cases Catalog'!I94*1000000</f>
        <v>4.9000000000000004</v>
      </c>
      <c r="G106" s="125">
        <f>'3. Use Cases Catalog'!I94*1000000</f>
        <v>4.9000000000000004</v>
      </c>
      <c r="H106" s="10"/>
      <c r="I106" t="s">
        <v>129</v>
      </c>
      <c r="J106" s="125">
        <f>'3. Use Cases Catalog'!J94*1000000</f>
        <v>0</v>
      </c>
      <c r="K106" s="125">
        <f>'3. Use Cases Catalog'!J94*1000000</f>
        <v>0</v>
      </c>
      <c r="L106" s="123">
        <v>0.4</v>
      </c>
      <c r="M106" s="124">
        <v>2800000</v>
      </c>
      <c r="N106" t="s">
        <v>7643</v>
      </c>
      <c r="O106" s="125">
        <f t="shared" si="2"/>
        <v>714000</v>
      </c>
      <c r="P106" s="125">
        <f>'3. Use Cases Catalog'!K94*1000000</f>
        <v>2.8</v>
      </c>
      <c r="Q106" s="126"/>
      <c r="R106" s="124"/>
      <c r="S106" s="125" t="str">
        <f t="shared" si="3"/>
        <v/>
      </c>
      <c r="T106" s="125">
        <f>'3. Use Cases Catalog'!L94*1000000</f>
        <v>0</v>
      </c>
    </row>
    <row r="107" spans="1:20" x14ac:dyDescent="0.2">
      <c r="A107" t="s">
        <v>75</v>
      </c>
      <c r="B107" t="s">
        <v>156</v>
      </c>
      <c r="C107" t="s">
        <v>697</v>
      </c>
      <c r="D107" s="10" t="s">
        <v>7644</v>
      </c>
      <c r="E107" t="s">
        <v>7645</v>
      </c>
      <c r="F107" s="125">
        <f>'3. Use Cases Catalog'!I95*1000000</f>
        <v>7.8</v>
      </c>
      <c r="G107" s="125">
        <f>'3. Use Cases Catalog'!I95*1000000</f>
        <v>7.8</v>
      </c>
      <c r="H107" s="10"/>
      <c r="I107" t="s">
        <v>129</v>
      </c>
      <c r="J107" s="125">
        <f>'3. Use Cases Catalog'!J95*1000000</f>
        <v>0</v>
      </c>
      <c r="K107" s="125">
        <f>'3. Use Cases Catalog'!J95*1000000</f>
        <v>0</v>
      </c>
      <c r="L107" s="123"/>
      <c r="M107" s="124"/>
      <c r="N107" t="s">
        <v>130</v>
      </c>
      <c r="O107" s="125" t="str">
        <f t="shared" si="2"/>
        <v/>
      </c>
      <c r="P107" s="125">
        <f>'3. Use Cases Catalog'!K95*1000000</f>
        <v>0</v>
      </c>
      <c r="Q107" s="126"/>
      <c r="R107" s="124"/>
      <c r="S107" s="125" t="str">
        <f t="shared" si="3"/>
        <v/>
      </c>
      <c r="T107" s="125">
        <f>'3. Use Cases Catalog'!L95*1000000</f>
        <v>0</v>
      </c>
    </row>
    <row r="108" spans="1:20" x14ac:dyDescent="0.2">
      <c r="A108" t="s">
        <v>75</v>
      </c>
      <c r="B108" t="s">
        <v>164</v>
      </c>
      <c r="C108" t="s">
        <v>701</v>
      </c>
      <c r="D108" s="10" t="s">
        <v>7646</v>
      </c>
      <c r="E108" t="s">
        <v>7647</v>
      </c>
      <c r="F108" s="125">
        <f>'3. Use Cases Catalog'!I96*1000000</f>
        <v>3.9</v>
      </c>
      <c r="G108" s="125">
        <f>'3. Use Cases Catalog'!I96*1000000</f>
        <v>3.9</v>
      </c>
      <c r="H108" s="10"/>
      <c r="I108" t="s">
        <v>129</v>
      </c>
      <c r="J108" s="125">
        <f>'3. Use Cases Catalog'!J96*1000000</f>
        <v>0</v>
      </c>
      <c r="K108" s="125">
        <f>'3. Use Cases Catalog'!J96*1000000</f>
        <v>0</v>
      </c>
      <c r="L108" s="123"/>
      <c r="M108" s="124"/>
      <c r="N108" t="s">
        <v>130</v>
      </c>
      <c r="O108" s="125" t="str">
        <f t="shared" si="2"/>
        <v/>
      </c>
      <c r="P108" s="125">
        <f>'3. Use Cases Catalog'!K96*1000000</f>
        <v>0</v>
      </c>
      <c r="Q108" s="126"/>
      <c r="R108" s="124"/>
      <c r="S108" s="125" t="str">
        <f t="shared" si="3"/>
        <v/>
      </c>
      <c r="T108" s="125">
        <f>'3. Use Cases Catalog'!L96*1000000</f>
        <v>0</v>
      </c>
    </row>
    <row r="109" spans="1:20" x14ac:dyDescent="0.2">
      <c r="A109" t="s">
        <v>75</v>
      </c>
      <c r="B109" t="s">
        <v>186</v>
      </c>
      <c r="C109" t="s">
        <v>704</v>
      </c>
      <c r="D109" s="10" t="s">
        <v>7648</v>
      </c>
      <c r="E109" t="s">
        <v>7649</v>
      </c>
      <c r="F109" s="125">
        <f>'3. Use Cases Catalog'!I97*1000000</f>
        <v>2.2000000000000002</v>
      </c>
      <c r="G109" s="125">
        <f>'3. Use Cases Catalog'!I97*1000000</f>
        <v>2.2000000000000002</v>
      </c>
      <c r="H109" s="10"/>
      <c r="I109" t="s">
        <v>129</v>
      </c>
      <c r="J109" s="125">
        <f>'3. Use Cases Catalog'!J97*1000000</f>
        <v>0</v>
      </c>
      <c r="K109" s="125">
        <f>'3. Use Cases Catalog'!J97*1000000</f>
        <v>0</v>
      </c>
      <c r="L109" s="123"/>
      <c r="M109" s="124"/>
      <c r="N109" t="s">
        <v>130</v>
      </c>
      <c r="O109" s="125" t="str">
        <f t="shared" si="2"/>
        <v/>
      </c>
      <c r="P109" s="125">
        <f>'3. Use Cases Catalog'!K97*1000000</f>
        <v>0</v>
      </c>
      <c r="Q109" s="126"/>
      <c r="R109" s="124"/>
      <c r="S109" s="125" t="str">
        <f t="shared" si="3"/>
        <v/>
      </c>
      <c r="T109" s="125">
        <f>'3. Use Cases Catalog'!L97*1000000</f>
        <v>0</v>
      </c>
    </row>
    <row r="110" spans="1:20" x14ac:dyDescent="0.2">
      <c r="A110" t="s">
        <v>75</v>
      </c>
      <c r="B110" t="s">
        <v>149</v>
      </c>
      <c r="C110" t="s">
        <v>708</v>
      </c>
      <c r="D110" s="10" t="s">
        <v>7650</v>
      </c>
      <c r="E110" t="s">
        <v>7651</v>
      </c>
      <c r="F110" s="125">
        <f>'3. Use Cases Catalog'!I98*1000000</f>
        <v>6.2</v>
      </c>
      <c r="G110" s="125">
        <f>'3. Use Cases Catalog'!I98*1000000</f>
        <v>6.2</v>
      </c>
      <c r="H110" s="10"/>
      <c r="I110" t="s">
        <v>129</v>
      </c>
      <c r="J110" s="125">
        <f>'3. Use Cases Catalog'!J98*1000000</f>
        <v>0</v>
      </c>
      <c r="K110" s="125">
        <f>'3. Use Cases Catalog'!J98*1000000</f>
        <v>0</v>
      </c>
      <c r="L110" s="123"/>
      <c r="M110" s="124"/>
      <c r="N110" t="s">
        <v>130</v>
      </c>
      <c r="O110" s="125" t="str">
        <f t="shared" si="2"/>
        <v/>
      </c>
      <c r="P110" s="125">
        <f>'3. Use Cases Catalog'!K98*1000000</f>
        <v>0</v>
      </c>
      <c r="Q110" s="126"/>
      <c r="R110" s="124"/>
      <c r="S110" s="125" t="str">
        <f t="shared" si="3"/>
        <v/>
      </c>
      <c r="T110" s="125">
        <f>'3. Use Cases Catalog'!L98*1000000</f>
        <v>0</v>
      </c>
    </row>
    <row r="111" spans="1:20" x14ac:dyDescent="0.2">
      <c r="A111" t="s">
        <v>75</v>
      </c>
      <c r="B111" t="s">
        <v>172</v>
      </c>
      <c r="C111" t="s">
        <v>712</v>
      </c>
      <c r="D111" s="10" t="s">
        <v>7652</v>
      </c>
      <c r="E111" t="s">
        <v>7653</v>
      </c>
      <c r="F111" s="125">
        <f>'3. Use Cases Catalog'!I99*1000000</f>
        <v>3.3</v>
      </c>
      <c r="G111" s="125">
        <f>'3. Use Cases Catalog'!I99*1000000</f>
        <v>3.3</v>
      </c>
      <c r="H111" s="10" t="s">
        <v>7654</v>
      </c>
      <c r="I111" t="s">
        <v>7655</v>
      </c>
      <c r="J111" s="125">
        <f>'3. Use Cases Catalog'!J99*1000000</f>
        <v>4.5</v>
      </c>
      <c r="K111" s="125">
        <f>'3. Use Cases Catalog'!J99*1000000</f>
        <v>4.5</v>
      </c>
      <c r="L111" s="123"/>
      <c r="M111" s="124"/>
      <c r="N111" t="s">
        <v>130</v>
      </c>
      <c r="O111" s="125" t="str">
        <f t="shared" si="2"/>
        <v/>
      </c>
      <c r="P111" s="125">
        <f>'3. Use Cases Catalog'!K99*1000000</f>
        <v>0</v>
      </c>
      <c r="Q111" s="126"/>
      <c r="R111" s="124"/>
      <c r="S111" s="125" t="str">
        <f t="shared" si="3"/>
        <v/>
      </c>
      <c r="T111" s="125">
        <f>'3. Use Cases Catalog'!L99*1000000</f>
        <v>0</v>
      </c>
    </row>
    <row r="112" spans="1:20" x14ac:dyDescent="0.2">
      <c r="A112" t="s">
        <v>75</v>
      </c>
      <c r="B112" t="s">
        <v>179</v>
      </c>
      <c r="C112" t="s">
        <v>716</v>
      </c>
      <c r="D112" s="10" t="s">
        <v>7656</v>
      </c>
      <c r="E112" t="s">
        <v>7657</v>
      </c>
      <c r="F112" s="125">
        <f>'3. Use Cases Catalog'!I100*1000000</f>
        <v>3.1</v>
      </c>
      <c r="G112" s="125">
        <f>'3. Use Cases Catalog'!I100*1000000</f>
        <v>3.1</v>
      </c>
      <c r="H112" s="10"/>
      <c r="I112" t="s">
        <v>129</v>
      </c>
      <c r="J112" s="125">
        <f>'3. Use Cases Catalog'!J100*1000000</f>
        <v>0</v>
      </c>
      <c r="K112" s="125">
        <f>'3. Use Cases Catalog'!J100*1000000</f>
        <v>0</v>
      </c>
      <c r="L112" s="123">
        <v>0.3</v>
      </c>
      <c r="M112" s="124">
        <v>2100000</v>
      </c>
      <c r="N112" t="s">
        <v>7658</v>
      </c>
      <c r="O112" s="125">
        <f t="shared" si="2"/>
        <v>401625</v>
      </c>
      <c r="P112" s="125">
        <f>'3. Use Cases Catalog'!K100*1000000</f>
        <v>2.1</v>
      </c>
      <c r="Q112" s="126"/>
      <c r="R112" s="124"/>
      <c r="S112" s="125" t="str">
        <f t="shared" si="3"/>
        <v/>
      </c>
      <c r="T112" s="125">
        <f>'3. Use Cases Catalog'!L100*1000000</f>
        <v>0</v>
      </c>
    </row>
    <row r="113" spans="1:20" x14ac:dyDescent="0.2">
      <c r="A113" t="s">
        <v>75</v>
      </c>
      <c r="B113" t="s">
        <v>194</v>
      </c>
      <c r="C113" t="s">
        <v>721</v>
      </c>
      <c r="D113" s="10" t="s">
        <v>7659</v>
      </c>
      <c r="E113" t="s">
        <v>7660</v>
      </c>
      <c r="F113" s="125">
        <f>'3. Use Cases Catalog'!I101*1000000</f>
        <v>1.2</v>
      </c>
      <c r="G113" s="125">
        <f>'3. Use Cases Catalog'!I101*1000000</f>
        <v>1.2</v>
      </c>
      <c r="H113" s="10"/>
      <c r="I113" t="s">
        <v>129</v>
      </c>
      <c r="J113" s="125">
        <f>'3. Use Cases Catalog'!J101*1000000</f>
        <v>0</v>
      </c>
      <c r="K113" s="125">
        <f>'3. Use Cases Catalog'!J101*1000000</f>
        <v>0</v>
      </c>
      <c r="L113" s="123"/>
      <c r="M113" s="124"/>
      <c r="N113" t="s">
        <v>130</v>
      </c>
      <c r="O113" s="125" t="str">
        <f t="shared" si="2"/>
        <v/>
      </c>
      <c r="P113" s="125">
        <f>'3. Use Cases Catalog'!K101*1000000</f>
        <v>0</v>
      </c>
      <c r="Q113" s="126"/>
      <c r="R113" s="124"/>
      <c r="S113" s="125" t="str">
        <f t="shared" si="3"/>
        <v/>
      </c>
      <c r="T113" s="125">
        <f>'3. Use Cases Catalog'!L101*1000000</f>
        <v>0</v>
      </c>
    </row>
    <row r="114" spans="1:20" x14ac:dyDescent="0.2">
      <c r="A114" t="s">
        <v>97</v>
      </c>
      <c r="B114" t="s">
        <v>141</v>
      </c>
      <c r="C114" t="s">
        <v>726</v>
      </c>
      <c r="D114" s="10"/>
      <c r="E114" t="s">
        <v>1009</v>
      </c>
      <c r="F114" s="125">
        <f>'3. Use Cases Catalog'!I102*1000000</f>
        <v>1.9</v>
      </c>
      <c r="G114" s="125">
        <f>'3. Use Cases Catalog'!I102*1000000</f>
        <v>1.9</v>
      </c>
      <c r="H114" s="10" t="s">
        <v>7661</v>
      </c>
      <c r="I114" t="s">
        <v>7662</v>
      </c>
      <c r="J114" s="125">
        <f>'3. Use Cases Catalog'!J102*1000000</f>
        <v>1.9</v>
      </c>
      <c r="K114" s="125">
        <f>'3. Use Cases Catalog'!J102*1000000</f>
        <v>1.9</v>
      </c>
      <c r="L114" s="123">
        <v>0.15</v>
      </c>
      <c r="M114" s="124">
        <v>2000000</v>
      </c>
      <c r="N114" t="s">
        <v>7663</v>
      </c>
      <c r="O114" s="125">
        <f t="shared" si="2"/>
        <v>191250</v>
      </c>
      <c r="P114" s="125">
        <f>'3. Use Cases Catalog'!K102*1000000</f>
        <v>200000</v>
      </c>
      <c r="Q114" s="126"/>
      <c r="R114" s="124"/>
      <c r="S114" s="125" t="str">
        <f t="shared" si="3"/>
        <v/>
      </c>
      <c r="T114" s="125">
        <f>'3. Use Cases Catalog'!L102*1000000</f>
        <v>0</v>
      </c>
    </row>
    <row r="115" spans="1:20" x14ac:dyDescent="0.2">
      <c r="A115" t="s">
        <v>97</v>
      </c>
      <c r="B115" t="s">
        <v>149</v>
      </c>
      <c r="C115" t="s">
        <v>731</v>
      </c>
      <c r="D115" s="10" t="s">
        <v>7664</v>
      </c>
      <c r="E115" t="s">
        <v>7665</v>
      </c>
      <c r="F115" s="125">
        <f>'3. Use Cases Catalog'!I103*1000000</f>
        <v>800000</v>
      </c>
      <c r="G115" s="125">
        <f>'3. Use Cases Catalog'!I103*1000000</f>
        <v>800000</v>
      </c>
      <c r="H115" s="10" t="s">
        <v>7666</v>
      </c>
      <c r="I115" t="s">
        <v>7667</v>
      </c>
      <c r="J115" s="125">
        <f>'3. Use Cases Catalog'!J103*1000000</f>
        <v>5.0999999999999996</v>
      </c>
      <c r="K115" s="125">
        <f>'3. Use Cases Catalog'!J103*1000000</f>
        <v>5.0999999999999996</v>
      </c>
      <c r="L115" s="123"/>
      <c r="M115" s="124"/>
      <c r="N115" t="s">
        <v>130</v>
      </c>
      <c r="O115" s="125" t="str">
        <f t="shared" si="2"/>
        <v/>
      </c>
      <c r="P115" s="125">
        <f>'3. Use Cases Catalog'!K103*1000000</f>
        <v>0</v>
      </c>
      <c r="Q115" s="126">
        <v>14</v>
      </c>
      <c r="R115" s="124">
        <v>31</v>
      </c>
      <c r="S115" s="125">
        <f t="shared" si="3"/>
        <v>350.45499999999993</v>
      </c>
      <c r="T115" s="125">
        <f>'3. Use Cases Catalog'!L103*1000000</f>
        <v>600000</v>
      </c>
    </row>
    <row r="116" spans="1:20" x14ac:dyDescent="0.2">
      <c r="A116" t="s">
        <v>97</v>
      </c>
      <c r="B116" t="s">
        <v>133</v>
      </c>
      <c r="C116" t="s">
        <v>737</v>
      </c>
      <c r="D116" s="10" t="s">
        <v>7668</v>
      </c>
      <c r="E116" t="s">
        <v>7669</v>
      </c>
      <c r="F116" s="125">
        <f>'3. Use Cases Catalog'!I104*1000000</f>
        <v>400000</v>
      </c>
      <c r="G116" s="125">
        <f>'3. Use Cases Catalog'!I104*1000000</f>
        <v>400000</v>
      </c>
      <c r="H116" s="10"/>
      <c r="I116" t="s">
        <v>129</v>
      </c>
      <c r="J116" s="125">
        <f>'3. Use Cases Catalog'!J104*1000000</f>
        <v>0</v>
      </c>
      <c r="K116" s="125">
        <f>'3. Use Cases Catalog'!J104*1000000</f>
        <v>0</v>
      </c>
      <c r="L116" s="123">
        <v>0.2</v>
      </c>
      <c r="M116" s="124">
        <v>2500000</v>
      </c>
      <c r="N116" t="s">
        <v>7670</v>
      </c>
      <c r="O116" s="125">
        <f t="shared" si="2"/>
        <v>318750</v>
      </c>
      <c r="P116" s="125">
        <f>'3. Use Cases Catalog'!K104*1000000</f>
        <v>300000</v>
      </c>
      <c r="Q116" s="126"/>
      <c r="R116" s="124"/>
      <c r="S116" s="125" t="str">
        <f t="shared" si="3"/>
        <v/>
      </c>
      <c r="T116" s="125">
        <f>'3. Use Cases Catalog'!L104*1000000</f>
        <v>0</v>
      </c>
    </row>
    <row r="117" spans="1:20" x14ac:dyDescent="0.2">
      <c r="A117" t="s">
        <v>97</v>
      </c>
      <c r="B117" t="s">
        <v>123</v>
      </c>
      <c r="C117" t="s">
        <v>7671</v>
      </c>
      <c r="D117" s="10" t="s">
        <v>7672</v>
      </c>
      <c r="E117" t="s">
        <v>7673</v>
      </c>
      <c r="F117" s="125">
        <f>'3. Use Cases Catalog'!I105*1000000</f>
        <v>700000</v>
      </c>
      <c r="G117" s="125">
        <f>'3. Use Cases Catalog'!I105*1000000</f>
        <v>700000</v>
      </c>
      <c r="H117" s="10"/>
      <c r="I117" t="s">
        <v>129</v>
      </c>
      <c r="J117" s="125">
        <f>'3. Use Cases Catalog'!J105*1000000</f>
        <v>0</v>
      </c>
      <c r="K117" s="125">
        <f>'3. Use Cases Catalog'!J105*1000000</f>
        <v>0</v>
      </c>
      <c r="L117" s="123">
        <v>0.25</v>
      </c>
      <c r="M117" s="124">
        <v>5000000</v>
      </c>
      <c r="N117" t="s">
        <v>7508</v>
      </c>
      <c r="O117" s="125">
        <f t="shared" si="2"/>
        <v>796875</v>
      </c>
      <c r="P117" s="125">
        <f>'3. Use Cases Catalog'!K105*1000000</f>
        <v>800000</v>
      </c>
      <c r="Q117" s="126"/>
      <c r="R117" s="124"/>
      <c r="S117" s="125" t="str">
        <f t="shared" si="3"/>
        <v/>
      </c>
      <c r="T117" s="125">
        <f>'3. Use Cases Catalog'!L105*1000000</f>
        <v>0</v>
      </c>
    </row>
    <row r="118" spans="1:20" x14ac:dyDescent="0.2">
      <c r="A118" t="s">
        <v>97</v>
      </c>
      <c r="B118" t="s">
        <v>156</v>
      </c>
      <c r="C118" t="s">
        <v>748</v>
      </c>
      <c r="D118" s="10" t="s">
        <v>7674</v>
      </c>
      <c r="E118" t="s">
        <v>7675</v>
      </c>
      <c r="F118" s="125">
        <f>'3. Use Cases Catalog'!I106*1000000</f>
        <v>300000</v>
      </c>
      <c r="G118" s="125">
        <f>'3. Use Cases Catalog'!I106*1000000</f>
        <v>300000</v>
      </c>
      <c r="H118" s="10" t="s">
        <v>7676</v>
      </c>
      <c r="I118" t="s">
        <v>7677</v>
      </c>
      <c r="J118" s="125">
        <f>'3. Use Cases Catalog'!J106*1000000</f>
        <v>1.7</v>
      </c>
      <c r="K118" s="125">
        <f>'3. Use Cases Catalog'!J106*1000000</f>
        <v>1.7</v>
      </c>
      <c r="L118" s="123"/>
      <c r="M118" s="124"/>
      <c r="N118" t="s">
        <v>130</v>
      </c>
      <c r="O118" s="125" t="str">
        <f t="shared" si="2"/>
        <v/>
      </c>
      <c r="P118" s="125">
        <f>'3. Use Cases Catalog'!K106*1000000</f>
        <v>0</v>
      </c>
      <c r="Q118" s="126"/>
      <c r="R118" s="124"/>
      <c r="S118" s="125" t="str">
        <f t="shared" si="3"/>
        <v/>
      </c>
      <c r="T118" s="125">
        <f>'3. Use Cases Catalog'!L106*1000000</f>
        <v>0</v>
      </c>
    </row>
    <row r="119" spans="1:20" x14ac:dyDescent="0.2">
      <c r="A119" t="s">
        <v>97</v>
      </c>
      <c r="B119" t="s">
        <v>164</v>
      </c>
      <c r="C119" t="s">
        <v>753</v>
      </c>
      <c r="D119" s="10" t="s">
        <v>7678</v>
      </c>
      <c r="E119" t="s">
        <v>7679</v>
      </c>
      <c r="F119" s="125">
        <f>'3. Use Cases Catalog'!I107*1000000</f>
        <v>600000</v>
      </c>
      <c r="G119" s="125">
        <f>'3. Use Cases Catalog'!I107*1000000</f>
        <v>600000</v>
      </c>
      <c r="H119" s="10" t="s">
        <v>7680</v>
      </c>
      <c r="I119" t="s">
        <v>7681</v>
      </c>
      <c r="J119" s="125">
        <f>'3. Use Cases Catalog'!J107*1000000</f>
        <v>800000</v>
      </c>
      <c r="K119" s="125">
        <f>'3. Use Cases Catalog'!J107*1000000</f>
        <v>800000</v>
      </c>
      <c r="L119" s="123">
        <v>0.1</v>
      </c>
      <c r="M119" s="124">
        <v>1500000</v>
      </c>
      <c r="N119" t="s">
        <v>7682</v>
      </c>
      <c r="O119" s="125">
        <f t="shared" si="2"/>
        <v>95625</v>
      </c>
      <c r="P119" s="125">
        <f>'3. Use Cases Catalog'!K107*1000000</f>
        <v>100000</v>
      </c>
      <c r="Q119" s="126">
        <v>7</v>
      </c>
      <c r="R119" s="124">
        <v>31</v>
      </c>
      <c r="S119" s="125">
        <f t="shared" si="3"/>
        <v>175.22749999999996</v>
      </c>
      <c r="T119" s="125">
        <f>'3. Use Cases Catalog'!L107*1000000</f>
        <v>200000</v>
      </c>
    </row>
    <row r="120" spans="1:20" x14ac:dyDescent="0.2">
      <c r="A120" t="s">
        <v>97</v>
      </c>
      <c r="B120" t="s">
        <v>172</v>
      </c>
      <c r="C120" t="s">
        <v>760</v>
      </c>
      <c r="D120" s="10" t="s">
        <v>7683</v>
      </c>
      <c r="E120" t="s">
        <v>7684</v>
      </c>
      <c r="F120" s="125">
        <f>'3. Use Cases Catalog'!I108*1000000</f>
        <v>400000</v>
      </c>
      <c r="G120" s="125">
        <f>'3. Use Cases Catalog'!I108*1000000</f>
        <v>400000</v>
      </c>
      <c r="H120" s="10"/>
      <c r="I120" t="s">
        <v>129</v>
      </c>
      <c r="J120" s="125">
        <f>'3. Use Cases Catalog'!J108*1000000</f>
        <v>0</v>
      </c>
      <c r="K120" s="125">
        <f>'3. Use Cases Catalog'!J108*1000000</f>
        <v>0</v>
      </c>
      <c r="L120" s="123">
        <v>0.3</v>
      </c>
      <c r="M120" s="124">
        <v>2200000</v>
      </c>
      <c r="N120" t="s">
        <v>7518</v>
      </c>
      <c r="O120" s="125">
        <f t="shared" si="2"/>
        <v>420750</v>
      </c>
      <c r="P120" s="125">
        <f>'3. Use Cases Catalog'!K108*1000000</f>
        <v>400000</v>
      </c>
      <c r="Q120" s="126"/>
      <c r="R120" s="124"/>
      <c r="S120" s="125" t="str">
        <f t="shared" si="3"/>
        <v/>
      </c>
      <c r="T120" s="125">
        <f>'3. Use Cases Catalog'!L108*1000000</f>
        <v>0</v>
      </c>
    </row>
    <row r="121" spans="1:20" x14ac:dyDescent="0.2">
      <c r="A121" t="s">
        <v>97</v>
      </c>
      <c r="B121" t="s">
        <v>179</v>
      </c>
      <c r="C121" t="s">
        <v>766</v>
      </c>
      <c r="D121" s="10" t="s">
        <v>7685</v>
      </c>
      <c r="E121" t="s">
        <v>7686</v>
      </c>
      <c r="F121" s="125">
        <f>'3. Use Cases Catalog'!I109*1000000</f>
        <v>500000</v>
      </c>
      <c r="G121" s="125">
        <f>'3. Use Cases Catalog'!I109*1000000</f>
        <v>500000</v>
      </c>
      <c r="H121" s="10" t="s">
        <v>7687</v>
      </c>
      <c r="I121" t="s">
        <v>7688</v>
      </c>
      <c r="J121" s="125">
        <f>'3. Use Cases Catalog'!J109*1000000</f>
        <v>1.2</v>
      </c>
      <c r="K121" s="125">
        <f>'3. Use Cases Catalog'!J109*1000000</f>
        <v>1.2</v>
      </c>
      <c r="L121" s="123"/>
      <c r="M121" s="124"/>
      <c r="N121" t="s">
        <v>130</v>
      </c>
      <c r="O121" s="125" t="str">
        <f t="shared" si="2"/>
        <v/>
      </c>
      <c r="P121" s="125">
        <f>'3. Use Cases Catalog'!K109*1000000</f>
        <v>0</v>
      </c>
      <c r="Q121" s="126">
        <v>14</v>
      </c>
      <c r="R121" s="124">
        <v>31</v>
      </c>
      <c r="S121" s="125">
        <f t="shared" si="3"/>
        <v>350.45499999999993</v>
      </c>
      <c r="T121" s="125">
        <f>'3. Use Cases Catalog'!L109*1000000</f>
        <v>400000</v>
      </c>
    </row>
    <row r="122" spans="1:20" x14ac:dyDescent="0.2">
      <c r="A122" t="s">
        <v>97</v>
      </c>
      <c r="B122" t="s">
        <v>186</v>
      </c>
      <c r="C122" t="s">
        <v>771</v>
      </c>
      <c r="D122" s="10" t="s">
        <v>7689</v>
      </c>
      <c r="E122" t="s">
        <v>7690</v>
      </c>
      <c r="F122" s="125">
        <f>'3. Use Cases Catalog'!I110*1000000</f>
        <v>300000</v>
      </c>
      <c r="G122" s="125">
        <f>'3. Use Cases Catalog'!I110*1000000</f>
        <v>300000</v>
      </c>
      <c r="H122" s="10" t="s">
        <v>7691</v>
      </c>
      <c r="I122" t="s">
        <v>7692</v>
      </c>
      <c r="J122" s="125">
        <f>'3. Use Cases Catalog'!J110*1000000</f>
        <v>1.1000000000000001</v>
      </c>
      <c r="K122" s="125">
        <f>'3. Use Cases Catalog'!J110*1000000</f>
        <v>1.1000000000000001</v>
      </c>
      <c r="L122" s="123"/>
      <c r="M122" s="124"/>
      <c r="N122" t="s">
        <v>130</v>
      </c>
      <c r="O122" s="125" t="str">
        <f t="shared" si="2"/>
        <v/>
      </c>
      <c r="P122" s="125">
        <f>'3. Use Cases Catalog'!K110*1000000</f>
        <v>0</v>
      </c>
      <c r="Q122" s="126"/>
      <c r="R122" s="124"/>
      <c r="S122" s="125" t="str">
        <f t="shared" si="3"/>
        <v/>
      </c>
      <c r="T122" s="125">
        <f>'3. Use Cases Catalog'!L110*1000000</f>
        <v>0</v>
      </c>
    </row>
    <row r="123" spans="1:20" x14ac:dyDescent="0.2">
      <c r="A123" t="s">
        <v>97</v>
      </c>
      <c r="B123" t="s">
        <v>194</v>
      </c>
      <c r="C123" t="s">
        <v>777</v>
      </c>
      <c r="D123" s="10" t="s">
        <v>7693</v>
      </c>
      <c r="E123" t="s">
        <v>7694</v>
      </c>
      <c r="F123" s="125">
        <f>'3. Use Cases Catalog'!I111*1000000</f>
        <v>200000</v>
      </c>
      <c r="G123" s="125">
        <f>'3. Use Cases Catalog'!I111*1000000</f>
        <v>200000</v>
      </c>
      <c r="H123" s="10" t="s">
        <v>7695</v>
      </c>
      <c r="I123" t="s">
        <v>7696</v>
      </c>
      <c r="J123" s="125">
        <f>'3. Use Cases Catalog'!J111*1000000</f>
        <v>2.8</v>
      </c>
      <c r="K123" s="125">
        <f>'3. Use Cases Catalog'!J111*1000000</f>
        <v>2.8</v>
      </c>
      <c r="L123" s="123"/>
      <c r="M123" s="124"/>
      <c r="N123" t="s">
        <v>130</v>
      </c>
      <c r="O123" s="125" t="str">
        <f t="shared" si="2"/>
        <v/>
      </c>
      <c r="P123" s="125">
        <f>'3. Use Cases Catalog'!K111*1000000</f>
        <v>0</v>
      </c>
      <c r="Q123" s="126"/>
      <c r="R123" s="124"/>
      <c r="S123" s="125" t="str">
        <f t="shared" si="3"/>
        <v/>
      </c>
      <c r="T123" s="125">
        <f>'3. Use Cases Catalog'!L111*1000000</f>
        <v>0</v>
      </c>
    </row>
    <row r="124" spans="1:20" x14ac:dyDescent="0.2">
      <c r="A124" t="s">
        <v>78</v>
      </c>
      <c r="B124" t="s">
        <v>123</v>
      </c>
      <c r="C124" t="s">
        <v>783</v>
      </c>
      <c r="D124" s="10" t="s">
        <v>7697</v>
      </c>
      <c r="E124" t="s">
        <v>7698</v>
      </c>
      <c r="F124" s="125">
        <f>'3. Use Cases Catalog'!I112*1000000</f>
        <v>3200000</v>
      </c>
      <c r="G124" s="125">
        <f>'3. Use Cases Catalog'!I112*1000000</f>
        <v>3200000</v>
      </c>
      <c r="H124" s="10" t="s">
        <v>7699</v>
      </c>
      <c r="I124" t="s">
        <v>7700</v>
      </c>
      <c r="J124" s="125">
        <f>'3. Use Cases Catalog'!J112*1000000</f>
        <v>2100000</v>
      </c>
      <c r="K124" s="125">
        <f>'3. Use Cases Catalog'!J112*1000000</f>
        <v>2100000</v>
      </c>
      <c r="L124" s="123"/>
      <c r="M124" s="124"/>
      <c r="N124" t="s">
        <v>130</v>
      </c>
      <c r="O124" s="125" t="str">
        <f t="shared" si="2"/>
        <v/>
      </c>
      <c r="P124" s="125">
        <f>'3. Use Cases Catalog'!K112*1000000</f>
        <v>0</v>
      </c>
      <c r="Q124" s="126"/>
      <c r="R124" s="124"/>
      <c r="S124" s="125" t="str">
        <f t="shared" si="3"/>
        <v/>
      </c>
      <c r="T124" s="125">
        <f>'3. Use Cases Catalog'!L112*1000000</f>
        <v>0</v>
      </c>
    </row>
    <row r="125" spans="1:20" x14ac:dyDescent="0.2">
      <c r="A125" t="s">
        <v>78</v>
      </c>
      <c r="B125" t="s">
        <v>149</v>
      </c>
      <c r="C125" t="s">
        <v>790</v>
      </c>
      <c r="D125" s="10" t="s">
        <v>7542</v>
      </c>
      <c r="E125" t="s">
        <v>7701</v>
      </c>
      <c r="F125" s="125">
        <f>'3. Use Cases Catalog'!I113*1000000</f>
        <v>900000</v>
      </c>
      <c r="G125" s="125">
        <f>'3. Use Cases Catalog'!I113*1000000</f>
        <v>900000</v>
      </c>
      <c r="H125" s="10" t="s">
        <v>7702</v>
      </c>
      <c r="I125" t="s">
        <v>7703</v>
      </c>
      <c r="J125" s="125">
        <f>'3. Use Cases Catalog'!J113*1000000</f>
        <v>1600000</v>
      </c>
      <c r="K125" s="125">
        <f>'3. Use Cases Catalog'!J113*1000000</f>
        <v>1600000</v>
      </c>
      <c r="L125" s="123"/>
      <c r="M125" s="124"/>
      <c r="N125" t="s">
        <v>130</v>
      </c>
      <c r="O125" s="125" t="str">
        <f t="shared" si="2"/>
        <v/>
      </c>
      <c r="P125" s="125">
        <f>'3. Use Cases Catalog'!K113*1000000</f>
        <v>0</v>
      </c>
      <c r="Q125" s="126">
        <v>26</v>
      </c>
      <c r="R125" s="124">
        <v>205</v>
      </c>
      <c r="S125" s="125">
        <f t="shared" si="3"/>
        <v>4303.9749999999995</v>
      </c>
      <c r="T125" s="125">
        <f>'3. Use Cases Catalog'!L113*1000000</f>
        <v>3900000</v>
      </c>
    </row>
    <row r="126" spans="1:20" x14ac:dyDescent="0.2">
      <c r="A126" t="s">
        <v>78</v>
      </c>
      <c r="B126" t="s">
        <v>133</v>
      </c>
      <c r="C126" t="s">
        <v>795</v>
      </c>
      <c r="D126" s="10" t="s">
        <v>7704</v>
      </c>
      <c r="E126" t="s">
        <v>7705</v>
      </c>
      <c r="F126" s="125">
        <f>'3. Use Cases Catalog'!I114*1000000</f>
        <v>1700000</v>
      </c>
      <c r="G126" s="125">
        <f>'3. Use Cases Catalog'!I114*1000000</f>
        <v>1700000</v>
      </c>
      <c r="H126" s="10"/>
      <c r="I126" t="s">
        <v>129</v>
      </c>
      <c r="J126" s="125">
        <f>'3. Use Cases Catalog'!J114*1000000</f>
        <v>0</v>
      </c>
      <c r="K126" s="125">
        <f>'3. Use Cases Catalog'!J114*1000000</f>
        <v>0</v>
      </c>
      <c r="L126" s="123">
        <v>0.25</v>
      </c>
      <c r="M126" s="124">
        <v>9000000</v>
      </c>
      <c r="N126" t="s">
        <v>7518</v>
      </c>
      <c r="O126" s="125">
        <f t="shared" si="2"/>
        <v>1434375</v>
      </c>
      <c r="P126" s="125">
        <f>'3. Use Cases Catalog'!K114*1000000</f>
        <v>1700000</v>
      </c>
      <c r="Q126" s="126"/>
      <c r="R126" s="124"/>
      <c r="S126" s="125" t="str">
        <f t="shared" si="3"/>
        <v/>
      </c>
      <c r="T126" s="125">
        <f>'3. Use Cases Catalog'!L114*1000000</f>
        <v>0</v>
      </c>
    </row>
    <row r="127" spans="1:20" x14ac:dyDescent="0.2">
      <c r="A127" t="s">
        <v>78</v>
      </c>
      <c r="B127" t="s">
        <v>179</v>
      </c>
      <c r="C127" t="s">
        <v>801</v>
      </c>
      <c r="D127" s="10" t="s">
        <v>7706</v>
      </c>
      <c r="E127" t="s">
        <v>7707</v>
      </c>
      <c r="F127" s="125">
        <f>'3. Use Cases Catalog'!I115*1000000</f>
        <v>600000</v>
      </c>
      <c r="G127" s="125">
        <f>'3. Use Cases Catalog'!I115*1000000</f>
        <v>600000</v>
      </c>
      <c r="H127" s="10"/>
      <c r="I127" t="s">
        <v>129</v>
      </c>
      <c r="J127" s="125">
        <f>'3. Use Cases Catalog'!J115*1000000</f>
        <v>0</v>
      </c>
      <c r="K127" s="125">
        <f>'3. Use Cases Catalog'!J115*1000000</f>
        <v>0</v>
      </c>
      <c r="L127" s="123"/>
      <c r="M127" s="124"/>
      <c r="N127" t="s">
        <v>130</v>
      </c>
      <c r="O127" s="125" t="str">
        <f t="shared" si="2"/>
        <v/>
      </c>
      <c r="P127" s="125">
        <f>'3. Use Cases Catalog'!K115*1000000</f>
        <v>0</v>
      </c>
      <c r="Q127" s="126">
        <v>10</v>
      </c>
      <c r="R127" s="124">
        <v>205</v>
      </c>
      <c r="S127" s="125">
        <f t="shared" si="3"/>
        <v>1655.375</v>
      </c>
      <c r="T127" s="125">
        <f>'3. Use Cases Catalog'!L115*1000000</f>
        <v>1500000</v>
      </c>
    </row>
    <row r="128" spans="1:20" x14ac:dyDescent="0.2">
      <c r="A128" t="s">
        <v>78</v>
      </c>
      <c r="B128" t="s">
        <v>194</v>
      </c>
      <c r="C128" t="s">
        <v>7708</v>
      </c>
      <c r="D128" s="10" t="s">
        <v>7709</v>
      </c>
      <c r="E128" t="s">
        <v>7710</v>
      </c>
      <c r="F128" s="125">
        <f>'3. Use Cases Catalog'!I116*1000000</f>
        <v>500000</v>
      </c>
      <c r="G128" s="125">
        <f>'3. Use Cases Catalog'!I116*1000000</f>
        <v>500000</v>
      </c>
      <c r="H128" s="10" t="s">
        <v>7711</v>
      </c>
      <c r="I128" t="s">
        <v>7712</v>
      </c>
      <c r="J128" s="125">
        <f>'3. Use Cases Catalog'!J116*1000000</f>
        <v>2800000</v>
      </c>
      <c r="K128" s="125">
        <f>'3. Use Cases Catalog'!J116*1000000</f>
        <v>2800000</v>
      </c>
      <c r="L128" s="123">
        <v>0.15</v>
      </c>
      <c r="M128" s="124">
        <v>8400000</v>
      </c>
      <c r="N128" t="s">
        <v>7713</v>
      </c>
      <c r="O128" s="125">
        <f t="shared" si="2"/>
        <v>803250</v>
      </c>
      <c r="P128" s="125">
        <f>'3. Use Cases Catalog'!K116*1000000</f>
        <v>1000000</v>
      </c>
      <c r="Q128" s="126"/>
      <c r="R128" s="124"/>
      <c r="S128" s="125" t="str">
        <f t="shared" si="3"/>
        <v/>
      </c>
      <c r="T128" s="125">
        <f>'3. Use Cases Catalog'!L116*1000000</f>
        <v>0</v>
      </c>
    </row>
    <row r="129" spans="1:20" x14ac:dyDescent="0.2">
      <c r="A129" t="s">
        <v>78</v>
      </c>
      <c r="B129" t="s">
        <v>141</v>
      </c>
      <c r="C129" t="s">
        <v>813</v>
      </c>
      <c r="D129" s="10" t="s">
        <v>7714</v>
      </c>
      <c r="E129" t="s">
        <v>7715</v>
      </c>
      <c r="F129" s="125">
        <f>'3. Use Cases Catalog'!I117*1000000</f>
        <v>6100000</v>
      </c>
      <c r="G129" s="125">
        <f>'3. Use Cases Catalog'!I117*1000000</f>
        <v>6100000</v>
      </c>
      <c r="H129" s="10" t="s">
        <v>7716</v>
      </c>
      <c r="I129" t="s">
        <v>7717</v>
      </c>
      <c r="J129" s="125">
        <f>'3. Use Cases Catalog'!J117*1000000</f>
        <v>3400000</v>
      </c>
      <c r="K129" s="125">
        <f>'3. Use Cases Catalog'!J117*1000000</f>
        <v>3400000</v>
      </c>
      <c r="L129" s="123"/>
      <c r="M129" s="124"/>
      <c r="N129" t="s">
        <v>130</v>
      </c>
      <c r="O129" s="125" t="str">
        <f t="shared" si="2"/>
        <v/>
      </c>
      <c r="P129" s="125">
        <f>'3. Use Cases Catalog'!K117*1000000</f>
        <v>0</v>
      </c>
      <c r="Q129" s="126"/>
      <c r="R129" s="124"/>
      <c r="S129" s="125" t="str">
        <f t="shared" si="3"/>
        <v/>
      </c>
      <c r="T129" s="125">
        <f>'3. Use Cases Catalog'!L117*1000000</f>
        <v>0</v>
      </c>
    </row>
    <row r="130" spans="1:20" x14ac:dyDescent="0.2">
      <c r="A130" t="s">
        <v>78</v>
      </c>
      <c r="B130" t="s">
        <v>156</v>
      </c>
      <c r="C130" t="s">
        <v>7718</v>
      </c>
      <c r="D130" s="10" t="s">
        <v>7719</v>
      </c>
      <c r="E130" t="s">
        <v>7720</v>
      </c>
      <c r="F130" s="125">
        <f>'3. Use Cases Catalog'!I118*1000000</f>
        <v>700000</v>
      </c>
      <c r="G130" s="125">
        <f>'3. Use Cases Catalog'!I118*1000000</f>
        <v>700000</v>
      </c>
      <c r="H130" s="10" t="s">
        <v>7721</v>
      </c>
      <c r="I130" t="s">
        <v>7722</v>
      </c>
      <c r="J130" s="125">
        <f>'3. Use Cases Catalog'!J118*1000000</f>
        <v>4200000</v>
      </c>
      <c r="K130" s="125">
        <f>'3. Use Cases Catalog'!J118*1000000</f>
        <v>4200000</v>
      </c>
      <c r="L130" s="123"/>
      <c r="M130" s="124"/>
      <c r="N130" t="s">
        <v>130</v>
      </c>
      <c r="O130" s="125" t="str">
        <f t="shared" si="2"/>
        <v/>
      </c>
      <c r="P130" s="125">
        <f>'3. Use Cases Catalog'!K118*1000000</f>
        <v>0</v>
      </c>
      <c r="Q130" s="126"/>
      <c r="R130" s="124"/>
      <c r="S130" s="125" t="str">
        <f t="shared" si="3"/>
        <v/>
      </c>
      <c r="T130" s="125">
        <f>'3. Use Cases Catalog'!L118*1000000</f>
        <v>0</v>
      </c>
    </row>
    <row r="131" spans="1:20" x14ac:dyDescent="0.2">
      <c r="A131" t="s">
        <v>78</v>
      </c>
      <c r="B131" t="s">
        <v>164</v>
      </c>
      <c r="C131" t="s">
        <v>823</v>
      </c>
      <c r="D131" s="10" t="s">
        <v>7723</v>
      </c>
      <c r="E131" t="s">
        <v>7724</v>
      </c>
      <c r="F131" s="125">
        <f>'3. Use Cases Catalog'!I119*1000000</f>
        <v>1000000</v>
      </c>
      <c r="G131" s="125">
        <f>'3. Use Cases Catalog'!I119*1000000</f>
        <v>1000000</v>
      </c>
      <c r="H131" s="10" t="s">
        <v>7725</v>
      </c>
      <c r="I131" t="s">
        <v>7726</v>
      </c>
      <c r="J131" s="125">
        <f>'3. Use Cases Catalog'!J119*1000000</f>
        <v>5100000</v>
      </c>
      <c r="K131" s="125">
        <f>'3. Use Cases Catalog'!J119*1000000</f>
        <v>5100000</v>
      </c>
      <c r="L131" s="123"/>
      <c r="M131" s="124"/>
      <c r="N131" t="s">
        <v>130</v>
      </c>
      <c r="O131" s="125" t="str">
        <f t="shared" si="2"/>
        <v/>
      </c>
      <c r="P131" s="125">
        <f>'3. Use Cases Catalog'!K119*1000000</f>
        <v>0</v>
      </c>
      <c r="Q131" s="126"/>
      <c r="R131" s="124"/>
      <c r="S131" s="125" t="str">
        <f t="shared" si="3"/>
        <v/>
      </c>
      <c r="T131" s="125">
        <f>'3. Use Cases Catalog'!L119*1000000</f>
        <v>0</v>
      </c>
    </row>
    <row r="132" spans="1:20" x14ac:dyDescent="0.2">
      <c r="A132" t="s">
        <v>78</v>
      </c>
      <c r="B132" t="s">
        <v>172</v>
      </c>
      <c r="C132" t="s">
        <v>829</v>
      </c>
      <c r="D132" s="10"/>
      <c r="E132" t="s">
        <v>1009</v>
      </c>
      <c r="F132" s="125">
        <f>'3. Use Cases Catalog'!I120*1000000</f>
        <v>0</v>
      </c>
      <c r="G132" s="125">
        <f>'3. Use Cases Catalog'!I120*1000000</f>
        <v>0</v>
      </c>
      <c r="H132" s="10" t="s">
        <v>7727</v>
      </c>
      <c r="I132" t="s">
        <v>7728</v>
      </c>
      <c r="J132" s="125">
        <f>'3. Use Cases Catalog'!J120*1000000</f>
        <v>7900000</v>
      </c>
      <c r="K132" s="125">
        <f>'3. Use Cases Catalog'!J120*1000000</f>
        <v>7900000</v>
      </c>
      <c r="L132" s="123"/>
      <c r="M132" s="124"/>
      <c r="N132" t="s">
        <v>130</v>
      </c>
      <c r="O132" s="125" t="str">
        <f t="shared" si="2"/>
        <v/>
      </c>
      <c r="P132" s="125">
        <f>'3. Use Cases Catalog'!K120*1000000</f>
        <v>0</v>
      </c>
      <c r="Q132" s="126"/>
      <c r="R132" s="124"/>
      <c r="S132" s="125" t="str">
        <f t="shared" si="3"/>
        <v/>
      </c>
      <c r="T132" s="125">
        <f>'3. Use Cases Catalog'!L120*1000000</f>
        <v>0</v>
      </c>
    </row>
    <row r="133" spans="1:20" x14ac:dyDescent="0.2">
      <c r="A133" t="s">
        <v>78</v>
      </c>
      <c r="B133" t="s">
        <v>186</v>
      </c>
      <c r="C133" t="s">
        <v>834</v>
      </c>
      <c r="D133" s="10" t="s">
        <v>7729</v>
      </c>
      <c r="E133" t="s">
        <v>7730</v>
      </c>
      <c r="F133" s="125">
        <f>'3. Use Cases Catalog'!I121*1000000</f>
        <v>700000</v>
      </c>
      <c r="G133" s="125">
        <f>'3. Use Cases Catalog'!I121*1000000</f>
        <v>700000</v>
      </c>
      <c r="H133" s="10"/>
      <c r="I133" t="s">
        <v>129</v>
      </c>
      <c r="J133" s="125">
        <f>'3. Use Cases Catalog'!J121*1000000</f>
        <v>0</v>
      </c>
      <c r="K133" s="125">
        <f>'3. Use Cases Catalog'!J121*1000000</f>
        <v>0</v>
      </c>
      <c r="L133" s="123"/>
      <c r="M133" s="124"/>
      <c r="N133" t="s">
        <v>7731</v>
      </c>
      <c r="O133" s="125" t="str">
        <f t="shared" si="2"/>
        <v/>
      </c>
      <c r="P133" s="125">
        <f>'3. Use Cases Catalog'!K121*1000000</f>
        <v>500000</v>
      </c>
      <c r="Q133" s="126"/>
      <c r="R133" s="124"/>
      <c r="S133" s="125" t="str">
        <f t="shared" si="3"/>
        <v/>
      </c>
      <c r="T133" s="125">
        <f>'3. Use Cases Catalog'!L121*1000000</f>
        <v>0</v>
      </c>
    </row>
    <row r="134" spans="1:20" x14ac:dyDescent="0.2">
      <c r="A134" t="s">
        <v>54</v>
      </c>
      <c r="B134" t="s">
        <v>141</v>
      </c>
      <c r="C134" t="s">
        <v>840</v>
      </c>
      <c r="D134" s="10" t="s">
        <v>7732</v>
      </c>
      <c r="E134" t="s">
        <v>7733</v>
      </c>
      <c r="F134" s="125">
        <f>'3. Use Cases Catalog'!I122*1000000</f>
        <v>16.399999999999999</v>
      </c>
      <c r="G134" s="125">
        <f>'3. Use Cases Catalog'!I122*1000000</f>
        <v>16.399999999999999</v>
      </c>
      <c r="H134" s="10"/>
      <c r="I134" t="s">
        <v>129</v>
      </c>
      <c r="J134" s="125">
        <f>'3. Use Cases Catalog'!J122*1000000</f>
        <v>0</v>
      </c>
      <c r="K134" s="125">
        <f>'3. Use Cases Catalog'!J122*1000000</f>
        <v>0</v>
      </c>
      <c r="L134" s="123">
        <v>0.12</v>
      </c>
      <c r="M134" s="124">
        <v>28000000</v>
      </c>
      <c r="N134" t="s">
        <v>7734</v>
      </c>
      <c r="O134" s="125">
        <f t="shared" si="2"/>
        <v>2142000</v>
      </c>
      <c r="P134" s="125">
        <f>'3. Use Cases Catalog'!K122*1000000</f>
        <v>2.7</v>
      </c>
      <c r="Q134" s="126"/>
      <c r="R134" s="124"/>
      <c r="S134" s="125" t="str">
        <f t="shared" si="3"/>
        <v/>
      </c>
      <c r="T134" s="125">
        <f>'3. Use Cases Catalog'!L122*1000000</f>
        <v>0</v>
      </c>
    </row>
    <row r="135" spans="1:20" x14ac:dyDescent="0.2">
      <c r="A135" t="s">
        <v>54</v>
      </c>
      <c r="B135" t="s">
        <v>123</v>
      </c>
      <c r="C135" t="s">
        <v>845</v>
      </c>
      <c r="D135" s="10" t="s">
        <v>7735</v>
      </c>
      <c r="E135" t="s">
        <v>7736</v>
      </c>
      <c r="F135" s="125">
        <f>'3. Use Cases Catalog'!I123*1000000</f>
        <v>14.8</v>
      </c>
      <c r="G135" s="125">
        <f>'3. Use Cases Catalog'!I123*1000000</f>
        <v>14.8</v>
      </c>
      <c r="H135" s="10"/>
      <c r="I135" t="s">
        <v>129</v>
      </c>
      <c r="J135" s="125">
        <f>'3. Use Cases Catalog'!J123*1000000</f>
        <v>0</v>
      </c>
      <c r="K135" s="125">
        <f>'3. Use Cases Catalog'!J123*1000000</f>
        <v>0</v>
      </c>
      <c r="L135" s="123">
        <v>7.0000000000000007E-2</v>
      </c>
      <c r="M135" s="124"/>
      <c r="N135" t="s">
        <v>7737</v>
      </c>
      <c r="O135" s="125" t="str">
        <f t="shared" si="2"/>
        <v/>
      </c>
      <c r="P135" s="125">
        <f>'3. Use Cases Catalog'!K123*1000000</f>
        <v>9.4</v>
      </c>
      <c r="Q135" s="126"/>
      <c r="R135" s="124"/>
      <c r="S135" s="125" t="str">
        <f t="shared" si="3"/>
        <v/>
      </c>
      <c r="T135" s="125">
        <f>'3. Use Cases Catalog'!L123*1000000</f>
        <v>0</v>
      </c>
    </row>
    <row r="136" spans="1:20" x14ac:dyDescent="0.2">
      <c r="A136" t="s">
        <v>54</v>
      </c>
      <c r="B136" t="s">
        <v>133</v>
      </c>
      <c r="C136" t="s">
        <v>850</v>
      </c>
      <c r="D136" s="10"/>
      <c r="E136" t="s">
        <v>1009</v>
      </c>
      <c r="F136" s="125">
        <f>'3. Use Cases Catalog'!I124*1000000</f>
        <v>0</v>
      </c>
      <c r="G136" s="125">
        <f>'3. Use Cases Catalog'!I124*1000000</f>
        <v>0</v>
      </c>
      <c r="H136" s="10"/>
      <c r="I136" t="s">
        <v>129</v>
      </c>
      <c r="J136" s="125">
        <f>'3. Use Cases Catalog'!J124*1000000</f>
        <v>0</v>
      </c>
      <c r="K136" s="125">
        <f>'3. Use Cases Catalog'!J124*1000000</f>
        <v>0</v>
      </c>
      <c r="L136" s="123"/>
      <c r="M136" s="124"/>
      <c r="N136" t="s">
        <v>130</v>
      </c>
      <c r="O136" s="125" t="str">
        <f t="shared" si="2"/>
        <v/>
      </c>
      <c r="P136" s="125">
        <f>'3. Use Cases Catalog'!K124*1000000</f>
        <v>0</v>
      </c>
      <c r="Q136" s="126">
        <v>11</v>
      </c>
      <c r="R136" s="124"/>
      <c r="S136" s="125" t="str">
        <f t="shared" si="3"/>
        <v/>
      </c>
      <c r="T136" s="125">
        <f>'3. Use Cases Catalog'!L124*1000000</f>
        <v>19.600000000000001</v>
      </c>
    </row>
    <row r="137" spans="1:20" x14ac:dyDescent="0.2">
      <c r="A137" t="s">
        <v>54</v>
      </c>
      <c r="B137" t="s">
        <v>179</v>
      </c>
      <c r="C137" t="s">
        <v>855</v>
      </c>
      <c r="D137" s="10" t="s">
        <v>7738</v>
      </c>
      <c r="E137" t="s">
        <v>7739</v>
      </c>
      <c r="F137" s="125">
        <f>'3. Use Cases Catalog'!I125*1000000</f>
        <v>3.7</v>
      </c>
      <c r="G137" s="125">
        <f>'3. Use Cases Catalog'!I125*1000000</f>
        <v>3.7</v>
      </c>
      <c r="H137" s="10"/>
      <c r="I137" t="s">
        <v>129</v>
      </c>
      <c r="J137" s="125">
        <f>'3. Use Cases Catalog'!J125*1000000</f>
        <v>0</v>
      </c>
      <c r="K137" s="125">
        <f>'3. Use Cases Catalog'!J125*1000000</f>
        <v>0</v>
      </c>
      <c r="L137" s="123">
        <v>0.16</v>
      </c>
      <c r="M137" s="124">
        <v>60000000</v>
      </c>
      <c r="N137" t="s">
        <v>7740</v>
      </c>
      <c r="O137" s="125">
        <f t="shared" si="2"/>
        <v>6120000</v>
      </c>
      <c r="P137" s="125">
        <f>'3. Use Cases Catalog'!K125*1000000</f>
        <v>7.2</v>
      </c>
      <c r="Q137" s="126"/>
      <c r="R137" s="124"/>
      <c r="S137" s="125" t="str">
        <f t="shared" si="3"/>
        <v/>
      </c>
      <c r="T137" s="125">
        <f>'3. Use Cases Catalog'!L125*1000000</f>
        <v>0</v>
      </c>
    </row>
    <row r="138" spans="1:20" x14ac:dyDescent="0.2">
      <c r="A138" t="s">
        <v>54</v>
      </c>
      <c r="B138" t="s">
        <v>186</v>
      </c>
      <c r="C138" t="s">
        <v>861</v>
      </c>
      <c r="D138" s="10" t="s">
        <v>7741</v>
      </c>
      <c r="E138" t="s">
        <v>7742</v>
      </c>
      <c r="F138" s="125">
        <f>'3. Use Cases Catalog'!I126*1000000</f>
        <v>18.899999999999999</v>
      </c>
      <c r="G138" s="125">
        <f>'3. Use Cases Catalog'!I126*1000000</f>
        <v>18.899999999999999</v>
      </c>
      <c r="H138" s="10"/>
      <c r="I138" t="s">
        <v>129</v>
      </c>
      <c r="J138" s="125">
        <f>'3. Use Cases Catalog'!J126*1000000</f>
        <v>0</v>
      </c>
      <c r="K138" s="125">
        <f>'3. Use Cases Catalog'!J126*1000000</f>
        <v>0</v>
      </c>
      <c r="L138" s="123"/>
      <c r="M138" s="124"/>
      <c r="N138" t="s">
        <v>130</v>
      </c>
      <c r="O138" s="125" t="str">
        <f t="shared" si="2"/>
        <v/>
      </c>
      <c r="P138" s="125">
        <f>'3. Use Cases Catalog'!K126*1000000</f>
        <v>0</v>
      </c>
      <c r="Q138" s="126"/>
      <c r="R138" s="124"/>
      <c r="S138" s="125" t="str">
        <f t="shared" si="3"/>
        <v/>
      </c>
      <c r="T138" s="125">
        <f>'3. Use Cases Catalog'!L126*1000000</f>
        <v>0</v>
      </c>
    </row>
    <row r="139" spans="1:20" x14ac:dyDescent="0.2">
      <c r="A139" t="s">
        <v>54</v>
      </c>
      <c r="B139" t="s">
        <v>149</v>
      </c>
      <c r="C139" t="s">
        <v>864</v>
      </c>
      <c r="D139" s="10" t="s">
        <v>7743</v>
      </c>
      <c r="E139" t="s">
        <v>7744</v>
      </c>
      <c r="F139" s="125">
        <f>'3. Use Cases Catalog'!I127*1000000</f>
        <v>7.9</v>
      </c>
      <c r="G139" s="125">
        <f>'3. Use Cases Catalog'!I127*1000000</f>
        <v>7.9</v>
      </c>
      <c r="H139" s="10"/>
      <c r="I139" t="s">
        <v>129</v>
      </c>
      <c r="J139" s="125">
        <f>'3. Use Cases Catalog'!J127*1000000</f>
        <v>0</v>
      </c>
      <c r="K139" s="125">
        <f>'3. Use Cases Catalog'!J127*1000000</f>
        <v>0</v>
      </c>
      <c r="L139" s="123">
        <v>0.25</v>
      </c>
      <c r="M139" s="124">
        <v>120000000</v>
      </c>
      <c r="N139" t="s">
        <v>7745</v>
      </c>
      <c r="O139" s="125">
        <f t="shared" si="2"/>
        <v>19125000</v>
      </c>
      <c r="P139" s="125">
        <f>'3. Use Cases Catalog'!K127*1000000</f>
        <v>18</v>
      </c>
      <c r="Q139" s="126"/>
      <c r="R139" s="124"/>
      <c r="S139" s="125" t="str">
        <f t="shared" si="3"/>
        <v/>
      </c>
      <c r="T139" s="125">
        <f>'3. Use Cases Catalog'!L127*1000000</f>
        <v>0</v>
      </c>
    </row>
    <row r="140" spans="1:20" x14ac:dyDescent="0.2">
      <c r="A140" t="s">
        <v>54</v>
      </c>
      <c r="B140" t="s">
        <v>156</v>
      </c>
      <c r="C140" t="s">
        <v>869</v>
      </c>
      <c r="D140" s="10" t="s">
        <v>7746</v>
      </c>
      <c r="E140" t="s">
        <v>7747</v>
      </c>
      <c r="F140" s="125">
        <f>'3. Use Cases Catalog'!I128*1000000</f>
        <v>7.2</v>
      </c>
      <c r="G140" s="125">
        <f>'3. Use Cases Catalog'!I128*1000000</f>
        <v>7.2</v>
      </c>
      <c r="H140" s="10"/>
      <c r="I140" t="s">
        <v>129</v>
      </c>
      <c r="J140" s="125">
        <f>'3. Use Cases Catalog'!J128*1000000</f>
        <v>0</v>
      </c>
      <c r="K140" s="125">
        <f>'3. Use Cases Catalog'!J128*1000000</f>
        <v>0</v>
      </c>
      <c r="L140" s="123"/>
      <c r="M140" s="124"/>
      <c r="N140" t="s">
        <v>130</v>
      </c>
      <c r="O140" s="125" t="str">
        <f t="shared" si="2"/>
        <v/>
      </c>
      <c r="P140" s="125">
        <f>'3. Use Cases Catalog'!K128*1000000</f>
        <v>0</v>
      </c>
      <c r="Q140" s="126"/>
      <c r="R140" s="124"/>
      <c r="S140" s="125" t="str">
        <f t="shared" si="3"/>
        <v/>
      </c>
      <c r="T140" s="125">
        <f>'3. Use Cases Catalog'!L128*1000000</f>
        <v>0</v>
      </c>
    </row>
    <row r="141" spans="1:20" x14ac:dyDescent="0.2">
      <c r="A141" t="s">
        <v>54</v>
      </c>
      <c r="B141" t="s">
        <v>164</v>
      </c>
      <c r="C141" t="s">
        <v>873</v>
      </c>
      <c r="D141" s="10" t="s">
        <v>7748</v>
      </c>
      <c r="E141" t="s">
        <v>7749</v>
      </c>
      <c r="F141" s="125">
        <f>'3. Use Cases Catalog'!I129*1000000</f>
        <v>1.9</v>
      </c>
      <c r="G141" s="125">
        <f>'3. Use Cases Catalog'!I129*1000000</f>
        <v>1.9</v>
      </c>
      <c r="H141" s="10" t="s">
        <v>7750</v>
      </c>
      <c r="I141" t="s">
        <v>7751</v>
      </c>
      <c r="J141" s="125">
        <f>'3. Use Cases Catalog'!J129*1000000</f>
        <v>32.1</v>
      </c>
      <c r="K141" s="125">
        <f>'3. Use Cases Catalog'!J129*1000000</f>
        <v>32.1</v>
      </c>
      <c r="L141" s="123"/>
      <c r="M141" s="124"/>
      <c r="N141" t="s">
        <v>130</v>
      </c>
      <c r="O141" s="125" t="str">
        <f t="shared" si="2"/>
        <v/>
      </c>
      <c r="P141" s="125">
        <f>'3. Use Cases Catalog'!K129*1000000</f>
        <v>0</v>
      </c>
      <c r="Q141" s="126"/>
      <c r="R141" s="124"/>
      <c r="S141" s="125" t="str">
        <f t="shared" si="3"/>
        <v/>
      </c>
      <c r="T141" s="125">
        <f>'3. Use Cases Catalog'!L129*1000000</f>
        <v>0</v>
      </c>
    </row>
    <row r="142" spans="1:20" x14ac:dyDescent="0.2">
      <c r="A142" t="s">
        <v>54</v>
      </c>
      <c r="B142" t="s">
        <v>172</v>
      </c>
      <c r="C142" t="s">
        <v>879</v>
      </c>
      <c r="D142" s="10" t="s">
        <v>7752</v>
      </c>
      <c r="E142" t="s">
        <v>7753</v>
      </c>
      <c r="F142" s="125">
        <f>'3. Use Cases Catalog'!I130*1000000</f>
        <v>8.3000000000000007</v>
      </c>
      <c r="G142" s="125">
        <f>'3. Use Cases Catalog'!I130*1000000</f>
        <v>8.3000000000000007</v>
      </c>
      <c r="H142" s="10"/>
      <c r="I142" t="s">
        <v>129</v>
      </c>
      <c r="J142" s="125">
        <f>'3. Use Cases Catalog'!J130*1000000</f>
        <v>0</v>
      </c>
      <c r="K142" s="125">
        <f>'3. Use Cases Catalog'!J130*1000000</f>
        <v>0</v>
      </c>
      <c r="L142" s="123"/>
      <c r="M142" s="124"/>
      <c r="N142" t="s">
        <v>130</v>
      </c>
      <c r="O142" s="125" t="str">
        <f t="shared" ref="O142:O205" si="4">IF(AND(L142&lt;&gt;"",M142&lt;&gt;""),L142*M142*$B$7*$B$8,"")</f>
        <v/>
      </c>
      <c r="P142" s="125">
        <f>'3. Use Cases Catalog'!K130*1000000</f>
        <v>0</v>
      </c>
      <c r="Q142" s="126"/>
      <c r="R142" s="124"/>
      <c r="S142" s="125" t="str">
        <f t="shared" ref="S142:S205" si="5">IF(AND(Q142&lt;&gt;"",R142&lt;&gt;""),Q142*R142*$B$9*$B$8,"")</f>
        <v/>
      </c>
      <c r="T142" s="125">
        <f>'3. Use Cases Catalog'!L130*1000000</f>
        <v>0</v>
      </c>
    </row>
    <row r="143" spans="1:20" x14ac:dyDescent="0.2">
      <c r="A143" t="s">
        <v>54</v>
      </c>
      <c r="B143" t="s">
        <v>194</v>
      </c>
      <c r="C143" t="s">
        <v>883</v>
      </c>
      <c r="D143" s="10" t="s">
        <v>7754</v>
      </c>
      <c r="E143" t="s">
        <v>7755</v>
      </c>
      <c r="F143" s="125">
        <f>'3. Use Cases Catalog'!I131*1000000</f>
        <v>1.4</v>
      </c>
      <c r="G143" s="125">
        <f>'3. Use Cases Catalog'!I131*1000000</f>
        <v>1.4</v>
      </c>
      <c r="H143" s="10"/>
      <c r="I143" t="s">
        <v>129</v>
      </c>
      <c r="J143" s="125">
        <f>'3. Use Cases Catalog'!J131*1000000</f>
        <v>0</v>
      </c>
      <c r="K143" s="125">
        <f>'3. Use Cases Catalog'!J131*1000000</f>
        <v>0</v>
      </c>
      <c r="L143" s="123"/>
      <c r="M143" s="124"/>
      <c r="N143" t="s">
        <v>130</v>
      </c>
      <c r="O143" s="125" t="str">
        <f t="shared" si="4"/>
        <v/>
      </c>
      <c r="P143" s="125">
        <f>'3. Use Cases Catalog'!K131*1000000</f>
        <v>0</v>
      </c>
      <c r="Q143" s="126">
        <v>3</v>
      </c>
      <c r="R143" s="124"/>
      <c r="S143" s="125" t="str">
        <f t="shared" si="5"/>
        <v/>
      </c>
      <c r="T143" s="125">
        <f>'3. Use Cases Catalog'!L131*1000000</f>
        <v>1.6</v>
      </c>
    </row>
    <row r="144" spans="1:20" x14ac:dyDescent="0.2">
      <c r="A144" t="s">
        <v>84</v>
      </c>
      <c r="B144" t="s">
        <v>141</v>
      </c>
      <c r="C144" t="s">
        <v>7756</v>
      </c>
      <c r="D144" s="10" t="s">
        <v>7757</v>
      </c>
      <c r="E144" t="s">
        <v>7758</v>
      </c>
      <c r="F144" s="125">
        <f>'3. Use Cases Catalog'!I132*1000000</f>
        <v>6</v>
      </c>
      <c r="G144" s="125">
        <f>'3. Use Cases Catalog'!I132*1000000</f>
        <v>6</v>
      </c>
      <c r="H144" s="10"/>
      <c r="I144" t="s">
        <v>129</v>
      </c>
      <c r="J144" s="125">
        <f>'3. Use Cases Catalog'!J132*1000000</f>
        <v>0</v>
      </c>
      <c r="K144" s="125">
        <f>'3. Use Cases Catalog'!J132*1000000</f>
        <v>0</v>
      </c>
      <c r="L144" s="123"/>
      <c r="M144" s="124"/>
      <c r="N144" t="s">
        <v>130</v>
      </c>
      <c r="O144" s="125" t="str">
        <f t="shared" si="4"/>
        <v/>
      </c>
      <c r="P144" s="125">
        <f>'3. Use Cases Catalog'!K132*1000000</f>
        <v>0</v>
      </c>
      <c r="Q144" s="126"/>
      <c r="R144" s="124"/>
      <c r="S144" s="125" t="str">
        <f t="shared" si="5"/>
        <v/>
      </c>
      <c r="T144" s="125">
        <f>'3. Use Cases Catalog'!L132*1000000</f>
        <v>0</v>
      </c>
    </row>
    <row r="145" spans="1:20" x14ac:dyDescent="0.2">
      <c r="A145" t="s">
        <v>84</v>
      </c>
      <c r="B145" t="s">
        <v>123</v>
      </c>
      <c r="C145" t="s">
        <v>7759</v>
      </c>
      <c r="D145" s="10" t="s">
        <v>7760</v>
      </c>
      <c r="E145" t="s">
        <v>7761</v>
      </c>
      <c r="F145" s="125">
        <f>'3. Use Cases Catalog'!I133*1000000</f>
        <v>4.5</v>
      </c>
      <c r="G145" s="125">
        <f>'3. Use Cases Catalog'!I133*1000000</f>
        <v>4.5</v>
      </c>
      <c r="H145" s="10" t="s">
        <v>7762</v>
      </c>
      <c r="I145" t="s">
        <v>7763</v>
      </c>
      <c r="J145" s="125">
        <f>'3. Use Cases Catalog'!J133*1000000</f>
        <v>3.8</v>
      </c>
      <c r="K145" s="125">
        <f>'3. Use Cases Catalog'!J133*1000000</f>
        <v>3.8</v>
      </c>
      <c r="L145" s="123"/>
      <c r="M145" s="124"/>
      <c r="N145" t="s">
        <v>130</v>
      </c>
      <c r="O145" s="125" t="str">
        <f t="shared" si="4"/>
        <v/>
      </c>
      <c r="P145" s="125">
        <f>'3. Use Cases Catalog'!K133*1000000</f>
        <v>0</v>
      </c>
      <c r="Q145" s="126">
        <v>46</v>
      </c>
      <c r="R145" s="124"/>
      <c r="S145" s="125" t="str">
        <f t="shared" si="5"/>
        <v/>
      </c>
      <c r="T145" s="125">
        <f>'3. Use Cases Catalog'!L133*1000000</f>
        <v>4.7</v>
      </c>
    </row>
    <row r="146" spans="1:20" x14ac:dyDescent="0.2">
      <c r="A146" t="s">
        <v>84</v>
      </c>
      <c r="B146" t="s">
        <v>133</v>
      </c>
      <c r="C146" t="s">
        <v>899</v>
      </c>
      <c r="D146" s="10" t="s">
        <v>7764</v>
      </c>
      <c r="E146" t="s">
        <v>7765</v>
      </c>
      <c r="F146" s="125">
        <f>'3. Use Cases Catalog'!I134*1000000</f>
        <v>1.9</v>
      </c>
      <c r="G146" s="125">
        <f>'3. Use Cases Catalog'!I134*1000000</f>
        <v>1.9</v>
      </c>
      <c r="H146" s="10" t="s">
        <v>7766</v>
      </c>
      <c r="I146" t="s">
        <v>7767</v>
      </c>
      <c r="J146" s="125">
        <f>'3. Use Cases Catalog'!J134*1000000</f>
        <v>2.1</v>
      </c>
      <c r="K146" s="125">
        <f>'3. Use Cases Catalog'!J134*1000000</f>
        <v>2.1</v>
      </c>
      <c r="L146" s="123"/>
      <c r="M146" s="124"/>
      <c r="N146" t="s">
        <v>130</v>
      </c>
      <c r="O146" s="125" t="str">
        <f t="shared" si="4"/>
        <v/>
      </c>
      <c r="P146" s="125">
        <f>'3. Use Cases Catalog'!K134*1000000</f>
        <v>0</v>
      </c>
      <c r="Q146" s="126"/>
      <c r="R146" s="124"/>
      <c r="S146" s="125" t="str">
        <f t="shared" si="5"/>
        <v/>
      </c>
      <c r="T146" s="125">
        <f>'3. Use Cases Catalog'!L134*1000000</f>
        <v>0</v>
      </c>
    </row>
    <row r="147" spans="1:20" x14ac:dyDescent="0.2">
      <c r="A147" t="s">
        <v>84</v>
      </c>
      <c r="B147" t="s">
        <v>172</v>
      </c>
      <c r="C147" t="s">
        <v>539</v>
      </c>
      <c r="D147" s="10" t="s">
        <v>7768</v>
      </c>
      <c r="E147" t="s">
        <v>7769</v>
      </c>
      <c r="F147" s="125">
        <f>'3. Use Cases Catalog'!I135*1000000</f>
        <v>1.2</v>
      </c>
      <c r="G147" s="125">
        <f>'3. Use Cases Catalog'!I135*1000000</f>
        <v>1.2</v>
      </c>
      <c r="H147" s="10"/>
      <c r="I147" t="s">
        <v>129</v>
      </c>
      <c r="J147" s="125">
        <f>'3. Use Cases Catalog'!J135*1000000</f>
        <v>0</v>
      </c>
      <c r="K147" s="125">
        <f>'3. Use Cases Catalog'!J135*1000000</f>
        <v>0</v>
      </c>
      <c r="L147" s="123">
        <v>0.3</v>
      </c>
      <c r="M147" s="124">
        <v>5000000</v>
      </c>
      <c r="N147" t="s">
        <v>7770</v>
      </c>
      <c r="O147" s="125">
        <f t="shared" si="4"/>
        <v>956250</v>
      </c>
      <c r="P147" s="125">
        <f>'3. Use Cases Catalog'!K135*1000000</f>
        <v>900000</v>
      </c>
      <c r="Q147" s="126">
        <v>5</v>
      </c>
      <c r="R147" s="124"/>
      <c r="S147" s="125" t="str">
        <f t="shared" si="5"/>
        <v/>
      </c>
      <c r="T147" s="125">
        <f>'3. Use Cases Catalog'!L135*1000000</f>
        <v>2.8</v>
      </c>
    </row>
    <row r="148" spans="1:20" x14ac:dyDescent="0.2">
      <c r="A148" t="s">
        <v>84</v>
      </c>
      <c r="B148" t="s">
        <v>186</v>
      </c>
      <c r="C148" t="s">
        <v>908</v>
      </c>
      <c r="D148" s="10" t="s">
        <v>7771</v>
      </c>
      <c r="E148" t="s">
        <v>7772</v>
      </c>
      <c r="F148" s="125">
        <f>'3. Use Cases Catalog'!I136*1000000</f>
        <v>700000</v>
      </c>
      <c r="G148" s="125">
        <f>'3. Use Cases Catalog'!I136*1000000</f>
        <v>700000</v>
      </c>
      <c r="H148" s="10" t="s">
        <v>7773</v>
      </c>
      <c r="I148" t="s">
        <v>7774</v>
      </c>
      <c r="J148" s="125">
        <f>'3. Use Cases Catalog'!J136*1000000</f>
        <v>5.0999999999999996</v>
      </c>
      <c r="K148" s="125">
        <f>'3. Use Cases Catalog'!J136*1000000</f>
        <v>5.0999999999999996</v>
      </c>
      <c r="L148" s="123"/>
      <c r="M148" s="124"/>
      <c r="N148" t="s">
        <v>130</v>
      </c>
      <c r="O148" s="125" t="str">
        <f t="shared" si="4"/>
        <v/>
      </c>
      <c r="P148" s="125">
        <f>'3. Use Cases Catalog'!K136*1000000</f>
        <v>0</v>
      </c>
      <c r="Q148" s="126"/>
      <c r="R148" s="124"/>
      <c r="S148" s="125" t="str">
        <f t="shared" si="5"/>
        <v/>
      </c>
      <c r="T148" s="125">
        <f>'3. Use Cases Catalog'!L136*1000000</f>
        <v>0</v>
      </c>
    </row>
    <row r="149" spans="1:20" x14ac:dyDescent="0.2">
      <c r="A149" t="s">
        <v>84</v>
      </c>
      <c r="B149" t="s">
        <v>149</v>
      </c>
      <c r="C149" t="s">
        <v>7775</v>
      </c>
      <c r="D149" s="10" t="s">
        <v>7776</v>
      </c>
      <c r="E149" t="s">
        <v>7777</v>
      </c>
      <c r="F149" s="125">
        <f>'3. Use Cases Catalog'!I137*1000000</f>
        <v>3.2</v>
      </c>
      <c r="G149" s="125">
        <f>'3. Use Cases Catalog'!I137*1000000</f>
        <v>3.2</v>
      </c>
      <c r="H149" s="10"/>
      <c r="I149" t="s">
        <v>129</v>
      </c>
      <c r="J149" s="125">
        <f>'3. Use Cases Catalog'!J137*1000000</f>
        <v>0</v>
      </c>
      <c r="K149" s="125">
        <f>'3. Use Cases Catalog'!J137*1000000</f>
        <v>0</v>
      </c>
      <c r="L149" s="123"/>
      <c r="M149" s="124"/>
      <c r="N149" t="s">
        <v>130</v>
      </c>
      <c r="O149" s="125" t="str">
        <f t="shared" si="4"/>
        <v/>
      </c>
      <c r="P149" s="125">
        <f>'3. Use Cases Catalog'!K137*1000000</f>
        <v>0</v>
      </c>
      <c r="Q149" s="126"/>
      <c r="R149" s="124"/>
      <c r="S149" s="125" t="str">
        <f t="shared" si="5"/>
        <v/>
      </c>
      <c r="T149" s="125">
        <f>'3. Use Cases Catalog'!L137*1000000</f>
        <v>0</v>
      </c>
    </row>
    <row r="150" spans="1:20" x14ac:dyDescent="0.2">
      <c r="A150" t="s">
        <v>84</v>
      </c>
      <c r="B150" t="s">
        <v>156</v>
      </c>
      <c r="C150" t="s">
        <v>916</v>
      </c>
      <c r="D150" s="10" t="s">
        <v>7778</v>
      </c>
      <c r="E150" t="s">
        <v>7779</v>
      </c>
      <c r="F150" s="125">
        <f>'3. Use Cases Catalog'!I138*1000000</f>
        <v>1.5</v>
      </c>
      <c r="G150" s="125">
        <f>'3. Use Cases Catalog'!I138*1000000</f>
        <v>1.5</v>
      </c>
      <c r="H150" s="10" t="s">
        <v>7780</v>
      </c>
      <c r="I150" t="s">
        <v>7781</v>
      </c>
      <c r="J150" s="125">
        <f>'3. Use Cases Catalog'!J138*1000000</f>
        <v>1.8</v>
      </c>
      <c r="K150" s="125">
        <f>'3. Use Cases Catalog'!J138*1000000</f>
        <v>1.8</v>
      </c>
      <c r="L150" s="123"/>
      <c r="M150" s="124"/>
      <c r="N150" t="s">
        <v>130</v>
      </c>
      <c r="O150" s="125" t="str">
        <f t="shared" si="4"/>
        <v/>
      </c>
      <c r="P150" s="125">
        <f>'3. Use Cases Catalog'!K138*1000000</f>
        <v>0</v>
      </c>
      <c r="Q150" s="126"/>
      <c r="R150" s="124"/>
      <c r="S150" s="125" t="str">
        <f t="shared" si="5"/>
        <v/>
      </c>
      <c r="T150" s="125">
        <f>'3. Use Cases Catalog'!L138*1000000</f>
        <v>0</v>
      </c>
    </row>
    <row r="151" spans="1:20" x14ac:dyDescent="0.2">
      <c r="A151" t="s">
        <v>84</v>
      </c>
      <c r="B151" t="s">
        <v>164</v>
      </c>
      <c r="C151" t="s">
        <v>921</v>
      </c>
      <c r="D151" s="10" t="s">
        <v>7782</v>
      </c>
      <c r="E151" t="s">
        <v>7783</v>
      </c>
      <c r="F151" s="125">
        <f>'3. Use Cases Catalog'!I139*1000000</f>
        <v>1.3</v>
      </c>
      <c r="G151" s="125">
        <f>'3. Use Cases Catalog'!I139*1000000</f>
        <v>1.3</v>
      </c>
      <c r="H151" s="10"/>
      <c r="I151" t="s">
        <v>129</v>
      </c>
      <c r="J151" s="125">
        <f>'3. Use Cases Catalog'!J139*1000000</f>
        <v>0</v>
      </c>
      <c r="K151" s="125">
        <f>'3. Use Cases Catalog'!J139*1000000</f>
        <v>0</v>
      </c>
      <c r="L151" s="123">
        <v>0.25</v>
      </c>
      <c r="M151" s="124">
        <v>9000000</v>
      </c>
      <c r="N151" t="s">
        <v>7784</v>
      </c>
      <c r="O151" s="125">
        <f t="shared" si="4"/>
        <v>1434375</v>
      </c>
      <c r="P151" s="125">
        <f>'3. Use Cases Catalog'!K139*1000000</f>
        <v>1.4</v>
      </c>
      <c r="Q151" s="126"/>
      <c r="R151" s="124"/>
      <c r="S151" s="125" t="str">
        <f t="shared" si="5"/>
        <v/>
      </c>
      <c r="T151" s="125">
        <f>'3. Use Cases Catalog'!L139*1000000</f>
        <v>0</v>
      </c>
    </row>
    <row r="152" spans="1:20" x14ac:dyDescent="0.2">
      <c r="A152" t="s">
        <v>84</v>
      </c>
      <c r="B152" t="s">
        <v>179</v>
      </c>
      <c r="C152" t="s">
        <v>927</v>
      </c>
      <c r="D152" s="10" t="s">
        <v>7785</v>
      </c>
      <c r="E152" t="s">
        <v>7786</v>
      </c>
      <c r="F152" s="125">
        <f>'3. Use Cases Catalog'!I140*1000000</f>
        <v>1.1000000000000001</v>
      </c>
      <c r="G152" s="125">
        <f>'3. Use Cases Catalog'!I140*1000000</f>
        <v>1.1000000000000001</v>
      </c>
      <c r="H152" s="10" t="s">
        <v>7787</v>
      </c>
      <c r="I152" t="s">
        <v>7788</v>
      </c>
      <c r="J152" s="125">
        <f>'3. Use Cases Catalog'!J140*1000000</f>
        <v>1.6</v>
      </c>
      <c r="K152" s="125">
        <f>'3. Use Cases Catalog'!J140*1000000</f>
        <v>1.6</v>
      </c>
      <c r="L152" s="123"/>
      <c r="M152" s="124"/>
      <c r="N152" t="s">
        <v>130</v>
      </c>
      <c r="O152" s="125" t="str">
        <f t="shared" si="4"/>
        <v/>
      </c>
      <c r="P152" s="125">
        <f>'3. Use Cases Catalog'!K140*1000000</f>
        <v>0</v>
      </c>
      <c r="Q152" s="126"/>
      <c r="R152" s="124"/>
      <c r="S152" s="125" t="str">
        <f t="shared" si="5"/>
        <v/>
      </c>
      <c r="T152" s="125">
        <f>'3. Use Cases Catalog'!L140*1000000</f>
        <v>0</v>
      </c>
    </row>
    <row r="153" spans="1:20" x14ac:dyDescent="0.2">
      <c r="A153" t="s">
        <v>84</v>
      </c>
      <c r="B153" t="s">
        <v>194</v>
      </c>
      <c r="C153" t="s">
        <v>7789</v>
      </c>
      <c r="D153" s="10" t="s">
        <v>7790</v>
      </c>
      <c r="E153" t="s">
        <v>7791</v>
      </c>
      <c r="F153" s="125">
        <f>'3. Use Cases Catalog'!I141*1000000</f>
        <v>700000</v>
      </c>
      <c r="G153" s="125">
        <f>'3. Use Cases Catalog'!I141*1000000</f>
        <v>700000</v>
      </c>
      <c r="H153" s="10"/>
      <c r="I153" t="s">
        <v>129</v>
      </c>
      <c r="J153" s="125">
        <f>'3. Use Cases Catalog'!J141*1000000</f>
        <v>0</v>
      </c>
      <c r="K153" s="125">
        <f>'3. Use Cases Catalog'!J141*1000000</f>
        <v>0</v>
      </c>
      <c r="L153" s="123"/>
      <c r="M153" s="124"/>
      <c r="N153" t="s">
        <v>130</v>
      </c>
      <c r="O153" s="125" t="str">
        <f t="shared" si="4"/>
        <v/>
      </c>
      <c r="P153" s="125">
        <f>'3. Use Cases Catalog'!K141*1000000</f>
        <v>0</v>
      </c>
      <c r="Q153" s="126"/>
      <c r="R153" s="124"/>
      <c r="S153" s="125" t="str">
        <f t="shared" si="5"/>
        <v/>
      </c>
      <c r="T153" s="125">
        <f>'3. Use Cases Catalog'!L141*1000000</f>
        <v>0</v>
      </c>
    </row>
    <row r="154" spans="1:20" x14ac:dyDescent="0.2">
      <c r="A154" t="s">
        <v>100</v>
      </c>
      <c r="B154" t="s">
        <v>141</v>
      </c>
      <c r="C154" t="s">
        <v>935</v>
      </c>
      <c r="D154" s="10" t="s">
        <v>7792</v>
      </c>
      <c r="E154" t="s">
        <v>7793</v>
      </c>
      <c r="F154" s="125">
        <f>'3. Use Cases Catalog'!I142*1000000</f>
        <v>2400000</v>
      </c>
      <c r="G154" s="125">
        <f>'3. Use Cases Catalog'!I142*1000000</f>
        <v>2400000</v>
      </c>
      <c r="H154" s="10" t="s">
        <v>7794</v>
      </c>
      <c r="I154" t="s">
        <v>7795</v>
      </c>
      <c r="J154" s="125">
        <f>'3. Use Cases Catalog'!J142*1000000</f>
        <v>1400000</v>
      </c>
      <c r="K154" s="125">
        <f>'3. Use Cases Catalog'!J142*1000000</f>
        <v>1400000</v>
      </c>
      <c r="L154" s="123">
        <v>0.15</v>
      </c>
      <c r="M154" s="124">
        <v>1800000</v>
      </c>
      <c r="N154" t="s">
        <v>7796</v>
      </c>
      <c r="O154" s="125">
        <f t="shared" si="4"/>
        <v>172125</v>
      </c>
      <c r="P154" s="125">
        <f>'3. Use Cases Catalog'!K142*1000000</f>
        <v>200000</v>
      </c>
      <c r="Q154" s="126">
        <v>2.4</v>
      </c>
      <c r="R154" s="124"/>
      <c r="S154" s="125" t="str">
        <f t="shared" si="5"/>
        <v/>
      </c>
      <c r="T154" s="125">
        <f>'3. Use Cases Catalog'!L142*1000000</f>
        <v>600000</v>
      </c>
    </row>
    <row r="155" spans="1:20" x14ac:dyDescent="0.2">
      <c r="A155" t="s">
        <v>100</v>
      </c>
      <c r="B155" t="s">
        <v>123</v>
      </c>
      <c r="C155" t="s">
        <v>942</v>
      </c>
      <c r="D155" s="10" t="s">
        <v>7797</v>
      </c>
      <c r="E155" t="s">
        <v>7798</v>
      </c>
      <c r="F155" s="125">
        <f>'3. Use Cases Catalog'!I143*1000000</f>
        <v>1300000</v>
      </c>
      <c r="G155" s="125">
        <f>'3. Use Cases Catalog'!I143*1000000</f>
        <v>1300000</v>
      </c>
      <c r="H155" s="10" t="s">
        <v>7799</v>
      </c>
      <c r="I155" t="s">
        <v>7800</v>
      </c>
      <c r="J155" s="125">
        <f>'3. Use Cases Catalog'!J143*1000000</f>
        <v>300000</v>
      </c>
      <c r="K155" s="125">
        <f>'3. Use Cases Catalog'!J143*1000000</f>
        <v>300000</v>
      </c>
      <c r="L155" s="123">
        <v>0.12</v>
      </c>
      <c r="M155" s="124">
        <v>1100000</v>
      </c>
      <c r="N155" t="s">
        <v>7801</v>
      </c>
      <c r="O155" s="125">
        <f t="shared" si="4"/>
        <v>84150</v>
      </c>
      <c r="P155" s="125">
        <f>'3. Use Cases Catalog'!K143*1000000</f>
        <v>100000</v>
      </c>
      <c r="Q155" s="126">
        <v>3.3</v>
      </c>
      <c r="R155" s="124"/>
      <c r="S155" s="125" t="str">
        <f t="shared" si="5"/>
        <v/>
      </c>
      <c r="T155" s="125">
        <f>'3. Use Cases Catalog'!L143*1000000</f>
        <v>400000</v>
      </c>
    </row>
    <row r="156" spans="1:20" x14ac:dyDescent="0.2">
      <c r="A156" t="s">
        <v>100</v>
      </c>
      <c r="B156" t="s">
        <v>133</v>
      </c>
      <c r="C156" t="s">
        <v>950</v>
      </c>
      <c r="D156" s="10" t="s">
        <v>7802</v>
      </c>
      <c r="E156" t="s">
        <v>7803</v>
      </c>
      <c r="F156" s="125">
        <f>'3. Use Cases Catalog'!I144*1000000</f>
        <v>300000</v>
      </c>
      <c r="G156" s="125">
        <f>'3. Use Cases Catalog'!I144*1000000</f>
        <v>300000</v>
      </c>
      <c r="H156" s="10" t="s">
        <v>7804</v>
      </c>
      <c r="I156" t="s">
        <v>7805</v>
      </c>
      <c r="J156" s="125">
        <f>'3. Use Cases Catalog'!J144*1000000</f>
        <v>800000</v>
      </c>
      <c r="K156" s="125">
        <f>'3. Use Cases Catalog'!J144*1000000</f>
        <v>800000</v>
      </c>
      <c r="L156" s="123">
        <v>0.18</v>
      </c>
      <c r="M156" s="124"/>
      <c r="N156" t="s">
        <v>7806</v>
      </c>
      <c r="O156" s="125" t="str">
        <f t="shared" si="4"/>
        <v/>
      </c>
      <c r="P156" s="125">
        <f>'3. Use Cases Catalog'!K144*1000000</f>
        <v>100000</v>
      </c>
      <c r="Q156" s="126">
        <v>14</v>
      </c>
      <c r="R156" s="124"/>
      <c r="S156" s="125" t="str">
        <f t="shared" si="5"/>
        <v/>
      </c>
      <c r="T156" s="125">
        <f>'3. Use Cases Catalog'!L144*1000000</f>
        <v>900000</v>
      </c>
    </row>
    <row r="157" spans="1:20" x14ac:dyDescent="0.2">
      <c r="A157" t="s">
        <v>100</v>
      </c>
      <c r="B157" t="s">
        <v>156</v>
      </c>
      <c r="C157" t="s">
        <v>956</v>
      </c>
      <c r="D157" s="10" t="s">
        <v>7807</v>
      </c>
      <c r="E157" t="s">
        <v>7808</v>
      </c>
      <c r="F157" s="125">
        <f>'3. Use Cases Catalog'!I145*1000000</f>
        <v>300000</v>
      </c>
      <c r="G157" s="125">
        <f>'3. Use Cases Catalog'!I145*1000000</f>
        <v>300000</v>
      </c>
      <c r="H157" s="10" t="s">
        <v>7809</v>
      </c>
      <c r="I157" t="s">
        <v>7810</v>
      </c>
      <c r="J157" s="125">
        <f>'3. Use Cases Catalog'!J145*1000000</f>
        <v>300000</v>
      </c>
      <c r="K157" s="125">
        <f>'3. Use Cases Catalog'!J145*1000000</f>
        <v>300000</v>
      </c>
      <c r="L157" s="123"/>
      <c r="M157" s="124"/>
      <c r="N157" t="s">
        <v>130</v>
      </c>
      <c r="O157" s="125" t="str">
        <f t="shared" si="4"/>
        <v/>
      </c>
      <c r="P157" s="125">
        <f>'3. Use Cases Catalog'!K145*1000000</f>
        <v>0</v>
      </c>
      <c r="Q157" s="126">
        <v>8</v>
      </c>
      <c r="R157" s="124"/>
      <c r="S157" s="125" t="str">
        <f t="shared" si="5"/>
        <v/>
      </c>
      <c r="T157" s="125">
        <f>'3. Use Cases Catalog'!L145*1000000</f>
        <v>100000</v>
      </c>
    </row>
    <row r="158" spans="1:20" x14ac:dyDescent="0.2">
      <c r="A158" t="s">
        <v>100</v>
      </c>
      <c r="B158" t="s">
        <v>164</v>
      </c>
      <c r="C158" t="s">
        <v>961</v>
      </c>
      <c r="D158" s="10" t="s">
        <v>7811</v>
      </c>
      <c r="E158" t="s">
        <v>7812</v>
      </c>
      <c r="F158" s="125">
        <f>'3. Use Cases Catalog'!I146*1000000</f>
        <v>200000</v>
      </c>
      <c r="G158" s="125">
        <f>'3. Use Cases Catalog'!I146*1000000</f>
        <v>200000</v>
      </c>
      <c r="H158" s="10" t="s">
        <v>7813</v>
      </c>
      <c r="I158" t="s">
        <v>7814</v>
      </c>
      <c r="J158" s="125">
        <f>'3. Use Cases Catalog'!J146*1000000</f>
        <v>400000</v>
      </c>
      <c r="K158" s="125">
        <f>'3. Use Cases Catalog'!J146*1000000</f>
        <v>400000</v>
      </c>
      <c r="L158" s="123">
        <v>0.85</v>
      </c>
      <c r="M158" s="124"/>
      <c r="N158" t="s">
        <v>7815</v>
      </c>
      <c r="O158" s="125" t="str">
        <f t="shared" si="4"/>
        <v/>
      </c>
      <c r="P158" s="125">
        <f>'3. Use Cases Catalog'!K146*1000000</f>
        <v>300000</v>
      </c>
      <c r="Q158" s="126"/>
      <c r="R158" s="124"/>
      <c r="S158" s="125" t="str">
        <f t="shared" si="5"/>
        <v/>
      </c>
      <c r="T158" s="125">
        <f>'3. Use Cases Catalog'!L146*1000000</f>
        <v>0</v>
      </c>
    </row>
    <row r="159" spans="1:20" x14ac:dyDescent="0.2">
      <c r="A159" t="s">
        <v>100</v>
      </c>
      <c r="B159" t="s">
        <v>172</v>
      </c>
      <c r="C159" t="s">
        <v>968</v>
      </c>
      <c r="D159" s="10" t="s">
        <v>7816</v>
      </c>
      <c r="E159" t="s">
        <v>7817</v>
      </c>
      <c r="F159" s="125">
        <f>'3. Use Cases Catalog'!I147*1000000</f>
        <v>400000</v>
      </c>
      <c r="G159" s="125">
        <f>'3. Use Cases Catalog'!I147*1000000</f>
        <v>400000</v>
      </c>
      <c r="H159" s="10" t="s">
        <v>7818</v>
      </c>
      <c r="I159" t="s">
        <v>7819</v>
      </c>
      <c r="J159" s="125">
        <f>'3. Use Cases Catalog'!J147*1000000</f>
        <v>100000</v>
      </c>
      <c r="K159" s="125">
        <f>'3. Use Cases Catalog'!J147*1000000</f>
        <v>100000</v>
      </c>
      <c r="L159" s="123">
        <v>0.22</v>
      </c>
      <c r="M159" s="124">
        <v>1200000</v>
      </c>
      <c r="N159" t="s">
        <v>7820</v>
      </c>
      <c r="O159" s="125">
        <f t="shared" si="4"/>
        <v>168300</v>
      </c>
      <c r="P159" s="125">
        <f>'3. Use Cases Catalog'!K147*1000000</f>
        <v>200000</v>
      </c>
      <c r="Q159" s="126"/>
      <c r="R159" s="124"/>
      <c r="S159" s="125" t="str">
        <f t="shared" si="5"/>
        <v/>
      </c>
      <c r="T159" s="125">
        <f>'3. Use Cases Catalog'!L147*1000000</f>
        <v>0</v>
      </c>
    </row>
    <row r="160" spans="1:20" x14ac:dyDescent="0.2">
      <c r="A160" t="s">
        <v>100</v>
      </c>
      <c r="B160" t="s">
        <v>179</v>
      </c>
      <c r="C160" t="s">
        <v>975</v>
      </c>
      <c r="D160" s="10" t="s">
        <v>7821</v>
      </c>
      <c r="E160" t="s">
        <v>7822</v>
      </c>
      <c r="F160" s="125">
        <f>'3. Use Cases Catalog'!I148*1000000</f>
        <v>100000</v>
      </c>
      <c r="G160" s="125">
        <f>'3. Use Cases Catalog'!I148*1000000</f>
        <v>100000</v>
      </c>
      <c r="H160" s="10"/>
      <c r="I160" t="s">
        <v>129</v>
      </c>
      <c r="J160" s="125">
        <f>'3. Use Cases Catalog'!J148*1000000</f>
        <v>0</v>
      </c>
      <c r="K160" s="125">
        <f>'3. Use Cases Catalog'!J148*1000000</f>
        <v>0</v>
      </c>
      <c r="L160" s="123">
        <v>0.28000000000000003</v>
      </c>
      <c r="M160" s="124"/>
      <c r="N160" t="s">
        <v>7823</v>
      </c>
      <c r="O160" s="125" t="str">
        <f t="shared" si="4"/>
        <v/>
      </c>
      <c r="P160" s="125">
        <f>'3. Use Cases Catalog'!K148*1000000</f>
        <v>100000</v>
      </c>
      <c r="Q160" s="126"/>
      <c r="R160" s="124"/>
      <c r="S160" s="125" t="str">
        <f t="shared" si="5"/>
        <v/>
      </c>
      <c r="T160" s="125">
        <f>'3. Use Cases Catalog'!L148*1000000</f>
        <v>500000</v>
      </c>
    </row>
    <row r="161" spans="1:20" x14ac:dyDescent="0.2">
      <c r="A161" t="s">
        <v>100</v>
      </c>
      <c r="B161" t="s">
        <v>194</v>
      </c>
      <c r="C161" t="s">
        <v>982</v>
      </c>
      <c r="D161" s="10" t="s">
        <v>7824</v>
      </c>
      <c r="E161" t="s">
        <v>7825</v>
      </c>
      <c r="F161" s="125">
        <f>'3. Use Cases Catalog'!I149*1000000</f>
        <v>300000</v>
      </c>
      <c r="G161" s="125">
        <f>'3. Use Cases Catalog'!I149*1000000</f>
        <v>300000</v>
      </c>
      <c r="H161" s="10" t="s">
        <v>7826</v>
      </c>
      <c r="I161" t="s">
        <v>7827</v>
      </c>
      <c r="J161" s="125">
        <f>'3. Use Cases Catalog'!J149*1000000</f>
        <v>200000</v>
      </c>
      <c r="K161" s="125">
        <f>'3. Use Cases Catalog'!J149*1000000</f>
        <v>200000</v>
      </c>
      <c r="L161" s="123"/>
      <c r="M161" s="124"/>
      <c r="N161" t="s">
        <v>130</v>
      </c>
      <c r="O161" s="125" t="str">
        <f t="shared" si="4"/>
        <v/>
      </c>
      <c r="P161" s="125">
        <f>'3. Use Cases Catalog'!K149*1000000</f>
        <v>0</v>
      </c>
      <c r="Q161" s="126">
        <v>2.1</v>
      </c>
      <c r="R161" s="124"/>
      <c r="S161" s="125" t="str">
        <f t="shared" si="5"/>
        <v/>
      </c>
      <c r="T161" s="125">
        <f>'3. Use Cases Catalog'!L149*1000000</f>
        <v>200000</v>
      </c>
    </row>
    <row r="162" spans="1:20" x14ac:dyDescent="0.2">
      <c r="A162" t="s">
        <v>100</v>
      </c>
      <c r="B162" t="s">
        <v>149</v>
      </c>
      <c r="C162" t="s">
        <v>988</v>
      </c>
      <c r="D162" s="10" t="s">
        <v>7828</v>
      </c>
      <c r="E162" t="s">
        <v>7829</v>
      </c>
      <c r="F162" s="125">
        <f>'3. Use Cases Catalog'!I150*1000000</f>
        <v>200000</v>
      </c>
      <c r="G162" s="125">
        <f>'3. Use Cases Catalog'!I150*1000000</f>
        <v>200000</v>
      </c>
      <c r="H162" s="10" t="s">
        <v>7830</v>
      </c>
      <c r="I162" t="s">
        <v>7831</v>
      </c>
      <c r="J162" s="125">
        <f>'3. Use Cases Catalog'!J150*1000000</f>
        <v>600000</v>
      </c>
      <c r="K162" s="125">
        <f>'3. Use Cases Catalog'!J150*1000000</f>
        <v>600000</v>
      </c>
      <c r="L162" s="123">
        <v>0.75</v>
      </c>
      <c r="M162" s="124"/>
      <c r="N162" t="s">
        <v>7832</v>
      </c>
      <c r="O162" s="125" t="str">
        <f t="shared" si="4"/>
        <v/>
      </c>
      <c r="P162" s="125">
        <f>'3. Use Cases Catalog'!K150*1000000</f>
        <v>200000</v>
      </c>
      <c r="Q162" s="126"/>
      <c r="R162" s="124"/>
      <c r="S162" s="125" t="str">
        <f t="shared" si="5"/>
        <v/>
      </c>
      <c r="T162" s="125">
        <f>'3. Use Cases Catalog'!L150*1000000</f>
        <v>0</v>
      </c>
    </row>
    <row r="163" spans="1:20" x14ac:dyDescent="0.2">
      <c r="A163" t="s">
        <v>100</v>
      </c>
      <c r="B163" t="s">
        <v>186</v>
      </c>
      <c r="C163" t="s">
        <v>994</v>
      </c>
      <c r="D163" s="10" t="s">
        <v>7833</v>
      </c>
      <c r="E163" t="s">
        <v>7834</v>
      </c>
      <c r="F163" s="125">
        <f>'3. Use Cases Catalog'!I151*1000000</f>
        <v>400000</v>
      </c>
      <c r="G163" s="125">
        <f>'3. Use Cases Catalog'!I151*1000000</f>
        <v>400000</v>
      </c>
      <c r="H163" s="10"/>
      <c r="I163" t="s">
        <v>129</v>
      </c>
      <c r="J163" s="125">
        <f>'3. Use Cases Catalog'!J151*1000000</f>
        <v>0</v>
      </c>
      <c r="K163" s="125">
        <f>'3. Use Cases Catalog'!J151*1000000</f>
        <v>0</v>
      </c>
      <c r="L163" s="123">
        <v>0.18</v>
      </c>
      <c r="M163" s="124"/>
      <c r="N163" t="s">
        <v>7835</v>
      </c>
      <c r="O163" s="125" t="str">
        <f t="shared" si="4"/>
        <v/>
      </c>
      <c r="P163" s="125">
        <f>'3. Use Cases Catalog'!K151*1000000</f>
        <v>100000</v>
      </c>
      <c r="Q163" s="126">
        <v>2.4</v>
      </c>
      <c r="R163" s="124"/>
      <c r="S163" s="125" t="str">
        <f t="shared" si="5"/>
        <v/>
      </c>
      <c r="T163" s="125">
        <f>'3. Use Cases Catalog'!L151*1000000</f>
        <v>700000</v>
      </c>
    </row>
    <row r="164" spans="1:20" x14ac:dyDescent="0.2">
      <c r="A164" t="s">
        <v>98</v>
      </c>
      <c r="B164" t="s">
        <v>141</v>
      </c>
      <c r="C164" t="s">
        <v>1000</v>
      </c>
      <c r="D164" s="10" t="s">
        <v>7836</v>
      </c>
      <c r="E164" t="s">
        <v>7837</v>
      </c>
      <c r="F164" s="125">
        <f>'3. Use Cases Catalog'!I152*1000000</f>
        <v>1.8</v>
      </c>
      <c r="G164" s="125">
        <f>'3. Use Cases Catalog'!I152*1000000</f>
        <v>1.8</v>
      </c>
      <c r="H164" s="10" t="s">
        <v>7838</v>
      </c>
      <c r="I164" t="s">
        <v>7837</v>
      </c>
      <c r="J164" s="125">
        <f>'3. Use Cases Catalog'!J152*1000000</f>
        <v>2.2999999999999998</v>
      </c>
      <c r="K164" s="125">
        <f>'3. Use Cases Catalog'!J152*1000000</f>
        <v>2.2999999999999998</v>
      </c>
      <c r="L164" s="123"/>
      <c r="M164" s="124"/>
      <c r="N164" t="s">
        <v>130</v>
      </c>
      <c r="O164" s="125" t="str">
        <f t="shared" si="4"/>
        <v/>
      </c>
      <c r="P164" s="125">
        <f>'3. Use Cases Catalog'!K152*1000000</f>
        <v>0</v>
      </c>
      <c r="Q164" s="126"/>
      <c r="R164" s="124"/>
      <c r="S164" s="125" t="str">
        <f t="shared" si="5"/>
        <v/>
      </c>
      <c r="T164" s="125">
        <f>'3. Use Cases Catalog'!L152*1000000</f>
        <v>0</v>
      </c>
    </row>
    <row r="165" spans="1:20" x14ac:dyDescent="0.2">
      <c r="A165" t="s">
        <v>98</v>
      </c>
      <c r="B165" t="s">
        <v>123</v>
      </c>
      <c r="C165" t="s">
        <v>1007</v>
      </c>
      <c r="D165" s="10"/>
      <c r="E165" t="s">
        <v>1009</v>
      </c>
      <c r="F165" s="125">
        <f>'3. Use Cases Catalog'!I153*1000000</f>
        <v>0</v>
      </c>
      <c r="G165" s="125">
        <f>'3. Use Cases Catalog'!I153*1000000</f>
        <v>0</v>
      </c>
      <c r="H165" s="10"/>
      <c r="I165" t="s">
        <v>129</v>
      </c>
      <c r="J165" s="125">
        <f>'3. Use Cases Catalog'!J153*1000000</f>
        <v>0</v>
      </c>
      <c r="K165" s="125">
        <f>'3. Use Cases Catalog'!J153*1000000</f>
        <v>0</v>
      </c>
      <c r="L165" s="123">
        <v>0.5</v>
      </c>
      <c r="M165" s="124">
        <v>3000000</v>
      </c>
      <c r="N165" t="s">
        <v>7839</v>
      </c>
      <c r="O165" s="125">
        <f t="shared" si="4"/>
        <v>956250</v>
      </c>
      <c r="P165" s="125">
        <f>'3. Use Cases Catalog'!K153*1000000</f>
        <v>3</v>
      </c>
      <c r="Q165" s="126"/>
      <c r="R165" s="124"/>
      <c r="S165" s="125" t="str">
        <f t="shared" si="5"/>
        <v/>
      </c>
      <c r="T165" s="125">
        <f>'3. Use Cases Catalog'!L153*1000000</f>
        <v>0</v>
      </c>
    </row>
    <row r="166" spans="1:20" x14ac:dyDescent="0.2">
      <c r="A166" t="s">
        <v>98</v>
      </c>
      <c r="B166" t="s">
        <v>156</v>
      </c>
      <c r="C166" t="s">
        <v>1012</v>
      </c>
      <c r="D166" s="10" t="s">
        <v>7840</v>
      </c>
      <c r="E166" t="s">
        <v>7841</v>
      </c>
      <c r="F166" s="125">
        <f>'3. Use Cases Catalog'!I154*1000000</f>
        <v>2.1</v>
      </c>
      <c r="G166" s="125">
        <f>'3. Use Cases Catalog'!I154*1000000</f>
        <v>2.1</v>
      </c>
      <c r="H166" s="10"/>
      <c r="I166" t="s">
        <v>129</v>
      </c>
      <c r="J166" s="125">
        <f>'3. Use Cases Catalog'!J154*1000000</f>
        <v>0</v>
      </c>
      <c r="K166" s="125">
        <f>'3. Use Cases Catalog'!J154*1000000</f>
        <v>0</v>
      </c>
      <c r="L166" s="123"/>
      <c r="M166" s="124"/>
      <c r="N166" t="s">
        <v>130</v>
      </c>
      <c r="O166" s="125" t="str">
        <f t="shared" si="4"/>
        <v/>
      </c>
      <c r="P166" s="125">
        <f>'3. Use Cases Catalog'!K154*1000000</f>
        <v>0</v>
      </c>
      <c r="Q166" s="126"/>
      <c r="R166" s="124"/>
      <c r="S166" s="125" t="str">
        <f t="shared" si="5"/>
        <v/>
      </c>
      <c r="T166" s="125">
        <f>'3. Use Cases Catalog'!L154*1000000</f>
        <v>0</v>
      </c>
    </row>
    <row r="167" spans="1:20" x14ac:dyDescent="0.2">
      <c r="A167" t="s">
        <v>98</v>
      </c>
      <c r="B167" t="s">
        <v>149</v>
      </c>
      <c r="C167" t="s">
        <v>1017</v>
      </c>
      <c r="D167" s="10" t="s">
        <v>7735</v>
      </c>
      <c r="E167" t="s">
        <v>7842</v>
      </c>
      <c r="F167" s="125">
        <f>'3. Use Cases Catalog'!I155*1000000</f>
        <v>1.7</v>
      </c>
      <c r="G167" s="125">
        <f>'3. Use Cases Catalog'!I155*1000000</f>
        <v>1.7</v>
      </c>
      <c r="H167" s="10"/>
      <c r="I167" t="s">
        <v>129</v>
      </c>
      <c r="J167" s="125">
        <f>'3. Use Cases Catalog'!J155*1000000</f>
        <v>0</v>
      </c>
      <c r="K167" s="125">
        <f>'3. Use Cases Catalog'!J155*1000000</f>
        <v>0</v>
      </c>
      <c r="L167" s="123"/>
      <c r="M167" s="124"/>
      <c r="N167" t="s">
        <v>130</v>
      </c>
      <c r="O167" s="125" t="str">
        <f t="shared" si="4"/>
        <v/>
      </c>
      <c r="P167" s="125">
        <f>'3. Use Cases Catalog'!K155*1000000</f>
        <v>0</v>
      </c>
      <c r="Q167" s="126"/>
      <c r="R167" s="124"/>
      <c r="S167" s="125" t="str">
        <f t="shared" si="5"/>
        <v/>
      </c>
      <c r="T167" s="125">
        <f>'3. Use Cases Catalog'!L155*1000000</f>
        <v>0</v>
      </c>
    </row>
    <row r="168" spans="1:20" x14ac:dyDescent="0.2">
      <c r="A168" t="s">
        <v>98</v>
      </c>
      <c r="B168" t="s">
        <v>133</v>
      </c>
      <c r="C168" t="s">
        <v>1020</v>
      </c>
      <c r="D168" s="10" t="s">
        <v>7843</v>
      </c>
      <c r="E168" t="s">
        <v>7844</v>
      </c>
      <c r="F168" s="125">
        <f>'3. Use Cases Catalog'!I156*1000000</f>
        <v>1.3</v>
      </c>
      <c r="G168" s="125">
        <f>'3. Use Cases Catalog'!I156*1000000</f>
        <v>1.3</v>
      </c>
      <c r="H168" s="10" t="s">
        <v>7845</v>
      </c>
      <c r="I168" t="s">
        <v>7846</v>
      </c>
      <c r="J168" s="125">
        <f>'3. Use Cases Catalog'!J156*1000000</f>
        <v>3.8</v>
      </c>
      <c r="K168" s="125">
        <f>'3. Use Cases Catalog'!J156*1000000</f>
        <v>3.8</v>
      </c>
      <c r="L168" s="123"/>
      <c r="M168" s="124"/>
      <c r="N168" t="s">
        <v>130</v>
      </c>
      <c r="O168" s="125" t="str">
        <f t="shared" si="4"/>
        <v/>
      </c>
      <c r="P168" s="125">
        <f>'3. Use Cases Catalog'!K156*1000000</f>
        <v>0</v>
      </c>
      <c r="Q168" s="126"/>
      <c r="R168" s="124"/>
      <c r="S168" s="125" t="str">
        <f t="shared" si="5"/>
        <v/>
      </c>
      <c r="T168" s="125">
        <f>'3. Use Cases Catalog'!L156*1000000</f>
        <v>0</v>
      </c>
    </row>
    <row r="169" spans="1:20" x14ac:dyDescent="0.2">
      <c r="A169" t="s">
        <v>98</v>
      </c>
      <c r="B169" t="s">
        <v>164</v>
      </c>
      <c r="C169" t="s">
        <v>1025</v>
      </c>
      <c r="D169" s="10" t="s">
        <v>7836</v>
      </c>
      <c r="E169" t="s">
        <v>7847</v>
      </c>
      <c r="F169" s="125">
        <f>'3. Use Cases Catalog'!I157*1000000</f>
        <v>600000</v>
      </c>
      <c r="G169" s="125">
        <f>'3. Use Cases Catalog'!I157*1000000</f>
        <v>600000</v>
      </c>
      <c r="H169" s="10"/>
      <c r="I169" t="s">
        <v>129</v>
      </c>
      <c r="J169" s="125">
        <f>'3. Use Cases Catalog'!J157*1000000</f>
        <v>0</v>
      </c>
      <c r="K169" s="125">
        <f>'3. Use Cases Catalog'!J157*1000000</f>
        <v>0</v>
      </c>
      <c r="L169" s="123">
        <v>0.18</v>
      </c>
      <c r="M169" s="124"/>
      <c r="N169" t="s">
        <v>7848</v>
      </c>
      <c r="O169" s="125" t="str">
        <f t="shared" si="4"/>
        <v/>
      </c>
      <c r="P169" s="125">
        <f>'3. Use Cases Catalog'!K157*1000000</f>
        <v>200000</v>
      </c>
      <c r="Q169" s="126"/>
      <c r="R169" s="124"/>
      <c r="S169" s="125" t="str">
        <f t="shared" si="5"/>
        <v/>
      </c>
      <c r="T169" s="125">
        <f>'3. Use Cases Catalog'!L157*1000000</f>
        <v>0</v>
      </c>
    </row>
    <row r="170" spans="1:20" x14ac:dyDescent="0.2">
      <c r="A170" t="s">
        <v>98</v>
      </c>
      <c r="B170" t="s">
        <v>172</v>
      </c>
      <c r="C170" t="s">
        <v>1031</v>
      </c>
      <c r="D170" s="10" t="s">
        <v>7849</v>
      </c>
      <c r="E170" t="s">
        <v>7850</v>
      </c>
      <c r="F170" s="125">
        <f>'3. Use Cases Catalog'!I158*1000000</f>
        <v>900000</v>
      </c>
      <c r="G170" s="125">
        <f>'3. Use Cases Catalog'!I158*1000000</f>
        <v>900000</v>
      </c>
      <c r="H170" s="10"/>
      <c r="I170" t="s">
        <v>129</v>
      </c>
      <c r="J170" s="125">
        <f>'3. Use Cases Catalog'!J158*1000000</f>
        <v>0</v>
      </c>
      <c r="K170" s="125">
        <f>'3. Use Cases Catalog'!J158*1000000</f>
        <v>0</v>
      </c>
      <c r="L170" s="123"/>
      <c r="M170" s="124"/>
      <c r="N170" t="s">
        <v>130</v>
      </c>
      <c r="O170" s="125" t="str">
        <f t="shared" si="4"/>
        <v/>
      </c>
      <c r="P170" s="125">
        <f>'3. Use Cases Catalog'!K158*1000000</f>
        <v>0</v>
      </c>
      <c r="Q170" s="126">
        <v>5</v>
      </c>
      <c r="R170" s="124"/>
      <c r="S170" s="125" t="str">
        <f t="shared" si="5"/>
        <v/>
      </c>
      <c r="T170" s="125">
        <f>'3. Use Cases Catalog'!L158*1000000</f>
        <v>400000</v>
      </c>
    </row>
    <row r="171" spans="1:20" x14ac:dyDescent="0.2">
      <c r="A171" t="s">
        <v>98</v>
      </c>
      <c r="B171" t="s">
        <v>179</v>
      </c>
      <c r="C171" t="s">
        <v>1036</v>
      </c>
      <c r="D171" s="10" t="s">
        <v>7851</v>
      </c>
      <c r="E171" t="s">
        <v>7852</v>
      </c>
      <c r="F171" s="125">
        <f>'3. Use Cases Catalog'!I159*1000000</f>
        <v>900000</v>
      </c>
      <c r="G171" s="125">
        <f>'3. Use Cases Catalog'!I159*1000000</f>
        <v>900000</v>
      </c>
      <c r="H171" s="10"/>
      <c r="I171" t="s">
        <v>129</v>
      </c>
      <c r="J171" s="125">
        <f>'3. Use Cases Catalog'!J159*1000000</f>
        <v>0</v>
      </c>
      <c r="K171" s="125">
        <f>'3. Use Cases Catalog'!J159*1000000</f>
        <v>0</v>
      </c>
      <c r="L171" s="123"/>
      <c r="M171" s="124"/>
      <c r="N171" t="s">
        <v>130</v>
      </c>
      <c r="O171" s="125" t="str">
        <f t="shared" si="4"/>
        <v/>
      </c>
      <c r="P171" s="125">
        <f>'3. Use Cases Catalog'!K159*1000000</f>
        <v>0</v>
      </c>
      <c r="Q171" s="126"/>
      <c r="R171" s="124"/>
      <c r="S171" s="125" t="str">
        <f t="shared" si="5"/>
        <v/>
      </c>
      <c r="T171" s="125">
        <f>'3. Use Cases Catalog'!L159*1000000</f>
        <v>0</v>
      </c>
    </row>
    <row r="172" spans="1:20" x14ac:dyDescent="0.2">
      <c r="A172" t="s">
        <v>98</v>
      </c>
      <c r="B172" t="s">
        <v>186</v>
      </c>
      <c r="C172" t="s">
        <v>1040</v>
      </c>
      <c r="D172" s="10"/>
      <c r="E172" t="s">
        <v>1009</v>
      </c>
      <c r="F172" s="125">
        <f>'3. Use Cases Catalog'!I160*1000000</f>
        <v>0</v>
      </c>
      <c r="G172" s="125">
        <f>'3. Use Cases Catalog'!I160*1000000</f>
        <v>0</v>
      </c>
      <c r="H172" s="10"/>
      <c r="I172" t="s">
        <v>129</v>
      </c>
      <c r="J172" s="125">
        <f>'3. Use Cases Catalog'!J160*1000000</f>
        <v>0</v>
      </c>
      <c r="K172" s="125">
        <f>'3. Use Cases Catalog'!J160*1000000</f>
        <v>0</v>
      </c>
      <c r="L172" s="123"/>
      <c r="M172" s="124"/>
      <c r="N172" t="s">
        <v>130</v>
      </c>
      <c r="O172" s="125" t="str">
        <f t="shared" si="4"/>
        <v/>
      </c>
      <c r="P172" s="125">
        <f>'3. Use Cases Catalog'!K160*1000000</f>
        <v>0</v>
      </c>
      <c r="Q172" s="126"/>
      <c r="R172" s="124"/>
      <c r="S172" s="125" t="str">
        <f t="shared" si="5"/>
        <v/>
      </c>
      <c r="T172" s="125">
        <f>'3. Use Cases Catalog'!L160*1000000</f>
        <v>1.8</v>
      </c>
    </row>
    <row r="173" spans="1:20" x14ac:dyDescent="0.2">
      <c r="A173" t="s">
        <v>98</v>
      </c>
      <c r="B173" t="s">
        <v>194</v>
      </c>
      <c r="C173" t="s">
        <v>1044</v>
      </c>
      <c r="D173" s="10" t="s">
        <v>7853</v>
      </c>
      <c r="E173" t="s">
        <v>7854</v>
      </c>
      <c r="F173" s="125">
        <f>'3. Use Cases Catalog'!I161*1000000</f>
        <v>400000</v>
      </c>
      <c r="G173" s="125">
        <f>'3. Use Cases Catalog'!I161*1000000</f>
        <v>400000</v>
      </c>
      <c r="H173" s="10"/>
      <c r="I173" t="s">
        <v>129</v>
      </c>
      <c r="J173" s="125">
        <f>'3. Use Cases Catalog'!J161*1000000</f>
        <v>0</v>
      </c>
      <c r="K173" s="125">
        <f>'3. Use Cases Catalog'!J161*1000000</f>
        <v>0</v>
      </c>
      <c r="L173" s="123"/>
      <c r="M173" s="124"/>
      <c r="N173" t="s">
        <v>130</v>
      </c>
      <c r="O173" s="125" t="str">
        <f t="shared" si="4"/>
        <v/>
      </c>
      <c r="P173" s="125">
        <f>'3. Use Cases Catalog'!K161*1000000</f>
        <v>0</v>
      </c>
      <c r="Q173" s="126"/>
      <c r="R173" s="124"/>
      <c r="S173" s="125" t="str">
        <f t="shared" si="5"/>
        <v/>
      </c>
      <c r="T173" s="125">
        <f>'3. Use Cases Catalog'!L161*1000000</f>
        <v>0</v>
      </c>
    </row>
    <row r="174" spans="1:20" x14ac:dyDescent="0.2">
      <c r="A174" t="s">
        <v>76</v>
      </c>
      <c r="B174" t="s">
        <v>149</v>
      </c>
      <c r="C174" t="s">
        <v>1047</v>
      </c>
      <c r="D174" s="10" t="s">
        <v>7855</v>
      </c>
      <c r="E174" t="s">
        <v>7856</v>
      </c>
      <c r="F174" s="125">
        <f>'3. Use Cases Catalog'!I162*1000000</f>
        <v>2.4</v>
      </c>
      <c r="G174" s="125">
        <f>'3. Use Cases Catalog'!I162*1000000</f>
        <v>2.4</v>
      </c>
      <c r="H174" s="10"/>
      <c r="I174" t="s">
        <v>129</v>
      </c>
      <c r="J174" s="125">
        <f>'3. Use Cases Catalog'!J162*1000000</f>
        <v>0</v>
      </c>
      <c r="K174" s="125">
        <f>'3. Use Cases Catalog'!J162*1000000</f>
        <v>0</v>
      </c>
      <c r="L174" s="123"/>
      <c r="M174" s="124"/>
      <c r="N174" t="s">
        <v>130</v>
      </c>
      <c r="O174" s="125" t="str">
        <f t="shared" si="4"/>
        <v/>
      </c>
      <c r="P174" s="125">
        <f>'3. Use Cases Catalog'!K162*1000000</f>
        <v>0</v>
      </c>
      <c r="Q174" s="126"/>
      <c r="R174" s="124"/>
      <c r="S174" s="125" t="str">
        <f t="shared" si="5"/>
        <v/>
      </c>
      <c r="T174" s="125">
        <f>'3. Use Cases Catalog'!L162*1000000</f>
        <v>0</v>
      </c>
    </row>
    <row r="175" spans="1:20" x14ac:dyDescent="0.2">
      <c r="A175" t="s">
        <v>76</v>
      </c>
      <c r="B175" t="s">
        <v>133</v>
      </c>
      <c r="C175" t="s">
        <v>1051</v>
      </c>
      <c r="D175" s="10" t="s">
        <v>7857</v>
      </c>
      <c r="E175" t="s">
        <v>7858</v>
      </c>
      <c r="F175" s="125">
        <f>'3. Use Cases Catalog'!I163*1000000</f>
        <v>620000</v>
      </c>
      <c r="G175" s="125">
        <f>'3. Use Cases Catalog'!I163*1000000</f>
        <v>620000</v>
      </c>
      <c r="H175" s="10"/>
      <c r="I175" t="s">
        <v>129</v>
      </c>
      <c r="J175" s="125">
        <f>'3. Use Cases Catalog'!J163*1000000</f>
        <v>0</v>
      </c>
      <c r="K175" s="125">
        <f>'3. Use Cases Catalog'!J163*1000000</f>
        <v>0</v>
      </c>
      <c r="L175" s="123"/>
      <c r="M175" s="124">
        <v>4200000</v>
      </c>
      <c r="N175" t="s">
        <v>7859</v>
      </c>
      <c r="O175" s="125" t="str">
        <f t="shared" si="4"/>
        <v/>
      </c>
      <c r="P175" s="125">
        <f>'3. Use Cases Catalog'!K163*1000000</f>
        <v>1.5</v>
      </c>
      <c r="Q175" s="126"/>
      <c r="R175" s="124"/>
      <c r="S175" s="125" t="str">
        <f t="shared" si="5"/>
        <v/>
      </c>
      <c r="T175" s="125">
        <f>'3. Use Cases Catalog'!L163*1000000</f>
        <v>0</v>
      </c>
    </row>
    <row r="176" spans="1:20" x14ac:dyDescent="0.2">
      <c r="A176" t="s">
        <v>76</v>
      </c>
      <c r="B176" t="s">
        <v>172</v>
      </c>
      <c r="C176" t="s">
        <v>1055</v>
      </c>
      <c r="D176" s="10"/>
      <c r="E176" t="s">
        <v>1009</v>
      </c>
      <c r="F176" s="125">
        <f>'3. Use Cases Catalog'!I164*1000000</f>
        <v>0</v>
      </c>
      <c r="G176" s="125">
        <f>'3. Use Cases Catalog'!I164*1000000</f>
        <v>0</v>
      </c>
      <c r="H176" s="10"/>
      <c r="I176" t="s">
        <v>129</v>
      </c>
      <c r="J176" s="125">
        <f>'3. Use Cases Catalog'!J164*1000000</f>
        <v>0</v>
      </c>
      <c r="K176" s="125">
        <f>'3. Use Cases Catalog'!J164*1000000</f>
        <v>0</v>
      </c>
      <c r="L176" s="123"/>
      <c r="M176" s="124"/>
      <c r="N176" t="s">
        <v>130</v>
      </c>
      <c r="O176" s="125" t="str">
        <f t="shared" si="4"/>
        <v/>
      </c>
      <c r="P176" s="125">
        <f>'3. Use Cases Catalog'!K164*1000000</f>
        <v>0</v>
      </c>
      <c r="Q176" s="126">
        <v>6</v>
      </c>
      <c r="R176" s="124"/>
      <c r="S176" s="125" t="str">
        <f t="shared" si="5"/>
        <v/>
      </c>
      <c r="T176" s="125">
        <f>'3. Use Cases Catalog'!L164*1000000</f>
        <v>2.8</v>
      </c>
    </row>
    <row r="177" spans="1:20" x14ac:dyDescent="0.2">
      <c r="A177" t="s">
        <v>76</v>
      </c>
      <c r="B177" t="s">
        <v>179</v>
      </c>
      <c r="C177" t="s">
        <v>7860</v>
      </c>
      <c r="D177" s="10" t="s">
        <v>7861</v>
      </c>
      <c r="E177" t="s">
        <v>7862</v>
      </c>
      <c r="F177" s="125">
        <f>'3. Use Cases Catalog'!I165*1000000</f>
        <v>910000</v>
      </c>
      <c r="G177" s="125">
        <f>'3. Use Cases Catalog'!I165*1000000</f>
        <v>910000</v>
      </c>
      <c r="H177" s="10"/>
      <c r="I177" t="s">
        <v>129</v>
      </c>
      <c r="J177" s="125">
        <f>'3. Use Cases Catalog'!J165*1000000</f>
        <v>0</v>
      </c>
      <c r="K177" s="125">
        <f>'3. Use Cases Catalog'!J165*1000000</f>
        <v>0</v>
      </c>
      <c r="L177" s="123"/>
      <c r="M177" s="124"/>
      <c r="N177" t="s">
        <v>130</v>
      </c>
      <c r="O177" s="125" t="str">
        <f t="shared" si="4"/>
        <v/>
      </c>
      <c r="P177" s="125">
        <f>'3. Use Cases Catalog'!K165*1000000</f>
        <v>0</v>
      </c>
      <c r="Q177" s="126"/>
      <c r="R177" s="124"/>
      <c r="S177" s="125" t="str">
        <f t="shared" si="5"/>
        <v/>
      </c>
      <c r="T177" s="125">
        <f>'3. Use Cases Catalog'!L165*1000000</f>
        <v>0</v>
      </c>
    </row>
    <row r="178" spans="1:20" x14ac:dyDescent="0.2">
      <c r="A178" t="s">
        <v>76</v>
      </c>
      <c r="B178" t="s">
        <v>186</v>
      </c>
      <c r="C178" t="s">
        <v>1062</v>
      </c>
      <c r="D178" s="10" t="s">
        <v>7863</v>
      </c>
      <c r="E178" t="s">
        <v>7864</v>
      </c>
      <c r="F178" s="125">
        <f>'3. Use Cases Catalog'!I166*1000000</f>
        <v>720000</v>
      </c>
      <c r="G178" s="125">
        <f>'3. Use Cases Catalog'!I166*1000000</f>
        <v>720000</v>
      </c>
      <c r="H178" s="10" t="s">
        <v>7865</v>
      </c>
      <c r="I178" t="s">
        <v>7866</v>
      </c>
      <c r="J178" s="125">
        <f>'3. Use Cases Catalog'!J166*1000000</f>
        <v>1.9</v>
      </c>
      <c r="K178" s="125">
        <f>'3. Use Cases Catalog'!J166*1000000</f>
        <v>1.9</v>
      </c>
      <c r="L178" s="123"/>
      <c r="M178" s="124"/>
      <c r="N178" t="s">
        <v>130</v>
      </c>
      <c r="O178" s="125" t="str">
        <f t="shared" si="4"/>
        <v/>
      </c>
      <c r="P178" s="125">
        <f>'3. Use Cases Catalog'!K166*1000000</f>
        <v>0</v>
      </c>
      <c r="Q178" s="126"/>
      <c r="R178" s="124"/>
      <c r="S178" s="125" t="str">
        <f t="shared" si="5"/>
        <v/>
      </c>
      <c r="T178" s="125">
        <f>'3. Use Cases Catalog'!L166*1000000</f>
        <v>0</v>
      </c>
    </row>
    <row r="179" spans="1:20" x14ac:dyDescent="0.2">
      <c r="A179" t="s">
        <v>76</v>
      </c>
      <c r="B179" t="s">
        <v>194</v>
      </c>
      <c r="C179" t="s">
        <v>1066</v>
      </c>
      <c r="D179" s="10" t="s">
        <v>7867</v>
      </c>
      <c r="E179" t="s">
        <v>7868</v>
      </c>
      <c r="F179" s="125">
        <f>'3. Use Cases Catalog'!I167*1000000</f>
        <v>1.2</v>
      </c>
      <c r="G179" s="125">
        <f>'3. Use Cases Catalog'!I167*1000000</f>
        <v>1.2</v>
      </c>
      <c r="H179" s="10" t="s">
        <v>7869</v>
      </c>
      <c r="I179" t="s">
        <v>7870</v>
      </c>
      <c r="J179" s="125">
        <f>'3. Use Cases Catalog'!J167*1000000</f>
        <v>8.4</v>
      </c>
      <c r="K179" s="125">
        <f>'3. Use Cases Catalog'!J167*1000000</f>
        <v>8.4</v>
      </c>
      <c r="L179" s="123"/>
      <c r="M179" s="124"/>
      <c r="N179" t="s">
        <v>130</v>
      </c>
      <c r="O179" s="125" t="str">
        <f t="shared" si="4"/>
        <v/>
      </c>
      <c r="P179" s="125">
        <f>'3. Use Cases Catalog'!K167*1000000</f>
        <v>0</v>
      </c>
      <c r="Q179" s="126"/>
      <c r="R179" s="124"/>
      <c r="S179" s="125" t="str">
        <f t="shared" si="5"/>
        <v/>
      </c>
      <c r="T179" s="125">
        <f>'3. Use Cases Catalog'!L167*1000000</f>
        <v>0</v>
      </c>
    </row>
    <row r="180" spans="1:20" x14ac:dyDescent="0.2">
      <c r="A180" t="s">
        <v>76</v>
      </c>
      <c r="B180" t="s">
        <v>141</v>
      </c>
      <c r="C180" t="s">
        <v>7871</v>
      </c>
      <c r="D180" s="10" t="s">
        <v>7872</v>
      </c>
      <c r="E180" t="s">
        <v>7873</v>
      </c>
      <c r="F180" s="125">
        <f>'3. Use Cases Catalog'!I168*1000000</f>
        <v>3.6</v>
      </c>
      <c r="G180" s="125">
        <f>'3. Use Cases Catalog'!I168*1000000</f>
        <v>3.6</v>
      </c>
      <c r="H180" s="10" t="s">
        <v>7556</v>
      </c>
      <c r="I180" t="s">
        <v>7874</v>
      </c>
      <c r="J180" s="125">
        <f>'3. Use Cases Catalog'!J168*1000000</f>
        <v>2.8</v>
      </c>
      <c r="K180" s="125">
        <f>'3. Use Cases Catalog'!J168*1000000</f>
        <v>2.8</v>
      </c>
      <c r="L180" s="123"/>
      <c r="M180" s="124"/>
      <c r="N180" t="s">
        <v>130</v>
      </c>
      <c r="O180" s="125" t="str">
        <f t="shared" si="4"/>
        <v/>
      </c>
      <c r="P180" s="125">
        <f>'3. Use Cases Catalog'!K168*1000000</f>
        <v>0</v>
      </c>
      <c r="Q180" s="126"/>
      <c r="R180" s="124"/>
      <c r="S180" s="125" t="str">
        <f t="shared" si="5"/>
        <v/>
      </c>
      <c r="T180" s="125">
        <f>'3. Use Cases Catalog'!L168*1000000</f>
        <v>0</v>
      </c>
    </row>
    <row r="181" spans="1:20" x14ac:dyDescent="0.2">
      <c r="A181" t="s">
        <v>76</v>
      </c>
      <c r="B181" t="s">
        <v>123</v>
      </c>
      <c r="C181" t="s">
        <v>790</v>
      </c>
      <c r="D181" s="10" t="s">
        <v>7875</v>
      </c>
      <c r="E181" t="s">
        <v>7876</v>
      </c>
      <c r="F181" s="125">
        <f>'3. Use Cases Catalog'!I169*1000000</f>
        <v>11.3</v>
      </c>
      <c r="G181" s="125">
        <f>'3. Use Cases Catalog'!I169*1000000</f>
        <v>11.3</v>
      </c>
      <c r="H181" s="10"/>
      <c r="I181" t="s">
        <v>129</v>
      </c>
      <c r="J181" s="125">
        <f>'3. Use Cases Catalog'!J169*1000000</f>
        <v>0</v>
      </c>
      <c r="K181" s="125">
        <f>'3. Use Cases Catalog'!J169*1000000</f>
        <v>0</v>
      </c>
      <c r="L181" s="123"/>
      <c r="M181" s="124"/>
      <c r="N181" t="s">
        <v>130</v>
      </c>
      <c r="O181" s="125" t="str">
        <f t="shared" si="4"/>
        <v/>
      </c>
      <c r="P181" s="125">
        <f>'3. Use Cases Catalog'!K169*1000000</f>
        <v>0</v>
      </c>
      <c r="Q181" s="126"/>
      <c r="R181" s="124"/>
      <c r="S181" s="125" t="str">
        <f t="shared" si="5"/>
        <v/>
      </c>
      <c r="T181" s="125">
        <f>'3. Use Cases Catalog'!L169*1000000</f>
        <v>12.4</v>
      </c>
    </row>
    <row r="182" spans="1:20" x14ac:dyDescent="0.2">
      <c r="A182" t="s">
        <v>76</v>
      </c>
      <c r="B182" t="s">
        <v>156</v>
      </c>
      <c r="C182" t="s">
        <v>1080</v>
      </c>
      <c r="D182" s="10" t="s">
        <v>7877</v>
      </c>
      <c r="E182" t="s">
        <v>7878</v>
      </c>
      <c r="F182" s="125">
        <f>'3. Use Cases Catalog'!I170*1000000</f>
        <v>1.4</v>
      </c>
      <c r="G182" s="125">
        <f>'3. Use Cases Catalog'!I170*1000000</f>
        <v>1.4</v>
      </c>
      <c r="H182" s="10" t="s">
        <v>7879</v>
      </c>
      <c r="I182" t="s">
        <v>7880</v>
      </c>
      <c r="J182" s="125">
        <f>'3. Use Cases Catalog'!J170*1000000</f>
        <v>10.1</v>
      </c>
      <c r="K182" s="125">
        <f>'3. Use Cases Catalog'!J170*1000000</f>
        <v>10.1</v>
      </c>
      <c r="L182" s="123"/>
      <c r="M182" s="124"/>
      <c r="N182" t="s">
        <v>130</v>
      </c>
      <c r="O182" s="125" t="str">
        <f t="shared" si="4"/>
        <v/>
      </c>
      <c r="P182" s="125">
        <f>'3. Use Cases Catalog'!K170*1000000</f>
        <v>0</v>
      </c>
      <c r="Q182" s="126"/>
      <c r="R182" s="124"/>
      <c r="S182" s="125" t="str">
        <f t="shared" si="5"/>
        <v/>
      </c>
      <c r="T182" s="125">
        <f>'3. Use Cases Catalog'!L170*1000000</f>
        <v>0</v>
      </c>
    </row>
    <row r="183" spans="1:20" x14ac:dyDescent="0.2">
      <c r="A183" t="s">
        <v>76</v>
      </c>
      <c r="B183" t="s">
        <v>164</v>
      </c>
      <c r="C183" t="s">
        <v>1084</v>
      </c>
      <c r="D183" s="10" t="s">
        <v>7881</v>
      </c>
      <c r="E183" t="s">
        <v>7882</v>
      </c>
      <c r="F183" s="125">
        <f>'3. Use Cases Catalog'!I171*1000000</f>
        <v>4</v>
      </c>
      <c r="G183" s="125">
        <f>'3. Use Cases Catalog'!I171*1000000</f>
        <v>4</v>
      </c>
      <c r="H183" s="10"/>
      <c r="I183" t="s">
        <v>129</v>
      </c>
      <c r="J183" s="125">
        <f>'3. Use Cases Catalog'!J171*1000000</f>
        <v>0</v>
      </c>
      <c r="K183" s="125">
        <f>'3. Use Cases Catalog'!J171*1000000</f>
        <v>0</v>
      </c>
      <c r="L183" s="123"/>
      <c r="M183" s="124"/>
      <c r="N183" t="s">
        <v>130</v>
      </c>
      <c r="O183" s="125" t="str">
        <f t="shared" si="4"/>
        <v/>
      </c>
      <c r="P183" s="125">
        <f>'3. Use Cases Catalog'!K171*1000000</f>
        <v>0</v>
      </c>
      <c r="Q183" s="126"/>
      <c r="R183" s="124"/>
      <c r="S183" s="125" t="str">
        <f t="shared" si="5"/>
        <v/>
      </c>
      <c r="T183" s="125">
        <f>'3. Use Cases Catalog'!L171*1000000</f>
        <v>0</v>
      </c>
    </row>
    <row r="184" spans="1:20" x14ac:dyDescent="0.2">
      <c r="A184" t="s">
        <v>88</v>
      </c>
      <c r="B184" t="s">
        <v>141</v>
      </c>
      <c r="C184" t="s">
        <v>598</v>
      </c>
      <c r="D184" s="10" t="s">
        <v>7883</v>
      </c>
      <c r="E184" t="s">
        <v>7884</v>
      </c>
      <c r="F184" s="125">
        <f>'3. Use Cases Catalog'!I172*1000000</f>
        <v>3.6</v>
      </c>
      <c r="G184" s="125">
        <f>'3. Use Cases Catalog'!I172*1000000</f>
        <v>3.6</v>
      </c>
      <c r="H184" s="10"/>
      <c r="I184" t="s">
        <v>129</v>
      </c>
      <c r="J184" s="125">
        <f>'3. Use Cases Catalog'!J172*1000000</f>
        <v>0</v>
      </c>
      <c r="K184" s="125">
        <f>'3. Use Cases Catalog'!J172*1000000</f>
        <v>0</v>
      </c>
      <c r="L184" s="123">
        <v>0.15</v>
      </c>
      <c r="M184" s="124">
        <v>7400000</v>
      </c>
      <c r="N184" t="s">
        <v>7885</v>
      </c>
      <c r="O184" s="125">
        <f t="shared" si="4"/>
        <v>707625</v>
      </c>
      <c r="P184" s="125">
        <f>'3. Use Cases Catalog'!K172*1000000</f>
        <v>800000</v>
      </c>
      <c r="Q184" s="126"/>
      <c r="R184" s="124"/>
      <c r="S184" s="125" t="str">
        <f t="shared" si="5"/>
        <v/>
      </c>
      <c r="T184" s="125">
        <f>'3. Use Cases Catalog'!L172*1000000</f>
        <v>0</v>
      </c>
    </row>
    <row r="185" spans="1:20" x14ac:dyDescent="0.2">
      <c r="A185" t="s">
        <v>88</v>
      </c>
      <c r="B185" t="s">
        <v>123</v>
      </c>
      <c r="C185" t="s">
        <v>1091</v>
      </c>
      <c r="D185" s="10" t="s">
        <v>7886</v>
      </c>
      <c r="E185" t="s">
        <v>7887</v>
      </c>
      <c r="F185" s="125">
        <f>'3. Use Cases Catalog'!I173*1000000</f>
        <v>1.4</v>
      </c>
      <c r="G185" s="125">
        <f>'3. Use Cases Catalog'!I173*1000000</f>
        <v>1.4</v>
      </c>
      <c r="H185" s="10" t="s">
        <v>7888</v>
      </c>
      <c r="I185" t="s">
        <v>7889</v>
      </c>
      <c r="J185" s="125">
        <f>'3. Use Cases Catalog'!J173*1000000</f>
        <v>1.8</v>
      </c>
      <c r="K185" s="125">
        <f>'3. Use Cases Catalog'!J173*1000000</f>
        <v>1.8</v>
      </c>
      <c r="L185" s="123">
        <v>0.06</v>
      </c>
      <c r="M185" s="124"/>
      <c r="N185" t="s">
        <v>7890</v>
      </c>
      <c r="O185" s="125" t="str">
        <f t="shared" si="4"/>
        <v/>
      </c>
      <c r="P185" s="125">
        <f>'3. Use Cases Catalog'!K173*1000000</f>
        <v>1.2</v>
      </c>
      <c r="Q185" s="126"/>
      <c r="R185" s="124"/>
      <c r="S185" s="125" t="str">
        <f t="shared" si="5"/>
        <v/>
      </c>
      <c r="T185" s="125">
        <f>'3. Use Cases Catalog'!L173*1000000</f>
        <v>0</v>
      </c>
    </row>
    <row r="186" spans="1:20" x14ac:dyDescent="0.2">
      <c r="A186" t="s">
        <v>88</v>
      </c>
      <c r="B186" t="s">
        <v>172</v>
      </c>
      <c r="C186" t="s">
        <v>1097</v>
      </c>
      <c r="D186" s="10" t="s">
        <v>7891</v>
      </c>
      <c r="E186" t="s">
        <v>7892</v>
      </c>
      <c r="F186" s="125">
        <f>'3. Use Cases Catalog'!I174*1000000</f>
        <v>500000</v>
      </c>
      <c r="G186" s="125">
        <f>'3. Use Cases Catalog'!I174*1000000</f>
        <v>500000</v>
      </c>
      <c r="H186" s="10"/>
      <c r="I186" t="s">
        <v>129</v>
      </c>
      <c r="J186" s="125">
        <f>'3. Use Cases Catalog'!J174*1000000</f>
        <v>0</v>
      </c>
      <c r="K186" s="125">
        <f>'3. Use Cases Catalog'!J174*1000000</f>
        <v>0</v>
      </c>
      <c r="L186" s="123">
        <v>0.5</v>
      </c>
      <c r="M186" s="124">
        <v>42000000</v>
      </c>
      <c r="N186" t="s">
        <v>7893</v>
      </c>
      <c r="O186" s="125">
        <f t="shared" si="4"/>
        <v>13387500</v>
      </c>
      <c r="P186" s="125">
        <f>'3. Use Cases Catalog'!K174*1000000</f>
        <v>1.8</v>
      </c>
      <c r="Q186" s="126">
        <v>6</v>
      </c>
      <c r="R186" s="124"/>
      <c r="S186" s="125" t="str">
        <f t="shared" si="5"/>
        <v/>
      </c>
      <c r="T186" s="125">
        <f>'3. Use Cases Catalog'!L174*1000000</f>
        <v>1.9</v>
      </c>
    </row>
    <row r="187" spans="1:20" x14ac:dyDescent="0.2">
      <c r="A187" t="s">
        <v>88</v>
      </c>
      <c r="B187" t="s">
        <v>179</v>
      </c>
      <c r="C187" t="s">
        <v>1102</v>
      </c>
      <c r="D187" s="10" t="s">
        <v>7894</v>
      </c>
      <c r="E187" t="s">
        <v>7895</v>
      </c>
      <c r="F187" s="125">
        <f>'3. Use Cases Catalog'!I175*1000000</f>
        <v>200000</v>
      </c>
      <c r="G187" s="125">
        <f>'3. Use Cases Catalog'!I175*1000000</f>
        <v>200000</v>
      </c>
      <c r="H187" s="10"/>
      <c r="I187" t="s">
        <v>129</v>
      </c>
      <c r="J187" s="125">
        <f>'3. Use Cases Catalog'!J175*1000000</f>
        <v>0</v>
      </c>
      <c r="K187" s="125">
        <f>'3. Use Cases Catalog'!J175*1000000</f>
        <v>0</v>
      </c>
      <c r="L187" s="123">
        <v>0.08</v>
      </c>
      <c r="M187" s="124"/>
      <c r="N187" t="s">
        <v>7896</v>
      </c>
      <c r="O187" s="125" t="str">
        <f t="shared" si="4"/>
        <v/>
      </c>
      <c r="P187" s="125">
        <f>'3. Use Cases Catalog'!K175*1000000</f>
        <v>2.8</v>
      </c>
      <c r="Q187" s="126"/>
      <c r="R187" s="124"/>
      <c r="S187" s="125" t="str">
        <f t="shared" si="5"/>
        <v/>
      </c>
      <c r="T187" s="125">
        <f>'3. Use Cases Catalog'!L175*1000000</f>
        <v>0</v>
      </c>
    </row>
    <row r="188" spans="1:20" x14ac:dyDescent="0.2">
      <c r="A188" t="s">
        <v>88</v>
      </c>
      <c r="B188" t="s">
        <v>186</v>
      </c>
      <c r="C188" t="s">
        <v>1107</v>
      </c>
      <c r="D188" s="10" t="s">
        <v>7897</v>
      </c>
      <c r="E188" t="s">
        <v>7898</v>
      </c>
      <c r="F188" s="125">
        <f>'3. Use Cases Catalog'!I176*1000000</f>
        <v>400000</v>
      </c>
      <c r="G188" s="125">
        <f>'3. Use Cases Catalog'!I176*1000000</f>
        <v>400000</v>
      </c>
      <c r="H188" s="10" t="s">
        <v>7899</v>
      </c>
      <c r="I188" t="s">
        <v>7900</v>
      </c>
      <c r="J188" s="125">
        <f>'3. Use Cases Catalog'!J176*1000000</f>
        <v>1.4</v>
      </c>
      <c r="K188" s="125">
        <f>'3. Use Cases Catalog'!J176*1000000</f>
        <v>1.4</v>
      </c>
      <c r="L188" s="123"/>
      <c r="M188" s="124"/>
      <c r="N188" t="s">
        <v>130</v>
      </c>
      <c r="O188" s="125" t="str">
        <f t="shared" si="4"/>
        <v/>
      </c>
      <c r="P188" s="125">
        <f>'3. Use Cases Catalog'!K176*1000000</f>
        <v>0</v>
      </c>
      <c r="Q188" s="126"/>
      <c r="R188" s="124"/>
      <c r="S188" s="125" t="str">
        <f t="shared" si="5"/>
        <v/>
      </c>
      <c r="T188" s="125">
        <f>'3. Use Cases Catalog'!L176*1000000</f>
        <v>0</v>
      </c>
    </row>
    <row r="189" spans="1:20" x14ac:dyDescent="0.2">
      <c r="A189" t="s">
        <v>88</v>
      </c>
      <c r="B189" t="s">
        <v>149</v>
      </c>
      <c r="C189" t="s">
        <v>1111</v>
      </c>
      <c r="D189" s="10" t="s">
        <v>7901</v>
      </c>
      <c r="E189" t="s">
        <v>7902</v>
      </c>
      <c r="F189" s="125">
        <f>'3. Use Cases Catalog'!I177*1000000</f>
        <v>3.5</v>
      </c>
      <c r="G189" s="125">
        <f>'3. Use Cases Catalog'!I177*1000000</f>
        <v>3.5</v>
      </c>
      <c r="H189" s="10"/>
      <c r="I189" t="s">
        <v>129</v>
      </c>
      <c r="J189" s="125">
        <f>'3. Use Cases Catalog'!J177*1000000</f>
        <v>0</v>
      </c>
      <c r="K189" s="125">
        <f>'3. Use Cases Catalog'!J177*1000000</f>
        <v>0</v>
      </c>
      <c r="L189" s="123">
        <v>0.15</v>
      </c>
      <c r="M189" s="124"/>
      <c r="N189" t="s">
        <v>7903</v>
      </c>
      <c r="O189" s="125" t="str">
        <f t="shared" si="4"/>
        <v/>
      </c>
      <c r="P189" s="125">
        <f>'3. Use Cases Catalog'!K177*1000000</f>
        <v>400000</v>
      </c>
      <c r="Q189" s="126"/>
      <c r="R189" s="124"/>
      <c r="S189" s="125" t="str">
        <f t="shared" si="5"/>
        <v/>
      </c>
      <c r="T189" s="125">
        <f>'3. Use Cases Catalog'!L177*1000000</f>
        <v>0</v>
      </c>
    </row>
    <row r="190" spans="1:20" x14ac:dyDescent="0.2">
      <c r="A190" t="s">
        <v>88</v>
      </c>
      <c r="B190" t="s">
        <v>133</v>
      </c>
      <c r="C190" t="s">
        <v>531</v>
      </c>
      <c r="D190" s="10" t="s">
        <v>7904</v>
      </c>
      <c r="E190" t="s">
        <v>7905</v>
      </c>
      <c r="F190" s="125">
        <f>'3. Use Cases Catalog'!I178*1000000</f>
        <v>1.1000000000000001</v>
      </c>
      <c r="G190" s="125">
        <f>'3. Use Cases Catalog'!I178*1000000</f>
        <v>1.1000000000000001</v>
      </c>
      <c r="H190" s="10" t="s">
        <v>7906</v>
      </c>
      <c r="I190" t="s">
        <v>7907</v>
      </c>
      <c r="J190" s="125">
        <f>'3. Use Cases Catalog'!J178*1000000</f>
        <v>6.8</v>
      </c>
      <c r="K190" s="125">
        <f>'3. Use Cases Catalog'!J178*1000000</f>
        <v>6.8</v>
      </c>
      <c r="L190" s="123"/>
      <c r="M190" s="124"/>
      <c r="N190" t="s">
        <v>130</v>
      </c>
      <c r="O190" s="125" t="str">
        <f t="shared" si="4"/>
        <v/>
      </c>
      <c r="P190" s="125">
        <f>'3. Use Cases Catalog'!K178*1000000</f>
        <v>0</v>
      </c>
      <c r="Q190" s="126"/>
      <c r="R190" s="124"/>
      <c r="S190" s="125" t="str">
        <f t="shared" si="5"/>
        <v/>
      </c>
      <c r="T190" s="125">
        <f>'3. Use Cases Catalog'!L178*1000000</f>
        <v>0</v>
      </c>
    </row>
    <row r="191" spans="1:20" x14ac:dyDescent="0.2">
      <c r="A191" t="s">
        <v>88</v>
      </c>
      <c r="B191" t="s">
        <v>156</v>
      </c>
      <c r="C191" t="s">
        <v>1118</v>
      </c>
      <c r="D191" s="10" t="s">
        <v>7908</v>
      </c>
      <c r="E191" t="s">
        <v>7909</v>
      </c>
      <c r="F191" s="125">
        <f>'3. Use Cases Catalog'!I179*1000000</f>
        <v>1.8</v>
      </c>
      <c r="G191" s="125">
        <f>'3. Use Cases Catalog'!I179*1000000</f>
        <v>1.8</v>
      </c>
      <c r="H191" s="10"/>
      <c r="I191" t="s">
        <v>129</v>
      </c>
      <c r="J191" s="125">
        <f>'3. Use Cases Catalog'!J179*1000000</f>
        <v>0</v>
      </c>
      <c r="K191" s="125">
        <f>'3. Use Cases Catalog'!J179*1000000</f>
        <v>0</v>
      </c>
      <c r="L191" s="123">
        <v>0.22</v>
      </c>
      <c r="M191" s="124"/>
      <c r="N191" t="s">
        <v>7910</v>
      </c>
      <c r="O191" s="125" t="str">
        <f t="shared" si="4"/>
        <v/>
      </c>
      <c r="P191" s="125">
        <f>'3. Use Cases Catalog'!K179*1000000</f>
        <v>2.4</v>
      </c>
      <c r="Q191" s="126"/>
      <c r="R191" s="124"/>
      <c r="S191" s="125" t="str">
        <f t="shared" si="5"/>
        <v/>
      </c>
      <c r="T191" s="125">
        <f>'3. Use Cases Catalog'!L179*1000000</f>
        <v>0</v>
      </c>
    </row>
    <row r="192" spans="1:20" x14ac:dyDescent="0.2">
      <c r="A192" t="s">
        <v>88</v>
      </c>
      <c r="B192" t="s">
        <v>164</v>
      </c>
      <c r="C192" t="s">
        <v>1123</v>
      </c>
      <c r="D192" s="10" t="s">
        <v>7911</v>
      </c>
      <c r="E192" t="s">
        <v>7912</v>
      </c>
      <c r="F192" s="125">
        <f>'3. Use Cases Catalog'!I180*1000000</f>
        <v>900000</v>
      </c>
      <c r="G192" s="125">
        <f>'3. Use Cases Catalog'!I180*1000000</f>
        <v>900000</v>
      </c>
      <c r="H192" s="10"/>
      <c r="I192" t="s">
        <v>129</v>
      </c>
      <c r="J192" s="125">
        <f>'3. Use Cases Catalog'!J180*1000000</f>
        <v>0</v>
      </c>
      <c r="K192" s="125">
        <f>'3. Use Cases Catalog'!J180*1000000</f>
        <v>0</v>
      </c>
      <c r="L192" s="123">
        <v>0.25</v>
      </c>
      <c r="M192" s="124">
        <v>8199999.9999999991</v>
      </c>
      <c r="N192" t="s">
        <v>7913</v>
      </c>
      <c r="O192" s="125">
        <f t="shared" si="4"/>
        <v>1306874.9999999998</v>
      </c>
      <c r="P192" s="125">
        <f>'3. Use Cases Catalog'!K180*1000000</f>
        <v>1.1000000000000001</v>
      </c>
      <c r="Q192" s="126"/>
      <c r="R192" s="124"/>
      <c r="S192" s="125" t="str">
        <f t="shared" si="5"/>
        <v/>
      </c>
      <c r="T192" s="125">
        <f>'3. Use Cases Catalog'!L180*1000000</f>
        <v>0</v>
      </c>
    </row>
    <row r="193" spans="1:20" x14ac:dyDescent="0.2">
      <c r="A193" t="s">
        <v>88</v>
      </c>
      <c r="B193" t="s">
        <v>194</v>
      </c>
      <c r="C193" t="s">
        <v>1128</v>
      </c>
      <c r="D193" s="10" t="s">
        <v>7914</v>
      </c>
      <c r="E193" t="s">
        <v>7915</v>
      </c>
      <c r="F193" s="125">
        <f>'3. Use Cases Catalog'!I181*1000000</f>
        <v>1.9</v>
      </c>
      <c r="G193" s="125">
        <f>'3. Use Cases Catalog'!I181*1000000</f>
        <v>1.9</v>
      </c>
      <c r="H193" s="10"/>
      <c r="I193" t="s">
        <v>129</v>
      </c>
      <c r="J193" s="125">
        <f>'3. Use Cases Catalog'!J181*1000000</f>
        <v>0</v>
      </c>
      <c r="K193" s="125">
        <f>'3. Use Cases Catalog'!J181*1000000</f>
        <v>0</v>
      </c>
      <c r="L193" s="123"/>
      <c r="M193" s="124"/>
      <c r="N193" t="s">
        <v>130</v>
      </c>
      <c r="O193" s="125" t="str">
        <f t="shared" si="4"/>
        <v/>
      </c>
      <c r="P193" s="125">
        <f>'3. Use Cases Catalog'!K181*1000000</f>
        <v>0</v>
      </c>
      <c r="Q193" s="126"/>
      <c r="R193" s="124"/>
      <c r="S193" s="125" t="str">
        <f t="shared" si="5"/>
        <v/>
      </c>
      <c r="T193" s="125">
        <f>'3. Use Cases Catalog'!L181*1000000</f>
        <v>2.8</v>
      </c>
    </row>
    <row r="194" spans="1:20" x14ac:dyDescent="0.2">
      <c r="A194" t="s">
        <v>82</v>
      </c>
      <c r="B194" t="s">
        <v>133</v>
      </c>
      <c r="C194" t="s">
        <v>916</v>
      </c>
      <c r="D194" s="10" t="s">
        <v>7916</v>
      </c>
      <c r="E194" t="s">
        <v>7917</v>
      </c>
      <c r="F194" s="125">
        <f>'3. Use Cases Catalog'!I182*1000000</f>
        <v>2.5</v>
      </c>
      <c r="G194" s="125">
        <f>'3. Use Cases Catalog'!I182*1000000</f>
        <v>2.5</v>
      </c>
      <c r="H194" s="10" t="s">
        <v>7918</v>
      </c>
      <c r="I194" t="s">
        <v>7919</v>
      </c>
      <c r="J194" s="125">
        <f>'3. Use Cases Catalog'!J182*1000000</f>
        <v>2.8</v>
      </c>
      <c r="K194" s="125">
        <f>'3. Use Cases Catalog'!J182*1000000</f>
        <v>2.8</v>
      </c>
      <c r="L194" s="123"/>
      <c r="M194" s="124"/>
      <c r="N194" t="s">
        <v>130</v>
      </c>
      <c r="O194" s="125" t="str">
        <f t="shared" si="4"/>
        <v/>
      </c>
      <c r="P194" s="125">
        <f>'3. Use Cases Catalog'!K182*1000000</f>
        <v>0</v>
      </c>
      <c r="Q194" s="126"/>
      <c r="R194" s="124"/>
      <c r="S194" s="125" t="str">
        <f t="shared" si="5"/>
        <v/>
      </c>
      <c r="T194" s="125">
        <f>'3. Use Cases Catalog'!L182*1000000</f>
        <v>0</v>
      </c>
    </row>
    <row r="195" spans="1:20" x14ac:dyDescent="0.2">
      <c r="A195" t="s">
        <v>82</v>
      </c>
      <c r="B195" t="s">
        <v>164</v>
      </c>
      <c r="C195" t="s">
        <v>1137</v>
      </c>
      <c r="D195" s="10" t="s">
        <v>7920</v>
      </c>
      <c r="E195" t="s">
        <v>7921</v>
      </c>
      <c r="F195" s="125">
        <f>'3. Use Cases Catalog'!I183*1000000</f>
        <v>1.2</v>
      </c>
      <c r="G195" s="125">
        <f>'3. Use Cases Catalog'!I183*1000000</f>
        <v>1.2</v>
      </c>
      <c r="H195" s="10" t="s">
        <v>7922</v>
      </c>
      <c r="I195" t="s">
        <v>7923</v>
      </c>
      <c r="J195" s="125">
        <f>'3. Use Cases Catalog'!J183*1000000</f>
        <v>3.2</v>
      </c>
      <c r="K195" s="125">
        <f>'3. Use Cases Catalog'!J183*1000000</f>
        <v>3.2</v>
      </c>
      <c r="L195" s="123"/>
      <c r="M195" s="124"/>
      <c r="N195" t="s">
        <v>130</v>
      </c>
      <c r="O195" s="125" t="str">
        <f t="shared" si="4"/>
        <v/>
      </c>
      <c r="P195" s="125">
        <f>'3. Use Cases Catalog'!K183*1000000</f>
        <v>0</v>
      </c>
      <c r="Q195" s="126"/>
      <c r="R195" s="124"/>
      <c r="S195" s="125" t="str">
        <f t="shared" si="5"/>
        <v/>
      </c>
      <c r="T195" s="125">
        <f>'3. Use Cases Catalog'!L183*1000000</f>
        <v>0</v>
      </c>
    </row>
    <row r="196" spans="1:20" x14ac:dyDescent="0.2">
      <c r="A196" t="s">
        <v>82</v>
      </c>
      <c r="B196" t="s">
        <v>172</v>
      </c>
      <c r="C196" t="s">
        <v>1142</v>
      </c>
      <c r="D196" s="10" t="s">
        <v>7924</v>
      </c>
      <c r="E196" t="s">
        <v>7925</v>
      </c>
      <c r="F196" s="125">
        <f>'3. Use Cases Catalog'!I184*1000000</f>
        <v>5.0999999999999996</v>
      </c>
      <c r="G196" s="125">
        <f>'3. Use Cases Catalog'!I184*1000000</f>
        <v>5.0999999999999996</v>
      </c>
      <c r="H196" s="10" t="s">
        <v>7926</v>
      </c>
      <c r="I196" t="s">
        <v>7927</v>
      </c>
      <c r="J196" s="125">
        <f>'3. Use Cases Catalog'!J184*1000000</f>
        <v>1.9</v>
      </c>
      <c r="K196" s="125">
        <f>'3. Use Cases Catalog'!J184*1000000</f>
        <v>1.9</v>
      </c>
      <c r="L196" s="123"/>
      <c r="M196" s="124"/>
      <c r="N196" t="s">
        <v>130</v>
      </c>
      <c r="O196" s="125" t="str">
        <f t="shared" si="4"/>
        <v/>
      </c>
      <c r="P196" s="125">
        <f>'3. Use Cases Catalog'!K184*1000000</f>
        <v>0</v>
      </c>
      <c r="Q196" s="126"/>
      <c r="R196" s="124"/>
      <c r="S196" s="125" t="str">
        <f t="shared" si="5"/>
        <v/>
      </c>
      <c r="T196" s="125">
        <f>'3. Use Cases Catalog'!L184*1000000</f>
        <v>0</v>
      </c>
    </row>
    <row r="197" spans="1:20" x14ac:dyDescent="0.2">
      <c r="A197" t="s">
        <v>82</v>
      </c>
      <c r="B197" t="s">
        <v>186</v>
      </c>
      <c r="C197" t="s">
        <v>1147</v>
      </c>
      <c r="D197" s="10" t="s">
        <v>7928</v>
      </c>
      <c r="E197" t="s">
        <v>7929</v>
      </c>
      <c r="F197" s="125">
        <f>'3. Use Cases Catalog'!I185*1000000</f>
        <v>1.7</v>
      </c>
      <c r="G197" s="125">
        <f>'3. Use Cases Catalog'!I185*1000000</f>
        <v>1.7</v>
      </c>
      <c r="H197" s="10" t="s">
        <v>7930</v>
      </c>
      <c r="I197" t="s">
        <v>7931</v>
      </c>
      <c r="J197" s="125">
        <f>'3. Use Cases Catalog'!J185*1000000</f>
        <v>2.1</v>
      </c>
      <c r="K197" s="125">
        <f>'3. Use Cases Catalog'!J185*1000000</f>
        <v>2.1</v>
      </c>
      <c r="L197" s="123"/>
      <c r="M197" s="124"/>
      <c r="N197" t="s">
        <v>130</v>
      </c>
      <c r="O197" s="125" t="str">
        <f t="shared" si="4"/>
        <v/>
      </c>
      <c r="P197" s="125">
        <f>'3. Use Cases Catalog'!K185*1000000</f>
        <v>0</v>
      </c>
      <c r="Q197" s="126"/>
      <c r="R197" s="124"/>
      <c r="S197" s="125" t="str">
        <f t="shared" si="5"/>
        <v/>
      </c>
      <c r="T197" s="125">
        <f>'3. Use Cases Catalog'!L185*1000000</f>
        <v>0</v>
      </c>
    </row>
    <row r="198" spans="1:20" x14ac:dyDescent="0.2">
      <c r="A198" t="s">
        <v>82</v>
      </c>
      <c r="B198" t="s">
        <v>141</v>
      </c>
      <c r="C198" t="s">
        <v>1151</v>
      </c>
      <c r="D198" s="10" t="s">
        <v>7932</v>
      </c>
      <c r="E198" t="s">
        <v>7933</v>
      </c>
      <c r="F198" s="125">
        <f>'3. Use Cases Catalog'!I186*1000000</f>
        <v>4.8</v>
      </c>
      <c r="G198" s="125">
        <f>'3. Use Cases Catalog'!I186*1000000</f>
        <v>4.8</v>
      </c>
      <c r="H198" s="10" t="s">
        <v>7934</v>
      </c>
      <c r="I198" t="s">
        <v>7935</v>
      </c>
      <c r="J198" s="125">
        <f>'3. Use Cases Catalog'!J186*1000000</f>
        <v>3.4</v>
      </c>
      <c r="K198" s="125">
        <f>'3. Use Cases Catalog'!J186*1000000</f>
        <v>3.4</v>
      </c>
      <c r="L198" s="123"/>
      <c r="M198" s="124"/>
      <c r="N198" t="s">
        <v>130</v>
      </c>
      <c r="O198" s="125" t="str">
        <f t="shared" si="4"/>
        <v/>
      </c>
      <c r="P198" s="125">
        <f>'3. Use Cases Catalog'!K186*1000000</f>
        <v>0</v>
      </c>
      <c r="Q198" s="126"/>
      <c r="R198" s="124"/>
      <c r="S198" s="125" t="str">
        <f t="shared" si="5"/>
        <v/>
      </c>
      <c r="T198" s="125">
        <f>'3. Use Cases Catalog'!L186*1000000</f>
        <v>0</v>
      </c>
    </row>
    <row r="199" spans="1:20" x14ac:dyDescent="0.2">
      <c r="A199" t="s">
        <v>82</v>
      </c>
      <c r="B199" t="s">
        <v>123</v>
      </c>
      <c r="C199" t="s">
        <v>1156</v>
      </c>
      <c r="D199" s="10" t="s">
        <v>7936</v>
      </c>
      <c r="E199" t="s">
        <v>7937</v>
      </c>
      <c r="F199" s="125">
        <f>'3. Use Cases Catalog'!I187*1000000</f>
        <v>3.4</v>
      </c>
      <c r="G199" s="125">
        <f>'3. Use Cases Catalog'!I187*1000000</f>
        <v>3.4</v>
      </c>
      <c r="H199" s="10" t="s">
        <v>7938</v>
      </c>
      <c r="I199" t="s">
        <v>7939</v>
      </c>
      <c r="J199" s="125">
        <f>'3. Use Cases Catalog'!J187*1000000</f>
        <v>5.7</v>
      </c>
      <c r="K199" s="125">
        <f>'3. Use Cases Catalog'!J187*1000000</f>
        <v>5.7</v>
      </c>
      <c r="L199" s="123"/>
      <c r="M199" s="124"/>
      <c r="N199" t="s">
        <v>130</v>
      </c>
      <c r="O199" s="125" t="str">
        <f t="shared" si="4"/>
        <v/>
      </c>
      <c r="P199" s="125">
        <f>'3. Use Cases Catalog'!K187*1000000</f>
        <v>0</v>
      </c>
      <c r="Q199" s="126"/>
      <c r="R199" s="124"/>
      <c r="S199" s="125" t="str">
        <f t="shared" si="5"/>
        <v/>
      </c>
      <c r="T199" s="125">
        <f>'3. Use Cases Catalog'!L187*1000000</f>
        <v>0</v>
      </c>
    </row>
    <row r="200" spans="1:20" x14ac:dyDescent="0.2">
      <c r="A200" t="s">
        <v>82</v>
      </c>
      <c r="B200" t="s">
        <v>149</v>
      </c>
      <c r="C200" t="s">
        <v>1160</v>
      </c>
      <c r="D200" s="10" t="s">
        <v>7940</v>
      </c>
      <c r="E200" t="s">
        <v>7941</v>
      </c>
      <c r="F200" s="125">
        <f>'3. Use Cases Catalog'!I188*1000000</f>
        <v>2.7</v>
      </c>
      <c r="G200" s="125">
        <f>'3. Use Cases Catalog'!I188*1000000</f>
        <v>2.7</v>
      </c>
      <c r="H200" s="10"/>
      <c r="I200" t="s">
        <v>129</v>
      </c>
      <c r="J200" s="125">
        <f>'3. Use Cases Catalog'!J188*1000000</f>
        <v>0</v>
      </c>
      <c r="K200" s="125">
        <f>'3. Use Cases Catalog'!J188*1000000</f>
        <v>0</v>
      </c>
      <c r="L200" s="123">
        <v>0.75</v>
      </c>
      <c r="M200" s="124">
        <v>1600000</v>
      </c>
      <c r="N200" t="s">
        <v>7942</v>
      </c>
      <c r="O200" s="125">
        <f t="shared" si="4"/>
        <v>765000</v>
      </c>
      <c r="P200" s="125">
        <f>'3. Use Cases Catalog'!K188*1000000</f>
        <v>1.6</v>
      </c>
      <c r="Q200" s="126"/>
      <c r="R200" s="124"/>
      <c r="S200" s="125" t="str">
        <f t="shared" si="5"/>
        <v/>
      </c>
      <c r="T200" s="125">
        <f>'3. Use Cases Catalog'!L188*1000000</f>
        <v>0</v>
      </c>
    </row>
    <row r="201" spans="1:20" x14ac:dyDescent="0.2">
      <c r="A201" t="s">
        <v>82</v>
      </c>
      <c r="B201" t="s">
        <v>156</v>
      </c>
      <c r="C201" t="s">
        <v>1165</v>
      </c>
      <c r="D201" s="10" t="s">
        <v>7943</v>
      </c>
      <c r="E201" t="s">
        <v>7944</v>
      </c>
      <c r="F201" s="125">
        <f>'3. Use Cases Catalog'!I189*1000000</f>
        <v>1.9</v>
      </c>
      <c r="G201" s="125">
        <f>'3. Use Cases Catalog'!I189*1000000</f>
        <v>1.9</v>
      </c>
      <c r="H201" s="10" t="s">
        <v>7945</v>
      </c>
      <c r="I201" t="s">
        <v>7946</v>
      </c>
      <c r="J201" s="125">
        <f>'3. Use Cases Catalog'!J189*1000000</f>
        <v>6.8</v>
      </c>
      <c r="K201" s="125">
        <f>'3. Use Cases Catalog'!J189*1000000</f>
        <v>6.8</v>
      </c>
      <c r="L201" s="123"/>
      <c r="M201" s="124"/>
      <c r="N201" t="s">
        <v>130</v>
      </c>
      <c r="O201" s="125" t="str">
        <f t="shared" si="4"/>
        <v/>
      </c>
      <c r="P201" s="125">
        <f>'3. Use Cases Catalog'!K189*1000000</f>
        <v>0</v>
      </c>
      <c r="Q201" s="126"/>
      <c r="R201" s="124"/>
      <c r="S201" s="125" t="str">
        <f t="shared" si="5"/>
        <v/>
      </c>
      <c r="T201" s="125">
        <f>'3. Use Cases Catalog'!L189*1000000</f>
        <v>0</v>
      </c>
    </row>
    <row r="202" spans="1:20" x14ac:dyDescent="0.2">
      <c r="A202" t="s">
        <v>82</v>
      </c>
      <c r="B202" t="s">
        <v>179</v>
      </c>
      <c r="C202" t="s">
        <v>1170</v>
      </c>
      <c r="D202" s="10" t="s">
        <v>7947</v>
      </c>
      <c r="E202" t="s">
        <v>7948</v>
      </c>
      <c r="F202" s="125">
        <f>'3. Use Cases Catalog'!I190*1000000</f>
        <v>800000</v>
      </c>
      <c r="G202" s="125">
        <f>'3. Use Cases Catalog'!I190*1000000</f>
        <v>800000</v>
      </c>
      <c r="H202" s="10"/>
      <c r="I202" t="s">
        <v>129</v>
      </c>
      <c r="J202" s="125">
        <f>'3. Use Cases Catalog'!J190*1000000</f>
        <v>0</v>
      </c>
      <c r="K202" s="125">
        <f>'3. Use Cases Catalog'!J190*1000000</f>
        <v>0</v>
      </c>
      <c r="L202" s="123">
        <v>0.4</v>
      </c>
      <c r="M202" s="124"/>
      <c r="N202" t="s">
        <v>7949</v>
      </c>
      <c r="O202" s="125" t="str">
        <f t="shared" si="4"/>
        <v/>
      </c>
      <c r="P202" s="125">
        <f>'3. Use Cases Catalog'!K190*1000000</f>
        <v>900000</v>
      </c>
      <c r="Q202" s="126"/>
      <c r="R202" s="124"/>
      <c r="S202" s="125" t="str">
        <f t="shared" si="5"/>
        <v/>
      </c>
      <c r="T202" s="125">
        <f>'3. Use Cases Catalog'!L190*1000000</f>
        <v>0</v>
      </c>
    </row>
    <row r="203" spans="1:20" x14ac:dyDescent="0.2">
      <c r="A203" t="s">
        <v>82</v>
      </c>
      <c r="B203" t="s">
        <v>194</v>
      </c>
      <c r="C203" t="s">
        <v>1174</v>
      </c>
      <c r="D203" s="10" t="s">
        <v>7950</v>
      </c>
      <c r="E203" t="s">
        <v>7951</v>
      </c>
      <c r="F203" s="125">
        <f>'3. Use Cases Catalog'!I191*1000000</f>
        <v>1.2</v>
      </c>
      <c r="G203" s="125">
        <f>'3. Use Cases Catalog'!I191*1000000</f>
        <v>1.2</v>
      </c>
      <c r="H203" s="10" t="s">
        <v>7926</v>
      </c>
      <c r="I203" t="s">
        <v>7952</v>
      </c>
      <c r="J203" s="125">
        <f>'3. Use Cases Catalog'!J191*1000000</f>
        <v>1.8</v>
      </c>
      <c r="K203" s="125">
        <f>'3. Use Cases Catalog'!J191*1000000</f>
        <v>1.8</v>
      </c>
      <c r="L203" s="123"/>
      <c r="M203" s="124"/>
      <c r="N203" t="s">
        <v>130</v>
      </c>
      <c r="O203" s="125" t="str">
        <f t="shared" si="4"/>
        <v/>
      </c>
      <c r="P203" s="125">
        <f>'3. Use Cases Catalog'!K191*1000000</f>
        <v>0</v>
      </c>
      <c r="Q203" s="126"/>
      <c r="R203" s="124"/>
      <c r="S203" s="125" t="str">
        <f t="shared" si="5"/>
        <v/>
      </c>
      <c r="T203" s="125">
        <f>'3. Use Cases Catalog'!L191*1000000</f>
        <v>0</v>
      </c>
    </row>
    <row r="204" spans="1:20" x14ac:dyDescent="0.2">
      <c r="A204" t="s">
        <v>94</v>
      </c>
      <c r="B204" t="s">
        <v>141</v>
      </c>
      <c r="C204" t="s">
        <v>1179</v>
      </c>
      <c r="D204" s="10" t="s">
        <v>7953</v>
      </c>
      <c r="E204" t="s">
        <v>7954</v>
      </c>
      <c r="F204" s="125">
        <f>'3. Use Cases Catalog'!I192*1000000</f>
        <v>3.5</v>
      </c>
      <c r="G204" s="125">
        <f>'3. Use Cases Catalog'!I192*1000000</f>
        <v>3.5</v>
      </c>
      <c r="H204" s="10" t="s">
        <v>7955</v>
      </c>
      <c r="I204" t="s">
        <v>7956</v>
      </c>
      <c r="J204" s="125">
        <f>'3. Use Cases Catalog'!J192*1000000</f>
        <v>1.9</v>
      </c>
      <c r="K204" s="125">
        <f>'3. Use Cases Catalog'!J192*1000000</f>
        <v>1.9</v>
      </c>
      <c r="L204" s="123"/>
      <c r="M204" s="124"/>
      <c r="N204" t="s">
        <v>130</v>
      </c>
      <c r="O204" s="125" t="str">
        <f t="shared" si="4"/>
        <v/>
      </c>
      <c r="P204" s="125">
        <f>'3. Use Cases Catalog'!K192*1000000</f>
        <v>0</v>
      </c>
      <c r="Q204" s="126">
        <v>12</v>
      </c>
      <c r="R204" s="124">
        <v>123</v>
      </c>
      <c r="S204" s="125">
        <f t="shared" si="5"/>
        <v>1191.8700000000001</v>
      </c>
      <c r="T204" s="125">
        <f>'3. Use Cases Catalog'!L192*1000000</f>
        <v>800000</v>
      </c>
    </row>
    <row r="205" spans="1:20" x14ac:dyDescent="0.2">
      <c r="A205" t="s">
        <v>94</v>
      </c>
      <c r="B205" t="s">
        <v>149</v>
      </c>
      <c r="C205" t="s">
        <v>1185</v>
      </c>
      <c r="D205" s="10" t="s">
        <v>7957</v>
      </c>
      <c r="E205" t="s">
        <v>7958</v>
      </c>
      <c r="F205" s="125">
        <f>'3. Use Cases Catalog'!I193*1000000</f>
        <v>1.8</v>
      </c>
      <c r="G205" s="125">
        <f>'3. Use Cases Catalog'!I193*1000000</f>
        <v>1.8</v>
      </c>
      <c r="H205" s="10"/>
      <c r="I205" t="s">
        <v>129</v>
      </c>
      <c r="J205" s="125">
        <f>'3. Use Cases Catalog'!J193*1000000</f>
        <v>0</v>
      </c>
      <c r="K205" s="125">
        <f>'3. Use Cases Catalog'!J193*1000000</f>
        <v>0</v>
      </c>
      <c r="L205" s="123">
        <v>0.28000000000000003</v>
      </c>
      <c r="M205" s="124">
        <v>6200000</v>
      </c>
      <c r="N205" t="s">
        <v>7885</v>
      </c>
      <c r="O205" s="125">
        <f t="shared" si="4"/>
        <v>1106700.0000000002</v>
      </c>
      <c r="P205" s="125">
        <f>'3. Use Cases Catalog'!K193*1000000</f>
        <v>1.3</v>
      </c>
      <c r="Q205" s="126"/>
      <c r="R205" s="124"/>
      <c r="S205" s="125" t="str">
        <f t="shared" si="5"/>
        <v/>
      </c>
      <c r="T205" s="125">
        <f>'3. Use Cases Catalog'!L193*1000000</f>
        <v>0</v>
      </c>
    </row>
    <row r="206" spans="1:20" x14ac:dyDescent="0.2">
      <c r="A206" t="s">
        <v>94</v>
      </c>
      <c r="B206" t="s">
        <v>133</v>
      </c>
      <c r="C206" t="s">
        <v>1191</v>
      </c>
      <c r="D206" s="10" t="s">
        <v>7959</v>
      </c>
      <c r="E206" t="s">
        <v>7960</v>
      </c>
      <c r="F206" s="125">
        <f>'3. Use Cases Catalog'!I194*1000000</f>
        <v>2.4</v>
      </c>
      <c r="G206" s="125">
        <f>'3. Use Cases Catalog'!I194*1000000</f>
        <v>2.4</v>
      </c>
      <c r="H206" s="10"/>
      <c r="I206" t="s">
        <v>129</v>
      </c>
      <c r="J206" s="125">
        <f>'3. Use Cases Catalog'!J194*1000000</f>
        <v>0</v>
      </c>
      <c r="K206" s="125">
        <f>'3. Use Cases Catalog'!J194*1000000</f>
        <v>0</v>
      </c>
      <c r="L206" s="123">
        <v>0.16</v>
      </c>
      <c r="M206" s="124">
        <v>7400000</v>
      </c>
      <c r="N206" t="s">
        <v>7961</v>
      </c>
      <c r="O206" s="125">
        <f t="shared" ref="O206:O269" si="6">IF(AND(L206&lt;&gt;"",M206&lt;&gt;""),L206*M206*$B$7*$B$8,"")</f>
        <v>754800</v>
      </c>
      <c r="P206" s="125">
        <f>'3. Use Cases Catalog'!K194*1000000</f>
        <v>900000</v>
      </c>
      <c r="Q206" s="126"/>
      <c r="R206" s="124"/>
      <c r="S206" s="125" t="str">
        <f t="shared" ref="S206:S269" si="7">IF(AND(Q206&lt;&gt;"",R206&lt;&gt;""),Q206*R206*$B$9*$B$8,"")</f>
        <v/>
      </c>
      <c r="T206" s="125">
        <f>'3. Use Cases Catalog'!L194*1000000</f>
        <v>0</v>
      </c>
    </row>
    <row r="207" spans="1:20" x14ac:dyDescent="0.2">
      <c r="A207" t="s">
        <v>94</v>
      </c>
      <c r="B207" t="s">
        <v>156</v>
      </c>
      <c r="C207" t="s">
        <v>1196</v>
      </c>
      <c r="D207" s="10" t="s">
        <v>7962</v>
      </c>
      <c r="E207" t="s">
        <v>7963</v>
      </c>
      <c r="F207" s="125">
        <f>'3. Use Cases Catalog'!I195*1000000</f>
        <v>3.2</v>
      </c>
      <c r="G207" s="125">
        <f>'3. Use Cases Catalog'!I195*1000000</f>
        <v>3.2</v>
      </c>
      <c r="H207" s="10" t="s">
        <v>7964</v>
      </c>
      <c r="I207" t="s">
        <v>7965</v>
      </c>
      <c r="J207" s="125">
        <f>'3. Use Cases Catalog'!J195*1000000</f>
        <v>1.6</v>
      </c>
      <c r="K207" s="125">
        <f>'3. Use Cases Catalog'!J195*1000000</f>
        <v>1.6</v>
      </c>
      <c r="L207" s="123"/>
      <c r="M207" s="124"/>
      <c r="N207" t="s">
        <v>130</v>
      </c>
      <c r="O207" s="125" t="str">
        <f t="shared" si="6"/>
        <v/>
      </c>
      <c r="P207" s="125">
        <f>'3. Use Cases Catalog'!K195*1000000</f>
        <v>0</v>
      </c>
      <c r="Q207" s="126"/>
      <c r="R207" s="124"/>
      <c r="S207" s="125" t="str">
        <f t="shared" si="7"/>
        <v/>
      </c>
      <c r="T207" s="125">
        <f>'3. Use Cases Catalog'!L195*1000000</f>
        <v>0</v>
      </c>
    </row>
    <row r="208" spans="1:20" x14ac:dyDescent="0.2">
      <c r="A208" t="s">
        <v>94</v>
      </c>
      <c r="B208" t="s">
        <v>172</v>
      </c>
      <c r="C208" t="s">
        <v>1201</v>
      </c>
      <c r="D208" s="10" t="s">
        <v>7966</v>
      </c>
      <c r="E208" t="s">
        <v>7967</v>
      </c>
      <c r="F208" s="125">
        <f>'3. Use Cases Catalog'!I196*1000000</f>
        <v>900000</v>
      </c>
      <c r="G208" s="125">
        <f>'3. Use Cases Catalog'!I196*1000000</f>
        <v>900000</v>
      </c>
      <c r="H208" s="10"/>
      <c r="I208" t="s">
        <v>129</v>
      </c>
      <c r="J208" s="125">
        <f>'3. Use Cases Catalog'!J196*1000000</f>
        <v>0</v>
      </c>
      <c r="K208" s="125">
        <f>'3. Use Cases Catalog'!J196*1000000</f>
        <v>0</v>
      </c>
      <c r="L208" s="123"/>
      <c r="M208" s="124"/>
      <c r="N208" t="s">
        <v>130</v>
      </c>
      <c r="O208" s="125" t="str">
        <f t="shared" si="6"/>
        <v/>
      </c>
      <c r="P208" s="125">
        <f>'3. Use Cases Catalog'!K196*1000000</f>
        <v>0</v>
      </c>
      <c r="Q208" s="126">
        <v>11</v>
      </c>
      <c r="R208" s="124">
        <v>123</v>
      </c>
      <c r="S208" s="125">
        <f t="shared" si="7"/>
        <v>1092.5474999999999</v>
      </c>
      <c r="T208" s="125">
        <f>'3. Use Cases Catalog'!L196*1000000</f>
        <v>1.4</v>
      </c>
    </row>
    <row r="209" spans="1:20" x14ac:dyDescent="0.2">
      <c r="A209" t="s">
        <v>94</v>
      </c>
      <c r="B209" t="s">
        <v>194</v>
      </c>
      <c r="C209" t="s">
        <v>1207</v>
      </c>
      <c r="D209" s="10" t="s">
        <v>7968</v>
      </c>
      <c r="E209" t="s">
        <v>7969</v>
      </c>
      <c r="F209" s="125">
        <f>'3. Use Cases Catalog'!I197*1000000</f>
        <v>700000</v>
      </c>
      <c r="G209" s="125">
        <f>'3. Use Cases Catalog'!I197*1000000</f>
        <v>700000</v>
      </c>
      <c r="H209" s="10"/>
      <c r="I209" t="s">
        <v>129</v>
      </c>
      <c r="J209" s="125">
        <f>'3. Use Cases Catalog'!J197*1000000</f>
        <v>0</v>
      </c>
      <c r="K209" s="125">
        <f>'3. Use Cases Catalog'!J197*1000000</f>
        <v>0</v>
      </c>
      <c r="L209" s="123"/>
      <c r="M209" s="124"/>
      <c r="N209" t="s">
        <v>130</v>
      </c>
      <c r="O209" s="125" t="str">
        <f t="shared" si="6"/>
        <v/>
      </c>
      <c r="P209" s="125">
        <f>'3. Use Cases Catalog'!K197*1000000</f>
        <v>0</v>
      </c>
      <c r="Q209" s="126">
        <v>7</v>
      </c>
      <c r="R209" s="124">
        <v>123</v>
      </c>
      <c r="S209" s="125">
        <f t="shared" si="7"/>
        <v>695.25749999999994</v>
      </c>
      <c r="T209" s="125">
        <f>'3. Use Cases Catalog'!L197*1000000</f>
        <v>1.1000000000000001</v>
      </c>
    </row>
    <row r="210" spans="1:20" x14ac:dyDescent="0.2">
      <c r="A210" t="s">
        <v>94</v>
      </c>
      <c r="B210" t="s">
        <v>123</v>
      </c>
      <c r="C210" t="s">
        <v>1212</v>
      </c>
      <c r="D210" s="10" t="s">
        <v>7970</v>
      </c>
      <c r="E210" t="s">
        <v>7971</v>
      </c>
      <c r="F210" s="125">
        <f>'3. Use Cases Catalog'!I198*1000000</f>
        <v>2.5</v>
      </c>
      <c r="G210" s="125">
        <f>'3. Use Cases Catalog'!I198*1000000</f>
        <v>2.5</v>
      </c>
      <c r="H210" s="10" t="s">
        <v>7972</v>
      </c>
      <c r="I210" t="s">
        <v>7973</v>
      </c>
      <c r="J210" s="125">
        <f>'3. Use Cases Catalog'!J198*1000000</f>
        <v>2.8</v>
      </c>
      <c r="K210" s="125">
        <f>'3. Use Cases Catalog'!J198*1000000</f>
        <v>2.8</v>
      </c>
      <c r="L210" s="123"/>
      <c r="M210" s="124"/>
      <c r="N210" t="s">
        <v>130</v>
      </c>
      <c r="O210" s="125" t="str">
        <f t="shared" si="6"/>
        <v/>
      </c>
      <c r="P210" s="125">
        <f>'3. Use Cases Catalog'!K198*1000000</f>
        <v>0</v>
      </c>
      <c r="Q210" s="126"/>
      <c r="R210" s="124"/>
      <c r="S210" s="125" t="str">
        <f t="shared" si="7"/>
        <v/>
      </c>
      <c r="T210" s="125">
        <f>'3. Use Cases Catalog'!L198*1000000</f>
        <v>0</v>
      </c>
    </row>
    <row r="211" spans="1:20" x14ac:dyDescent="0.2">
      <c r="A211" t="s">
        <v>94</v>
      </c>
      <c r="B211" t="s">
        <v>164</v>
      </c>
      <c r="C211" t="s">
        <v>7974</v>
      </c>
      <c r="D211" s="10" t="s">
        <v>7975</v>
      </c>
      <c r="E211" t="s">
        <v>7976</v>
      </c>
      <c r="F211" s="125">
        <f>'3. Use Cases Catalog'!I199*1000000</f>
        <v>1.4</v>
      </c>
      <c r="G211" s="125">
        <f>'3. Use Cases Catalog'!I199*1000000</f>
        <v>1.4</v>
      </c>
      <c r="H211" s="10" t="s">
        <v>7977</v>
      </c>
      <c r="I211" t="s">
        <v>7978</v>
      </c>
      <c r="J211" s="125">
        <f>'3. Use Cases Catalog'!J199*1000000</f>
        <v>1.2</v>
      </c>
      <c r="K211" s="125">
        <f>'3. Use Cases Catalog'!J199*1000000</f>
        <v>1.2</v>
      </c>
      <c r="L211" s="123"/>
      <c r="M211" s="124"/>
      <c r="N211" t="s">
        <v>130</v>
      </c>
      <c r="O211" s="125" t="str">
        <f t="shared" si="6"/>
        <v/>
      </c>
      <c r="P211" s="125">
        <f>'3. Use Cases Catalog'!K199*1000000</f>
        <v>0</v>
      </c>
      <c r="Q211" s="126"/>
      <c r="R211" s="124"/>
      <c r="S211" s="125" t="str">
        <f t="shared" si="7"/>
        <v/>
      </c>
      <c r="T211" s="125">
        <f>'3. Use Cases Catalog'!L199*1000000</f>
        <v>0</v>
      </c>
    </row>
    <row r="212" spans="1:20" x14ac:dyDescent="0.2">
      <c r="A212" t="s">
        <v>94</v>
      </c>
      <c r="B212" t="s">
        <v>179</v>
      </c>
      <c r="C212" t="s">
        <v>1222</v>
      </c>
      <c r="D212" s="10" t="s">
        <v>7979</v>
      </c>
      <c r="E212" t="s">
        <v>7980</v>
      </c>
      <c r="F212" s="125">
        <f>'3. Use Cases Catalog'!I200*1000000</f>
        <v>1.6</v>
      </c>
      <c r="G212" s="125">
        <f>'3. Use Cases Catalog'!I200*1000000</f>
        <v>1.6</v>
      </c>
      <c r="H212" s="10"/>
      <c r="I212" t="s">
        <v>129</v>
      </c>
      <c r="J212" s="125">
        <f>'3. Use Cases Catalog'!J200*1000000</f>
        <v>0</v>
      </c>
      <c r="K212" s="125">
        <f>'3. Use Cases Catalog'!J200*1000000</f>
        <v>0</v>
      </c>
      <c r="L212" s="123">
        <v>0.12</v>
      </c>
      <c r="M212" s="124">
        <v>6800000</v>
      </c>
      <c r="N212" t="s">
        <v>7981</v>
      </c>
      <c r="O212" s="125">
        <f t="shared" si="6"/>
        <v>520200</v>
      </c>
      <c r="P212" s="125">
        <f>'3. Use Cases Catalog'!K200*1000000</f>
        <v>600000</v>
      </c>
      <c r="Q212" s="126"/>
      <c r="R212" s="124"/>
      <c r="S212" s="125" t="str">
        <f t="shared" si="7"/>
        <v/>
      </c>
      <c r="T212" s="125">
        <f>'3. Use Cases Catalog'!L200*1000000</f>
        <v>0</v>
      </c>
    </row>
    <row r="213" spans="1:20" x14ac:dyDescent="0.2">
      <c r="A213" t="s">
        <v>94</v>
      </c>
      <c r="B213" t="s">
        <v>186</v>
      </c>
      <c r="C213" t="s">
        <v>1227</v>
      </c>
      <c r="D213" s="10" t="s">
        <v>7982</v>
      </c>
      <c r="E213" t="s">
        <v>7983</v>
      </c>
      <c r="F213" s="125">
        <f>'3. Use Cases Catalog'!I201*1000000</f>
        <v>2.1</v>
      </c>
      <c r="G213" s="125">
        <f>'3. Use Cases Catalog'!I201*1000000</f>
        <v>2.1</v>
      </c>
      <c r="H213" s="10"/>
      <c r="I213" t="s">
        <v>129</v>
      </c>
      <c r="J213" s="125">
        <f>'3. Use Cases Catalog'!J201*1000000</f>
        <v>0</v>
      </c>
      <c r="K213" s="125">
        <f>'3. Use Cases Catalog'!J201*1000000</f>
        <v>0</v>
      </c>
      <c r="L213" s="123"/>
      <c r="M213" s="124"/>
      <c r="N213" t="s">
        <v>130</v>
      </c>
      <c r="O213" s="125" t="str">
        <f t="shared" si="6"/>
        <v/>
      </c>
      <c r="P213" s="125">
        <f>'3. Use Cases Catalog'!K201*1000000</f>
        <v>0</v>
      </c>
      <c r="Q213" s="126"/>
      <c r="R213" s="124"/>
      <c r="S213" s="125" t="str">
        <f t="shared" si="7"/>
        <v/>
      </c>
      <c r="T213" s="125">
        <f>'3. Use Cases Catalog'!L201*1000000</f>
        <v>0</v>
      </c>
    </row>
    <row r="214" spans="1:20" x14ac:dyDescent="0.2">
      <c r="A214" t="s">
        <v>89</v>
      </c>
      <c r="B214" t="s">
        <v>141</v>
      </c>
      <c r="C214" t="s">
        <v>1230</v>
      </c>
      <c r="D214" s="10"/>
      <c r="E214" t="s">
        <v>1009</v>
      </c>
      <c r="F214" s="125">
        <f>'3. Use Cases Catalog'!I202*1000000</f>
        <v>4.4000000000000004</v>
      </c>
      <c r="G214" s="125">
        <f>'3. Use Cases Catalog'!I202*1000000</f>
        <v>4.4000000000000004</v>
      </c>
      <c r="H214" s="10" t="s">
        <v>7984</v>
      </c>
      <c r="I214" t="s">
        <v>7985</v>
      </c>
      <c r="J214" s="125">
        <f>'3. Use Cases Catalog'!J202*1000000</f>
        <v>3.8</v>
      </c>
      <c r="K214" s="125">
        <f>'3. Use Cases Catalog'!J202*1000000</f>
        <v>3.8</v>
      </c>
      <c r="L214" s="123"/>
      <c r="M214" s="124"/>
      <c r="N214" t="s">
        <v>130</v>
      </c>
      <c r="O214" s="125" t="str">
        <f t="shared" si="6"/>
        <v/>
      </c>
      <c r="P214" s="125">
        <f>'3. Use Cases Catalog'!K202*1000000</f>
        <v>0</v>
      </c>
      <c r="Q214" s="126"/>
      <c r="R214" s="124"/>
      <c r="S214" s="125" t="str">
        <f t="shared" si="7"/>
        <v/>
      </c>
      <c r="T214" s="125">
        <f>'3. Use Cases Catalog'!L202*1000000</f>
        <v>0</v>
      </c>
    </row>
    <row r="215" spans="1:20" x14ac:dyDescent="0.2">
      <c r="A215" t="s">
        <v>89</v>
      </c>
      <c r="B215" t="s">
        <v>164</v>
      </c>
      <c r="C215" t="s">
        <v>1233</v>
      </c>
      <c r="D215" s="10"/>
      <c r="E215" t="s">
        <v>1009</v>
      </c>
      <c r="F215" s="125">
        <f>'3. Use Cases Catalog'!I203*1000000</f>
        <v>2.2000000000000002</v>
      </c>
      <c r="G215" s="125">
        <f>'3. Use Cases Catalog'!I203*1000000</f>
        <v>2.2000000000000002</v>
      </c>
      <c r="H215" s="10"/>
      <c r="I215" t="s">
        <v>129</v>
      </c>
      <c r="J215" s="125">
        <f>'3. Use Cases Catalog'!J203*1000000</f>
        <v>0</v>
      </c>
      <c r="K215" s="125">
        <f>'3. Use Cases Catalog'!J203*1000000</f>
        <v>0</v>
      </c>
      <c r="L215" s="123"/>
      <c r="M215" s="124"/>
      <c r="N215" t="s">
        <v>130</v>
      </c>
      <c r="O215" s="125" t="str">
        <f t="shared" si="6"/>
        <v/>
      </c>
      <c r="P215" s="125">
        <f>'3. Use Cases Catalog'!K203*1000000</f>
        <v>0</v>
      </c>
      <c r="Q215" s="126"/>
      <c r="R215" s="124"/>
      <c r="S215" s="125" t="str">
        <f t="shared" si="7"/>
        <v/>
      </c>
      <c r="T215" s="125">
        <f>'3. Use Cases Catalog'!L203*1000000</f>
        <v>0</v>
      </c>
    </row>
    <row r="216" spans="1:20" x14ac:dyDescent="0.2">
      <c r="A216" t="s">
        <v>89</v>
      </c>
      <c r="B216" t="s">
        <v>179</v>
      </c>
      <c r="C216" t="s">
        <v>1236</v>
      </c>
      <c r="D216" s="10"/>
      <c r="E216" t="s">
        <v>1009</v>
      </c>
      <c r="F216" s="125">
        <f>'3. Use Cases Catalog'!I204*1000000</f>
        <v>1.5</v>
      </c>
      <c r="G216" s="125">
        <f>'3. Use Cases Catalog'!I204*1000000</f>
        <v>1.5</v>
      </c>
      <c r="H216" s="10"/>
      <c r="I216" t="s">
        <v>129</v>
      </c>
      <c r="J216" s="125">
        <f>'3. Use Cases Catalog'!J204*1000000</f>
        <v>0</v>
      </c>
      <c r="K216" s="125">
        <f>'3. Use Cases Catalog'!J204*1000000</f>
        <v>0</v>
      </c>
      <c r="L216" s="123">
        <v>0.35</v>
      </c>
      <c r="M216" s="124">
        <v>4800000</v>
      </c>
      <c r="N216" t="s">
        <v>7986</v>
      </c>
      <c r="O216" s="125">
        <f t="shared" si="6"/>
        <v>1071000</v>
      </c>
      <c r="P216" s="125">
        <f>'3. Use Cases Catalog'!K204*1000000</f>
        <v>1.2</v>
      </c>
      <c r="Q216" s="126"/>
      <c r="R216" s="124"/>
      <c r="S216" s="125" t="str">
        <f t="shared" si="7"/>
        <v/>
      </c>
      <c r="T216" s="125">
        <f>'3. Use Cases Catalog'!L204*1000000</f>
        <v>0</v>
      </c>
    </row>
    <row r="217" spans="1:20" x14ac:dyDescent="0.2">
      <c r="A217" t="s">
        <v>89</v>
      </c>
      <c r="B217" t="s">
        <v>123</v>
      </c>
      <c r="C217" t="s">
        <v>1241</v>
      </c>
      <c r="D217" s="10"/>
      <c r="E217" t="s">
        <v>1009</v>
      </c>
      <c r="F217" s="125">
        <f>'3. Use Cases Catalog'!I205*1000000</f>
        <v>3.4</v>
      </c>
      <c r="G217" s="125">
        <f>'3. Use Cases Catalog'!I205*1000000</f>
        <v>3.4</v>
      </c>
      <c r="H217" s="10"/>
      <c r="I217" t="s">
        <v>129</v>
      </c>
      <c r="J217" s="125">
        <f>'3. Use Cases Catalog'!J205*1000000</f>
        <v>0</v>
      </c>
      <c r="K217" s="125">
        <f>'3. Use Cases Catalog'!J205*1000000</f>
        <v>0</v>
      </c>
      <c r="L217" s="123"/>
      <c r="M217" s="124"/>
      <c r="N217" t="s">
        <v>130</v>
      </c>
      <c r="O217" s="125" t="str">
        <f t="shared" si="6"/>
        <v/>
      </c>
      <c r="P217" s="125">
        <f>'3. Use Cases Catalog'!K205*1000000</f>
        <v>0</v>
      </c>
      <c r="Q217" s="126">
        <v>7</v>
      </c>
      <c r="R217" s="124">
        <v>52</v>
      </c>
      <c r="S217" s="125">
        <f t="shared" si="7"/>
        <v>293.93</v>
      </c>
      <c r="T217" s="125">
        <f>'3. Use Cases Catalog'!L205*1000000</f>
        <v>1.3</v>
      </c>
    </row>
    <row r="218" spans="1:20" x14ac:dyDescent="0.2">
      <c r="A218" t="s">
        <v>89</v>
      </c>
      <c r="B218" t="s">
        <v>149</v>
      </c>
      <c r="C218" t="s">
        <v>1246</v>
      </c>
      <c r="D218" s="10"/>
      <c r="E218" t="s">
        <v>1009</v>
      </c>
      <c r="F218" s="125">
        <f>'3. Use Cases Catalog'!I206*1000000</f>
        <v>2.8</v>
      </c>
      <c r="G218" s="125">
        <f>'3. Use Cases Catalog'!I206*1000000</f>
        <v>2.8</v>
      </c>
      <c r="H218" s="10"/>
      <c r="I218" t="s">
        <v>129</v>
      </c>
      <c r="J218" s="125">
        <f>'3. Use Cases Catalog'!J206*1000000</f>
        <v>0</v>
      </c>
      <c r="K218" s="125">
        <f>'3. Use Cases Catalog'!J206*1000000</f>
        <v>0</v>
      </c>
      <c r="L218" s="123">
        <v>0.12</v>
      </c>
      <c r="M218" s="124">
        <v>12000000</v>
      </c>
      <c r="N218" t="s">
        <v>7987</v>
      </c>
      <c r="O218" s="125">
        <f t="shared" si="6"/>
        <v>918000</v>
      </c>
      <c r="P218" s="125">
        <f>'3. Use Cases Catalog'!K206*1000000</f>
        <v>1.1000000000000001</v>
      </c>
      <c r="Q218" s="126">
        <v>7</v>
      </c>
      <c r="R218" s="124">
        <v>41</v>
      </c>
      <c r="S218" s="125">
        <f t="shared" si="7"/>
        <v>231.75249999999997</v>
      </c>
      <c r="T218" s="125">
        <f>'3. Use Cases Catalog'!L206*1000000</f>
        <v>1.7</v>
      </c>
    </row>
    <row r="219" spans="1:20" x14ac:dyDescent="0.2">
      <c r="A219" t="s">
        <v>89</v>
      </c>
      <c r="B219" t="s">
        <v>133</v>
      </c>
      <c r="C219" t="s">
        <v>1252</v>
      </c>
      <c r="D219" s="10"/>
      <c r="E219" t="s">
        <v>1009</v>
      </c>
      <c r="F219" s="125">
        <f>'3. Use Cases Catalog'!I207*1000000</f>
        <v>4.0999999999999996</v>
      </c>
      <c r="G219" s="125">
        <f>'3. Use Cases Catalog'!I207*1000000</f>
        <v>4.0999999999999996</v>
      </c>
      <c r="H219" s="10"/>
      <c r="I219" t="s">
        <v>129</v>
      </c>
      <c r="J219" s="125">
        <f>'3. Use Cases Catalog'!J207*1000000</f>
        <v>0</v>
      </c>
      <c r="K219" s="125">
        <f>'3. Use Cases Catalog'!J207*1000000</f>
        <v>0</v>
      </c>
      <c r="L219" s="123"/>
      <c r="M219" s="124"/>
      <c r="N219" t="s">
        <v>130</v>
      </c>
      <c r="O219" s="125" t="str">
        <f t="shared" si="6"/>
        <v/>
      </c>
      <c r="P219" s="125">
        <f>'3. Use Cases Catalog'!K207*1000000</f>
        <v>0</v>
      </c>
      <c r="Q219" s="126"/>
      <c r="R219" s="124"/>
      <c r="S219" s="125" t="str">
        <f t="shared" si="7"/>
        <v/>
      </c>
      <c r="T219" s="125">
        <f>'3. Use Cases Catalog'!L207*1000000</f>
        <v>0</v>
      </c>
    </row>
    <row r="220" spans="1:20" x14ac:dyDescent="0.2">
      <c r="A220" t="s">
        <v>89</v>
      </c>
      <c r="B220" t="s">
        <v>156</v>
      </c>
      <c r="C220" t="s">
        <v>1256</v>
      </c>
      <c r="D220" s="10"/>
      <c r="E220" t="s">
        <v>1009</v>
      </c>
      <c r="F220" s="125">
        <f>'3. Use Cases Catalog'!I208*1000000</f>
        <v>2.5</v>
      </c>
      <c r="G220" s="125">
        <f>'3. Use Cases Catalog'!I208*1000000</f>
        <v>2.5</v>
      </c>
      <c r="H220" s="10"/>
      <c r="I220" t="s">
        <v>129</v>
      </c>
      <c r="J220" s="125">
        <f>'3. Use Cases Catalog'!J208*1000000</f>
        <v>0</v>
      </c>
      <c r="K220" s="125">
        <f>'3. Use Cases Catalog'!J208*1000000</f>
        <v>0</v>
      </c>
      <c r="L220" s="123">
        <v>0.18</v>
      </c>
      <c r="M220" s="124">
        <v>7000000</v>
      </c>
      <c r="N220" t="s">
        <v>7988</v>
      </c>
      <c r="O220" s="125">
        <f t="shared" si="6"/>
        <v>803250</v>
      </c>
      <c r="P220" s="125">
        <f>'3. Use Cases Catalog'!K208*1000000</f>
        <v>0.8</v>
      </c>
      <c r="Q220" s="126"/>
      <c r="R220" s="124"/>
      <c r="S220" s="125" t="str">
        <f t="shared" si="7"/>
        <v/>
      </c>
      <c r="T220" s="125">
        <f>'3. Use Cases Catalog'!L208*1000000</f>
        <v>0</v>
      </c>
    </row>
    <row r="221" spans="1:20" x14ac:dyDescent="0.2">
      <c r="A221" t="s">
        <v>89</v>
      </c>
      <c r="B221" t="s">
        <v>172</v>
      </c>
      <c r="C221" t="s">
        <v>1260</v>
      </c>
      <c r="D221" s="10"/>
      <c r="E221" t="s">
        <v>1009</v>
      </c>
      <c r="F221" s="125">
        <f>'3. Use Cases Catalog'!I209*1000000</f>
        <v>1.8</v>
      </c>
      <c r="G221" s="125">
        <f>'3. Use Cases Catalog'!I209*1000000</f>
        <v>1.8</v>
      </c>
      <c r="H221" s="10"/>
      <c r="I221" t="s">
        <v>129</v>
      </c>
      <c r="J221" s="125">
        <f>'3. Use Cases Catalog'!J209*1000000</f>
        <v>0</v>
      </c>
      <c r="K221" s="125">
        <f>'3. Use Cases Catalog'!J209*1000000</f>
        <v>0</v>
      </c>
      <c r="L221" s="123">
        <v>0.2</v>
      </c>
      <c r="M221" s="124">
        <v>9300000</v>
      </c>
      <c r="N221" t="s">
        <v>7989</v>
      </c>
      <c r="O221" s="125">
        <f t="shared" si="6"/>
        <v>1185750</v>
      </c>
      <c r="P221" s="125">
        <f>'3. Use Cases Catalog'!K209*1000000</f>
        <v>1.4</v>
      </c>
      <c r="Q221" s="126"/>
      <c r="R221" s="124"/>
      <c r="S221" s="125" t="str">
        <f t="shared" si="7"/>
        <v/>
      </c>
      <c r="T221" s="125">
        <f>'3. Use Cases Catalog'!L209*1000000</f>
        <v>0</v>
      </c>
    </row>
    <row r="222" spans="1:20" x14ac:dyDescent="0.2">
      <c r="A222" t="s">
        <v>89</v>
      </c>
      <c r="B222" t="s">
        <v>186</v>
      </c>
      <c r="C222" t="s">
        <v>1264</v>
      </c>
      <c r="D222" s="10"/>
      <c r="E222" t="s">
        <v>1009</v>
      </c>
      <c r="F222" s="125">
        <f>'3. Use Cases Catalog'!I210*1000000</f>
        <v>2.6</v>
      </c>
      <c r="G222" s="125">
        <f>'3. Use Cases Catalog'!I210*1000000</f>
        <v>2.6</v>
      </c>
      <c r="H222" s="10"/>
      <c r="I222" t="s">
        <v>129</v>
      </c>
      <c r="J222" s="125">
        <f>'3. Use Cases Catalog'!J210*1000000</f>
        <v>0</v>
      </c>
      <c r="K222" s="125">
        <f>'3. Use Cases Catalog'!J210*1000000</f>
        <v>0</v>
      </c>
      <c r="L222" s="123"/>
      <c r="M222" s="124"/>
      <c r="N222" t="s">
        <v>130</v>
      </c>
      <c r="O222" s="125" t="str">
        <f t="shared" si="6"/>
        <v/>
      </c>
      <c r="P222" s="125">
        <f>'3. Use Cases Catalog'!K210*1000000</f>
        <v>0</v>
      </c>
      <c r="Q222" s="126"/>
      <c r="R222" s="124"/>
      <c r="S222" s="125" t="str">
        <f t="shared" si="7"/>
        <v/>
      </c>
      <c r="T222" s="125">
        <f>'3. Use Cases Catalog'!L210*1000000</f>
        <v>0</v>
      </c>
    </row>
    <row r="223" spans="1:20" x14ac:dyDescent="0.2">
      <c r="A223" t="s">
        <v>89</v>
      </c>
      <c r="B223" t="s">
        <v>194</v>
      </c>
      <c r="C223" t="s">
        <v>539</v>
      </c>
      <c r="D223" s="10"/>
      <c r="E223" t="s">
        <v>1009</v>
      </c>
      <c r="F223" s="125">
        <f>'3. Use Cases Catalog'!I211*1000000</f>
        <v>0.9</v>
      </c>
      <c r="G223" s="125">
        <f>'3. Use Cases Catalog'!I211*1000000</f>
        <v>0.9</v>
      </c>
      <c r="H223" s="10"/>
      <c r="I223" t="s">
        <v>129</v>
      </c>
      <c r="J223" s="125">
        <f>'3. Use Cases Catalog'!J211*1000000</f>
        <v>0</v>
      </c>
      <c r="K223" s="125">
        <f>'3. Use Cases Catalog'!J211*1000000</f>
        <v>0</v>
      </c>
      <c r="L223" s="123">
        <v>0.14000000000000001</v>
      </c>
      <c r="M223" s="124">
        <v>6200000</v>
      </c>
      <c r="N223" t="s">
        <v>7990</v>
      </c>
      <c r="O223" s="125">
        <f t="shared" si="6"/>
        <v>553350.00000000012</v>
      </c>
      <c r="P223" s="125">
        <f>'3. Use Cases Catalog'!K211*1000000</f>
        <v>0.6</v>
      </c>
      <c r="Q223" s="126">
        <v>5</v>
      </c>
      <c r="R223" s="124">
        <v>37</v>
      </c>
      <c r="S223" s="125">
        <f t="shared" si="7"/>
        <v>149.38749999999999</v>
      </c>
      <c r="T223" s="125">
        <f>'3. Use Cases Catalog'!L211*1000000</f>
        <v>1.1000000000000001</v>
      </c>
    </row>
    <row r="224" spans="1:20" x14ac:dyDescent="0.2">
      <c r="A224" t="s">
        <v>63</v>
      </c>
      <c r="B224" t="s">
        <v>141</v>
      </c>
      <c r="C224" t="s">
        <v>1271</v>
      </c>
      <c r="D224" s="10" t="s">
        <v>7991</v>
      </c>
      <c r="E224" t="s">
        <v>7992</v>
      </c>
      <c r="F224" s="125">
        <f>'3. Use Cases Catalog'!I212*1000000</f>
        <v>17</v>
      </c>
      <c r="G224" s="125">
        <f>'3. Use Cases Catalog'!I212*1000000</f>
        <v>17</v>
      </c>
      <c r="H224" s="10"/>
      <c r="I224" t="s">
        <v>129</v>
      </c>
      <c r="J224" s="125">
        <f>'3. Use Cases Catalog'!J212*1000000</f>
        <v>0</v>
      </c>
      <c r="K224" s="125">
        <f>'3. Use Cases Catalog'!J212*1000000</f>
        <v>0</v>
      </c>
      <c r="L224" s="123">
        <v>0.15</v>
      </c>
      <c r="M224" s="124">
        <v>15000000</v>
      </c>
      <c r="N224" t="s">
        <v>7993</v>
      </c>
      <c r="O224" s="125">
        <f t="shared" si="6"/>
        <v>1434375</v>
      </c>
      <c r="P224" s="125">
        <f>'3. Use Cases Catalog'!K212*1000000</f>
        <v>1.8</v>
      </c>
      <c r="Q224" s="126"/>
      <c r="R224" s="124"/>
      <c r="S224" s="125" t="str">
        <f t="shared" si="7"/>
        <v/>
      </c>
      <c r="T224" s="125">
        <f>'3. Use Cases Catalog'!L212*1000000</f>
        <v>0</v>
      </c>
    </row>
    <row r="225" spans="1:20" x14ac:dyDescent="0.2">
      <c r="A225" t="s">
        <v>63</v>
      </c>
      <c r="B225" t="s">
        <v>123</v>
      </c>
      <c r="C225" t="s">
        <v>1276</v>
      </c>
      <c r="D225" s="10"/>
      <c r="E225" t="s">
        <v>1009</v>
      </c>
      <c r="F225" s="125">
        <f>'3. Use Cases Catalog'!I213*1000000</f>
        <v>0</v>
      </c>
      <c r="G225" s="125">
        <f>'3. Use Cases Catalog'!I213*1000000</f>
        <v>0</v>
      </c>
      <c r="H225" s="10" t="s">
        <v>7994</v>
      </c>
      <c r="I225" t="s">
        <v>7995</v>
      </c>
      <c r="J225" s="125">
        <f>'3. Use Cases Catalog'!J213*1000000</f>
        <v>12.1</v>
      </c>
      <c r="K225" s="125">
        <f>'3. Use Cases Catalog'!J213*1000000</f>
        <v>12.1</v>
      </c>
      <c r="L225" s="123">
        <v>0.25</v>
      </c>
      <c r="M225" s="124">
        <v>18000000</v>
      </c>
      <c r="N225" t="s">
        <v>7996</v>
      </c>
      <c r="O225" s="125">
        <f t="shared" si="6"/>
        <v>2868750</v>
      </c>
      <c r="P225" s="125">
        <f>'3. Use Cases Catalog'!K213*1000000</f>
        <v>2.7</v>
      </c>
      <c r="Q225" s="126"/>
      <c r="R225" s="124"/>
      <c r="S225" s="125" t="str">
        <f t="shared" si="7"/>
        <v/>
      </c>
      <c r="T225" s="125">
        <f>'3. Use Cases Catalog'!L213*1000000</f>
        <v>0</v>
      </c>
    </row>
    <row r="226" spans="1:20" x14ac:dyDescent="0.2">
      <c r="A226" t="s">
        <v>63</v>
      </c>
      <c r="B226" t="s">
        <v>133</v>
      </c>
      <c r="C226" t="s">
        <v>1281</v>
      </c>
      <c r="D226" s="10" t="s">
        <v>7997</v>
      </c>
      <c r="E226" t="s">
        <v>7998</v>
      </c>
      <c r="F226" s="125">
        <f>'3. Use Cases Catalog'!I214*1000000</f>
        <v>7.3</v>
      </c>
      <c r="G226" s="125">
        <f>'3. Use Cases Catalog'!I214*1000000</f>
        <v>7.3</v>
      </c>
      <c r="H226" s="10"/>
      <c r="I226" t="s">
        <v>129</v>
      </c>
      <c r="J226" s="125">
        <f>'3. Use Cases Catalog'!J214*1000000</f>
        <v>0</v>
      </c>
      <c r="K226" s="125">
        <f>'3. Use Cases Catalog'!J214*1000000</f>
        <v>0</v>
      </c>
      <c r="L226" s="123"/>
      <c r="M226" s="124"/>
      <c r="N226" t="s">
        <v>130</v>
      </c>
      <c r="O226" s="125" t="str">
        <f t="shared" si="6"/>
        <v/>
      </c>
      <c r="P226" s="125">
        <f>'3. Use Cases Catalog'!K214*1000000</f>
        <v>0</v>
      </c>
      <c r="Q226" s="126"/>
      <c r="R226" s="124"/>
      <c r="S226" s="125" t="str">
        <f t="shared" si="7"/>
        <v/>
      </c>
      <c r="T226" s="125">
        <f>'3. Use Cases Catalog'!L214*1000000</f>
        <v>0</v>
      </c>
    </row>
    <row r="227" spans="1:20" x14ac:dyDescent="0.2">
      <c r="A227" t="s">
        <v>63</v>
      </c>
      <c r="B227" t="s">
        <v>164</v>
      </c>
      <c r="C227" t="s">
        <v>7999</v>
      </c>
      <c r="D227" s="10"/>
      <c r="E227" t="s">
        <v>1009</v>
      </c>
      <c r="F227" s="125">
        <f>'3. Use Cases Catalog'!I215*1000000</f>
        <v>0</v>
      </c>
      <c r="G227" s="125">
        <f>'3. Use Cases Catalog'!I215*1000000</f>
        <v>0</v>
      </c>
      <c r="H227" s="10" t="s">
        <v>8000</v>
      </c>
      <c r="I227" t="s">
        <v>8001</v>
      </c>
      <c r="J227" s="125">
        <f>'3. Use Cases Catalog'!J215*1000000</f>
        <v>9.6999999999999993</v>
      </c>
      <c r="K227" s="125">
        <f>'3. Use Cases Catalog'!J215*1000000</f>
        <v>9.6999999999999993</v>
      </c>
      <c r="L227" s="123"/>
      <c r="M227" s="124"/>
      <c r="N227" t="s">
        <v>130</v>
      </c>
      <c r="O227" s="125" t="str">
        <f t="shared" si="6"/>
        <v/>
      </c>
      <c r="P227" s="125">
        <f>'3. Use Cases Catalog'!K215*1000000</f>
        <v>0</v>
      </c>
      <c r="Q227" s="126"/>
      <c r="R227" s="124"/>
      <c r="S227" s="125" t="str">
        <f t="shared" si="7"/>
        <v/>
      </c>
      <c r="T227" s="125">
        <f>'3. Use Cases Catalog'!L215*1000000</f>
        <v>0</v>
      </c>
    </row>
    <row r="228" spans="1:20" x14ac:dyDescent="0.2">
      <c r="A228" t="s">
        <v>63</v>
      </c>
      <c r="B228" t="s">
        <v>172</v>
      </c>
      <c r="C228" t="s">
        <v>1290</v>
      </c>
      <c r="D228" s="10" t="s">
        <v>8002</v>
      </c>
      <c r="E228" t="s">
        <v>8003</v>
      </c>
      <c r="F228" s="125">
        <f>'3. Use Cases Catalog'!I216*1000000</f>
        <v>2.7</v>
      </c>
      <c r="G228" s="125">
        <f>'3. Use Cases Catalog'!I216*1000000</f>
        <v>2.7</v>
      </c>
      <c r="H228" s="10"/>
      <c r="I228" t="s">
        <v>129</v>
      </c>
      <c r="J228" s="125">
        <f>'3. Use Cases Catalog'!J216*1000000</f>
        <v>0</v>
      </c>
      <c r="K228" s="125">
        <f>'3. Use Cases Catalog'!J216*1000000</f>
        <v>0</v>
      </c>
      <c r="L228" s="123">
        <v>0.2</v>
      </c>
      <c r="M228" s="124">
        <v>12000000</v>
      </c>
      <c r="N228" t="s">
        <v>8004</v>
      </c>
      <c r="O228" s="125">
        <f t="shared" si="6"/>
        <v>1530000</v>
      </c>
      <c r="P228" s="125">
        <f>'3. Use Cases Catalog'!K216*1000000</f>
        <v>1.4</v>
      </c>
      <c r="Q228" s="126"/>
      <c r="R228" s="124"/>
      <c r="S228" s="125" t="str">
        <f t="shared" si="7"/>
        <v/>
      </c>
      <c r="T228" s="125">
        <f>'3. Use Cases Catalog'!L216*1000000</f>
        <v>0</v>
      </c>
    </row>
    <row r="229" spans="1:20" x14ac:dyDescent="0.2">
      <c r="A229" t="s">
        <v>63</v>
      </c>
      <c r="B229" t="s">
        <v>186</v>
      </c>
      <c r="C229" t="s">
        <v>8005</v>
      </c>
      <c r="D229" s="10" t="s">
        <v>8006</v>
      </c>
      <c r="E229" t="s">
        <v>8007</v>
      </c>
      <c r="F229" s="125">
        <f>'3. Use Cases Catalog'!I217*1000000</f>
        <v>4</v>
      </c>
      <c r="G229" s="125">
        <f>'3. Use Cases Catalog'!I217*1000000</f>
        <v>4</v>
      </c>
      <c r="H229" s="10"/>
      <c r="I229" t="s">
        <v>129</v>
      </c>
      <c r="J229" s="125">
        <f>'3. Use Cases Catalog'!J217*1000000</f>
        <v>0</v>
      </c>
      <c r="K229" s="125">
        <f>'3. Use Cases Catalog'!J217*1000000</f>
        <v>0</v>
      </c>
      <c r="L229" s="123"/>
      <c r="M229" s="124"/>
      <c r="N229" t="s">
        <v>130</v>
      </c>
      <c r="O229" s="125" t="str">
        <f t="shared" si="6"/>
        <v/>
      </c>
      <c r="P229" s="125">
        <f>'3. Use Cases Catalog'!K217*1000000</f>
        <v>0</v>
      </c>
      <c r="Q229" s="126"/>
      <c r="R229" s="124"/>
      <c r="S229" s="125" t="str">
        <f t="shared" si="7"/>
        <v/>
      </c>
      <c r="T229" s="125">
        <f>'3. Use Cases Catalog'!L217*1000000</f>
        <v>0</v>
      </c>
    </row>
    <row r="230" spans="1:20" x14ac:dyDescent="0.2">
      <c r="A230" t="s">
        <v>63</v>
      </c>
      <c r="B230" t="s">
        <v>149</v>
      </c>
      <c r="C230" t="s">
        <v>1299</v>
      </c>
      <c r="D230" s="10"/>
      <c r="E230" t="s">
        <v>1009</v>
      </c>
      <c r="F230" s="125">
        <f>'3. Use Cases Catalog'!I218*1000000</f>
        <v>0</v>
      </c>
      <c r="G230" s="125">
        <f>'3. Use Cases Catalog'!I218*1000000</f>
        <v>0</v>
      </c>
      <c r="H230" s="10" t="s">
        <v>8008</v>
      </c>
      <c r="I230" t="s">
        <v>8009</v>
      </c>
      <c r="J230" s="125">
        <f>'3. Use Cases Catalog'!J218*1000000</f>
        <v>22.8</v>
      </c>
      <c r="K230" s="125">
        <f>'3. Use Cases Catalog'!J218*1000000</f>
        <v>22.8</v>
      </c>
      <c r="L230" s="123"/>
      <c r="M230" s="124"/>
      <c r="N230" t="s">
        <v>130</v>
      </c>
      <c r="O230" s="125" t="str">
        <f t="shared" si="6"/>
        <v/>
      </c>
      <c r="P230" s="125">
        <f>'3. Use Cases Catalog'!K218*1000000</f>
        <v>0</v>
      </c>
      <c r="Q230" s="126"/>
      <c r="R230" s="124"/>
      <c r="S230" s="125" t="str">
        <f t="shared" si="7"/>
        <v/>
      </c>
      <c r="T230" s="125">
        <f>'3. Use Cases Catalog'!L218*1000000</f>
        <v>0</v>
      </c>
    </row>
    <row r="231" spans="1:20" x14ac:dyDescent="0.2">
      <c r="A231" t="s">
        <v>63</v>
      </c>
      <c r="B231" t="s">
        <v>156</v>
      </c>
      <c r="C231" t="s">
        <v>1303</v>
      </c>
      <c r="D231" s="10" t="s">
        <v>8010</v>
      </c>
      <c r="E231" t="s">
        <v>8011</v>
      </c>
      <c r="F231" s="125">
        <f>'3. Use Cases Catalog'!I219*1000000</f>
        <v>4.8</v>
      </c>
      <c r="G231" s="125">
        <f>'3. Use Cases Catalog'!I219*1000000</f>
        <v>4.8</v>
      </c>
      <c r="H231" s="10" t="s">
        <v>8012</v>
      </c>
      <c r="I231" t="s">
        <v>8013</v>
      </c>
      <c r="J231" s="125">
        <f>'3. Use Cases Catalog'!J219*1000000</f>
        <v>6.8</v>
      </c>
      <c r="K231" s="125">
        <f>'3. Use Cases Catalog'!J219*1000000</f>
        <v>6.8</v>
      </c>
      <c r="L231" s="123"/>
      <c r="M231" s="124"/>
      <c r="N231" t="s">
        <v>130</v>
      </c>
      <c r="O231" s="125" t="str">
        <f t="shared" si="6"/>
        <v/>
      </c>
      <c r="P231" s="125">
        <f>'3. Use Cases Catalog'!K219*1000000</f>
        <v>0</v>
      </c>
      <c r="Q231" s="126">
        <v>37</v>
      </c>
      <c r="R231" s="124">
        <v>450</v>
      </c>
      <c r="S231" s="125">
        <f t="shared" si="7"/>
        <v>13444.875</v>
      </c>
      <c r="T231" s="125">
        <f>'3. Use Cases Catalog'!L219*1000000</f>
        <v>8.1</v>
      </c>
    </row>
    <row r="232" spans="1:20" x14ac:dyDescent="0.2">
      <c r="A232" t="s">
        <v>63</v>
      </c>
      <c r="B232" t="s">
        <v>179</v>
      </c>
      <c r="C232" t="s">
        <v>1308</v>
      </c>
      <c r="D232" s="10" t="s">
        <v>8014</v>
      </c>
      <c r="E232" t="s">
        <v>8015</v>
      </c>
      <c r="F232" s="125">
        <f>'3. Use Cases Catalog'!I220*1000000</f>
        <v>6.1</v>
      </c>
      <c r="G232" s="125">
        <f>'3. Use Cases Catalog'!I220*1000000</f>
        <v>6.1</v>
      </c>
      <c r="H232" s="10"/>
      <c r="I232" t="s">
        <v>129</v>
      </c>
      <c r="J232" s="125">
        <f>'3. Use Cases Catalog'!J220*1000000</f>
        <v>0</v>
      </c>
      <c r="K232" s="125">
        <f>'3. Use Cases Catalog'!J220*1000000</f>
        <v>0</v>
      </c>
      <c r="L232" s="123"/>
      <c r="M232" s="124"/>
      <c r="N232" t="s">
        <v>130</v>
      </c>
      <c r="O232" s="125" t="str">
        <f t="shared" si="6"/>
        <v/>
      </c>
      <c r="P232" s="125">
        <f>'3. Use Cases Catalog'!K220*1000000</f>
        <v>0</v>
      </c>
      <c r="Q232" s="126"/>
      <c r="R232" s="124"/>
      <c r="S232" s="125" t="str">
        <f t="shared" si="7"/>
        <v/>
      </c>
      <c r="T232" s="125">
        <f>'3. Use Cases Catalog'!L220*1000000</f>
        <v>0</v>
      </c>
    </row>
    <row r="233" spans="1:20" x14ac:dyDescent="0.2">
      <c r="A233" t="s">
        <v>63</v>
      </c>
      <c r="B233" t="s">
        <v>194</v>
      </c>
      <c r="C233" t="s">
        <v>1313</v>
      </c>
      <c r="D233" s="10" t="s">
        <v>7836</v>
      </c>
      <c r="E233" t="s">
        <v>8016</v>
      </c>
      <c r="F233" s="125">
        <f>'3. Use Cases Catalog'!I221*1000000</f>
        <v>3.2</v>
      </c>
      <c r="G233" s="125">
        <f>'3. Use Cases Catalog'!I221*1000000</f>
        <v>3.2</v>
      </c>
      <c r="H233" s="10"/>
      <c r="I233" t="s">
        <v>129</v>
      </c>
      <c r="J233" s="125">
        <f>'3. Use Cases Catalog'!J221*1000000</f>
        <v>0</v>
      </c>
      <c r="K233" s="125">
        <f>'3. Use Cases Catalog'!J221*1000000</f>
        <v>0</v>
      </c>
      <c r="L233" s="123">
        <v>0.3</v>
      </c>
      <c r="M233" s="124">
        <v>5000000</v>
      </c>
      <c r="N233" t="s">
        <v>8017</v>
      </c>
      <c r="O233" s="125">
        <f t="shared" si="6"/>
        <v>956250</v>
      </c>
      <c r="P233" s="125">
        <f>'3. Use Cases Catalog'!K221*1000000</f>
        <v>0.9</v>
      </c>
      <c r="Q233" s="126">
        <v>18</v>
      </c>
      <c r="R233" s="124">
        <v>220</v>
      </c>
      <c r="S233" s="125">
        <f t="shared" si="7"/>
        <v>3197.7</v>
      </c>
      <c r="T233" s="125">
        <f>'3. Use Cases Catalog'!L221*1000000</f>
        <v>3.8</v>
      </c>
    </row>
    <row r="234" spans="1:20" x14ac:dyDescent="0.2">
      <c r="A234" t="s">
        <v>79</v>
      </c>
      <c r="B234" t="s">
        <v>123</v>
      </c>
      <c r="C234" t="s">
        <v>1318</v>
      </c>
      <c r="D234" s="10" t="s">
        <v>8018</v>
      </c>
      <c r="E234" t="s">
        <v>8019</v>
      </c>
      <c r="F234" s="125">
        <f>'3. Use Cases Catalog'!I222*1000000</f>
        <v>4.0999999999999996</v>
      </c>
      <c r="G234" s="125">
        <f>'3. Use Cases Catalog'!I222*1000000</f>
        <v>4.0999999999999996</v>
      </c>
      <c r="H234" s="10"/>
      <c r="I234" t="s">
        <v>129</v>
      </c>
      <c r="J234" s="125">
        <f>'3. Use Cases Catalog'!J222*1000000</f>
        <v>0</v>
      </c>
      <c r="K234" s="125">
        <f>'3. Use Cases Catalog'!J222*1000000</f>
        <v>0</v>
      </c>
      <c r="L234" s="123"/>
      <c r="M234" s="124"/>
      <c r="N234" t="s">
        <v>130</v>
      </c>
      <c r="O234" s="125" t="str">
        <f t="shared" si="6"/>
        <v/>
      </c>
      <c r="P234" s="125">
        <f>'3. Use Cases Catalog'!K222*1000000</f>
        <v>0</v>
      </c>
      <c r="Q234" s="126"/>
      <c r="R234" s="124"/>
      <c r="S234" s="125" t="str">
        <f t="shared" si="7"/>
        <v/>
      </c>
      <c r="T234" s="125">
        <f>'3. Use Cases Catalog'!L222*1000000</f>
        <v>0</v>
      </c>
    </row>
    <row r="235" spans="1:20" x14ac:dyDescent="0.2">
      <c r="A235" t="s">
        <v>79</v>
      </c>
      <c r="B235" t="s">
        <v>149</v>
      </c>
      <c r="C235" t="s">
        <v>1326</v>
      </c>
      <c r="D235" s="10" t="s">
        <v>8020</v>
      </c>
      <c r="E235" t="s">
        <v>8021</v>
      </c>
      <c r="F235" s="125">
        <f>'3. Use Cases Catalog'!I223*1000000</f>
        <v>1.6</v>
      </c>
      <c r="G235" s="125">
        <f>'3. Use Cases Catalog'!I223*1000000</f>
        <v>1.6</v>
      </c>
      <c r="H235" s="10"/>
      <c r="I235" t="s">
        <v>129</v>
      </c>
      <c r="J235" s="125">
        <f>'3. Use Cases Catalog'!J223*1000000</f>
        <v>0</v>
      </c>
      <c r="K235" s="125">
        <f>'3. Use Cases Catalog'!J223*1000000</f>
        <v>0</v>
      </c>
      <c r="L235" s="123"/>
      <c r="M235" s="124">
        <v>1300000</v>
      </c>
      <c r="N235" t="s">
        <v>8022</v>
      </c>
      <c r="O235" s="125" t="str">
        <f t="shared" si="6"/>
        <v/>
      </c>
      <c r="P235" s="125">
        <f>'3. Use Cases Catalog'!K223*1000000</f>
        <v>1.3</v>
      </c>
      <c r="Q235" s="126"/>
      <c r="R235" s="124"/>
      <c r="S235" s="125" t="str">
        <f t="shared" si="7"/>
        <v/>
      </c>
      <c r="T235" s="125">
        <f>'3. Use Cases Catalog'!L223*1000000</f>
        <v>0</v>
      </c>
    </row>
    <row r="236" spans="1:20" x14ac:dyDescent="0.2">
      <c r="A236" t="s">
        <v>79</v>
      </c>
      <c r="B236" t="s">
        <v>156</v>
      </c>
      <c r="C236" t="s">
        <v>1332</v>
      </c>
      <c r="D236" s="10" t="s">
        <v>8023</v>
      </c>
      <c r="E236" t="s">
        <v>8024</v>
      </c>
      <c r="F236" s="125">
        <f>'3. Use Cases Catalog'!I224*1000000</f>
        <v>1.5</v>
      </c>
      <c r="G236" s="125">
        <f>'3. Use Cases Catalog'!I224*1000000</f>
        <v>1.5</v>
      </c>
      <c r="H236" s="10" t="s">
        <v>8025</v>
      </c>
      <c r="I236" t="s">
        <v>8026</v>
      </c>
      <c r="J236" s="125">
        <f>'3. Use Cases Catalog'!J224*1000000</f>
        <v>1.7</v>
      </c>
      <c r="K236" s="125">
        <f>'3. Use Cases Catalog'!J224*1000000</f>
        <v>1.7</v>
      </c>
      <c r="L236" s="123"/>
      <c r="M236" s="124">
        <v>6500000</v>
      </c>
      <c r="N236" t="s">
        <v>8027</v>
      </c>
      <c r="O236" s="125" t="str">
        <f t="shared" si="6"/>
        <v/>
      </c>
      <c r="P236" s="125">
        <f>'3. Use Cases Catalog'!K224*1000000</f>
        <v>0.8</v>
      </c>
      <c r="Q236" s="126"/>
      <c r="R236" s="124"/>
      <c r="S236" s="125" t="str">
        <f t="shared" si="7"/>
        <v/>
      </c>
      <c r="T236" s="125">
        <f>'3. Use Cases Catalog'!L224*1000000</f>
        <v>0</v>
      </c>
    </row>
    <row r="237" spans="1:20" x14ac:dyDescent="0.2">
      <c r="A237" t="s">
        <v>79</v>
      </c>
      <c r="B237" t="s">
        <v>179</v>
      </c>
      <c r="C237" t="s">
        <v>1339</v>
      </c>
      <c r="D237" s="10" t="s">
        <v>8028</v>
      </c>
      <c r="E237" t="s">
        <v>8029</v>
      </c>
      <c r="F237" s="125">
        <f>'3. Use Cases Catalog'!I225*1000000</f>
        <v>2.9</v>
      </c>
      <c r="G237" s="125">
        <f>'3. Use Cases Catalog'!I225*1000000</f>
        <v>2.9</v>
      </c>
      <c r="H237" s="10"/>
      <c r="I237" t="s">
        <v>129</v>
      </c>
      <c r="J237" s="125">
        <f>'3. Use Cases Catalog'!J225*1000000</f>
        <v>0</v>
      </c>
      <c r="K237" s="125">
        <f>'3. Use Cases Catalog'!J225*1000000</f>
        <v>0</v>
      </c>
      <c r="L237" s="123"/>
      <c r="M237" s="124"/>
      <c r="N237" t="s">
        <v>130</v>
      </c>
      <c r="O237" s="125" t="str">
        <f t="shared" si="6"/>
        <v/>
      </c>
      <c r="P237" s="125">
        <f>'3. Use Cases Catalog'!K225*1000000</f>
        <v>0</v>
      </c>
      <c r="Q237" s="126"/>
      <c r="R237" s="124"/>
      <c r="S237" s="125" t="str">
        <f t="shared" si="7"/>
        <v/>
      </c>
      <c r="T237" s="125">
        <f>'3. Use Cases Catalog'!L225*1000000</f>
        <v>0</v>
      </c>
    </row>
    <row r="238" spans="1:20" x14ac:dyDescent="0.2">
      <c r="A238" t="s">
        <v>79</v>
      </c>
      <c r="B238" t="s">
        <v>186</v>
      </c>
      <c r="C238" t="s">
        <v>1343</v>
      </c>
      <c r="D238" s="10" t="s">
        <v>8030</v>
      </c>
      <c r="E238" t="s">
        <v>8031</v>
      </c>
      <c r="F238" s="125">
        <f>'3. Use Cases Catalog'!I226*1000000</f>
        <v>2.5</v>
      </c>
      <c r="G238" s="125">
        <f>'3. Use Cases Catalog'!I226*1000000</f>
        <v>2.5</v>
      </c>
      <c r="H238" s="10"/>
      <c r="I238" t="s">
        <v>129</v>
      </c>
      <c r="J238" s="125">
        <f>'3. Use Cases Catalog'!J226*1000000</f>
        <v>0</v>
      </c>
      <c r="K238" s="125">
        <f>'3. Use Cases Catalog'!J226*1000000</f>
        <v>0</v>
      </c>
      <c r="L238" s="123"/>
      <c r="M238" s="124">
        <v>600000</v>
      </c>
      <c r="N238" t="s">
        <v>8032</v>
      </c>
      <c r="O238" s="125" t="str">
        <f t="shared" si="6"/>
        <v/>
      </c>
      <c r="P238" s="125">
        <f>'3. Use Cases Catalog'!K226*1000000</f>
        <v>0.6</v>
      </c>
      <c r="Q238" s="126"/>
      <c r="R238" s="124"/>
      <c r="S238" s="125" t="str">
        <f t="shared" si="7"/>
        <v/>
      </c>
      <c r="T238" s="125">
        <f>'3. Use Cases Catalog'!L226*1000000</f>
        <v>0</v>
      </c>
    </row>
    <row r="239" spans="1:20" x14ac:dyDescent="0.2">
      <c r="A239" t="s">
        <v>79</v>
      </c>
      <c r="B239" t="s">
        <v>141</v>
      </c>
      <c r="C239" t="s">
        <v>1350</v>
      </c>
      <c r="D239" s="10" t="s">
        <v>8033</v>
      </c>
      <c r="E239" t="s">
        <v>8034</v>
      </c>
      <c r="F239" s="125">
        <f>'3. Use Cases Catalog'!I227*1000000</f>
        <v>7.3</v>
      </c>
      <c r="G239" s="125">
        <f>'3. Use Cases Catalog'!I227*1000000</f>
        <v>7.3</v>
      </c>
      <c r="H239" s="10" t="s">
        <v>8035</v>
      </c>
      <c r="I239" t="s">
        <v>8036</v>
      </c>
      <c r="J239" s="125">
        <f>'3. Use Cases Catalog'!J227*1000000</f>
        <v>3.5</v>
      </c>
      <c r="K239" s="125">
        <f>'3. Use Cases Catalog'!J227*1000000</f>
        <v>3.5</v>
      </c>
      <c r="L239" s="123"/>
      <c r="M239" s="124"/>
      <c r="N239" t="s">
        <v>130</v>
      </c>
      <c r="O239" s="125" t="str">
        <f t="shared" si="6"/>
        <v/>
      </c>
      <c r="P239" s="125">
        <f>'3. Use Cases Catalog'!K227*1000000</f>
        <v>0</v>
      </c>
      <c r="Q239" s="126"/>
      <c r="R239" s="124">
        <v>280</v>
      </c>
      <c r="S239" s="125" t="str">
        <f t="shared" si="7"/>
        <v/>
      </c>
      <c r="T239" s="125">
        <f>'3. Use Cases Catalog'!L227*1000000</f>
        <v>1.8</v>
      </c>
    </row>
    <row r="240" spans="1:20" x14ac:dyDescent="0.2">
      <c r="A240" t="s">
        <v>79</v>
      </c>
      <c r="B240" t="s">
        <v>133</v>
      </c>
      <c r="C240" t="s">
        <v>1356</v>
      </c>
      <c r="D240" s="10"/>
      <c r="E240" t="s">
        <v>1009</v>
      </c>
      <c r="F240" s="125">
        <f>'3. Use Cases Catalog'!I228*1000000</f>
        <v>0</v>
      </c>
      <c r="G240" s="125">
        <f>'3. Use Cases Catalog'!I228*1000000</f>
        <v>0</v>
      </c>
      <c r="H240" s="10" t="s">
        <v>8037</v>
      </c>
      <c r="I240" t="s">
        <v>8038</v>
      </c>
      <c r="J240" s="125">
        <f>'3. Use Cases Catalog'!J228*1000000</f>
        <v>16.3</v>
      </c>
      <c r="K240" s="125">
        <f>'3. Use Cases Catalog'!J228*1000000</f>
        <v>16.3</v>
      </c>
      <c r="L240" s="123"/>
      <c r="M240" s="124"/>
      <c r="N240" t="s">
        <v>130</v>
      </c>
      <c r="O240" s="125" t="str">
        <f t="shared" si="6"/>
        <v/>
      </c>
      <c r="P240" s="125">
        <f>'3. Use Cases Catalog'!K228*1000000</f>
        <v>0</v>
      </c>
      <c r="Q240" s="126"/>
      <c r="R240" s="124"/>
      <c r="S240" s="125" t="str">
        <f t="shared" si="7"/>
        <v/>
      </c>
      <c r="T240" s="125">
        <f>'3. Use Cases Catalog'!L228*1000000</f>
        <v>0</v>
      </c>
    </row>
    <row r="241" spans="1:20" x14ac:dyDescent="0.2">
      <c r="A241" t="s">
        <v>79</v>
      </c>
      <c r="B241" t="s">
        <v>164</v>
      </c>
      <c r="C241" t="s">
        <v>1362</v>
      </c>
      <c r="D241" s="10" t="s">
        <v>8039</v>
      </c>
      <c r="E241" t="s">
        <v>8040</v>
      </c>
      <c r="F241" s="125">
        <f>'3. Use Cases Catalog'!I229*1000000</f>
        <v>4.8</v>
      </c>
      <c r="G241" s="125">
        <f>'3. Use Cases Catalog'!I229*1000000</f>
        <v>4.8</v>
      </c>
      <c r="H241" s="10"/>
      <c r="I241" t="s">
        <v>129</v>
      </c>
      <c r="J241" s="125">
        <f>'3. Use Cases Catalog'!J229*1000000</f>
        <v>0</v>
      </c>
      <c r="K241" s="125">
        <f>'3. Use Cases Catalog'!J229*1000000</f>
        <v>0</v>
      </c>
      <c r="L241" s="123"/>
      <c r="M241" s="124"/>
      <c r="N241" t="s">
        <v>130</v>
      </c>
      <c r="O241" s="125" t="str">
        <f t="shared" si="6"/>
        <v/>
      </c>
      <c r="P241" s="125">
        <f>'3. Use Cases Catalog'!K229*1000000</f>
        <v>0</v>
      </c>
      <c r="Q241" s="126"/>
      <c r="R241" s="124"/>
      <c r="S241" s="125" t="str">
        <f t="shared" si="7"/>
        <v/>
      </c>
      <c r="T241" s="125">
        <f>'3. Use Cases Catalog'!L229*1000000</f>
        <v>0</v>
      </c>
    </row>
    <row r="242" spans="1:20" x14ac:dyDescent="0.2">
      <c r="A242" t="s">
        <v>79</v>
      </c>
      <c r="B242" t="s">
        <v>172</v>
      </c>
      <c r="C242" t="s">
        <v>1367</v>
      </c>
      <c r="D242" s="10" t="s">
        <v>8041</v>
      </c>
      <c r="E242" t="s">
        <v>8042</v>
      </c>
      <c r="F242" s="125">
        <f>'3. Use Cases Catalog'!I230*1000000</f>
        <v>0.5</v>
      </c>
      <c r="G242" s="125">
        <f>'3. Use Cases Catalog'!I230*1000000</f>
        <v>0.5</v>
      </c>
      <c r="H242" s="10"/>
      <c r="I242" t="s">
        <v>129</v>
      </c>
      <c r="J242" s="125">
        <f>'3. Use Cases Catalog'!J230*1000000</f>
        <v>0</v>
      </c>
      <c r="K242" s="125">
        <f>'3. Use Cases Catalog'!J230*1000000</f>
        <v>0</v>
      </c>
      <c r="L242" s="123"/>
      <c r="M242" s="124"/>
      <c r="N242" t="s">
        <v>130</v>
      </c>
      <c r="O242" s="125" t="str">
        <f t="shared" si="6"/>
        <v/>
      </c>
      <c r="P242" s="125">
        <f>'3. Use Cases Catalog'!K230*1000000</f>
        <v>0</v>
      </c>
      <c r="Q242" s="126"/>
      <c r="R242" s="124"/>
      <c r="S242" s="125" t="str">
        <f t="shared" si="7"/>
        <v/>
      </c>
      <c r="T242" s="125">
        <f>'3. Use Cases Catalog'!L230*1000000</f>
        <v>3.2</v>
      </c>
    </row>
    <row r="243" spans="1:20" x14ac:dyDescent="0.2">
      <c r="A243" t="s">
        <v>79</v>
      </c>
      <c r="B243" t="s">
        <v>194</v>
      </c>
      <c r="C243" t="s">
        <v>1372</v>
      </c>
      <c r="D243" s="10" t="s">
        <v>8043</v>
      </c>
      <c r="E243" t="s">
        <v>8044</v>
      </c>
      <c r="F243" s="125">
        <f>'3. Use Cases Catalog'!I231*1000000</f>
        <v>1.8</v>
      </c>
      <c r="G243" s="125">
        <f>'3. Use Cases Catalog'!I231*1000000</f>
        <v>1.8</v>
      </c>
      <c r="H243" s="10" t="s">
        <v>8045</v>
      </c>
      <c r="I243" t="s">
        <v>8046</v>
      </c>
      <c r="J243" s="125">
        <f>'3. Use Cases Catalog'!J231*1000000</f>
        <v>4.8</v>
      </c>
      <c r="K243" s="125">
        <f>'3. Use Cases Catalog'!J231*1000000</f>
        <v>4.8</v>
      </c>
      <c r="L243" s="123"/>
      <c r="M243" s="124"/>
      <c r="N243" t="s">
        <v>130</v>
      </c>
      <c r="O243" s="125" t="str">
        <f t="shared" si="6"/>
        <v/>
      </c>
      <c r="P243" s="125">
        <f>'3. Use Cases Catalog'!K231*1000000</f>
        <v>0</v>
      </c>
      <c r="Q243" s="126"/>
      <c r="R243" s="124"/>
      <c r="S243" s="125" t="str">
        <f t="shared" si="7"/>
        <v/>
      </c>
      <c r="T243" s="125">
        <f>'3. Use Cases Catalog'!L231*1000000</f>
        <v>0</v>
      </c>
    </row>
    <row r="244" spans="1:20" x14ac:dyDescent="0.2">
      <c r="A244" t="s">
        <v>74</v>
      </c>
      <c r="B244" t="s">
        <v>186</v>
      </c>
      <c r="C244" t="s">
        <v>1378</v>
      </c>
      <c r="D244" s="10"/>
      <c r="E244" t="s">
        <v>1009</v>
      </c>
      <c r="F244" s="125">
        <f>'3. Use Cases Catalog'!I232*1000000</f>
        <v>0</v>
      </c>
      <c r="G244" s="125">
        <f>'3. Use Cases Catalog'!I232*1000000</f>
        <v>0</v>
      </c>
      <c r="H244" s="10" t="s">
        <v>8047</v>
      </c>
      <c r="I244" t="s">
        <v>8048</v>
      </c>
      <c r="J244" s="125">
        <f>'3. Use Cases Catalog'!J232*1000000</f>
        <v>10.4</v>
      </c>
      <c r="K244" s="125">
        <f>'3. Use Cases Catalog'!J232*1000000</f>
        <v>10.4</v>
      </c>
      <c r="L244" s="123"/>
      <c r="M244" s="124"/>
      <c r="N244" t="s">
        <v>130</v>
      </c>
      <c r="O244" s="125" t="str">
        <f t="shared" si="6"/>
        <v/>
      </c>
      <c r="P244" s="125">
        <f>'3. Use Cases Catalog'!K232*1000000</f>
        <v>0</v>
      </c>
      <c r="Q244" s="126"/>
      <c r="R244" s="124"/>
      <c r="S244" s="125" t="str">
        <f t="shared" si="7"/>
        <v/>
      </c>
      <c r="T244" s="125">
        <f>'3. Use Cases Catalog'!L232*1000000</f>
        <v>0</v>
      </c>
    </row>
    <row r="245" spans="1:20" x14ac:dyDescent="0.2">
      <c r="A245" t="s">
        <v>74</v>
      </c>
      <c r="B245" t="s">
        <v>141</v>
      </c>
      <c r="C245" t="s">
        <v>1383</v>
      </c>
      <c r="D245" s="10" t="s">
        <v>8049</v>
      </c>
      <c r="E245" t="s">
        <v>8050</v>
      </c>
      <c r="F245" s="125">
        <f>'3. Use Cases Catalog'!I233*1000000</f>
        <v>1.4</v>
      </c>
      <c r="G245" s="125">
        <f>'3. Use Cases Catalog'!I233*1000000</f>
        <v>1.4</v>
      </c>
      <c r="H245" s="10"/>
      <c r="I245" t="s">
        <v>129</v>
      </c>
      <c r="J245" s="125">
        <f>'3. Use Cases Catalog'!J233*1000000</f>
        <v>0</v>
      </c>
      <c r="K245" s="125">
        <f>'3. Use Cases Catalog'!J233*1000000</f>
        <v>0</v>
      </c>
      <c r="L245" s="123"/>
      <c r="M245" s="124"/>
      <c r="N245" t="s">
        <v>130</v>
      </c>
      <c r="O245" s="125" t="str">
        <f t="shared" si="6"/>
        <v/>
      </c>
      <c r="P245" s="125">
        <f>'3. Use Cases Catalog'!K233*1000000</f>
        <v>0</v>
      </c>
      <c r="Q245" s="126">
        <v>3.7</v>
      </c>
      <c r="R245" s="124"/>
      <c r="S245" s="125" t="str">
        <f t="shared" si="7"/>
        <v/>
      </c>
      <c r="T245" s="125">
        <f>'3. Use Cases Catalog'!L233*1000000</f>
        <v>3.8</v>
      </c>
    </row>
    <row r="246" spans="1:20" x14ac:dyDescent="0.2">
      <c r="A246" t="s">
        <v>74</v>
      </c>
      <c r="B246" t="s">
        <v>123</v>
      </c>
      <c r="C246" t="s">
        <v>1389</v>
      </c>
      <c r="D246" s="10" t="s">
        <v>8051</v>
      </c>
      <c r="E246" t="s">
        <v>8052</v>
      </c>
      <c r="F246" s="125">
        <f>'3. Use Cases Catalog'!I234*1000000</f>
        <v>1.3</v>
      </c>
      <c r="G246" s="125">
        <f>'3. Use Cases Catalog'!I234*1000000</f>
        <v>1.3</v>
      </c>
      <c r="H246" s="10" t="s">
        <v>8053</v>
      </c>
      <c r="I246" t="s">
        <v>8054</v>
      </c>
      <c r="J246" s="125">
        <f>'3. Use Cases Catalog'!J234*1000000</f>
        <v>18.2</v>
      </c>
      <c r="K246" s="125">
        <f>'3. Use Cases Catalog'!J234*1000000</f>
        <v>18.2</v>
      </c>
      <c r="L246" s="123"/>
      <c r="M246" s="124"/>
      <c r="N246" t="s">
        <v>130</v>
      </c>
      <c r="O246" s="125" t="str">
        <f t="shared" si="6"/>
        <v/>
      </c>
      <c r="P246" s="125">
        <f>'3. Use Cases Catalog'!K234*1000000</f>
        <v>0</v>
      </c>
      <c r="Q246" s="126"/>
      <c r="R246" s="124"/>
      <c r="S246" s="125" t="str">
        <f t="shared" si="7"/>
        <v/>
      </c>
      <c r="T246" s="125">
        <f>'3. Use Cases Catalog'!L234*1000000</f>
        <v>0</v>
      </c>
    </row>
    <row r="247" spans="1:20" x14ac:dyDescent="0.2">
      <c r="A247" t="s">
        <v>74</v>
      </c>
      <c r="B247" t="s">
        <v>149</v>
      </c>
      <c r="C247" t="s">
        <v>1395</v>
      </c>
      <c r="D247" s="10" t="s">
        <v>8055</v>
      </c>
      <c r="E247" t="s">
        <v>8056</v>
      </c>
      <c r="F247" s="125">
        <f>'3. Use Cases Catalog'!I235*1000000</f>
        <v>2</v>
      </c>
      <c r="G247" s="125">
        <f>'3. Use Cases Catalog'!I235*1000000</f>
        <v>2</v>
      </c>
      <c r="H247" s="10" t="s">
        <v>8057</v>
      </c>
      <c r="I247" t="s">
        <v>8058</v>
      </c>
      <c r="J247" s="125">
        <f>'3. Use Cases Catalog'!J235*1000000</f>
        <v>9.1</v>
      </c>
      <c r="K247" s="125">
        <f>'3. Use Cases Catalog'!J235*1000000</f>
        <v>9.1</v>
      </c>
      <c r="L247" s="123"/>
      <c r="M247" s="124"/>
      <c r="N247" t="s">
        <v>130</v>
      </c>
      <c r="O247" s="125" t="str">
        <f t="shared" si="6"/>
        <v/>
      </c>
      <c r="P247" s="125">
        <f>'3. Use Cases Catalog'!K235*1000000</f>
        <v>0</v>
      </c>
      <c r="Q247" s="126"/>
      <c r="R247" s="124"/>
      <c r="S247" s="125" t="str">
        <f t="shared" si="7"/>
        <v/>
      </c>
      <c r="T247" s="125">
        <f>'3. Use Cases Catalog'!L235*1000000</f>
        <v>0</v>
      </c>
    </row>
    <row r="248" spans="1:20" x14ac:dyDescent="0.2">
      <c r="A248" t="s">
        <v>74</v>
      </c>
      <c r="B248" t="s">
        <v>133</v>
      </c>
      <c r="C248" t="s">
        <v>1402</v>
      </c>
      <c r="D248" s="10" t="s">
        <v>8059</v>
      </c>
      <c r="E248" t="s">
        <v>8060</v>
      </c>
      <c r="F248" s="125">
        <f>'3. Use Cases Catalog'!I236*1000000</f>
        <v>2.5</v>
      </c>
      <c r="G248" s="125">
        <f>'3. Use Cases Catalog'!I236*1000000</f>
        <v>2.5</v>
      </c>
      <c r="H248" s="10"/>
      <c r="I248" t="s">
        <v>129</v>
      </c>
      <c r="J248" s="125">
        <f>'3. Use Cases Catalog'!J236*1000000</f>
        <v>0</v>
      </c>
      <c r="K248" s="125">
        <f>'3. Use Cases Catalog'!J236*1000000</f>
        <v>0</v>
      </c>
      <c r="L248" s="123"/>
      <c r="M248" s="124"/>
      <c r="N248" t="s">
        <v>130</v>
      </c>
      <c r="O248" s="125" t="str">
        <f t="shared" si="6"/>
        <v/>
      </c>
      <c r="P248" s="125">
        <f>'3. Use Cases Catalog'!K236*1000000</f>
        <v>0</v>
      </c>
      <c r="Q248" s="126"/>
      <c r="R248" s="124"/>
      <c r="S248" s="125" t="str">
        <f t="shared" si="7"/>
        <v/>
      </c>
      <c r="T248" s="125">
        <f>'3. Use Cases Catalog'!L236*1000000</f>
        <v>0</v>
      </c>
    </row>
    <row r="249" spans="1:20" x14ac:dyDescent="0.2">
      <c r="A249" t="s">
        <v>74</v>
      </c>
      <c r="B249" t="s">
        <v>156</v>
      </c>
      <c r="C249" t="s">
        <v>1406</v>
      </c>
      <c r="D249" s="10" t="s">
        <v>8061</v>
      </c>
      <c r="E249" t="s">
        <v>8062</v>
      </c>
      <c r="F249" s="125">
        <f>'3. Use Cases Catalog'!I237*1000000</f>
        <v>200000</v>
      </c>
      <c r="G249" s="125">
        <f>'3. Use Cases Catalog'!I237*1000000</f>
        <v>200000</v>
      </c>
      <c r="H249" s="10"/>
      <c r="I249" t="s">
        <v>129</v>
      </c>
      <c r="J249" s="125">
        <f>'3. Use Cases Catalog'!J237*1000000</f>
        <v>0</v>
      </c>
      <c r="K249" s="125">
        <f>'3. Use Cases Catalog'!J237*1000000</f>
        <v>0</v>
      </c>
      <c r="L249" s="123"/>
      <c r="M249" s="124">
        <v>35000000</v>
      </c>
      <c r="N249" t="s">
        <v>8063</v>
      </c>
      <c r="O249" s="125" t="str">
        <f t="shared" si="6"/>
        <v/>
      </c>
      <c r="P249" s="125">
        <f>'3. Use Cases Catalog'!K237*1000000</f>
        <v>2.1</v>
      </c>
      <c r="Q249" s="126"/>
      <c r="R249" s="124"/>
      <c r="S249" s="125" t="str">
        <f t="shared" si="7"/>
        <v/>
      </c>
      <c r="T249" s="125">
        <f>'3. Use Cases Catalog'!L237*1000000</f>
        <v>0</v>
      </c>
    </row>
    <row r="250" spans="1:20" x14ac:dyDescent="0.2">
      <c r="A250" t="s">
        <v>74</v>
      </c>
      <c r="B250" t="s">
        <v>164</v>
      </c>
      <c r="C250" t="s">
        <v>1412</v>
      </c>
      <c r="D250" s="10" t="s">
        <v>8064</v>
      </c>
      <c r="E250" t="s">
        <v>8065</v>
      </c>
      <c r="F250" s="125">
        <f>'3. Use Cases Catalog'!I238*1000000</f>
        <v>1.4</v>
      </c>
      <c r="G250" s="125">
        <f>'3. Use Cases Catalog'!I238*1000000</f>
        <v>1.4</v>
      </c>
      <c r="H250" s="10" t="s">
        <v>8066</v>
      </c>
      <c r="I250" t="s">
        <v>8067</v>
      </c>
      <c r="J250" s="125">
        <f>'3. Use Cases Catalog'!J238*1000000</f>
        <v>1.8</v>
      </c>
      <c r="K250" s="125">
        <f>'3. Use Cases Catalog'!J238*1000000</f>
        <v>1.8</v>
      </c>
      <c r="L250" s="123"/>
      <c r="M250" s="124"/>
      <c r="N250" t="s">
        <v>130</v>
      </c>
      <c r="O250" s="125" t="str">
        <f t="shared" si="6"/>
        <v/>
      </c>
      <c r="P250" s="125">
        <f>'3. Use Cases Catalog'!K238*1000000</f>
        <v>0</v>
      </c>
      <c r="Q250" s="126"/>
      <c r="R250" s="124"/>
      <c r="S250" s="125" t="str">
        <f t="shared" si="7"/>
        <v/>
      </c>
      <c r="T250" s="125">
        <f>'3. Use Cases Catalog'!L238*1000000</f>
        <v>0</v>
      </c>
    </row>
    <row r="251" spans="1:20" x14ac:dyDescent="0.2">
      <c r="A251" t="s">
        <v>74</v>
      </c>
      <c r="B251" t="s">
        <v>172</v>
      </c>
      <c r="C251" t="s">
        <v>1418</v>
      </c>
      <c r="D251" s="10" t="s">
        <v>8068</v>
      </c>
      <c r="E251" t="s">
        <v>8069</v>
      </c>
      <c r="F251" s="125">
        <f>'3. Use Cases Catalog'!I239*1000000</f>
        <v>400000</v>
      </c>
      <c r="G251" s="125">
        <f>'3. Use Cases Catalog'!I239*1000000</f>
        <v>400000</v>
      </c>
      <c r="H251" s="10" t="s">
        <v>8070</v>
      </c>
      <c r="I251" t="s">
        <v>8071</v>
      </c>
      <c r="J251" s="125">
        <f>'3. Use Cases Catalog'!J239*1000000</f>
        <v>8.6999999999999993</v>
      </c>
      <c r="K251" s="125">
        <f>'3. Use Cases Catalog'!J239*1000000</f>
        <v>8.6999999999999993</v>
      </c>
      <c r="L251" s="123"/>
      <c r="M251" s="124"/>
      <c r="N251" t="s">
        <v>130</v>
      </c>
      <c r="O251" s="125" t="str">
        <f t="shared" si="6"/>
        <v/>
      </c>
      <c r="P251" s="125">
        <f>'3. Use Cases Catalog'!K239*1000000</f>
        <v>0</v>
      </c>
      <c r="Q251" s="126"/>
      <c r="R251" s="124"/>
      <c r="S251" s="125" t="str">
        <f t="shared" si="7"/>
        <v/>
      </c>
      <c r="T251" s="125">
        <f>'3. Use Cases Catalog'!L239*1000000</f>
        <v>0</v>
      </c>
    </row>
    <row r="252" spans="1:20" x14ac:dyDescent="0.2">
      <c r="A252" t="s">
        <v>74</v>
      </c>
      <c r="B252" t="s">
        <v>179</v>
      </c>
      <c r="C252" t="s">
        <v>1423</v>
      </c>
      <c r="D252" s="10" t="s">
        <v>8072</v>
      </c>
      <c r="E252" t="s">
        <v>8073</v>
      </c>
      <c r="F252" s="125">
        <f>'3. Use Cases Catalog'!I240*1000000</f>
        <v>1.5</v>
      </c>
      <c r="G252" s="125">
        <f>'3. Use Cases Catalog'!I240*1000000</f>
        <v>1.5</v>
      </c>
      <c r="H252" s="10" t="s">
        <v>8074</v>
      </c>
      <c r="I252" t="s">
        <v>8075</v>
      </c>
      <c r="J252" s="125">
        <f>'3. Use Cases Catalog'!J240*1000000</f>
        <v>2.2000000000000002</v>
      </c>
      <c r="K252" s="125">
        <f>'3. Use Cases Catalog'!J240*1000000</f>
        <v>2.2000000000000002</v>
      </c>
      <c r="L252" s="123"/>
      <c r="M252" s="124"/>
      <c r="N252" t="s">
        <v>130</v>
      </c>
      <c r="O252" s="125" t="str">
        <f t="shared" si="6"/>
        <v/>
      </c>
      <c r="P252" s="125">
        <f>'3. Use Cases Catalog'!K240*1000000</f>
        <v>0</v>
      </c>
      <c r="Q252" s="126"/>
      <c r="R252" s="124"/>
      <c r="S252" s="125" t="str">
        <f t="shared" si="7"/>
        <v/>
      </c>
      <c r="T252" s="125">
        <f>'3. Use Cases Catalog'!L240*1000000</f>
        <v>0</v>
      </c>
    </row>
    <row r="253" spans="1:20" x14ac:dyDescent="0.2">
      <c r="A253" t="s">
        <v>74</v>
      </c>
      <c r="B253" t="s">
        <v>194</v>
      </c>
      <c r="C253" t="s">
        <v>1427</v>
      </c>
      <c r="D253" s="10" t="s">
        <v>8076</v>
      </c>
      <c r="E253" t="s">
        <v>8077</v>
      </c>
      <c r="F253" s="125">
        <f>'3. Use Cases Catalog'!I241*1000000</f>
        <v>1.5</v>
      </c>
      <c r="G253" s="125">
        <f>'3. Use Cases Catalog'!I241*1000000</f>
        <v>1.5</v>
      </c>
      <c r="H253" s="10"/>
      <c r="I253" t="s">
        <v>129</v>
      </c>
      <c r="J253" s="125">
        <f>'3. Use Cases Catalog'!J241*1000000</f>
        <v>0</v>
      </c>
      <c r="K253" s="125">
        <f>'3. Use Cases Catalog'!J241*1000000</f>
        <v>0</v>
      </c>
      <c r="L253" s="123"/>
      <c r="M253" s="124"/>
      <c r="N253" t="s">
        <v>130</v>
      </c>
      <c r="O253" s="125" t="str">
        <f t="shared" si="6"/>
        <v/>
      </c>
      <c r="P253" s="125">
        <f>'3. Use Cases Catalog'!K241*1000000</f>
        <v>0</v>
      </c>
      <c r="Q253" s="126"/>
      <c r="R253" s="124"/>
      <c r="S253" s="125" t="str">
        <f t="shared" si="7"/>
        <v/>
      </c>
      <c r="T253" s="125">
        <f>'3. Use Cases Catalog'!L241*1000000</f>
        <v>0</v>
      </c>
    </row>
    <row r="254" spans="1:20" x14ac:dyDescent="0.2">
      <c r="A254" t="s">
        <v>101</v>
      </c>
      <c r="B254" t="s">
        <v>141</v>
      </c>
      <c r="C254" t="s">
        <v>1431</v>
      </c>
      <c r="D254" s="10" t="s">
        <v>8078</v>
      </c>
      <c r="E254" t="s">
        <v>8079</v>
      </c>
      <c r="F254" s="125">
        <f>'3. Use Cases Catalog'!I242*1000000</f>
        <v>800000</v>
      </c>
      <c r="G254" s="125">
        <f>'3. Use Cases Catalog'!I242*1000000</f>
        <v>800000</v>
      </c>
      <c r="H254" s="10"/>
      <c r="I254" t="s">
        <v>129</v>
      </c>
      <c r="J254" s="125">
        <f>'3. Use Cases Catalog'!J242*1000000</f>
        <v>0</v>
      </c>
      <c r="K254" s="125">
        <f>'3. Use Cases Catalog'!J242*1000000</f>
        <v>0</v>
      </c>
      <c r="L254" s="123">
        <v>0.05</v>
      </c>
      <c r="M254" s="124">
        <v>5000000</v>
      </c>
      <c r="N254" t="s">
        <v>7496</v>
      </c>
      <c r="O254" s="125">
        <f t="shared" si="6"/>
        <v>159375</v>
      </c>
      <c r="P254" s="125">
        <f>'3. Use Cases Catalog'!K242*1000000</f>
        <v>200000</v>
      </c>
      <c r="Q254" s="126"/>
      <c r="R254" s="124"/>
      <c r="S254" s="125" t="str">
        <f t="shared" si="7"/>
        <v/>
      </c>
      <c r="T254" s="125">
        <f>'3. Use Cases Catalog'!L242*1000000</f>
        <v>0</v>
      </c>
    </row>
    <row r="255" spans="1:20" x14ac:dyDescent="0.2">
      <c r="A255" t="s">
        <v>101</v>
      </c>
      <c r="B255" t="s">
        <v>123</v>
      </c>
      <c r="C255" t="s">
        <v>1437</v>
      </c>
      <c r="D255" s="10" t="s">
        <v>8080</v>
      </c>
      <c r="E255" t="s">
        <v>8081</v>
      </c>
      <c r="F255" s="125">
        <f>'3. Use Cases Catalog'!I243*1000000</f>
        <v>1.7</v>
      </c>
      <c r="G255" s="125">
        <f>'3. Use Cases Catalog'!I243*1000000</f>
        <v>1.7</v>
      </c>
      <c r="H255" s="10"/>
      <c r="I255" t="s">
        <v>129</v>
      </c>
      <c r="J255" s="125">
        <f>'3. Use Cases Catalog'!J243*1000000</f>
        <v>0</v>
      </c>
      <c r="K255" s="125">
        <f>'3. Use Cases Catalog'!J243*1000000</f>
        <v>0</v>
      </c>
      <c r="L255" s="123">
        <v>0.1</v>
      </c>
      <c r="M255" s="124">
        <v>6700000</v>
      </c>
      <c r="N255" t="s">
        <v>8063</v>
      </c>
      <c r="O255" s="125">
        <f t="shared" si="6"/>
        <v>427125</v>
      </c>
      <c r="P255" s="125">
        <f>'3. Use Cases Catalog'!K243*1000000</f>
        <v>400000</v>
      </c>
      <c r="Q255" s="126"/>
      <c r="R255" s="124"/>
      <c r="S255" s="125" t="str">
        <f t="shared" si="7"/>
        <v/>
      </c>
      <c r="T255" s="125">
        <f>'3. Use Cases Catalog'!L243*1000000</f>
        <v>0</v>
      </c>
    </row>
    <row r="256" spans="1:20" x14ac:dyDescent="0.2">
      <c r="A256" t="s">
        <v>101</v>
      </c>
      <c r="B256" t="s">
        <v>186</v>
      </c>
      <c r="C256" t="s">
        <v>1443</v>
      </c>
      <c r="D256" s="10" t="s">
        <v>8082</v>
      </c>
      <c r="E256" t="s">
        <v>8083</v>
      </c>
      <c r="F256" s="125">
        <f>'3. Use Cases Catalog'!I244*1000000</f>
        <v>900000</v>
      </c>
      <c r="G256" s="125">
        <f>'3. Use Cases Catalog'!I244*1000000</f>
        <v>900000</v>
      </c>
      <c r="H256" s="10"/>
      <c r="I256" t="s">
        <v>129</v>
      </c>
      <c r="J256" s="125">
        <f>'3. Use Cases Catalog'!J244*1000000</f>
        <v>0</v>
      </c>
      <c r="K256" s="125">
        <f>'3. Use Cases Catalog'!J244*1000000</f>
        <v>0</v>
      </c>
      <c r="L256" s="123">
        <v>0.25</v>
      </c>
      <c r="M256" s="124">
        <v>2700000</v>
      </c>
      <c r="N256" t="s">
        <v>8084</v>
      </c>
      <c r="O256" s="125">
        <f t="shared" si="6"/>
        <v>430312.5</v>
      </c>
      <c r="P256" s="125">
        <f>'3. Use Cases Catalog'!K244*1000000</f>
        <v>500000</v>
      </c>
      <c r="Q256" s="126"/>
      <c r="R256" s="124"/>
      <c r="S256" s="125" t="str">
        <f t="shared" si="7"/>
        <v/>
      </c>
      <c r="T256" s="125">
        <f>'3. Use Cases Catalog'!L244*1000000</f>
        <v>0</v>
      </c>
    </row>
    <row r="257" spans="1:20" x14ac:dyDescent="0.2">
      <c r="A257" t="s">
        <v>101</v>
      </c>
      <c r="B257" t="s">
        <v>194</v>
      </c>
      <c r="C257" t="s">
        <v>1448</v>
      </c>
      <c r="D257" s="10" t="s">
        <v>8085</v>
      </c>
      <c r="E257" t="s">
        <v>8086</v>
      </c>
      <c r="F257" s="125">
        <f>'3. Use Cases Catalog'!I245*1000000</f>
        <v>200000</v>
      </c>
      <c r="G257" s="125">
        <f>'3. Use Cases Catalog'!I245*1000000</f>
        <v>200000</v>
      </c>
      <c r="H257" s="10"/>
      <c r="I257" t="s">
        <v>129</v>
      </c>
      <c r="J257" s="125">
        <f>'3. Use Cases Catalog'!J245*1000000</f>
        <v>0</v>
      </c>
      <c r="K257" s="125">
        <f>'3. Use Cases Catalog'!J245*1000000</f>
        <v>0</v>
      </c>
      <c r="L257" s="123">
        <v>0.08</v>
      </c>
      <c r="M257" s="124">
        <v>4200000</v>
      </c>
      <c r="N257" t="s">
        <v>7990</v>
      </c>
      <c r="O257" s="125">
        <f t="shared" si="6"/>
        <v>214200</v>
      </c>
      <c r="P257" s="125">
        <f>'3. Use Cases Catalog'!K245*1000000</f>
        <v>200000</v>
      </c>
      <c r="Q257" s="126"/>
      <c r="R257" s="124"/>
      <c r="S257" s="125" t="str">
        <f t="shared" si="7"/>
        <v/>
      </c>
      <c r="T257" s="125">
        <f>'3. Use Cases Catalog'!L245*1000000</f>
        <v>0</v>
      </c>
    </row>
    <row r="258" spans="1:20" x14ac:dyDescent="0.2">
      <c r="A258" t="s">
        <v>101</v>
      </c>
      <c r="B258" t="s">
        <v>149</v>
      </c>
      <c r="C258" t="s">
        <v>1452</v>
      </c>
      <c r="D258" s="10" t="s">
        <v>8087</v>
      </c>
      <c r="E258" t="s">
        <v>8088</v>
      </c>
      <c r="F258" s="125">
        <f>'3. Use Cases Catalog'!I246*1000000</f>
        <v>900000</v>
      </c>
      <c r="G258" s="125">
        <f>'3. Use Cases Catalog'!I246*1000000</f>
        <v>900000</v>
      </c>
      <c r="H258" s="10" t="s">
        <v>8089</v>
      </c>
      <c r="I258" t="s">
        <v>8090</v>
      </c>
      <c r="J258" s="125">
        <f>'3. Use Cases Catalog'!J246*1000000</f>
        <v>300000</v>
      </c>
      <c r="K258" s="125">
        <f>'3. Use Cases Catalog'!J246*1000000</f>
        <v>300000</v>
      </c>
      <c r="L258" s="123"/>
      <c r="M258" s="124"/>
      <c r="N258" t="s">
        <v>130</v>
      </c>
      <c r="O258" s="125" t="str">
        <f t="shared" si="6"/>
        <v/>
      </c>
      <c r="P258" s="125">
        <f>'3. Use Cases Catalog'!K246*1000000</f>
        <v>0</v>
      </c>
      <c r="Q258" s="126"/>
      <c r="R258" s="124"/>
      <c r="S258" s="125" t="str">
        <f t="shared" si="7"/>
        <v/>
      </c>
      <c r="T258" s="125">
        <f>'3. Use Cases Catalog'!L246*1000000</f>
        <v>0</v>
      </c>
    </row>
    <row r="259" spans="1:20" x14ac:dyDescent="0.2">
      <c r="A259" t="s">
        <v>101</v>
      </c>
      <c r="B259" t="s">
        <v>133</v>
      </c>
      <c r="C259" t="s">
        <v>8091</v>
      </c>
      <c r="D259" s="10" t="s">
        <v>8092</v>
      </c>
      <c r="E259" t="s">
        <v>8093</v>
      </c>
      <c r="F259" s="125">
        <f>'3. Use Cases Catalog'!I247*1000000</f>
        <v>400000</v>
      </c>
      <c r="G259" s="125">
        <f>'3. Use Cases Catalog'!I247*1000000</f>
        <v>400000</v>
      </c>
      <c r="H259" s="10"/>
      <c r="I259" t="s">
        <v>129</v>
      </c>
      <c r="J259" s="125">
        <f>'3. Use Cases Catalog'!J247*1000000</f>
        <v>0</v>
      </c>
      <c r="K259" s="125">
        <f>'3. Use Cases Catalog'!J247*1000000</f>
        <v>0</v>
      </c>
      <c r="L259" s="123">
        <v>0.2</v>
      </c>
      <c r="M259" s="124">
        <v>5000000</v>
      </c>
      <c r="N259" t="s">
        <v>8094</v>
      </c>
      <c r="O259" s="125">
        <f t="shared" si="6"/>
        <v>637500</v>
      </c>
      <c r="P259" s="125">
        <f>'3. Use Cases Catalog'!K247*1000000</f>
        <v>600000</v>
      </c>
      <c r="Q259" s="126"/>
      <c r="R259" s="124"/>
      <c r="S259" s="125" t="str">
        <f t="shared" si="7"/>
        <v/>
      </c>
      <c r="T259" s="125">
        <f>'3. Use Cases Catalog'!L247*1000000</f>
        <v>0</v>
      </c>
    </row>
    <row r="260" spans="1:20" x14ac:dyDescent="0.2">
      <c r="A260" t="s">
        <v>101</v>
      </c>
      <c r="B260" t="s">
        <v>156</v>
      </c>
      <c r="C260" t="s">
        <v>1461</v>
      </c>
      <c r="D260" s="10" t="s">
        <v>8095</v>
      </c>
      <c r="E260" t="s">
        <v>8096</v>
      </c>
      <c r="F260" s="125">
        <f>'3. Use Cases Catalog'!I248*1000000</f>
        <v>300000</v>
      </c>
      <c r="G260" s="125">
        <f>'3. Use Cases Catalog'!I248*1000000</f>
        <v>300000</v>
      </c>
      <c r="H260" s="10"/>
      <c r="I260" t="s">
        <v>129</v>
      </c>
      <c r="J260" s="125">
        <f>'3. Use Cases Catalog'!J248*1000000</f>
        <v>0</v>
      </c>
      <c r="K260" s="125">
        <f>'3. Use Cases Catalog'!J248*1000000</f>
        <v>0</v>
      </c>
      <c r="L260" s="123">
        <v>0.15</v>
      </c>
      <c r="M260" s="124">
        <v>3200000</v>
      </c>
      <c r="N260" t="s">
        <v>8097</v>
      </c>
      <c r="O260" s="125">
        <f t="shared" si="6"/>
        <v>306000</v>
      </c>
      <c r="P260" s="125">
        <f>'3. Use Cases Catalog'!K248*1000000</f>
        <v>300000</v>
      </c>
      <c r="Q260" s="126"/>
      <c r="R260" s="124"/>
      <c r="S260" s="125" t="str">
        <f t="shared" si="7"/>
        <v/>
      </c>
      <c r="T260" s="125">
        <f>'3. Use Cases Catalog'!L248*1000000</f>
        <v>0</v>
      </c>
    </row>
    <row r="261" spans="1:20" x14ac:dyDescent="0.2">
      <c r="A261" t="s">
        <v>101</v>
      </c>
      <c r="B261" t="s">
        <v>164</v>
      </c>
      <c r="C261" t="s">
        <v>1467</v>
      </c>
      <c r="D261" s="10" t="s">
        <v>8098</v>
      </c>
      <c r="E261" t="s">
        <v>8099</v>
      </c>
      <c r="F261" s="125">
        <f>'3. Use Cases Catalog'!I249*1000000</f>
        <v>400000</v>
      </c>
      <c r="G261" s="125">
        <f>'3. Use Cases Catalog'!I249*1000000</f>
        <v>400000</v>
      </c>
      <c r="H261" s="10"/>
      <c r="I261" t="s">
        <v>129</v>
      </c>
      <c r="J261" s="125">
        <f>'3. Use Cases Catalog'!J249*1000000</f>
        <v>0</v>
      </c>
      <c r="K261" s="125">
        <f>'3. Use Cases Catalog'!J249*1000000</f>
        <v>0</v>
      </c>
      <c r="L261" s="123">
        <v>0.3</v>
      </c>
      <c r="M261" s="124">
        <v>5000000</v>
      </c>
      <c r="N261" t="s">
        <v>8100</v>
      </c>
      <c r="O261" s="125">
        <f t="shared" si="6"/>
        <v>956250</v>
      </c>
      <c r="P261" s="125">
        <f>'3. Use Cases Catalog'!K249*1000000</f>
        <v>1.2</v>
      </c>
      <c r="Q261" s="126">
        <v>90</v>
      </c>
      <c r="R261" s="124"/>
      <c r="S261" s="125" t="str">
        <f t="shared" si="7"/>
        <v/>
      </c>
      <c r="T261" s="125">
        <f>'3. Use Cases Catalog'!L249*1000000</f>
        <v>1.4</v>
      </c>
    </row>
    <row r="262" spans="1:20" x14ac:dyDescent="0.2">
      <c r="A262" t="s">
        <v>101</v>
      </c>
      <c r="B262" t="s">
        <v>172</v>
      </c>
      <c r="C262" t="s">
        <v>1474</v>
      </c>
      <c r="D262" s="10" t="s">
        <v>8101</v>
      </c>
      <c r="E262" t="s">
        <v>8102</v>
      </c>
      <c r="F262" s="125">
        <f>'3. Use Cases Catalog'!I250*1000000</f>
        <v>200000</v>
      </c>
      <c r="G262" s="125">
        <f>'3. Use Cases Catalog'!I250*1000000</f>
        <v>200000</v>
      </c>
      <c r="H262" s="10"/>
      <c r="I262" t="s">
        <v>129</v>
      </c>
      <c r="J262" s="125">
        <f>'3. Use Cases Catalog'!J250*1000000</f>
        <v>0</v>
      </c>
      <c r="K262" s="125">
        <f>'3. Use Cases Catalog'!J250*1000000</f>
        <v>0</v>
      </c>
      <c r="L262" s="123"/>
      <c r="M262" s="124"/>
      <c r="N262" t="s">
        <v>130</v>
      </c>
      <c r="O262" s="125" t="str">
        <f t="shared" si="6"/>
        <v/>
      </c>
      <c r="P262" s="125">
        <f>'3. Use Cases Catalog'!K250*1000000</f>
        <v>0</v>
      </c>
      <c r="Q262" s="126">
        <v>120</v>
      </c>
      <c r="R262" s="124"/>
      <c r="S262" s="125" t="str">
        <f t="shared" si="7"/>
        <v/>
      </c>
      <c r="T262" s="125">
        <f>'3. Use Cases Catalog'!L250*1000000</f>
        <v>2.2999999999999998</v>
      </c>
    </row>
    <row r="263" spans="1:20" x14ac:dyDescent="0.2">
      <c r="A263" t="s">
        <v>101</v>
      </c>
      <c r="B263" t="s">
        <v>179</v>
      </c>
      <c r="C263" t="s">
        <v>1479</v>
      </c>
      <c r="D263" s="10" t="s">
        <v>8103</v>
      </c>
      <c r="E263" t="s">
        <v>8104</v>
      </c>
      <c r="F263" s="125">
        <f>'3. Use Cases Catalog'!I251*1000000</f>
        <v>200000</v>
      </c>
      <c r="G263" s="125">
        <f>'3. Use Cases Catalog'!I251*1000000</f>
        <v>200000</v>
      </c>
      <c r="H263" s="10"/>
      <c r="I263" t="s">
        <v>129</v>
      </c>
      <c r="J263" s="125">
        <f>'3. Use Cases Catalog'!J251*1000000</f>
        <v>0</v>
      </c>
      <c r="K263" s="125">
        <f>'3. Use Cases Catalog'!J251*1000000</f>
        <v>0</v>
      </c>
      <c r="L263" s="123">
        <v>0.1</v>
      </c>
      <c r="M263" s="124">
        <v>3300000</v>
      </c>
      <c r="N263" t="s">
        <v>8105</v>
      </c>
      <c r="O263" s="125">
        <f t="shared" si="6"/>
        <v>210375</v>
      </c>
      <c r="P263" s="125">
        <f>'3. Use Cases Catalog'!K251*1000000</f>
        <v>200000</v>
      </c>
      <c r="Q263" s="126">
        <v>3</v>
      </c>
      <c r="R263" s="124"/>
      <c r="S263" s="125" t="str">
        <f t="shared" si="7"/>
        <v/>
      </c>
      <c r="T263" s="125">
        <f>'3. Use Cases Catalog'!L251*1000000</f>
        <v>300000</v>
      </c>
    </row>
    <row r="264" spans="1:20" x14ac:dyDescent="0.2">
      <c r="A264" t="s">
        <v>55</v>
      </c>
      <c r="B264" t="s">
        <v>149</v>
      </c>
      <c r="C264" t="s">
        <v>1485</v>
      </c>
      <c r="D264" s="10"/>
      <c r="E264" t="s">
        <v>1009</v>
      </c>
      <c r="F264" s="125">
        <f>'3. Use Cases Catalog'!I252*1000000</f>
        <v>0</v>
      </c>
      <c r="G264" s="125">
        <f>'3. Use Cases Catalog'!I252*1000000</f>
        <v>0</v>
      </c>
      <c r="H264" s="10"/>
      <c r="I264" t="s">
        <v>129</v>
      </c>
      <c r="J264" s="125">
        <f>'3. Use Cases Catalog'!J252*1000000</f>
        <v>0</v>
      </c>
      <c r="K264" s="125">
        <f>'3. Use Cases Catalog'!J252*1000000</f>
        <v>0</v>
      </c>
      <c r="L264" s="123">
        <v>0.75</v>
      </c>
      <c r="M264" s="124">
        <v>41000000</v>
      </c>
      <c r="N264" t="s">
        <v>8106</v>
      </c>
      <c r="O264" s="125">
        <f t="shared" si="6"/>
        <v>19603125</v>
      </c>
      <c r="P264" s="125">
        <f>'3. Use Cases Catalog'!K252*1000000</f>
        <v>14.7</v>
      </c>
      <c r="Q264" s="126"/>
      <c r="R264" s="124"/>
      <c r="S264" s="125" t="str">
        <f t="shared" si="7"/>
        <v/>
      </c>
      <c r="T264" s="125">
        <f>'3. Use Cases Catalog'!L252*1000000</f>
        <v>0</v>
      </c>
    </row>
    <row r="265" spans="1:20" x14ac:dyDescent="0.2">
      <c r="A265" t="s">
        <v>55</v>
      </c>
      <c r="B265" t="s">
        <v>156</v>
      </c>
      <c r="C265" t="s">
        <v>1489</v>
      </c>
      <c r="D265" s="10" t="s">
        <v>8107</v>
      </c>
      <c r="E265" t="s">
        <v>8108</v>
      </c>
      <c r="F265" s="125">
        <f>'3. Use Cases Catalog'!I253*1000000</f>
        <v>7.4</v>
      </c>
      <c r="G265" s="125">
        <f>'3. Use Cases Catalog'!I253*1000000</f>
        <v>7.4</v>
      </c>
      <c r="H265" s="10" t="s">
        <v>8109</v>
      </c>
      <c r="I265" t="s">
        <v>8110</v>
      </c>
      <c r="J265" s="125">
        <f>'3. Use Cases Catalog'!J253*1000000</f>
        <v>13.6</v>
      </c>
      <c r="K265" s="125">
        <f>'3. Use Cases Catalog'!J253*1000000</f>
        <v>13.6</v>
      </c>
      <c r="L265" s="123"/>
      <c r="M265" s="124"/>
      <c r="N265" t="s">
        <v>130</v>
      </c>
      <c r="O265" s="125" t="str">
        <f t="shared" si="6"/>
        <v/>
      </c>
      <c r="P265" s="125">
        <f>'3. Use Cases Catalog'!K253*1000000</f>
        <v>0</v>
      </c>
      <c r="Q265" s="126"/>
      <c r="R265" s="124"/>
      <c r="S265" s="125" t="str">
        <f t="shared" si="7"/>
        <v/>
      </c>
      <c r="T265" s="125">
        <f>'3. Use Cases Catalog'!L253*1000000</f>
        <v>0</v>
      </c>
    </row>
    <row r="266" spans="1:20" x14ac:dyDescent="0.2">
      <c r="A266" t="s">
        <v>55</v>
      </c>
      <c r="B266" t="s">
        <v>164</v>
      </c>
      <c r="C266" t="s">
        <v>1495</v>
      </c>
      <c r="D266" s="10" t="s">
        <v>1497</v>
      </c>
      <c r="E266" t="s">
        <v>1497</v>
      </c>
      <c r="F266" s="125">
        <f>'3. Use Cases Catalog'!I254*1000000</f>
        <v>0</v>
      </c>
      <c r="G266" s="125">
        <f>'3. Use Cases Catalog'!I254*1000000</f>
        <v>0</v>
      </c>
      <c r="H266" s="10"/>
      <c r="I266" t="s">
        <v>129</v>
      </c>
      <c r="J266" s="125">
        <f>'3. Use Cases Catalog'!J254*1000000</f>
        <v>0</v>
      </c>
      <c r="K266" s="125">
        <f>'3. Use Cases Catalog'!J254*1000000</f>
        <v>0</v>
      </c>
      <c r="L266" s="123">
        <v>0.35</v>
      </c>
      <c r="M266" s="124">
        <v>8400000</v>
      </c>
      <c r="N266" t="s">
        <v>8111</v>
      </c>
      <c r="O266" s="125">
        <f t="shared" si="6"/>
        <v>1874250</v>
      </c>
      <c r="P266" s="125">
        <f>'3. Use Cases Catalog'!K254*1000000</f>
        <v>3</v>
      </c>
      <c r="Q266" s="126"/>
      <c r="R266" s="124"/>
      <c r="S266" s="125" t="str">
        <f t="shared" si="7"/>
        <v/>
      </c>
      <c r="T266" s="125">
        <f>'3. Use Cases Catalog'!L254*1000000</f>
        <v>0</v>
      </c>
    </row>
    <row r="267" spans="1:20" x14ac:dyDescent="0.2">
      <c r="A267" t="s">
        <v>55</v>
      </c>
      <c r="B267" t="s">
        <v>172</v>
      </c>
      <c r="C267" t="s">
        <v>1500</v>
      </c>
      <c r="D267" s="10" t="s">
        <v>8112</v>
      </c>
      <c r="E267" t="s">
        <v>8113</v>
      </c>
      <c r="F267" s="125">
        <f>'3. Use Cases Catalog'!I255*1000000</f>
        <v>6.8</v>
      </c>
      <c r="G267" s="125">
        <f>'3. Use Cases Catalog'!I255*1000000</f>
        <v>6.8</v>
      </c>
      <c r="H267" s="10"/>
      <c r="I267" t="s">
        <v>129</v>
      </c>
      <c r="J267" s="125">
        <f>'3. Use Cases Catalog'!J255*1000000</f>
        <v>0</v>
      </c>
      <c r="K267" s="125">
        <f>'3. Use Cases Catalog'!J255*1000000</f>
        <v>0</v>
      </c>
      <c r="L267" s="123">
        <v>0.4</v>
      </c>
      <c r="M267" s="124">
        <v>11400000</v>
      </c>
      <c r="N267" t="s">
        <v>8114</v>
      </c>
      <c r="O267" s="125">
        <f t="shared" si="6"/>
        <v>2907000</v>
      </c>
      <c r="P267" s="125">
        <f>'3. Use Cases Catalog'!K255*1000000</f>
        <v>4.0999999999999996</v>
      </c>
      <c r="Q267" s="126"/>
      <c r="R267" s="124"/>
      <c r="S267" s="125" t="str">
        <f t="shared" si="7"/>
        <v/>
      </c>
      <c r="T267" s="125">
        <f>'3. Use Cases Catalog'!L255*1000000</f>
        <v>0</v>
      </c>
    </row>
    <row r="268" spans="1:20" x14ac:dyDescent="0.2">
      <c r="A268" t="s">
        <v>55</v>
      </c>
      <c r="B268" t="s">
        <v>186</v>
      </c>
      <c r="C268" t="s">
        <v>1504</v>
      </c>
      <c r="D268" s="10" t="s">
        <v>8115</v>
      </c>
      <c r="E268" t="s">
        <v>8116</v>
      </c>
      <c r="F268" s="125">
        <f>'3. Use Cases Catalog'!I256*1000000</f>
        <v>3.7</v>
      </c>
      <c r="G268" s="125">
        <f>'3. Use Cases Catalog'!I256*1000000</f>
        <v>3.7</v>
      </c>
      <c r="H268" s="10"/>
      <c r="I268" t="s">
        <v>129</v>
      </c>
      <c r="J268" s="125">
        <f>'3. Use Cases Catalog'!J256*1000000</f>
        <v>0</v>
      </c>
      <c r="K268" s="125">
        <f>'3. Use Cases Catalog'!J256*1000000</f>
        <v>0</v>
      </c>
      <c r="L268" s="123"/>
      <c r="M268" s="124"/>
      <c r="N268" t="s">
        <v>130</v>
      </c>
      <c r="O268" s="125" t="str">
        <f t="shared" si="6"/>
        <v/>
      </c>
      <c r="P268" s="125">
        <f>'3. Use Cases Catalog'!K256*1000000</f>
        <v>0</v>
      </c>
      <c r="Q268" s="126">
        <v>11</v>
      </c>
      <c r="R268" s="124"/>
      <c r="S268" s="125" t="str">
        <f t="shared" si="7"/>
        <v/>
      </c>
      <c r="T268" s="125">
        <f>'3. Use Cases Catalog'!L256*1000000</f>
        <v>5.9</v>
      </c>
    </row>
    <row r="269" spans="1:20" x14ac:dyDescent="0.2">
      <c r="A269" t="s">
        <v>55</v>
      </c>
      <c r="B269" t="s">
        <v>194</v>
      </c>
      <c r="C269" t="s">
        <v>1509</v>
      </c>
      <c r="D269" s="10" t="s">
        <v>8117</v>
      </c>
      <c r="E269" t="s">
        <v>8118</v>
      </c>
      <c r="F269" s="125">
        <f>'3. Use Cases Catalog'!I257*1000000</f>
        <v>12.7</v>
      </c>
      <c r="G269" s="125">
        <f>'3. Use Cases Catalog'!I257*1000000</f>
        <v>12.7</v>
      </c>
      <c r="H269" s="10"/>
      <c r="I269" t="s">
        <v>129</v>
      </c>
      <c r="J269" s="125">
        <f>'3. Use Cases Catalog'!J257*1000000</f>
        <v>0</v>
      </c>
      <c r="K269" s="125">
        <f>'3. Use Cases Catalog'!J257*1000000</f>
        <v>0</v>
      </c>
      <c r="L269" s="123"/>
      <c r="M269" s="124"/>
      <c r="N269" t="s">
        <v>130</v>
      </c>
      <c r="O269" s="125" t="str">
        <f t="shared" si="6"/>
        <v/>
      </c>
      <c r="P269" s="125">
        <f>'3. Use Cases Catalog'!K257*1000000</f>
        <v>0</v>
      </c>
      <c r="Q269" s="126"/>
      <c r="R269" s="124"/>
      <c r="S269" s="125" t="str">
        <f t="shared" si="7"/>
        <v/>
      </c>
      <c r="T269" s="125">
        <f>'3. Use Cases Catalog'!L257*1000000</f>
        <v>0</v>
      </c>
    </row>
    <row r="270" spans="1:20" x14ac:dyDescent="0.2">
      <c r="A270" t="s">
        <v>55</v>
      </c>
      <c r="B270" t="s">
        <v>141</v>
      </c>
      <c r="C270" t="s">
        <v>1512</v>
      </c>
      <c r="D270" s="10" t="s">
        <v>8119</v>
      </c>
      <c r="E270" t="s">
        <v>8120</v>
      </c>
      <c r="F270" s="125">
        <f>'3. Use Cases Catalog'!I258*1000000</f>
        <v>18.399999999999999</v>
      </c>
      <c r="G270" s="125">
        <f>'3. Use Cases Catalog'!I258*1000000</f>
        <v>18.399999999999999</v>
      </c>
      <c r="H270" s="10"/>
      <c r="I270" t="s">
        <v>129</v>
      </c>
      <c r="J270" s="125">
        <f>'3. Use Cases Catalog'!J258*1000000</f>
        <v>0</v>
      </c>
      <c r="K270" s="125">
        <f>'3. Use Cases Catalog'!J258*1000000</f>
        <v>0</v>
      </c>
      <c r="L270" s="123"/>
      <c r="M270" s="124"/>
      <c r="N270" t="s">
        <v>130</v>
      </c>
      <c r="O270" s="125" t="str">
        <f t="shared" ref="O270:O333" si="8">IF(AND(L270&lt;&gt;"",M270&lt;&gt;""),L270*M270*$B$7*$B$8,"")</f>
        <v/>
      </c>
      <c r="P270" s="125">
        <f>'3. Use Cases Catalog'!K258*1000000</f>
        <v>0</v>
      </c>
      <c r="Q270" s="126">
        <v>11</v>
      </c>
      <c r="R270" s="124"/>
      <c r="S270" s="125" t="str">
        <f t="shared" ref="S270:S333" si="9">IF(AND(Q270&lt;&gt;"",R270&lt;&gt;""),Q270*R270*$B$9*$B$8,"")</f>
        <v/>
      </c>
      <c r="T270" s="125">
        <f>'3. Use Cases Catalog'!L258*1000000</f>
        <v>21.3</v>
      </c>
    </row>
    <row r="271" spans="1:20" x14ac:dyDescent="0.2">
      <c r="A271" t="s">
        <v>55</v>
      </c>
      <c r="B271" t="s">
        <v>123</v>
      </c>
      <c r="C271" t="s">
        <v>8121</v>
      </c>
      <c r="D271" s="10" t="s">
        <v>8122</v>
      </c>
      <c r="E271" t="s">
        <v>8123</v>
      </c>
      <c r="F271" s="125">
        <f>'3. Use Cases Catalog'!I259*1000000</f>
        <v>11.9</v>
      </c>
      <c r="G271" s="125">
        <f>'3. Use Cases Catalog'!I259*1000000</f>
        <v>11.9</v>
      </c>
      <c r="H271" s="10"/>
      <c r="I271" t="s">
        <v>129</v>
      </c>
      <c r="J271" s="125">
        <f>'3. Use Cases Catalog'!J259*1000000</f>
        <v>0</v>
      </c>
      <c r="K271" s="125">
        <f>'3. Use Cases Catalog'!J259*1000000</f>
        <v>0</v>
      </c>
      <c r="L271" s="123">
        <v>0.15</v>
      </c>
      <c r="M271" s="124">
        <v>11000000</v>
      </c>
      <c r="N271" t="s">
        <v>8124</v>
      </c>
      <c r="O271" s="125">
        <f t="shared" si="8"/>
        <v>1051875</v>
      </c>
      <c r="P271" s="125">
        <f>'3. Use Cases Catalog'!K259*1000000</f>
        <v>1.3</v>
      </c>
      <c r="Q271" s="126">
        <v>3.6</v>
      </c>
      <c r="R271" s="124"/>
      <c r="S271" s="125" t="str">
        <f t="shared" si="9"/>
        <v/>
      </c>
      <c r="T271" s="125">
        <f>'3. Use Cases Catalog'!L259*1000000</f>
        <v>11.7</v>
      </c>
    </row>
    <row r="272" spans="1:20" x14ac:dyDescent="0.2">
      <c r="A272" t="s">
        <v>55</v>
      </c>
      <c r="B272" t="s">
        <v>133</v>
      </c>
      <c r="C272" t="s">
        <v>1523</v>
      </c>
      <c r="D272" s="10" t="s">
        <v>8125</v>
      </c>
      <c r="E272" t="s">
        <v>8126</v>
      </c>
      <c r="F272" s="125">
        <f>'3. Use Cases Catalog'!I260*1000000</f>
        <v>10.199999999999999</v>
      </c>
      <c r="G272" s="125">
        <f>'3. Use Cases Catalog'!I260*1000000</f>
        <v>10.199999999999999</v>
      </c>
      <c r="H272" s="10"/>
      <c r="I272" t="s">
        <v>129</v>
      </c>
      <c r="J272" s="125">
        <f>'3. Use Cases Catalog'!J260*1000000</f>
        <v>0</v>
      </c>
      <c r="K272" s="125">
        <f>'3. Use Cases Catalog'!J260*1000000</f>
        <v>0</v>
      </c>
      <c r="L272" s="123"/>
      <c r="M272" s="124"/>
      <c r="N272" t="s">
        <v>130</v>
      </c>
      <c r="O272" s="125" t="str">
        <f t="shared" si="8"/>
        <v/>
      </c>
      <c r="P272" s="125">
        <f>'3. Use Cases Catalog'!K260*1000000</f>
        <v>0</v>
      </c>
      <c r="Q272" s="126"/>
      <c r="R272" s="124"/>
      <c r="S272" s="125" t="str">
        <f t="shared" si="9"/>
        <v/>
      </c>
      <c r="T272" s="125">
        <f>'3. Use Cases Catalog'!L260*1000000</f>
        <v>0</v>
      </c>
    </row>
    <row r="273" spans="1:20" x14ac:dyDescent="0.2">
      <c r="A273" t="s">
        <v>55</v>
      </c>
      <c r="B273" t="s">
        <v>179</v>
      </c>
      <c r="C273" t="s">
        <v>1528</v>
      </c>
      <c r="D273" s="10" t="s">
        <v>8127</v>
      </c>
      <c r="E273" t="s">
        <v>1531</v>
      </c>
      <c r="F273" s="125">
        <f>'3. Use Cases Catalog'!I261*1000000</f>
        <v>0</v>
      </c>
      <c r="G273" s="125">
        <f>'3. Use Cases Catalog'!I261*1000000</f>
        <v>0</v>
      </c>
      <c r="H273" s="10"/>
      <c r="I273" t="s">
        <v>129</v>
      </c>
      <c r="J273" s="125">
        <f>'3. Use Cases Catalog'!J261*1000000</f>
        <v>0</v>
      </c>
      <c r="K273" s="125">
        <f>'3. Use Cases Catalog'!J261*1000000</f>
        <v>0</v>
      </c>
      <c r="L273" s="123">
        <v>0.5</v>
      </c>
      <c r="M273" s="124">
        <v>6200000</v>
      </c>
      <c r="N273" t="s">
        <v>8128</v>
      </c>
      <c r="O273" s="125">
        <f t="shared" si="8"/>
        <v>1976250</v>
      </c>
      <c r="P273" s="125">
        <f>'3. Use Cases Catalog'!K261*1000000</f>
        <v>1.8</v>
      </c>
      <c r="Q273" s="126">
        <v>21</v>
      </c>
      <c r="R273" s="124"/>
      <c r="S273" s="125" t="str">
        <f t="shared" si="9"/>
        <v/>
      </c>
      <c r="T273" s="125">
        <f>'3. Use Cases Catalog'!L261*1000000</f>
        <v>17.8</v>
      </c>
    </row>
    <row r="274" spans="1:20" x14ac:dyDescent="0.2">
      <c r="A274" t="s">
        <v>72</v>
      </c>
      <c r="B274" t="s">
        <v>133</v>
      </c>
      <c r="C274" t="s">
        <v>1535</v>
      </c>
      <c r="D274" s="10" t="s">
        <v>1537</v>
      </c>
      <c r="E274" t="s">
        <v>1537</v>
      </c>
      <c r="F274" s="125">
        <f>'3. Use Cases Catalog'!I262*1000000</f>
        <v>0</v>
      </c>
      <c r="G274" s="125">
        <f>'3. Use Cases Catalog'!I262*1000000</f>
        <v>0</v>
      </c>
      <c r="H274" s="10" t="s">
        <v>8129</v>
      </c>
      <c r="I274" t="s">
        <v>8130</v>
      </c>
      <c r="J274" s="125">
        <f>'3. Use Cases Catalog'!J262*1000000</f>
        <v>5.7</v>
      </c>
      <c r="K274" s="125">
        <f>'3. Use Cases Catalog'!J262*1000000</f>
        <v>5.7</v>
      </c>
      <c r="L274" s="123">
        <v>3.0000000000000001E-3</v>
      </c>
      <c r="M274" s="124">
        <v>180000000</v>
      </c>
      <c r="N274" t="s">
        <v>8131</v>
      </c>
      <c r="O274" s="125">
        <f t="shared" si="8"/>
        <v>344250</v>
      </c>
      <c r="P274" s="125">
        <f>'3. Use Cases Catalog'!K262*1000000</f>
        <v>0.4</v>
      </c>
      <c r="Q274" s="126"/>
      <c r="R274" s="124"/>
      <c r="S274" s="125" t="str">
        <f t="shared" si="9"/>
        <v/>
      </c>
      <c r="T274" s="125">
        <f>'3. Use Cases Catalog'!L262*1000000</f>
        <v>0</v>
      </c>
    </row>
    <row r="275" spans="1:20" x14ac:dyDescent="0.2">
      <c r="A275" t="s">
        <v>72</v>
      </c>
      <c r="B275" t="s">
        <v>156</v>
      </c>
      <c r="C275" t="s">
        <v>1541</v>
      </c>
      <c r="D275" s="10" t="s">
        <v>8132</v>
      </c>
      <c r="E275" t="s">
        <v>8133</v>
      </c>
      <c r="F275" s="125">
        <f>'3. Use Cases Catalog'!I263*1000000</f>
        <v>0.6</v>
      </c>
      <c r="G275" s="125">
        <f>'3. Use Cases Catalog'!I263*1000000</f>
        <v>0.6</v>
      </c>
      <c r="H275" s="10"/>
      <c r="I275" t="s">
        <v>129</v>
      </c>
      <c r="J275" s="125">
        <f>'3. Use Cases Catalog'!J263*1000000</f>
        <v>0</v>
      </c>
      <c r="K275" s="125">
        <f>'3. Use Cases Catalog'!J263*1000000</f>
        <v>0</v>
      </c>
      <c r="L275" s="123"/>
      <c r="M275" s="124">
        <v>1700000</v>
      </c>
      <c r="N275" t="s">
        <v>8134</v>
      </c>
      <c r="O275" s="125" t="str">
        <f t="shared" si="8"/>
        <v/>
      </c>
      <c r="P275" s="125">
        <f>'3. Use Cases Catalog'!K263*1000000</f>
        <v>1.7</v>
      </c>
      <c r="Q275" s="126"/>
      <c r="R275" s="124"/>
      <c r="S275" s="125" t="str">
        <f t="shared" si="9"/>
        <v/>
      </c>
      <c r="T275" s="125">
        <f>'3. Use Cases Catalog'!L263*1000000</f>
        <v>0</v>
      </c>
    </row>
    <row r="276" spans="1:20" x14ac:dyDescent="0.2">
      <c r="A276" t="s">
        <v>72</v>
      </c>
      <c r="B276" t="s">
        <v>164</v>
      </c>
      <c r="C276" t="s">
        <v>1547</v>
      </c>
      <c r="D276" s="10" t="s">
        <v>8135</v>
      </c>
      <c r="E276" t="s">
        <v>8136</v>
      </c>
      <c r="F276" s="125">
        <f>'3. Use Cases Catalog'!I264*1000000</f>
        <v>2.9</v>
      </c>
      <c r="G276" s="125">
        <f>'3. Use Cases Catalog'!I264*1000000</f>
        <v>2.9</v>
      </c>
      <c r="H276" s="10" t="s">
        <v>8137</v>
      </c>
      <c r="I276" t="s">
        <v>8138</v>
      </c>
      <c r="J276" s="125">
        <f>'3. Use Cases Catalog'!J264*1000000</f>
        <v>3.4</v>
      </c>
      <c r="K276" s="125">
        <f>'3. Use Cases Catalog'!J264*1000000</f>
        <v>3.4</v>
      </c>
      <c r="L276" s="123"/>
      <c r="M276" s="124"/>
      <c r="N276" t="s">
        <v>130</v>
      </c>
      <c r="O276" s="125" t="str">
        <f t="shared" si="8"/>
        <v/>
      </c>
      <c r="P276" s="125">
        <f>'3. Use Cases Catalog'!K264*1000000</f>
        <v>0</v>
      </c>
      <c r="Q276" s="126"/>
      <c r="R276" s="124"/>
      <c r="S276" s="125" t="str">
        <f t="shared" si="9"/>
        <v/>
      </c>
      <c r="T276" s="125">
        <f>'3. Use Cases Catalog'!L264*1000000</f>
        <v>0</v>
      </c>
    </row>
    <row r="277" spans="1:20" x14ac:dyDescent="0.2">
      <c r="A277" t="s">
        <v>72</v>
      </c>
      <c r="B277" t="s">
        <v>172</v>
      </c>
      <c r="C277" t="s">
        <v>1552</v>
      </c>
      <c r="D277" s="10" t="s">
        <v>8139</v>
      </c>
      <c r="E277" t="s">
        <v>8140</v>
      </c>
      <c r="F277" s="125">
        <f>'3. Use Cases Catalog'!I265*1000000</f>
        <v>3.2</v>
      </c>
      <c r="G277" s="125">
        <f>'3. Use Cases Catalog'!I265*1000000</f>
        <v>3.2</v>
      </c>
      <c r="H277" s="10" t="s">
        <v>8141</v>
      </c>
      <c r="I277" t="s">
        <v>8142</v>
      </c>
      <c r="J277" s="125">
        <f>'3. Use Cases Catalog'!J265*1000000</f>
        <v>4.8</v>
      </c>
      <c r="K277" s="125">
        <f>'3. Use Cases Catalog'!J265*1000000</f>
        <v>4.8</v>
      </c>
      <c r="L277" s="123"/>
      <c r="M277" s="124"/>
      <c r="N277" t="s">
        <v>130</v>
      </c>
      <c r="O277" s="125" t="str">
        <f t="shared" si="8"/>
        <v/>
      </c>
      <c r="P277" s="125">
        <f>'3. Use Cases Catalog'!K265*1000000</f>
        <v>0</v>
      </c>
      <c r="Q277" s="126"/>
      <c r="R277" s="124"/>
      <c r="S277" s="125" t="str">
        <f t="shared" si="9"/>
        <v/>
      </c>
      <c r="T277" s="125">
        <f>'3. Use Cases Catalog'!L265*1000000</f>
        <v>0</v>
      </c>
    </row>
    <row r="278" spans="1:20" x14ac:dyDescent="0.2">
      <c r="A278" t="s">
        <v>72</v>
      </c>
      <c r="B278" t="s">
        <v>179</v>
      </c>
      <c r="C278" t="s">
        <v>1557</v>
      </c>
      <c r="D278" s="10" t="s">
        <v>8143</v>
      </c>
      <c r="E278" t="s">
        <v>8144</v>
      </c>
      <c r="F278" s="125">
        <f>'3. Use Cases Catalog'!I266*1000000</f>
        <v>1.8</v>
      </c>
      <c r="G278" s="125">
        <f>'3. Use Cases Catalog'!I266*1000000</f>
        <v>1.8</v>
      </c>
      <c r="H278" s="10" t="s">
        <v>8145</v>
      </c>
      <c r="I278" t="s">
        <v>8146</v>
      </c>
      <c r="J278" s="125">
        <f>'3. Use Cases Catalog'!J266*1000000</f>
        <v>1.9</v>
      </c>
      <c r="K278" s="125">
        <f>'3. Use Cases Catalog'!J266*1000000</f>
        <v>1.9</v>
      </c>
      <c r="L278" s="123"/>
      <c r="M278" s="124">
        <v>900000</v>
      </c>
      <c r="N278" t="s">
        <v>8147</v>
      </c>
      <c r="O278" s="125" t="str">
        <f t="shared" si="8"/>
        <v/>
      </c>
      <c r="P278" s="125">
        <f>'3. Use Cases Catalog'!K266*1000000</f>
        <v>0.9</v>
      </c>
      <c r="Q278" s="126"/>
      <c r="R278" s="124"/>
      <c r="S278" s="125" t="str">
        <f t="shared" si="9"/>
        <v/>
      </c>
      <c r="T278" s="125">
        <f>'3. Use Cases Catalog'!L266*1000000</f>
        <v>0</v>
      </c>
    </row>
    <row r="279" spans="1:20" x14ac:dyDescent="0.2">
      <c r="A279" t="s">
        <v>72</v>
      </c>
      <c r="B279" t="s">
        <v>186</v>
      </c>
      <c r="C279" t="s">
        <v>8148</v>
      </c>
      <c r="D279" s="10" t="s">
        <v>8149</v>
      </c>
      <c r="E279" t="s">
        <v>8150</v>
      </c>
      <c r="F279" s="125">
        <f>'3. Use Cases Catalog'!I267*1000000</f>
        <v>1.4</v>
      </c>
      <c r="G279" s="125">
        <f>'3. Use Cases Catalog'!I267*1000000</f>
        <v>1.4</v>
      </c>
      <c r="H279" s="10"/>
      <c r="I279" t="s">
        <v>129</v>
      </c>
      <c r="J279" s="125">
        <f>'3. Use Cases Catalog'!J267*1000000</f>
        <v>0</v>
      </c>
      <c r="K279" s="125">
        <f>'3. Use Cases Catalog'!J267*1000000</f>
        <v>0</v>
      </c>
      <c r="L279" s="123">
        <v>5.0000000000000001E-3</v>
      </c>
      <c r="M279" s="124">
        <v>180000000</v>
      </c>
      <c r="N279" t="s">
        <v>8151</v>
      </c>
      <c r="O279" s="125">
        <f t="shared" si="8"/>
        <v>573750</v>
      </c>
      <c r="P279" s="125">
        <f>'3. Use Cases Catalog'!K267*1000000</f>
        <v>0.6</v>
      </c>
      <c r="Q279" s="126">
        <v>8</v>
      </c>
      <c r="R279" s="124"/>
      <c r="S279" s="125" t="str">
        <f t="shared" si="9"/>
        <v/>
      </c>
      <c r="T279" s="125">
        <f>'3. Use Cases Catalog'!L267*1000000</f>
        <v>2.2000000000000002</v>
      </c>
    </row>
    <row r="280" spans="1:20" x14ac:dyDescent="0.2">
      <c r="A280" t="s">
        <v>72</v>
      </c>
      <c r="B280" t="s">
        <v>194</v>
      </c>
      <c r="C280" t="s">
        <v>8152</v>
      </c>
      <c r="D280" s="10" t="s">
        <v>1537</v>
      </c>
      <c r="E280" t="s">
        <v>1537</v>
      </c>
      <c r="F280" s="125">
        <f>'3. Use Cases Catalog'!I268*1000000</f>
        <v>0</v>
      </c>
      <c r="G280" s="125">
        <f>'3. Use Cases Catalog'!I268*1000000</f>
        <v>0</v>
      </c>
      <c r="H280" s="10"/>
      <c r="I280" t="s">
        <v>129</v>
      </c>
      <c r="J280" s="125">
        <f>'3. Use Cases Catalog'!J268*1000000</f>
        <v>0</v>
      </c>
      <c r="K280" s="125">
        <f>'3. Use Cases Catalog'!J268*1000000</f>
        <v>0</v>
      </c>
      <c r="L280" s="123"/>
      <c r="M280" s="124">
        <v>3200000</v>
      </c>
      <c r="N280" t="s">
        <v>8153</v>
      </c>
      <c r="O280" s="125" t="str">
        <f t="shared" si="8"/>
        <v/>
      </c>
      <c r="P280" s="125">
        <f>'3. Use Cases Catalog'!K268*1000000</f>
        <v>3.2</v>
      </c>
      <c r="Q280" s="126"/>
      <c r="R280" s="124"/>
      <c r="S280" s="125" t="str">
        <f t="shared" si="9"/>
        <v/>
      </c>
      <c r="T280" s="125">
        <f>'3. Use Cases Catalog'!L268*1000000</f>
        <v>0</v>
      </c>
    </row>
    <row r="281" spans="1:20" x14ac:dyDescent="0.2">
      <c r="A281" t="s">
        <v>72</v>
      </c>
      <c r="B281" t="s">
        <v>141</v>
      </c>
      <c r="C281" t="s">
        <v>1573</v>
      </c>
      <c r="D281" s="10" t="s">
        <v>8154</v>
      </c>
      <c r="E281" t="s">
        <v>8155</v>
      </c>
      <c r="F281" s="125">
        <f>'3. Use Cases Catalog'!I269*1000000</f>
        <v>13</v>
      </c>
      <c r="G281" s="125">
        <f>'3. Use Cases Catalog'!I269*1000000</f>
        <v>13</v>
      </c>
      <c r="H281" s="10" t="s">
        <v>8156</v>
      </c>
      <c r="I281" t="s">
        <v>8157</v>
      </c>
      <c r="J281" s="125">
        <f>'3. Use Cases Catalog'!J269*1000000</f>
        <v>6.2</v>
      </c>
      <c r="K281" s="125">
        <f>'3. Use Cases Catalog'!J269*1000000</f>
        <v>6.2</v>
      </c>
      <c r="L281" s="123"/>
      <c r="M281" s="124"/>
      <c r="N281" t="s">
        <v>130</v>
      </c>
      <c r="O281" s="125" t="str">
        <f t="shared" si="8"/>
        <v/>
      </c>
      <c r="P281" s="125">
        <f>'3. Use Cases Catalog'!K269*1000000</f>
        <v>0</v>
      </c>
      <c r="Q281" s="126">
        <v>3</v>
      </c>
      <c r="R281" s="124"/>
      <c r="S281" s="125" t="str">
        <f t="shared" si="9"/>
        <v/>
      </c>
      <c r="T281" s="125">
        <f>'3. Use Cases Catalog'!L269*1000000</f>
        <v>1.9</v>
      </c>
    </row>
    <row r="282" spans="1:20" x14ac:dyDescent="0.2">
      <c r="A282" t="s">
        <v>72</v>
      </c>
      <c r="B282" t="s">
        <v>123</v>
      </c>
      <c r="C282" t="s">
        <v>1579</v>
      </c>
      <c r="D282" s="10" t="s">
        <v>8158</v>
      </c>
      <c r="E282" t="s">
        <v>8159</v>
      </c>
      <c r="F282" s="125">
        <f>'3. Use Cases Catalog'!I270*1000000</f>
        <v>6.7</v>
      </c>
      <c r="G282" s="125">
        <f>'3. Use Cases Catalog'!I270*1000000</f>
        <v>6.7</v>
      </c>
      <c r="H282" s="10" t="s">
        <v>8160</v>
      </c>
      <c r="I282" t="s">
        <v>8161</v>
      </c>
      <c r="J282" s="125">
        <f>'3. Use Cases Catalog'!J270*1000000</f>
        <v>2.1</v>
      </c>
      <c r="K282" s="125">
        <f>'3. Use Cases Catalog'!J270*1000000</f>
        <v>2.1</v>
      </c>
      <c r="L282" s="123"/>
      <c r="M282" s="124">
        <v>300000</v>
      </c>
      <c r="N282" t="s">
        <v>8162</v>
      </c>
      <c r="O282" s="125" t="str">
        <f t="shared" si="8"/>
        <v/>
      </c>
      <c r="P282" s="125">
        <f>'3. Use Cases Catalog'!K270*1000000</f>
        <v>0.3</v>
      </c>
      <c r="Q282" s="126"/>
      <c r="R282" s="124"/>
      <c r="S282" s="125" t="str">
        <f t="shared" si="9"/>
        <v/>
      </c>
      <c r="T282" s="125">
        <f>'3. Use Cases Catalog'!L270*1000000</f>
        <v>0</v>
      </c>
    </row>
    <row r="283" spans="1:20" x14ac:dyDescent="0.2">
      <c r="A283" t="s">
        <v>72</v>
      </c>
      <c r="B283" t="s">
        <v>149</v>
      </c>
      <c r="C283" t="s">
        <v>1585</v>
      </c>
      <c r="D283" s="10" t="s">
        <v>8163</v>
      </c>
      <c r="E283" t="s">
        <v>8164</v>
      </c>
      <c r="F283" s="125">
        <f>'3. Use Cases Catalog'!I271*1000000</f>
        <v>5.8</v>
      </c>
      <c r="G283" s="125">
        <f>'3. Use Cases Catalog'!I271*1000000</f>
        <v>5.8</v>
      </c>
      <c r="H283" s="10"/>
      <c r="I283" t="s">
        <v>129</v>
      </c>
      <c r="J283" s="125">
        <f>'3. Use Cases Catalog'!J271*1000000</f>
        <v>0</v>
      </c>
      <c r="K283" s="125">
        <f>'3. Use Cases Catalog'!J271*1000000</f>
        <v>0</v>
      </c>
      <c r="L283" s="123"/>
      <c r="M283" s="124">
        <v>800000</v>
      </c>
      <c r="N283" t="s">
        <v>8165</v>
      </c>
      <c r="O283" s="125" t="str">
        <f t="shared" si="8"/>
        <v/>
      </c>
      <c r="P283" s="125">
        <f>'3. Use Cases Catalog'!K271*1000000</f>
        <v>0.8</v>
      </c>
      <c r="Q283" s="126">
        <v>27</v>
      </c>
      <c r="R283" s="124"/>
      <c r="S283" s="125" t="str">
        <f t="shared" si="9"/>
        <v/>
      </c>
      <c r="T283" s="125">
        <f>'3. Use Cases Catalog'!L271*1000000</f>
        <v>4.3</v>
      </c>
    </row>
    <row r="284" spans="1:20" x14ac:dyDescent="0.2">
      <c r="A284" t="s">
        <v>64</v>
      </c>
      <c r="B284" t="s">
        <v>123</v>
      </c>
      <c r="C284" t="s">
        <v>1592</v>
      </c>
      <c r="D284" s="10" t="s">
        <v>8166</v>
      </c>
      <c r="E284" t="s">
        <v>8167</v>
      </c>
      <c r="F284" s="125">
        <f>'3. Use Cases Catalog'!I272*1000000</f>
        <v>21</v>
      </c>
      <c r="G284" s="125">
        <f>'3. Use Cases Catalog'!I272*1000000</f>
        <v>21</v>
      </c>
      <c r="H284" s="10"/>
      <c r="I284" t="s">
        <v>129</v>
      </c>
      <c r="J284" s="125">
        <f>'3. Use Cases Catalog'!J272*1000000</f>
        <v>0</v>
      </c>
      <c r="K284" s="125">
        <f>'3. Use Cases Catalog'!J272*1000000</f>
        <v>0</v>
      </c>
      <c r="L284" s="123"/>
      <c r="M284" s="124"/>
      <c r="N284" t="s">
        <v>130</v>
      </c>
      <c r="O284" s="125" t="str">
        <f t="shared" si="8"/>
        <v/>
      </c>
      <c r="P284" s="125">
        <f>'3. Use Cases Catalog'!K272*1000000</f>
        <v>0</v>
      </c>
      <c r="Q284" s="126"/>
      <c r="R284" s="124"/>
      <c r="S284" s="125" t="str">
        <f t="shared" si="9"/>
        <v/>
      </c>
      <c r="T284" s="125">
        <f>'3. Use Cases Catalog'!L272*1000000</f>
        <v>0</v>
      </c>
    </row>
    <row r="285" spans="1:20" x14ac:dyDescent="0.2">
      <c r="A285" t="s">
        <v>64</v>
      </c>
      <c r="B285" t="s">
        <v>149</v>
      </c>
      <c r="C285" t="s">
        <v>1596</v>
      </c>
      <c r="D285" s="10" t="s">
        <v>8168</v>
      </c>
      <c r="E285" t="s">
        <v>8169</v>
      </c>
      <c r="F285" s="125">
        <f>'3. Use Cases Catalog'!I273*1000000</f>
        <v>3.2</v>
      </c>
      <c r="G285" s="125">
        <f>'3. Use Cases Catalog'!I273*1000000</f>
        <v>3.2</v>
      </c>
      <c r="H285" s="10"/>
      <c r="I285" t="s">
        <v>129</v>
      </c>
      <c r="J285" s="125">
        <f>'3. Use Cases Catalog'!J273*1000000</f>
        <v>0</v>
      </c>
      <c r="K285" s="125">
        <f>'3. Use Cases Catalog'!J273*1000000</f>
        <v>0</v>
      </c>
      <c r="L285" s="123">
        <v>0.6</v>
      </c>
      <c r="M285" s="124">
        <v>8700000</v>
      </c>
      <c r="N285" t="s">
        <v>8170</v>
      </c>
      <c r="O285" s="125">
        <f t="shared" si="8"/>
        <v>3327750</v>
      </c>
      <c r="P285" s="125">
        <f>'3. Use Cases Catalog'!K273*1000000</f>
        <v>5.2</v>
      </c>
      <c r="Q285" s="126"/>
      <c r="R285" s="124"/>
      <c r="S285" s="125" t="str">
        <f t="shared" si="9"/>
        <v/>
      </c>
      <c r="T285" s="125">
        <f>'3. Use Cases Catalog'!L273*1000000</f>
        <v>0</v>
      </c>
    </row>
    <row r="286" spans="1:20" x14ac:dyDescent="0.2">
      <c r="A286" t="s">
        <v>64</v>
      </c>
      <c r="B286" t="s">
        <v>156</v>
      </c>
      <c r="C286" t="s">
        <v>1600</v>
      </c>
      <c r="D286" s="10" t="s">
        <v>8171</v>
      </c>
      <c r="E286" t="s">
        <v>8172</v>
      </c>
      <c r="F286" s="125">
        <f>'3. Use Cases Catalog'!I274*1000000</f>
        <v>6.9</v>
      </c>
      <c r="G286" s="125">
        <f>'3. Use Cases Catalog'!I274*1000000</f>
        <v>6.9</v>
      </c>
      <c r="H286" s="10"/>
      <c r="I286" t="s">
        <v>129</v>
      </c>
      <c r="J286" s="125">
        <f>'3. Use Cases Catalog'!J274*1000000</f>
        <v>0</v>
      </c>
      <c r="K286" s="125">
        <f>'3. Use Cases Catalog'!J274*1000000</f>
        <v>0</v>
      </c>
      <c r="L286" s="123"/>
      <c r="M286" s="124"/>
      <c r="N286" t="s">
        <v>130</v>
      </c>
      <c r="O286" s="125" t="str">
        <f t="shared" si="8"/>
        <v/>
      </c>
      <c r="P286" s="125">
        <f>'3. Use Cases Catalog'!K274*1000000</f>
        <v>0</v>
      </c>
      <c r="Q286" s="126">
        <v>7</v>
      </c>
      <c r="R286" s="124"/>
      <c r="S286" s="125" t="str">
        <f t="shared" si="9"/>
        <v/>
      </c>
      <c r="T286" s="125">
        <f>'3. Use Cases Catalog'!L274*1000000</f>
        <v>4.7</v>
      </c>
    </row>
    <row r="287" spans="1:20" x14ac:dyDescent="0.2">
      <c r="A287" t="s">
        <v>64</v>
      </c>
      <c r="B287" t="s">
        <v>164</v>
      </c>
      <c r="C287" t="s">
        <v>1605</v>
      </c>
      <c r="D287" s="10" t="s">
        <v>8173</v>
      </c>
      <c r="E287" t="s">
        <v>8174</v>
      </c>
      <c r="F287" s="125">
        <f>'3. Use Cases Catalog'!I275*1000000</f>
        <v>3.6</v>
      </c>
      <c r="G287" s="125">
        <f>'3. Use Cases Catalog'!I275*1000000</f>
        <v>3.6</v>
      </c>
      <c r="H287" s="10"/>
      <c r="I287" t="s">
        <v>129</v>
      </c>
      <c r="J287" s="125">
        <f>'3. Use Cases Catalog'!J275*1000000</f>
        <v>0</v>
      </c>
      <c r="K287" s="125">
        <f>'3. Use Cases Catalog'!J275*1000000</f>
        <v>0</v>
      </c>
      <c r="L287" s="123">
        <v>0.65</v>
      </c>
      <c r="M287" s="124">
        <v>6400000</v>
      </c>
      <c r="N287" t="s">
        <v>8175</v>
      </c>
      <c r="O287" s="125">
        <f t="shared" si="8"/>
        <v>2652000</v>
      </c>
      <c r="P287" s="125">
        <f>'3. Use Cases Catalog'!K275*1000000</f>
        <v>4.2</v>
      </c>
      <c r="Q287" s="126">
        <v>9</v>
      </c>
      <c r="R287" s="124"/>
      <c r="S287" s="125" t="str">
        <f t="shared" si="9"/>
        <v/>
      </c>
      <c r="T287" s="125">
        <f>'3. Use Cases Catalog'!L275*1000000</f>
        <v>2.4</v>
      </c>
    </row>
    <row r="288" spans="1:20" x14ac:dyDescent="0.2">
      <c r="A288" t="s">
        <v>64</v>
      </c>
      <c r="B288" t="s">
        <v>179</v>
      </c>
      <c r="C288" t="s">
        <v>1611</v>
      </c>
      <c r="D288" s="10" t="s">
        <v>8176</v>
      </c>
      <c r="E288" t="s">
        <v>8177</v>
      </c>
      <c r="F288" s="125">
        <f>'3. Use Cases Catalog'!I276*1000000</f>
        <v>3.2</v>
      </c>
      <c r="G288" s="125">
        <f>'3. Use Cases Catalog'!I276*1000000</f>
        <v>3.2</v>
      </c>
      <c r="H288" s="10" t="s">
        <v>8178</v>
      </c>
      <c r="I288" t="s">
        <v>8179</v>
      </c>
      <c r="J288" s="125">
        <f>'3. Use Cases Catalog'!J276*1000000</f>
        <v>2.5</v>
      </c>
      <c r="K288" s="125">
        <f>'3. Use Cases Catalog'!J276*1000000</f>
        <v>2.5</v>
      </c>
      <c r="L288" s="123"/>
      <c r="M288" s="124"/>
      <c r="N288" t="s">
        <v>130</v>
      </c>
      <c r="O288" s="125" t="str">
        <f t="shared" si="8"/>
        <v/>
      </c>
      <c r="P288" s="125">
        <f>'3. Use Cases Catalog'!K276*1000000</f>
        <v>0</v>
      </c>
      <c r="Q288" s="126"/>
      <c r="R288" s="124"/>
      <c r="S288" s="125" t="str">
        <f t="shared" si="9"/>
        <v/>
      </c>
      <c r="T288" s="125">
        <f>'3. Use Cases Catalog'!L276*1000000</f>
        <v>0</v>
      </c>
    </row>
    <row r="289" spans="1:20" x14ac:dyDescent="0.2">
      <c r="A289" t="s">
        <v>64</v>
      </c>
      <c r="B289" t="s">
        <v>141</v>
      </c>
      <c r="C289" t="s">
        <v>8180</v>
      </c>
      <c r="D289" s="10" t="s">
        <v>8181</v>
      </c>
      <c r="E289" t="s">
        <v>8182</v>
      </c>
      <c r="F289" s="125">
        <f>'3. Use Cases Catalog'!I277*1000000</f>
        <v>8.1999999999999993</v>
      </c>
      <c r="G289" s="125">
        <f>'3. Use Cases Catalog'!I277*1000000</f>
        <v>8.1999999999999993</v>
      </c>
      <c r="H289" s="10" t="s">
        <v>8183</v>
      </c>
      <c r="I289" t="s">
        <v>8184</v>
      </c>
      <c r="J289" s="125">
        <f>'3. Use Cases Catalog'!J277*1000000</f>
        <v>14.9</v>
      </c>
      <c r="K289" s="125">
        <f>'3. Use Cases Catalog'!J277*1000000</f>
        <v>14.9</v>
      </c>
      <c r="L289" s="123"/>
      <c r="M289" s="124"/>
      <c r="N289" t="s">
        <v>130</v>
      </c>
      <c r="O289" s="125" t="str">
        <f t="shared" si="8"/>
        <v/>
      </c>
      <c r="P289" s="125">
        <f>'3. Use Cases Catalog'!K277*1000000</f>
        <v>0</v>
      </c>
      <c r="Q289" s="126"/>
      <c r="R289" s="124"/>
      <c r="S289" s="125" t="str">
        <f t="shared" si="9"/>
        <v/>
      </c>
      <c r="T289" s="125">
        <f>'3. Use Cases Catalog'!L277*1000000</f>
        <v>0</v>
      </c>
    </row>
    <row r="290" spans="1:20" x14ac:dyDescent="0.2">
      <c r="A290" t="s">
        <v>64</v>
      </c>
      <c r="B290" t="s">
        <v>133</v>
      </c>
      <c r="C290" t="s">
        <v>1622</v>
      </c>
      <c r="D290" s="10" t="s">
        <v>8185</v>
      </c>
      <c r="E290" t="s">
        <v>8186</v>
      </c>
      <c r="F290" s="125">
        <f>'3. Use Cases Catalog'!I278*1000000</f>
        <v>2.9</v>
      </c>
      <c r="G290" s="125">
        <f>'3. Use Cases Catalog'!I278*1000000</f>
        <v>2.9</v>
      </c>
      <c r="H290" s="10" t="s">
        <v>8187</v>
      </c>
      <c r="I290" t="s">
        <v>8188</v>
      </c>
      <c r="J290" s="125">
        <f>'3. Use Cases Catalog'!J278*1000000</f>
        <v>6.7</v>
      </c>
      <c r="K290" s="125">
        <f>'3. Use Cases Catalog'!J278*1000000</f>
        <v>6.7</v>
      </c>
      <c r="L290" s="123"/>
      <c r="M290" s="124"/>
      <c r="N290" t="s">
        <v>130</v>
      </c>
      <c r="O290" s="125" t="str">
        <f t="shared" si="8"/>
        <v/>
      </c>
      <c r="P290" s="125">
        <f>'3. Use Cases Catalog'!K278*1000000</f>
        <v>0</v>
      </c>
      <c r="Q290" s="126"/>
      <c r="R290" s="124"/>
      <c r="S290" s="125" t="str">
        <f t="shared" si="9"/>
        <v/>
      </c>
      <c r="T290" s="125">
        <f>'3. Use Cases Catalog'!L278*1000000</f>
        <v>0</v>
      </c>
    </row>
    <row r="291" spans="1:20" x14ac:dyDescent="0.2">
      <c r="A291" t="s">
        <v>64</v>
      </c>
      <c r="B291" t="s">
        <v>172</v>
      </c>
      <c r="C291" t="s">
        <v>1627</v>
      </c>
      <c r="D291" s="10" t="s">
        <v>8189</v>
      </c>
      <c r="E291" t="s">
        <v>8190</v>
      </c>
      <c r="F291" s="125">
        <f>'3. Use Cases Catalog'!I279*1000000</f>
        <v>6.6</v>
      </c>
      <c r="G291" s="125">
        <f>'3. Use Cases Catalog'!I279*1000000</f>
        <v>6.6</v>
      </c>
      <c r="H291" s="10"/>
      <c r="I291" t="s">
        <v>129</v>
      </c>
      <c r="J291" s="125">
        <f>'3. Use Cases Catalog'!J279*1000000</f>
        <v>0</v>
      </c>
      <c r="K291" s="125">
        <f>'3. Use Cases Catalog'!J279*1000000</f>
        <v>0</v>
      </c>
      <c r="L291" s="123"/>
      <c r="M291" s="124"/>
      <c r="N291" t="s">
        <v>130</v>
      </c>
      <c r="O291" s="125" t="str">
        <f t="shared" si="8"/>
        <v/>
      </c>
      <c r="P291" s="125">
        <f>'3. Use Cases Catalog'!K279*1000000</f>
        <v>0</v>
      </c>
      <c r="Q291" s="126">
        <v>5</v>
      </c>
      <c r="R291" s="124"/>
      <c r="S291" s="125" t="str">
        <f t="shared" si="9"/>
        <v/>
      </c>
      <c r="T291" s="125">
        <f>'3. Use Cases Catalog'!L279*1000000</f>
        <v>3.1</v>
      </c>
    </row>
    <row r="292" spans="1:20" x14ac:dyDescent="0.2">
      <c r="A292" t="s">
        <v>64</v>
      </c>
      <c r="B292" t="s">
        <v>186</v>
      </c>
      <c r="C292" t="s">
        <v>1632</v>
      </c>
      <c r="D292" s="10" t="s">
        <v>8191</v>
      </c>
      <c r="E292" t="s">
        <v>8192</v>
      </c>
      <c r="F292" s="125">
        <f>'3. Use Cases Catalog'!I280*1000000</f>
        <v>1.3</v>
      </c>
      <c r="G292" s="125">
        <f>'3. Use Cases Catalog'!I280*1000000</f>
        <v>1.3</v>
      </c>
      <c r="H292" s="10"/>
      <c r="I292" t="s">
        <v>129</v>
      </c>
      <c r="J292" s="125">
        <f>'3. Use Cases Catalog'!J280*1000000</f>
        <v>0</v>
      </c>
      <c r="K292" s="125">
        <f>'3. Use Cases Catalog'!J280*1000000</f>
        <v>0</v>
      </c>
      <c r="L292" s="123"/>
      <c r="M292" s="124"/>
      <c r="N292" t="s">
        <v>130</v>
      </c>
      <c r="O292" s="125" t="str">
        <f t="shared" si="8"/>
        <v/>
      </c>
      <c r="P292" s="125">
        <f>'3. Use Cases Catalog'!K280*1000000</f>
        <v>0</v>
      </c>
      <c r="Q292" s="126">
        <v>11</v>
      </c>
      <c r="R292" s="124"/>
      <c r="S292" s="125" t="str">
        <f t="shared" si="9"/>
        <v/>
      </c>
      <c r="T292" s="125">
        <f>'3. Use Cases Catalog'!L280*1000000</f>
        <v>6.3</v>
      </c>
    </row>
    <row r="293" spans="1:20" x14ac:dyDescent="0.2">
      <c r="A293" t="s">
        <v>64</v>
      </c>
      <c r="B293" t="s">
        <v>194</v>
      </c>
      <c r="C293" t="s">
        <v>1638</v>
      </c>
      <c r="D293" s="10" t="s">
        <v>8193</v>
      </c>
      <c r="E293" t="s">
        <v>8194</v>
      </c>
      <c r="F293" s="125">
        <f>'3. Use Cases Catalog'!I281*1000000</f>
        <v>2.2999999999999998</v>
      </c>
      <c r="G293" s="125">
        <f>'3. Use Cases Catalog'!I281*1000000</f>
        <v>2.2999999999999998</v>
      </c>
      <c r="H293" s="10" t="s">
        <v>8195</v>
      </c>
      <c r="I293" t="s">
        <v>8196</v>
      </c>
      <c r="J293" s="125">
        <f>'3. Use Cases Catalog'!J281*1000000</f>
        <v>3.8</v>
      </c>
      <c r="K293" s="125">
        <f>'3. Use Cases Catalog'!J281*1000000</f>
        <v>3.8</v>
      </c>
      <c r="L293" s="123">
        <v>0.45</v>
      </c>
      <c r="M293" s="124">
        <v>3400000</v>
      </c>
      <c r="N293" t="s">
        <v>8197</v>
      </c>
      <c r="O293" s="125">
        <f t="shared" si="8"/>
        <v>975375</v>
      </c>
      <c r="P293" s="125">
        <f>'3. Use Cases Catalog'!K281*1000000</f>
        <v>1.9</v>
      </c>
      <c r="Q293" s="126"/>
      <c r="R293" s="124"/>
      <c r="S293" s="125" t="str">
        <f t="shared" si="9"/>
        <v/>
      </c>
      <c r="T293" s="125">
        <f>'3. Use Cases Catalog'!L281*1000000</f>
        <v>0</v>
      </c>
    </row>
    <row r="294" spans="1:20" x14ac:dyDescent="0.2">
      <c r="A294" t="s">
        <v>56</v>
      </c>
      <c r="B294" t="s">
        <v>123</v>
      </c>
      <c r="C294" t="s">
        <v>8198</v>
      </c>
      <c r="D294" s="10" t="s">
        <v>8199</v>
      </c>
      <c r="E294" t="s">
        <v>8200</v>
      </c>
      <c r="F294" s="125">
        <f>'3. Use Cases Catalog'!I282*1000000</f>
        <v>11.8</v>
      </c>
      <c r="G294" s="125">
        <f>'3. Use Cases Catalog'!I282*1000000</f>
        <v>11.8</v>
      </c>
      <c r="H294" s="10"/>
      <c r="I294" t="s">
        <v>129</v>
      </c>
      <c r="J294" s="125">
        <f>'3. Use Cases Catalog'!J282*1000000</f>
        <v>0</v>
      </c>
      <c r="K294" s="125">
        <f>'3. Use Cases Catalog'!J282*1000000</f>
        <v>0</v>
      </c>
      <c r="L294" s="123">
        <v>0.08</v>
      </c>
      <c r="M294" s="124">
        <v>6800000</v>
      </c>
      <c r="N294" t="s">
        <v>8201</v>
      </c>
      <c r="O294" s="125">
        <f t="shared" si="8"/>
        <v>346800</v>
      </c>
      <c r="P294" s="125">
        <f>'3. Use Cases Catalog'!K282*1000000</f>
        <v>6.8</v>
      </c>
      <c r="Q294" s="126"/>
      <c r="R294" s="124"/>
      <c r="S294" s="125" t="str">
        <f t="shared" si="9"/>
        <v/>
      </c>
      <c r="T294" s="125">
        <f>'3. Use Cases Catalog'!L282*1000000</f>
        <v>0</v>
      </c>
    </row>
    <row r="295" spans="1:20" x14ac:dyDescent="0.2">
      <c r="A295" t="s">
        <v>56</v>
      </c>
      <c r="B295" t="s">
        <v>141</v>
      </c>
      <c r="C295" t="s">
        <v>8202</v>
      </c>
      <c r="D295" s="10" t="s">
        <v>8203</v>
      </c>
      <c r="E295" t="s">
        <v>8204</v>
      </c>
      <c r="F295" s="125">
        <f>'3. Use Cases Catalog'!I283*1000000</f>
        <v>8.1999999999999993</v>
      </c>
      <c r="G295" s="125">
        <f>'3. Use Cases Catalog'!I283*1000000</f>
        <v>8.1999999999999993</v>
      </c>
      <c r="H295" s="10" t="s">
        <v>8205</v>
      </c>
      <c r="I295" t="s">
        <v>8206</v>
      </c>
      <c r="J295" s="125">
        <f>'3. Use Cases Catalog'!J283*1000000</f>
        <v>7.6</v>
      </c>
      <c r="K295" s="125">
        <f>'3. Use Cases Catalog'!J283*1000000</f>
        <v>7.6</v>
      </c>
      <c r="L295" s="123"/>
      <c r="M295" s="124"/>
      <c r="N295" t="s">
        <v>130</v>
      </c>
      <c r="O295" s="125" t="str">
        <f t="shared" si="8"/>
        <v/>
      </c>
      <c r="P295" s="125">
        <f>'3. Use Cases Catalog'!K283*1000000</f>
        <v>0</v>
      </c>
      <c r="Q295" s="126"/>
      <c r="R295" s="124"/>
      <c r="S295" s="125" t="str">
        <f t="shared" si="9"/>
        <v/>
      </c>
      <c r="T295" s="125">
        <f>'3. Use Cases Catalog'!L283*1000000</f>
        <v>0</v>
      </c>
    </row>
    <row r="296" spans="1:20" x14ac:dyDescent="0.2">
      <c r="A296" t="s">
        <v>56</v>
      </c>
      <c r="B296" t="s">
        <v>149</v>
      </c>
      <c r="C296" t="s">
        <v>1655</v>
      </c>
      <c r="D296" s="10" t="s">
        <v>8207</v>
      </c>
      <c r="E296" t="s">
        <v>8208</v>
      </c>
      <c r="F296" s="125">
        <f>'3. Use Cases Catalog'!I284*1000000</f>
        <v>21.8</v>
      </c>
      <c r="G296" s="125">
        <f>'3. Use Cases Catalog'!I284*1000000</f>
        <v>21.8</v>
      </c>
      <c r="H296" s="10"/>
      <c r="I296" t="s">
        <v>129</v>
      </c>
      <c r="J296" s="125">
        <f>'3. Use Cases Catalog'!J284*1000000</f>
        <v>0</v>
      </c>
      <c r="K296" s="125">
        <f>'3. Use Cases Catalog'!J284*1000000</f>
        <v>0</v>
      </c>
      <c r="L296" s="123">
        <v>0.09</v>
      </c>
      <c r="M296" s="124">
        <v>4300000</v>
      </c>
      <c r="N296" t="s">
        <v>8209</v>
      </c>
      <c r="O296" s="125">
        <f t="shared" si="8"/>
        <v>246712.5</v>
      </c>
      <c r="P296" s="125">
        <f>'3. Use Cases Catalog'!K284*1000000</f>
        <v>4.3</v>
      </c>
      <c r="Q296" s="126"/>
      <c r="R296" s="124"/>
      <c r="S296" s="125" t="str">
        <f t="shared" si="9"/>
        <v/>
      </c>
      <c r="T296" s="125">
        <f>'3. Use Cases Catalog'!L284*1000000</f>
        <v>0</v>
      </c>
    </row>
    <row r="297" spans="1:20" x14ac:dyDescent="0.2">
      <c r="A297" t="s">
        <v>56</v>
      </c>
      <c r="B297" t="s">
        <v>133</v>
      </c>
      <c r="C297" t="s">
        <v>1660</v>
      </c>
      <c r="D297" s="10" t="s">
        <v>8210</v>
      </c>
      <c r="E297" t="s">
        <v>8211</v>
      </c>
      <c r="F297" s="125">
        <f>'3. Use Cases Catalog'!I285*1000000</f>
        <v>6.2</v>
      </c>
      <c r="G297" s="125">
        <f>'3. Use Cases Catalog'!I285*1000000</f>
        <v>6.2</v>
      </c>
      <c r="H297" s="10"/>
      <c r="I297" t="s">
        <v>129</v>
      </c>
      <c r="J297" s="125">
        <f>'3. Use Cases Catalog'!J285*1000000</f>
        <v>0</v>
      </c>
      <c r="K297" s="125">
        <f>'3. Use Cases Catalog'!J285*1000000</f>
        <v>0</v>
      </c>
      <c r="L297" s="123">
        <v>0.25</v>
      </c>
      <c r="M297" s="124">
        <v>14000000</v>
      </c>
      <c r="N297" t="s">
        <v>8212</v>
      </c>
      <c r="O297" s="125">
        <f t="shared" si="8"/>
        <v>2231250</v>
      </c>
      <c r="P297" s="125">
        <f>'3. Use Cases Catalog'!K285*1000000</f>
        <v>2.1</v>
      </c>
      <c r="Q297" s="126"/>
      <c r="R297" s="124"/>
      <c r="S297" s="125" t="str">
        <f t="shared" si="9"/>
        <v/>
      </c>
      <c r="T297" s="125">
        <f>'3. Use Cases Catalog'!L285*1000000</f>
        <v>0</v>
      </c>
    </row>
    <row r="298" spans="1:20" x14ac:dyDescent="0.2">
      <c r="A298" t="s">
        <v>56</v>
      </c>
      <c r="B298" t="s">
        <v>156</v>
      </c>
      <c r="C298" t="s">
        <v>1666</v>
      </c>
      <c r="D298" s="10" t="s">
        <v>8213</v>
      </c>
      <c r="E298" t="s">
        <v>8214</v>
      </c>
      <c r="F298" s="125">
        <f>'3. Use Cases Catalog'!I286*1000000</f>
        <v>2.1</v>
      </c>
      <c r="G298" s="125">
        <f>'3. Use Cases Catalog'!I286*1000000</f>
        <v>2.1</v>
      </c>
      <c r="H298" s="10" t="s">
        <v>7470</v>
      </c>
      <c r="I298" t="s">
        <v>8215</v>
      </c>
      <c r="J298" s="125">
        <f>'3. Use Cases Catalog'!J286*1000000</f>
        <v>19.2</v>
      </c>
      <c r="K298" s="125">
        <f>'3. Use Cases Catalog'!J286*1000000</f>
        <v>19.2</v>
      </c>
      <c r="L298" s="123"/>
      <c r="M298" s="124"/>
      <c r="N298" t="s">
        <v>130</v>
      </c>
      <c r="O298" s="125" t="str">
        <f t="shared" si="8"/>
        <v/>
      </c>
      <c r="P298" s="125">
        <f>'3. Use Cases Catalog'!K286*1000000</f>
        <v>0</v>
      </c>
      <c r="Q298" s="126"/>
      <c r="R298" s="124"/>
      <c r="S298" s="125" t="str">
        <f t="shared" si="9"/>
        <v/>
      </c>
      <c r="T298" s="125">
        <f>'3. Use Cases Catalog'!L286*1000000</f>
        <v>0</v>
      </c>
    </row>
    <row r="299" spans="1:20" x14ac:dyDescent="0.2">
      <c r="A299" t="s">
        <v>56</v>
      </c>
      <c r="B299" t="s">
        <v>164</v>
      </c>
      <c r="C299" t="s">
        <v>899</v>
      </c>
      <c r="D299" s="10" t="s">
        <v>8216</v>
      </c>
      <c r="E299" t="s">
        <v>8217</v>
      </c>
      <c r="F299" s="125">
        <f>'3. Use Cases Catalog'!I287*1000000</f>
        <v>3.4</v>
      </c>
      <c r="G299" s="125">
        <f>'3. Use Cases Catalog'!I287*1000000</f>
        <v>3.4</v>
      </c>
      <c r="H299" s="10" t="s">
        <v>8218</v>
      </c>
      <c r="I299" t="s">
        <v>8219</v>
      </c>
      <c r="J299" s="125">
        <f>'3. Use Cases Catalog'!J287*1000000</f>
        <v>12.8</v>
      </c>
      <c r="K299" s="125">
        <f>'3. Use Cases Catalog'!J287*1000000</f>
        <v>12.8</v>
      </c>
      <c r="L299" s="123"/>
      <c r="M299" s="124"/>
      <c r="N299" t="s">
        <v>130</v>
      </c>
      <c r="O299" s="125" t="str">
        <f t="shared" si="8"/>
        <v/>
      </c>
      <c r="P299" s="125">
        <f>'3. Use Cases Catalog'!K287*1000000</f>
        <v>0</v>
      </c>
      <c r="Q299" s="126"/>
      <c r="R299" s="124"/>
      <c r="S299" s="125" t="str">
        <f t="shared" si="9"/>
        <v/>
      </c>
      <c r="T299" s="125">
        <f>'3. Use Cases Catalog'!L287*1000000</f>
        <v>0</v>
      </c>
    </row>
    <row r="300" spans="1:20" x14ac:dyDescent="0.2">
      <c r="A300" t="s">
        <v>56</v>
      </c>
      <c r="B300" t="s">
        <v>172</v>
      </c>
      <c r="C300" t="s">
        <v>1676</v>
      </c>
      <c r="D300" s="10" t="s">
        <v>8220</v>
      </c>
      <c r="E300" t="s">
        <v>8221</v>
      </c>
      <c r="F300" s="125">
        <f>'3. Use Cases Catalog'!I288*1000000</f>
        <v>4.5999999999999996</v>
      </c>
      <c r="G300" s="125">
        <f>'3. Use Cases Catalog'!I288*1000000</f>
        <v>4.5999999999999996</v>
      </c>
      <c r="H300" s="10"/>
      <c r="I300" t="s">
        <v>129</v>
      </c>
      <c r="J300" s="125">
        <f>'3. Use Cases Catalog'!J288*1000000</f>
        <v>0</v>
      </c>
      <c r="K300" s="125">
        <f>'3. Use Cases Catalog'!J288*1000000</f>
        <v>0</v>
      </c>
      <c r="L300" s="123"/>
      <c r="M300" s="124"/>
      <c r="N300" t="s">
        <v>130</v>
      </c>
      <c r="O300" s="125" t="str">
        <f t="shared" si="8"/>
        <v/>
      </c>
      <c r="P300" s="125">
        <f>'3. Use Cases Catalog'!K288*1000000</f>
        <v>0</v>
      </c>
      <c r="Q300" s="126">
        <v>16</v>
      </c>
      <c r="R300" s="124"/>
      <c r="S300" s="125" t="str">
        <f t="shared" si="9"/>
        <v/>
      </c>
      <c r="T300" s="125">
        <f>'3. Use Cases Catalog'!L288*1000000</f>
        <v>14.3</v>
      </c>
    </row>
    <row r="301" spans="1:20" x14ac:dyDescent="0.2">
      <c r="A301" t="s">
        <v>56</v>
      </c>
      <c r="B301" t="s">
        <v>179</v>
      </c>
      <c r="C301" t="s">
        <v>1681</v>
      </c>
      <c r="D301" s="10" t="s">
        <v>8222</v>
      </c>
      <c r="E301" t="s">
        <v>8223</v>
      </c>
      <c r="F301" s="125">
        <f>'3. Use Cases Catalog'!I289*1000000</f>
        <v>7.8</v>
      </c>
      <c r="G301" s="125">
        <f>'3. Use Cases Catalog'!I289*1000000</f>
        <v>7.8</v>
      </c>
      <c r="H301" s="10"/>
      <c r="I301" t="s">
        <v>129</v>
      </c>
      <c r="J301" s="125">
        <f>'3. Use Cases Catalog'!J289*1000000</f>
        <v>0</v>
      </c>
      <c r="K301" s="125">
        <f>'3. Use Cases Catalog'!J289*1000000</f>
        <v>0</v>
      </c>
      <c r="L301" s="123"/>
      <c r="M301" s="124"/>
      <c r="N301" t="s">
        <v>130</v>
      </c>
      <c r="O301" s="125" t="str">
        <f t="shared" si="8"/>
        <v/>
      </c>
      <c r="P301" s="125">
        <f>'3. Use Cases Catalog'!K289*1000000</f>
        <v>0</v>
      </c>
      <c r="Q301" s="126">
        <v>5</v>
      </c>
      <c r="R301" s="124"/>
      <c r="S301" s="125" t="str">
        <f t="shared" si="9"/>
        <v/>
      </c>
      <c r="T301" s="125">
        <f>'3. Use Cases Catalog'!L289*1000000</f>
        <v>3.2</v>
      </c>
    </row>
    <row r="302" spans="1:20" x14ac:dyDescent="0.2">
      <c r="A302" t="s">
        <v>56</v>
      </c>
      <c r="B302" t="s">
        <v>186</v>
      </c>
      <c r="C302" t="s">
        <v>864</v>
      </c>
      <c r="D302" s="10" t="s">
        <v>8224</v>
      </c>
      <c r="E302" t="s">
        <v>8225</v>
      </c>
      <c r="F302" s="125">
        <f>'3. Use Cases Catalog'!I290*1000000</f>
        <v>4.2</v>
      </c>
      <c r="G302" s="125">
        <f>'3. Use Cases Catalog'!I290*1000000</f>
        <v>4.2</v>
      </c>
      <c r="H302" s="10"/>
      <c r="I302" t="s">
        <v>129</v>
      </c>
      <c r="J302" s="125">
        <f>'3. Use Cases Catalog'!J290*1000000</f>
        <v>0</v>
      </c>
      <c r="K302" s="125">
        <f>'3. Use Cases Catalog'!J290*1000000</f>
        <v>0</v>
      </c>
      <c r="L302" s="123">
        <v>0.5</v>
      </c>
      <c r="M302" s="124">
        <v>29800000</v>
      </c>
      <c r="N302" t="s">
        <v>8226</v>
      </c>
      <c r="O302" s="125">
        <f t="shared" si="8"/>
        <v>9498750</v>
      </c>
      <c r="P302" s="125">
        <f>'3. Use Cases Catalog'!K290*1000000</f>
        <v>8.9</v>
      </c>
      <c r="Q302" s="126"/>
      <c r="R302" s="124"/>
      <c r="S302" s="125" t="str">
        <f t="shared" si="9"/>
        <v/>
      </c>
      <c r="T302" s="125">
        <f>'3. Use Cases Catalog'!L290*1000000</f>
        <v>0</v>
      </c>
    </row>
    <row r="303" spans="1:20" x14ac:dyDescent="0.2">
      <c r="A303" t="s">
        <v>56</v>
      </c>
      <c r="B303" t="s">
        <v>194</v>
      </c>
      <c r="C303" t="s">
        <v>1611</v>
      </c>
      <c r="D303" s="10" t="s">
        <v>8227</v>
      </c>
      <c r="E303" t="s">
        <v>8228</v>
      </c>
      <c r="F303" s="125">
        <f>'3. Use Cases Catalog'!I291*1000000</f>
        <v>3.8</v>
      </c>
      <c r="G303" s="125">
        <f>'3. Use Cases Catalog'!I291*1000000</f>
        <v>3.8</v>
      </c>
      <c r="H303" s="10"/>
      <c r="I303" t="s">
        <v>129</v>
      </c>
      <c r="J303" s="125">
        <f>'3. Use Cases Catalog'!J291*1000000</f>
        <v>0</v>
      </c>
      <c r="K303" s="125">
        <f>'3. Use Cases Catalog'!J291*1000000</f>
        <v>0</v>
      </c>
      <c r="L303" s="123">
        <v>0.3</v>
      </c>
      <c r="M303" s="124">
        <v>7800000</v>
      </c>
      <c r="N303" t="s">
        <v>8229</v>
      </c>
      <c r="O303" s="125">
        <f t="shared" si="8"/>
        <v>1491750</v>
      </c>
      <c r="P303" s="125">
        <f>'3. Use Cases Catalog'!K291*1000000</f>
        <v>1.4</v>
      </c>
      <c r="Q303" s="126"/>
      <c r="R303" s="124"/>
      <c r="S303" s="125" t="str">
        <f t="shared" si="9"/>
        <v/>
      </c>
      <c r="T303" s="125">
        <f>'3. Use Cases Catalog'!L291*1000000</f>
        <v>0</v>
      </c>
    </row>
    <row r="304" spans="1:20" x14ac:dyDescent="0.2">
      <c r="A304" t="s">
        <v>59</v>
      </c>
      <c r="B304" t="s">
        <v>141</v>
      </c>
      <c r="C304" t="s">
        <v>1694</v>
      </c>
      <c r="D304" s="10" t="s">
        <v>8230</v>
      </c>
      <c r="E304" t="s">
        <v>8231</v>
      </c>
      <c r="F304" s="125">
        <f>'3. Use Cases Catalog'!I292*1000000</f>
        <v>8.6</v>
      </c>
      <c r="G304" s="125">
        <f>'3. Use Cases Catalog'!I292*1000000</f>
        <v>8.6</v>
      </c>
      <c r="H304" s="10"/>
      <c r="I304" t="s">
        <v>129</v>
      </c>
      <c r="J304" s="125">
        <f>'3. Use Cases Catalog'!J292*1000000</f>
        <v>0</v>
      </c>
      <c r="K304" s="125">
        <f>'3. Use Cases Catalog'!J292*1000000</f>
        <v>0</v>
      </c>
      <c r="L304" s="123">
        <v>0.25</v>
      </c>
      <c r="M304" s="124">
        <v>14000000</v>
      </c>
      <c r="N304" t="s">
        <v>8232</v>
      </c>
      <c r="O304" s="125">
        <f t="shared" si="8"/>
        <v>2231250</v>
      </c>
      <c r="P304" s="125">
        <f>'3. Use Cases Catalog'!K292*1000000</f>
        <v>2.1</v>
      </c>
      <c r="Q304" s="126">
        <v>7</v>
      </c>
      <c r="R304" s="124"/>
      <c r="S304" s="125" t="str">
        <f t="shared" si="9"/>
        <v/>
      </c>
      <c r="T304" s="125">
        <f>'3. Use Cases Catalog'!L292*1000000</f>
        <v>9.1999999999999993</v>
      </c>
    </row>
    <row r="305" spans="1:20" x14ac:dyDescent="0.2">
      <c r="A305" t="s">
        <v>59</v>
      </c>
      <c r="B305" t="s">
        <v>149</v>
      </c>
      <c r="C305" t="s">
        <v>1699</v>
      </c>
      <c r="D305" s="10" t="s">
        <v>8233</v>
      </c>
      <c r="E305" t="s">
        <v>8234</v>
      </c>
      <c r="F305" s="125">
        <f>'3. Use Cases Catalog'!I293*1000000</f>
        <v>14.9</v>
      </c>
      <c r="G305" s="125">
        <f>'3. Use Cases Catalog'!I293*1000000</f>
        <v>14.9</v>
      </c>
      <c r="H305" s="10"/>
      <c r="I305" t="s">
        <v>129</v>
      </c>
      <c r="J305" s="125">
        <f>'3. Use Cases Catalog'!J293*1000000</f>
        <v>0</v>
      </c>
      <c r="K305" s="125">
        <f>'3. Use Cases Catalog'!J293*1000000</f>
        <v>0</v>
      </c>
      <c r="L305" s="123">
        <v>0.3</v>
      </c>
      <c r="M305" s="124">
        <v>12000000</v>
      </c>
      <c r="N305" t="s">
        <v>7572</v>
      </c>
      <c r="O305" s="125">
        <f t="shared" si="8"/>
        <v>2295000</v>
      </c>
      <c r="P305" s="125">
        <f>'3. Use Cases Catalog'!K293*1000000</f>
        <v>1.8</v>
      </c>
      <c r="Q305" s="126"/>
      <c r="R305" s="124"/>
      <c r="S305" s="125" t="str">
        <f t="shared" si="9"/>
        <v/>
      </c>
      <c r="T305" s="125">
        <f>'3. Use Cases Catalog'!L293*1000000</f>
        <v>0</v>
      </c>
    </row>
    <row r="306" spans="1:20" x14ac:dyDescent="0.2">
      <c r="A306" t="s">
        <v>59</v>
      </c>
      <c r="B306" t="s">
        <v>186</v>
      </c>
      <c r="C306" t="s">
        <v>1705</v>
      </c>
      <c r="D306" s="10" t="s">
        <v>8235</v>
      </c>
      <c r="E306" t="s">
        <v>8236</v>
      </c>
      <c r="F306" s="125">
        <f>'3. Use Cases Catalog'!I294*1000000</f>
        <v>1.8</v>
      </c>
      <c r="G306" s="125">
        <f>'3. Use Cases Catalog'!I294*1000000</f>
        <v>1.8</v>
      </c>
      <c r="H306" s="10" t="s">
        <v>8237</v>
      </c>
      <c r="I306" t="s">
        <v>8238</v>
      </c>
      <c r="J306" s="125">
        <f>'3. Use Cases Catalog'!J294*1000000</f>
        <v>5.8</v>
      </c>
      <c r="K306" s="125">
        <f>'3. Use Cases Catalog'!J294*1000000</f>
        <v>5.8</v>
      </c>
      <c r="L306" s="123"/>
      <c r="M306" s="124"/>
      <c r="N306" t="s">
        <v>130</v>
      </c>
      <c r="O306" s="125" t="str">
        <f t="shared" si="8"/>
        <v/>
      </c>
      <c r="P306" s="125">
        <f>'3. Use Cases Catalog'!K294*1000000</f>
        <v>0</v>
      </c>
      <c r="Q306" s="126"/>
      <c r="R306" s="124"/>
      <c r="S306" s="125" t="str">
        <f t="shared" si="9"/>
        <v/>
      </c>
      <c r="T306" s="125">
        <f>'3. Use Cases Catalog'!L294*1000000</f>
        <v>0</v>
      </c>
    </row>
    <row r="307" spans="1:20" x14ac:dyDescent="0.2">
      <c r="A307" t="s">
        <v>59</v>
      </c>
      <c r="B307" t="s">
        <v>194</v>
      </c>
      <c r="C307" t="s">
        <v>1710</v>
      </c>
      <c r="D307" s="10" t="s">
        <v>8239</v>
      </c>
      <c r="E307" t="s">
        <v>8240</v>
      </c>
      <c r="F307" s="125">
        <f>'3. Use Cases Catalog'!I295*1000000</f>
        <v>2.1</v>
      </c>
      <c r="G307" s="125">
        <f>'3. Use Cases Catalog'!I295*1000000</f>
        <v>2.1</v>
      </c>
      <c r="H307" s="10"/>
      <c r="I307" t="s">
        <v>129</v>
      </c>
      <c r="J307" s="125">
        <f>'3. Use Cases Catalog'!J295*1000000</f>
        <v>0</v>
      </c>
      <c r="K307" s="125">
        <f>'3. Use Cases Catalog'!J295*1000000</f>
        <v>0</v>
      </c>
      <c r="L307" s="123"/>
      <c r="M307" s="124"/>
      <c r="N307" t="s">
        <v>130</v>
      </c>
      <c r="O307" s="125" t="str">
        <f t="shared" si="8"/>
        <v/>
      </c>
      <c r="P307" s="125">
        <f>'3. Use Cases Catalog'!K295*1000000</f>
        <v>0</v>
      </c>
      <c r="Q307" s="126">
        <v>15</v>
      </c>
      <c r="R307" s="124"/>
      <c r="S307" s="125" t="str">
        <f t="shared" si="9"/>
        <v/>
      </c>
      <c r="T307" s="125">
        <f>'3. Use Cases Catalog'!L295*1000000</f>
        <v>18.399999999999999</v>
      </c>
    </row>
    <row r="308" spans="1:20" x14ac:dyDescent="0.2">
      <c r="A308" t="s">
        <v>59</v>
      </c>
      <c r="B308" t="s">
        <v>123</v>
      </c>
      <c r="C308" t="s">
        <v>1714</v>
      </c>
      <c r="D308" s="10" t="s">
        <v>8241</v>
      </c>
      <c r="E308" t="s">
        <v>8242</v>
      </c>
      <c r="F308" s="125">
        <f>'3. Use Cases Catalog'!I296*1000000</f>
        <v>3.8</v>
      </c>
      <c r="G308" s="125">
        <f>'3. Use Cases Catalog'!I296*1000000</f>
        <v>3.8</v>
      </c>
      <c r="H308" s="10" t="s">
        <v>8243</v>
      </c>
      <c r="I308" t="s">
        <v>8244</v>
      </c>
      <c r="J308" s="125">
        <f>'3. Use Cases Catalog'!J296*1000000</f>
        <v>7.4</v>
      </c>
      <c r="K308" s="125">
        <f>'3. Use Cases Catalog'!J296*1000000</f>
        <v>7.4</v>
      </c>
      <c r="L308" s="123"/>
      <c r="M308" s="124"/>
      <c r="N308" t="s">
        <v>130</v>
      </c>
      <c r="O308" s="125" t="str">
        <f t="shared" si="8"/>
        <v/>
      </c>
      <c r="P308" s="125">
        <f>'3. Use Cases Catalog'!K296*1000000</f>
        <v>0</v>
      </c>
      <c r="Q308" s="126"/>
      <c r="R308" s="124"/>
      <c r="S308" s="125" t="str">
        <f t="shared" si="9"/>
        <v/>
      </c>
      <c r="T308" s="125">
        <f>'3. Use Cases Catalog'!L296*1000000</f>
        <v>0</v>
      </c>
    </row>
    <row r="309" spans="1:20" x14ac:dyDescent="0.2">
      <c r="A309" t="s">
        <v>59</v>
      </c>
      <c r="B309" t="s">
        <v>133</v>
      </c>
      <c r="C309" t="s">
        <v>1720</v>
      </c>
      <c r="D309" s="10" t="s">
        <v>8245</v>
      </c>
      <c r="E309" t="s">
        <v>8246</v>
      </c>
      <c r="F309" s="125">
        <f>'3. Use Cases Catalog'!I297*1000000</f>
        <v>7.3</v>
      </c>
      <c r="G309" s="125">
        <f>'3. Use Cases Catalog'!I297*1000000</f>
        <v>7.3</v>
      </c>
      <c r="H309" s="10"/>
      <c r="I309" t="s">
        <v>129</v>
      </c>
      <c r="J309" s="125">
        <f>'3. Use Cases Catalog'!J297*1000000</f>
        <v>0</v>
      </c>
      <c r="K309" s="125">
        <f>'3. Use Cases Catalog'!J297*1000000</f>
        <v>0</v>
      </c>
      <c r="L309" s="123"/>
      <c r="M309" s="124"/>
      <c r="N309" t="s">
        <v>130</v>
      </c>
      <c r="O309" s="125" t="str">
        <f t="shared" si="8"/>
        <v/>
      </c>
      <c r="P309" s="125">
        <f>'3. Use Cases Catalog'!K297*1000000</f>
        <v>0</v>
      </c>
      <c r="Q309" s="126">
        <v>12</v>
      </c>
      <c r="R309" s="124"/>
      <c r="S309" s="125" t="str">
        <f t="shared" si="9"/>
        <v/>
      </c>
      <c r="T309" s="125">
        <f>'3. Use Cases Catalog'!L297*1000000</f>
        <v>15.8</v>
      </c>
    </row>
    <row r="310" spans="1:20" x14ac:dyDescent="0.2">
      <c r="A310" t="s">
        <v>59</v>
      </c>
      <c r="B310" t="s">
        <v>156</v>
      </c>
      <c r="C310" t="s">
        <v>1724</v>
      </c>
      <c r="D310" s="10" t="s">
        <v>8247</v>
      </c>
      <c r="E310" t="s">
        <v>8248</v>
      </c>
      <c r="F310" s="125">
        <f>'3. Use Cases Catalog'!I298*1000000</f>
        <v>6.8</v>
      </c>
      <c r="G310" s="125">
        <f>'3. Use Cases Catalog'!I298*1000000</f>
        <v>6.8</v>
      </c>
      <c r="H310" s="10"/>
      <c r="I310" t="s">
        <v>129</v>
      </c>
      <c r="J310" s="125">
        <f>'3. Use Cases Catalog'!J298*1000000</f>
        <v>0</v>
      </c>
      <c r="K310" s="125">
        <f>'3. Use Cases Catalog'!J298*1000000</f>
        <v>0</v>
      </c>
      <c r="L310" s="123"/>
      <c r="M310" s="124"/>
      <c r="N310" t="s">
        <v>130</v>
      </c>
      <c r="O310" s="125" t="str">
        <f t="shared" si="8"/>
        <v/>
      </c>
      <c r="P310" s="125">
        <f>'3. Use Cases Catalog'!K298*1000000</f>
        <v>0</v>
      </c>
      <c r="Q310" s="126">
        <v>8</v>
      </c>
      <c r="R310" s="124"/>
      <c r="S310" s="125" t="str">
        <f t="shared" si="9"/>
        <v/>
      </c>
      <c r="T310" s="125">
        <f>'3. Use Cases Catalog'!L298*1000000</f>
        <v>5.0999999999999996</v>
      </c>
    </row>
    <row r="311" spans="1:20" x14ac:dyDescent="0.2">
      <c r="A311" t="s">
        <v>59</v>
      </c>
      <c r="B311" t="s">
        <v>164</v>
      </c>
      <c r="C311" t="s">
        <v>8249</v>
      </c>
      <c r="D311" s="10" t="s">
        <v>8250</v>
      </c>
      <c r="E311" t="s">
        <v>8251</v>
      </c>
      <c r="F311" s="125">
        <f>'3. Use Cases Catalog'!I299*1000000</f>
        <v>3.2</v>
      </c>
      <c r="G311" s="125">
        <f>'3. Use Cases Catalog'!I299*1000000</f>
        <v>3.2</v>
      </c>
      <c r="H311" s="10"/>
      <c r="I311" t="s">
        <v>129</v>
      </c>
      <c r="J311" s="125">
        <f>'3. Use Cases Catalog'!J299*1000000</f>
        <v>0</v>
      </c>
      <c r="K311" s="125">
        <f>'3. Use Cases Catalog'!J299*1000000</f>
        <v>0</v>
      </c>
      <c r="L311" s="123">
        <v>0.2</v>
      </c>
      <c r="M311" s="124">
        <v>5000000</v>
      </c>
      <c r="N311" t="s">
        <v>7572</v>
      </c>
      <c r="O311" s="125">
        <f t="shared" si="8"/>
        <v>637500</v>
      </c>
      <c r="P311" s="125">
        <f>'3. Use Cases Catalog'!K299*1000000</f>
        <v>0.6</v>
      </c>
      <c r="Q311" s="126"/>
      <c r="R311" s="124"/>
      <c r="S311" s="125" t="str">
        <f t="shared" si="9"/>
        <v/>
      </c>
      <c r="T311" s="125">
        <f>'3. Use Cases Catalog'!L299*1000000</f>
        <v>0</v>
      </c>
    </row>
    <row r="312" spans="1:20" x14ac:dyDescent="0.2">
      <c r="A312" t="s">
        <v>59</v>
      </c>
      <c r="B312" t="s">
        <v>172</v>
      </c>
      <c r="C312" t="s">
        <v>8252</v>
      </c>
      <c r="D312" s="10" t="s">
        <v>8253</v>
      </c>
      <c r="E312" t="s">
        <v>8254</v>
      </c>
      <c r="F312" s="125">
        <f>'3. Use Cases Catalog'!I300*1000000</f>
        <v>4.5999999999999996</v>
      </c>
      <c r="G312" s="125">
        <f>'3. Use Cases Catalog'!I300*1000000</f>
        <v>4.5999999999999996</v>
      </c>
      <c r="H312" s="10"/>
      <c r="I312" t="s">
        <v>129</v>
      </c>
      <c r="J312" s="125">
        <f>'3. Use Cases Catalog'!J300*1000000</f>
        <v>0</v>
      </c>
      <c r="K312" s="125">
        <f>'3. Use Cases Catalog'!J300*1000000</f>
        <v>0</v>
      </c>
      <c r="L312" s="123">
        <v>0.5</v>
      </c>
      <c r="M312" s="124">
        <v>14000000</v>
      </c>
      <c r="N312" t="s">
        <v>8255</v>
      </c>
      <c r="O312" s="125">
        <f t="shared" si="8"/>
        <v>4462500</v>
      </c>
      <c r="P312" s="125">
        <f>'3. Use Cases Catalog'!K300*1000000</f>
        <v>4.2</v>
      </c>
      <c r="Q312" s="126"/>
      <c r="R312" s="124"/>
      <c r="S312" s="125" t="str">
        <f t="shared" si="9"/>
        <v/>
      </c>
      <c r="T312" s="125">
        <f>'3. Use Cases Catalog'!L300*1000000</f>
        <v>0</v>
      </c>
    </row>
    <row r="313" spans="1:20" x14ac:dyDescent="0.2">
      <c r="A313" t="s">
        <v>59</v>
      </c>
      <c r="B313" t="s">
        <v>179</v>
      </c>
      <c r="C313" t="s">
        <v>1737</v>
      </c>
      <c r="D313" s="10" t="s">
        <v>8256</v>
      </c>
      <c r="E313" t="s">
        <v>8257</v>
      </c>
      <c r="F313" s="125">
        <f>'3. Use Cases Catalog'!I301*1000000</f>
        <v>3.5</v>
      </c>
      <c r="G313" s="125">
        <f>'3. Use Cases Catalog'!I301*1000000</f>
        <v>3.5</v>
      </c>
      <c r="H313" s="10"/>
      <c r="I313" t="s">
        <v>129</v>
      </c>
      <c r="J313" s="125">
        <f>'3. Use Cases Catalog'!J301*1000000</f>
        <v>0</v>
      </c>
      <c r="K313" s="125">
        <f>'3. Use Cases Catalog'!J301*1000000</f>
        <v>0</v>
      </c>
      <c r="L313" s="123">
        <v>0.35</v>
      </c>
      <c r="M313" s="124">
        <v>5500000</v>
      </c>
      <c r="N313" t="s">
        <v>8258</v>
      </c>
      <c r="O313" s="125">
        <f t="shared" si="8"/>
        <v>1227187.4999999998</v>
      </c>
      <c r="P313" s="125">
        <f>'3. Use Cases Catalog'!K301*1000000</f>
        <v>1.2</v>
      </c>
      <c r="Q313" s="126"/>
      <c r="R313" s="124"/>
      <c r="S313" s="125" t="str">
        <f t="shared" si="9"/>
        <v/>
      </c>
      <c r="T313" s="125">
        <f>'3. Use Cases Catalog'!L301*1000000</f>
        <v>0</v>
      </c>
    </row>
    <row r="314" spans="1:20" x14ac:dyDescent="0.2">
      <c r="A314" t="s">
        <v>91</v>
      </c>
      <c r="B314" t="s">
        <v>123</v>
      </c>
      <c r="C314" t="s">
        <v>1743</v>
      </c>
      <c r="D314" s="10" t="s">
        <v>8259</v>
      </c>
      <c r="E314" t="s">
        <v>8260</v>
      </c>
      <c r="F314" s="125">
        <f>'3. Use Cases Catalog'!I302*1000000</f>
        <v>7.4</v>
      </c>
      <c r="G314" s="125">
        <f>'3. Use Cases Catalog'!I302*1000000</f>
        <v>7.4</v>
      </c>
      <c r="H314" s="10"/>
      <c r="I314" t="s">
        <v>129</v>
      </c>
      <c r="J314" s="125">
        <f>'3. Use Cases Catalog'!J302*1000000</f>
        <v>0</v>
      </c>
      <c r="K314" s="125">
        <f>'3. Use Cases Catalog'!J302*1000000</f>
        <v>0</v>
      </c>
      <c r="L314" s="123"/>
      <c r="M314" s="124"/>
      <c r="N314" t="s">
        <v>130</v>
      </c>
      <c r="O314" s="125" t="str">
        <f t="shared" si="8"/>
        <v/>
      </c>
      <c r="P314" s="125">
        <f>'3. Use Cases Catalog'!K302*1000000</f>
        <v>0</v>
      </c>
      <c r="Q314" s="126"/>
      <c r="R314" s="124"/>
      <c r="S314" s="125" t="str">
        <f t="shared" si="9"/>
        <v/>
      </c>
      <c r="T314" s="125">
        <f>'3. Use Cases Catalog'!L302*1000000</f>
        <v>0</v>
      </c>
    </row>
    <row r="315" spans="1:20" x14ac:dyDescent="0.2">
      <c r="A315" t="s">
        <v>91</v>
      </c>
      <c r="B315" t="s">
        <v>149</v>
      </c>
      <c r="C315" t="s">
        <v>1747</v>
      </c>
      <c r="D315" s="10" t="s">
        <v>8261</v>
      </c>
      <c r="E315" t="s">
        <v>8262</v>
      </c>
      <c r="F315" s="125">
        <f>'3. Use Cases Catalog'!I303*1000000</f>
        <v>400000</v>
      </c>
      <c r="G315" s="125">
        <f>'3. Use Cases Catalog'!I303*1000000</f>
        <v>400000</v>
      </c>
      <c r="H315" s="10" t="s">
        <v>8263</v>
      </c>
      <c r="I315" t="s">
        <v>8264</v>
      </c>
      <c r="J315" s="125">
        <f>'3. Use Cases Catalog'!J303*1000000</f>
        <v>4.8</v>
      </c>
      <c r="K315" s="125">
        <f>'3. Use Cases Catalog'!J303*1000000</f>
        <v>4.8</v>
      </c>
      <c r="L315" s="123"/>
      <c r="M315" s="124"/>
      <c r="N315" t="s">
        <v>130</v>
      </c>
      <c r="O315" s="125" t="str">
        <f t="shared" si="8"/>
        <v/>
      </c>
      <c r="P315" s="125">
        <f>'3. Use Cases Catalog'!K303*1000000</f>
        <v>0</v>
      </c>
      <c r="Q315" s="126"/>
      <c r="R315" s="124"/>
      <c r="S315" s="125" t="str">
        <f t="shared" si="9"/>
        <v/>
      </c>
      <c r="T315" s="125">
        <f>'3. Use Cases Catalog'!L303*1000000</f>
        <v>0</v>
      </c>
    </row>
    <row r="316" spans="1:20" x14ac:dyDescent="0.2">
      <c r="A316" t="s">
        <v>91</v>
      </c>
      <c r="B316" t="s">
        <v>141</v>
      </c>
      <c r="C316" t="s">
        <v>8265</v>
      </c>
      <c r="D316" s="10" t="s">
        <v>8266</v>
      </c>
      <c r="E316" t="s">
        <v>8267</v>
      </c>
      <c r="F316" s="125">
        <f>'3. Use Cases Catalog'!I304*1000000</f>
        <v>1.6</v>
      </c>
      <c r="G316" s="125">
        <f>'3. Use Cases Catalog'!I304*1000000</f>
        <v>1.6</v>
      </c>
      <c r="H316" s="10"/>
      <c r="I316" t="s">
        <v>129</v>
      </c>
      <c r="J316" s="125">
        <f>'3. Use Cases Catalog'!J304*1000000</f>
        <v>0</v>
      </c>
      <c r="K316" s="125">
        <f>'3. Use Cases Catalog'!J304*1000000</f>
        <v>0</v>
      </c>
      <c r="L316" s="123"/>
      <c r="M316" s="124"/>
      <c r="N316" t="s">
        <v>130</v>
      </c>
      <c r="O316" s="125" t="str">
        <f t="shared" si="8"/>
        <v/>
      </c>
      <c r="P316" s="125">
        <f>'3. Use Cases Catalog'!K304*1000000</f>
        <v>0</v>
      </c>
      <c r="Q316" s="126">
        <v>0.4</v>
      </c>
      <c r="R316" s="124"/>
      <c r="S316" s="125" t="str">
        <f t="shared" si="9"/>
        <v/>
      </c>
      <c r="T316" s="125">
        <f>'3. Use Cases Catalog'!L304*1000000</f>
        <v>1.9</v>
      </c>
    </row>
    <row r="317" spans="1:20" x14ac:dyDescent="0.2">
      <c r="A317" t="s">
        <v>91</v>
      </c>
      <c r="B317" t="s">
        <v>133</v>
      </c>
      <c r="C317" t="s">
        <v>1759</v>
      </c>
      <c r="D317" s="10" t="s">
        <v>8268</v>
      </c>
      <c r="E317" t="s">
        <v>8269</v>
      </c>
      <c r="F317" s="125">
        <f>'3. Use Cases Catalog'!I305*1000000</f>
        <v>900000</v>
      </c>
      <c r="G317" s="125">
        <f>'3. Use Cases Catalog'!I305*1000000</f>
        <v>900000</v>
      </c>
      <c r="H317" s="10"/>
      <c r="I317" t="s">
        <v>129</v>
      </c>
      <c r="J317" s="125">
        <f>'3. Use Cases Catalog'!J305*1000000</f>
        <v>0</v>
      </c>
      <c r="K317" s="125">
        <f>'3. Use Cases Catalog'!J305*1000000</f>
        <v>0</v>
      </c>
      <c r="L317" s="123"/>
      <c r="M317" s="124"/>
      <c r="N317" t="s">
        <v>130</v>
      </c>
      <c r="O317" s="125" t="str">
        <f t="shared" si="8"/>
        <v/>
      </c>
      <c r="P317" s="125">
        <f>'3. Use Cases Catalog'!K305*1000000</f>
        <v>0</v>
      </c>
      <c r="Q317" s="126"/>
      <c r="R317" s="124"/>
      <c r="S317" s="125" t="str">
        <f t="shared" si="9"/>
        <v/>
      </c>
      <c r="T317" s="125">
        <f>'3. Use Cases Catalog'!L305*1000000</f>
        <v>0</v>
      </c>
    </row>
    <row r="318" spans="1:20" x14ac:dyDescent="0.2">
      <c r="A318" t="s">
        <v>91</v>
      </c>
      <c r="B318" t="s">
        <v>156</v>
      </c>
      <c r="C318" t="s">
        <v>1764</v>
      </c>
      <c r="D318" s="10" t="s">
        <v>8270</v>
      </c>
      <c r="E318" t="s">
        <v>8271</v>
      </c>
      <c r="F318" s="125">
        <f>'3. Use Cases Catalog'!I306*1000000</f>
        <v>300000</v>
      </c>
      <c r="G318" s="125">
        <f>'3. Use Cases Catalog'!I306*1000000</f>
        <v>300000</v>
      </c>
      <c r="H318" s="10"/>
      <c r="I318" t="s">
        <v>129</v>
      </c>
      <c r="J318" s="125">
        <f>'3. Use Cases Catalog'!J306*1000000</f>
        <v>0</v>
      </c>
      <c r="K318" s="125">
        <f>'3. Use Cases Catalog'!J306*1000000</f>
        <v>0</v>
      </c>
      <c r="L318" s="123">
        <v>0.75</v>
      </c>
      <c r="M318" s="124">
        <v>1800000</v>
      </c>
      <c r="N318" t="s">
        <v>7572</v>
      </c>
      <c r="O318" s="125">
        <f t="shared" si="8"/>
        <v>860625</v>
      </c>
      <c r="P318" s="125">
        <f>'3. Use Cases Catalog'!K306*1000000</f>
        <v>200000</v>
      </c>
      <c r="Q318" s="126"/>
      <c r="R318" s="124"/>
      <c r="S318" s="125" t="str">
        <f t="shared" si="9"/>
        <v/>
      </c>
      <c r="T318" s="125">
        <f>'3. Use Cases Catalog'!L306*1000000</f>
        <v>0</v>
      </c>
    </row>
    <row r="319" spans="1:20" x14ac:dyDescent="0.2">
      <c r="A319" t="s">
        <v>91</v>
      </c>
      <c r="B319" t="s">
        <v>164</v>
      </c>
      <c r="C319" t="s">
        <v>1769</v>
      </c>
      <c r="D319" s="10" t="s">
        <v>8272</v>
      </c>
      <c r="E319" t="s">
        <v>8273</v>
      </c>
      <c r="F319" s="125">
        <f>'3. Use Cases Catalog'!I307*1000000</f>
        <v>100000</v>
      </c>
      <c r="G319" s="125">
        <f>'3. Use Cases Catalog'!I307*1000000</f>
        <v>100000</v>
      </c>
      <c r="H319" s="10" t="s">
        <v>8274</v>
      </c>
      <c r="I319" t="s">
        <v>8275</v>
      </c>
      <c r="J319" s="125">
        <f>'3. Use Cases Catalog'!J307*1000000</f>
        <v>6.3</v>
      </c>
      <c r="K319" s="125">
        <f>'3. Use Cases Catalog'!J307*1000000</f>
        <v>6.3</v>
      </c>
      <c r="L319" s="123"/>
      <c r="M319" s="124"/>
      <c r="N319" t="s">
        <v>130</v>
      </c>
      <c r="O319" s="125" t="str">
        <f t="shared" si="8"/>
        <v/>
      </c>
      <c r="P319" s="125">
        <f>'3. Use Cases Catalog'!K307*1000000</f>
        <v>0</v>
      </c>
      <c r="Q319" s="126"/>
      <c r="R319" s="124"/>
      <c r="S319" s="125" t="str">
        <f t="shared" si="9"/>
        <v/>
      </c>
      <c r="T319" s="125">
        <f>'3. Use Cases Catalog'!L307*1000000</f>
        <v>0</v>
      </c>
    </row>
    <row r="320" spans="1:20" x14ac:dyDescent="0.2">
      <c r="A320" t="s">
        <v>91</v>
      </c>
      <c r="B320" t="s">
        <v>172</v>
      </c>
      <c r="C320" t="s">
        <v>1774</v>
      </c>
      <c r="D320" s="10" t="s">
        <v>8276</v>
      </c>
      <c r="E320" t="s">
        <v>8277</v>
      </c>
      <c r="F320" s="125">
        <f>'3. Use Cases Catalog'!I308*1000000</f>
        <v>100000</v>
      </c>
      <c r="G320" s="125">
        <f>'3. Use Cases Catalog'!I308*1000000</f>
        <v>100000</v>
      </c>
      <c r="H320" s="10"/>
      <c r="I320" t="s">
        <v>129</v>
      </c>
      <c r="J320" s="125">
        <f>'3. Use Cases Catalog'!J308*1000000</f>
        <v>0</v>
      </c>
      <c r="K320" s="125">
        <f>'3. Use Cases Catalog'!J308*1000000</f>
        <v>0</v>
      </c>
      <c r="L320" s="123"/>
      <c r="M320" s="124"/>
      <c r="N320" t="s">
        <v>130</v>
      </c>
      <c r="O320" s="125" t="str">
        <f t="shared" si="8"/>
        <v/>
      </c>
      <c r="P320" s="125">
        <f>'3. Use Cases Catalog'!K308*1000000</f>
        <v>0</v>
      </c>
      <c r="Q320" s="126">
        <v>15</v>
      </c>
      <c r="R320" s="124"/>
      <c r="S320" s="125" t="str">
        <f t="shared" si="9"/>
        <v/>
      </c>
      <c r="T320" s="125">
        <f>'3. Use Cases Catalog'!L308*1000000</f>
        <v>2.2000000000000002</v>
      </c>
    </row>
    <row r="321" spans="1:20" x14ac:dyDescent="0.2">
      <c r="A321" t="s">
        <v>91</v>
      </c>
      <c r="B321" t="s">
        <v>179</v>
      </c>
      <c r="C321" t="s">
        <v>1779</v>
      </c>
      <c r="D321" s="10" t="s">
        <v>8278</v>
      </c>
      <c r="E321" t="s">
        <v>8279</v>
      </c>
      <c r="F321" s="125">
        <f>'3. Use Cases Catalog'!I309*1000000</f>
        <v>1.1000000000000001</v>
      </c>
      <c r="G321" s="125">
        <f>'3. Use Cases Catalog'!I309*1000000</f>
        <v>1.1000000000000001</v>
      </c>
      <c r="H321" s="10"/>
      <c r="I321" t="s">
        <v>129</v>
      </c>
      <c r="J321" s="125">
        <f>'3. Use Cases Catalog'!J309*1000000</f>
        <v>0</v>
      </c>
      <c r="K321" s="125">
        <f>'3. Use Cases Catalog'!J309*1000000</f>
        <v>0</v>
      </c>
      <c r="L321" s="123"/>
      <c r="M321" s="124"/>
      <c r="N321" t="s">
        <v>130</v>
      </c>
      <c r="O321" s="125" t="str">
        <f t="shared" si="8"/>
        <v/>
      </c>
      <c r="P321" s="125">
        <f>'3. Use Cases Catalog'!K309*1000000</f>
        <v>0</v>
      </c>
      <c r="Q321" s="126"/>
      <c r="R321" s="124"/>
      <c r="S321" s="125" t="str">
        <f t="shared" si="9"/>
        <v/>
      </c>
      <c r="T321" s="125">
        <f>'3. Use Cases Catalog'!L309*1000000</f>
        <v>0</v>
      </c>
    </row>
    <row r="322" spans="1:20" x14ac:dyDescent="0.2">
      <c r="A322" t="s">
        <v>91</v>
      </c>
      <c r="B322" t="s">
        <v>186</v>
      </c>
      <c r="C322" t="s">
        <v>1784</v>
      </c>
      <c r="D322" s="10"/>
      <c r="E322" t="s">
        <v>1009</v>
      </c>
      <c r="F322" s="125">
        <f>'3. Use Cases Catalog'!I310*1000000</f>
        <v>0</v>
      </c>
      <c r="G322" s="125">
        <f>'3. Use Cases Catalog'!I310*1000000</f>
        <v>0</v>
      </c>
      <c r="H322" s="10" t="s">
        <v>8280</v>
      </c>
      <c r="I322" t="s">
        <v>8281</v>
      </c>
      <c r="J322" s="125">
        <f>'3. Use Cases Catalog'!J310*1000000</f>
        <v>8.1</v>
      </c>
      <c r="K322" s="125">
        <f>'3. Use Cases Catalog'!J310*1000000</f>
        <v>8.1</v>
      </c>
      <c r="L322" s="123"/>
      <c r="M322" s="124"/>
      <c r="N322" t="s">
        <v>130</v>
      </c>
      <c r="O322" s="125" t="str">
        <f t="shared" si="8"/>
        <v/>
      </c>
      <c r="P322" s="125">
        <f>'3. Use Cases Catalog'!K310*1000000</f>
        <v>0</v>
      </c>
      <c r="Q322" s="126"/>
      <c r="R322" s="124"/>
      <c r="S322" s="125" t="str">
        <f t="shared" si="9"/>
        <v/>
      </c>
      <c r="T322" s="125">
        <f>'3. Use Cases Catalog'!L310*1000000</f>
        <v>0</v>
      </c>
    </row>
    <row r="323" spans="1:20" x14ac:dyDescent="0.2">
      <c r="A323" t="s">
        <v>91</v>
      </c>
      <c r="B323" t="s">
        <v>194</v>
      </c>
      <c r="C323" t="s">
        <v>1788</v>
      </c>
      <c r="D323" s="10" t="s">
        <v>8282</v>
      </c>
      <c r="E323" t="s">
        <v>8283</v>
      </c>
      <c r="F323" s="125">
        <f>'3. Use Cases Catalog'!I311*1000000</f>
        <v>100000</v>
      </c>
      <c r="G323" s="125">
        <f>'3. Use Cases Catalog'!I311*1000000</f>
        <v>100000</v>
      </c>
      <c r="H323" s="10"/>
      <c r="I323" t="s">
        <v>129</v>
      </c>
      <c r="J323" s="125">
        <f>'3. Use Cases Catalog'!J311*1000000</f>
        <v>0</v>
      </c>
      <c r="K323" s="125">
        <f>'3. Use Cases Catalog'!J311*1000000</f>
        <v>0</v>
      </c>
      <c r="L323" s="123"/>
      <c r="M323" s="124"/>
      <c r="N323" t="s">
        <v>130</v>
      </c>
      <c r="O323" s="125" t="str">
        <f t="shared" si="8"/>
        <v/>
      </c>
      <c r="P323" s="125">
        <f>'3. Use Cases Catalog'!K311*1000000</f>
        <v>0</v>
      </c>
      <c r="Q323" s="126">
        <v>8</v>
      </c>
      <c r="R323" s="124"/>
      <c r="S323" s="125" t="str">
        <f t="shared" si="9"/>
        <v/>
      </c>
      <c r="T323" s="125">
        <f>'3. Use Cases Catalog'!L311*1000000</f>
        <v>1.5</v>
      </c>
    </row>
    <row r="324" spans="1:20" x14ac:dyDescent="0.2">
      <c r="A324" t="s">
        <v>73</v>
      </c>
      <c r="B324" t="s">
        <v>123</v>
      </c>
      <c r="C324" t="s">
        <v>1793</v>
      </c>
      <c r="D324" s="10" t="s">
        <v>8284</v>
      </c>
      <c r="E324" t="s">
        <v>8285</v>
      </c>
      <c r="F324" s="125">
        <f>'3. Use Cases Catalog'!I312*1000000</f>
        <v>9</v>
      </c>
      <c r="G324" s="125">
        <f>'3. Use Cases Catalog'!I312*1000000</f>
        <v>9</v>
      </c>
      <c r="H324" s="10"/>
      <c r="I324" t="s">
        <v>129</v>
      </c>
      <c r="J324" s="125">
        <f>'3. Use Cases Catalog'!J312*1000000</f>
        <v>0</v>
      </c>
      <c r="K324" s="125">
        <f>'3. Use Cases Catalog'!J312*1000000</f>
        <v>0</v>
      </c>
      <c r="L324" s="123">
        <v>0.12</v>
      </c>
      <c r="M324" s="124">
        <v>4100000</v>
      </c>
      <c r="N324" t="s">
        <v>8286</v>
      </c>
      <c r="O324" s="125">
        <f t="shared" si="8"/>
        <v>313650</v>
      </c>
      <c r="P324" s="125">
        <f>'3. Use Cases Catalog'!K312*1000000</f>
        <v>0.4</v>
      </c>
      <c r="Q324" s="126"/>
      <c r="R324" s="124"/>
      <c r="S324" s="125" t="str">
        <f t="shared" si="9"/>
        <v/>
      </c>
      <c r="T324" s="125">
        <f>'3. Use Cases Catalog'!L312*1000000</f>
        <v>0</v>
      </c>
    </row>
    <row r="325" spans="1:20" x14ac:dyDescent="0.2">
      <c r="A325" t="s">
        <v>73</v>
      </c>
      <c r="B325" t="s">
        <v>133</v>
      </c>
      <c r="C325" t="s">
        <v>8287</v>
      </c>
      <c r="D325" s="10" t="s">
        <v>8288</v>
      </c>
      <c r="E325" t="s">
        <v>8289</v>
      </c>
      <c r="F325" s="125">
        <f>'3. Use Cases Catalog'!I313*1000000</f>
        <v>1.3</v>
      </c>
      <c r="G325" s="125">
        <f>'3. Use Cases Catalog'!I313*1000000</f>
        <v>1.3</v>
      </c>
      <c r="H325" s="10"/>
      <c r="I325" t="s">
        <v>129</v>
      </c>
      <c r="J325" s="125">
        <f>'3. Use Cases Catalog'!J313*1000000</f>
        <v>0</v>
      </c>
      <c r="K325" s="125">
        <f>'3. Use Cases Catalog'!J313*1000000</f>
        <v>0</v>
      </c>
      <c r="L325" s="123">
        <v>0.25</v>
      </c>
      <c r="M325" s="124">
        <v>18700000</v>
      </c>
      <c r="N325" t="s">
        <v>8290</v>
      </c>
      <c r="O325" s="125">
        <f t="shared" si="8"/>
        <v>2980312.5</v>
      </c>
      <c r="P325" s="125">
        <f>'3. Use Cases Catalog'!K313*1000000</f>
        <v>2.8</v>
      </c>
      <c r="Q325" s="126"/>
      <c r="R325" s="124"/>
      <c r="S325" s="125" t="str">
        <f t="shared" si="9"/>
        <v/>
      </c>
      <c r="T325" s="125">
        <f>'3. Use Cases Catalog'!L313*1000000</f>
        <v>0</v>
      </c>
    </row>
    <row r="326" spans="1:20" x14ac:dyDescent="0.2">
      <c r="A326" t="s">
        <v>73</v>
      </c>
      <c r="B326" t="s">
        <v>156</v>
      </c>
      <c r="C326" t="s">
        <v>1803</v>
      </c>
      <c r="D326" s="10" t="s">
        <v>8291</v>
      </c>
      <c r="E326" t="s">
        <v>8292</v>
      </c>
      <c r="F326" s="125">
        <f>'3. Use Cases Catalog'!I314*1000000</f>
        <v>6.2</v>
      </c>
      <c r="G326" s="125">
        <f>'3. Use Cases Catalog'!I314*1000000</f>
        <v>6.2</v>
      </c>
      <c r="H326" s="10"/>
      <c r="I326" t="s">
        <v>129</v>
      </c>
      <c r="J326" s="125">
        <f>'3. Use Cases Catalog'!J314*1000000</f>
        <v>0</v>
      </c>
      <c r="K326" s="125">
        <f>'3. Use Cases Catalog'!J314*1000000</f>
        <v>0</v>
      </c>
      <c r="L326" s="123">
        <v>0.22</v>
      </c>
      <c r="M326" s="124">
        <v>9200000</v>
      </c>
      <c r="N326" t="s">
        <v>8293</v>
      </c>
      <c r="O326" s="125">
        <f t="shared" si="8"/>
        <v>1290300</v>
      </c>
      <c r="P326" s="125">
        <f>'3. Use Cases Catalog'!K314*1000000</f>
        <v>1.3</v>
      </c>
      <c r="Q326" s="126"/>
      <c r="R326" s="124"/>
      <c r="S326" s="125" t="str">
        <f t="shared" si="9"/>
        <v/>
      </c>
      <c r="T326" s="125">
        <f>'3. Use Cases Catalog'!L314*1000000</f>
        <v>0</v>
      </c>
    </row>
    <row r="327" spans="1:20" x14ac:dyDescent="0.2">
      <c r="A327" t="s">
        <v>73</v>
      </c>
      <c r="B327" t="s">
        <v>164</v>
      </c>
      <c r="C327" t="s">
        <v>1808</v>
      </c>
      <c r="D327" s="10" t="s">
        <v>8294</v>
      </c>
      <c r="E327" t="s">
        <v>8295</v>
      </c>
      <c r="F327" s="125">
        <f>'3. Use Cases Catalog'!I315*1000000</f>
        <v>2.2999999999999998</v>
      </c>
      <c r="G327" s="125">
        <f>'3. Use Cases Catalog'!I315*1000000</f>
        <v>2.2999999999999998</v>
      </c>
      <c r="H327" s="10"/>
      <c r="I327" t="s">
        <v>129</v>
      </c>
      <c r="J327" s="125">
        <f>'3. Use Cases Catalog'!J315*1000000</f>
        <v>0</v>
      </c>
      <c r="K327" s="125">
        <f>'3. Use Cases Catalog'!J315*1000000</f>
        <v>0</v>
      </c>
      <c r="L327" s="123">
        <v>0.28000000000000003</v>
      </c>
      <c r="M327" s="124">
        <v>10200000</v>
      </c>
      <c r="N327" t="s">
        <v>8296</v>
      </c>
      <c r="O327" s="125">
        <f t="shared" si="8"/>
        <v>1820700.0000000002</v>
      </c>
      <c r="P327" s="125">
        <f>'3. Use Cases Catalog'!K315*1000000</f>
        <v>1.8</v>
      </c>
      <c r="Q327" s="126"/>
      <c r="R327" s="124"/>
      <c r="S327" s="125" t="str">
        <f t="shared" si="9"/>
        <v/>
      </c>
      <c r="T327" s="125">
        <f>'3. Use Cases Catalog'!L315*1000000</f>
        <v>0</v>
      </c>
    </row>
    <row r="328" spans="1:20" x14ac:dyDescent="0.2">
      <c r="A328" t="s">
        <v>73</v>
      </c>
      <c r="B328" t="s">
        <v>172</v>
      </c>
      <c r="C328" t="s">
        <v>1812</v>
      </c>
      <c r="D328" s="10" t="s">
        <v>8297</v>
      </c>
      <c r="E328" t="s">
        <v>8298</v>
      </c>
      <c r="F328" s="125">
        <f>'3. Use Cases Catalog'!I316*1000000</f>
        <v>0.9</v>
      </c>
      <c r="G328" s="125">
        <f>'3. Use Cases Catalog'!I316*1000000</f>
        <v>0.9</v>
      </c>
      <c r="H328" s="10" t="s">
        <v>8299</v>
      </c>
      <c r="I328" t="s">
        <v>8300</v>
      </c>
      <c r="J328" s="125">
        <f>'3. Use Cases Catalog'!J316*1000000</f>
        <v>8.1</v>
      </c>
      <c r="K328" s="125">
        <f>'3. Use Cases Catalog'!J316*1000000</f>
        <v>8.1</v>
      </c>
      <c r="L328" s="123"/>
      <c r="M328" s="124"/>
      <c r="N328" t="s">
        <v>130</v>
      </c>
      <c r="O328" s="125" t="str">
        <f t="shared" si="8"/>
        <v/>
      </c>
      <c r="P328" s="125">
        <f>'3. Use Cases Catalog'!K316*1000000</f>
        <v>0</v>
      </c>
      <c r="Q328" s="126"/>
      <c r="R328" s="124"/>
      <c r="S328" s="125" t="str">
        <f t="shared" si="9"/>
        <v/>
      </c>
      <c r="T328" s="125">
        <f>'3. Use Cases Catalog'!L316*1000000</f>
        <v>0</v>
      </c>
    </row>
    <row r="329" spans="1:20" x14ac:dyDescent="0.2">
      <c r="A329" t="s">
        <v>73</v>
      </c>
      <c r="B329" t="s">
        <v>141</v>
      </c>
      <c r="C329" t="s">
        <v>1816</v>
      </c>
      <c r="D329" s="10" t="s">
        <v>8301</v>
      </c>
      <c r="E329" t="s">
        <v>8302</v>
      </c>
      <c r="F329" s="125">
        <f>'3. Use Cases Catalog'!I317*1000000</f>
        <v>1.4</v>
      </c>
      <c r="G329" s="125">
        <f>'3. Use Cases Catalog'!I317*1000000</f>
        <v>1.4</v>
      </c>
      <c r="H329" s="10" t="s">
        <v>8303</v>
      </c>
      <c r="I329" t="s">
        <v>8304</v>
      </c>
      <c r="J329" s="125">
        <f>'3. Use Cases Catalog'!J317*1000000</f>
        <v>16.3</v>
      </c>
      <c r="K329" s="125">
        <f>'3. Use Cases Catalog'!J317*1000000</f>
        <v>16.3</v>
      </c>
      <c r="L329" s="123">
        <v>0.15</v>
      </c>
      <c r="M329" s="124">
        <v>5200000</v>
      </c>
      <c r="N329" t="s">
        <v>8305</v>
      </c>
      <c r="O329" s="125">
        <f t="shared" si="8"/>
        <v>497250</v>
      </c>
      <c r="P329" s="125">
        <f>'3. Use Cases Catalog'!K317*1000000</f>
        <v>0.6</v>
      </c>
      <c r="Q329" s="126"/>
      <c r="R329" s="124"/>
      <c r="S329" s="125" t="str">
        <f t="shared" si="9"/>
        <v/>
      </c>
      <c r="T329" s="125">
        <f>'3. Use Cases Catalog'!L317*1000000</f>
        <v>0</v>
      </c>
    </row>
    <row r="330" spans="1:20" x14ac:dyDescent="0.2">
      <c r="A330" t="s">
        <v>73</v>
      </c>
      <c r="B330" t="s">
        <v>149</v>
      </c>
      <c r="C330" t="s">
        <v>8306</v>
      </c>
      <c r="D330" s="10" t="s">
        <v>8307</v>
      </c>
      <c r="E330" t="s">
        <v>8308</v>
      </c>
      <c r="F330" s="125">
        <f>'3. Use Cases Catalog'!I318*1000000</f>
        <v>1.6</v>
      </c>
      <c r="G330" s="125">
        <f>'3. Use Cases Catalog'!I318*1000000</f>
        <v>1.6</v>
      </c>
      <c r="H330" s="10"/>
      <c r="I330" t="s">
        <v>129</v>
      </c>
      <c r="J330" s="125">
        <f>'3. Use Cases Catalog'!J318*1000000</f>
        <v>0</v>
      </c>
      <c r="K330" s="125">
        <f>'3. Use Cases Catalog'!J318*1000000</f>
        <v>0</v>
      </c>
      <c r="L330" s="123">
        <v>0.18</v>
      </c>
      <c r="M330" s="124">
        <v>5800000</v>
      </c>
      <c r="N330" t="s">
        <v>8309</v>
      </c>
      <c r="O330" s="125">
        <f t="shared" si="8"/>
        <v>665550</v>
      </c>
      <c r="P330" s="125">
        <f>'3. Use Cases Catalog'!K318*1000000</f>
        <v>0.7</v>
      </c>
      <c r="Q330" s="126">
        <v>12</v>
      </c>
      <c r="R330" s="124"/>
      <c r="S330" s="125" t="str">
        <f t="shared" si="9"/>
        <v/>
      </c>
      <c r="T330" s="125">
        <f>'3. Use Cases Catalog'!L318*1000000</f>
        <v>6.7</v>
      </c>
    </row>
    <row r="331" spans="1:20" x14ac:dyDescent="0.2">
      <c r="A331" t="s">
        <v>73</v>
      </c>
      <c r="B331" t="s">
        <v>179</v>
      </c>
      <c r="C331" t="s">
        <v>1827</v>
      </c>
      <c r="D331" s="10" t="s">
        <v>8310</v>
      </c>
      <c r="E331" t="s">
        <v>8311</v>
      </c>
      <c r="F331" s="125">
        <f>'3. Use Cases Catalog'!I319*1000000</f>
        <v>3.4</v>
      </c>
      <c r="G331" s="125">
        <f>'3. Use Cases Catalog'!I319*1000000</f>
        <v>3.4</v>
      </c>
      <c r="H331" s="10"/>
      <c r="I331" t="s">
        <v>129</v>
      </c>
      <c r="J331" s="125">
        <f>'3. Use Cases Catalog'!J319*1000000</f>
        <v>0</v>
      </c>
      <c r="K331" s="125">
        <f>'3. Use Cases Catalog'!J319*1000000</f>
        <v>0</v>
      </c>
      <c r="L331" s="123">
        <v>0.24</v>
      </c>
      <c r="M331" s="124">
        <v>6300000</v>
      </c>
      <c r="N331" t="s">
        <v>8312</v>
      </c>
      <c r="O331" s="125">
        <f t="shared" si="8"/>
        <v>963900</v>
      </c>
      <c r="P331" s="125">
        <f>'3. Use Cases Catalog'!K319*1000000</f>
        <v>0.9</v>
      </c>
      <c r="Q331" s="126">
        <v>8</v>
      </c>
      <c r="R331" s="124"/>
      <c r="S331" s="125" t="str">
        <f t="shared" si="9"/>
        <v/>
      </c>
      <c r="T331" s="125">
        <f>'3. Use Cases Catalog'!L319*1000000</f>
        <v>1.4</v>
      </c>
    </row>
    <row r="332" spans="1:20" x14ac:dyDescent="0.2">
      <c r="A332" t="s">
        <v>73</v>
      </c>
      <c r="B332" t="s">
        <v>186</v>
      </c>
      <c r="C332" t="s">
        <v>1833</v>
      </c>
      <c r="D332" s="10" t="s">
        <v>8313</v>
      </c>
      <c r="E332" t="s">
        <v>8314</v>
      </c>
      <c r="F332" s="125">
        <f>'3. Use Cases Catalog'!I320*1000000</f>
        <v>0.4</v>
      </c>
      <c r="G332" s="125">
        <f>'3. Use Cases Catalog'!I320*1000000</f>
        <v>0.4</v>
      </c>
      <c r="H332" s="10"/>
      <c r="I332" t="s">
        <v>129</v>
      </c>
      <c r="J332" s="125">
        <f>'3. Use Cases Catalog'!J320*1000000</f>
        <v>0</v>
      </c>
      <c r="K332" s="125">
        <f>'3. Use Cases Catalog'!J320*1000000</f>
        <v>0</v>
      </c>
      <c r="L332" s="123">
        <v>0.18</v>
      </c>
      <c r="M332" s="124">
        <v>13400000</v>
      </c>
      <c r="N332" t="s">
        <v>8315</v>
      </c>
      <c r="O332" s="125">
        <f t="shared" si="8"/>
        <v>1537650</v>
      </c>
      <c r="P332" s="125">
        <f>'3. Use Cases Catalog'!K320*1000000</f>
        <v>1.6</v>
      </c>
      <c r="Q332" s="126"/>
      <c r="R332" s="124"/>
      <c r="S332" s="125" t="str">
        <f t="shared" si="9"/>
        <v/>
      </c>
      <c r="T332" s="125">
        <f>'3. Use Cases Catalog'!L320*1000000</f>
        <v>0</v>
      </c>
    </row>
    <row r="333" spans="1:20" x14ac:dyDescent="0.2">
      <c r="A333" t="s">
        <v>73</v>
      </c>
      <c r="B333" t="s">
        <v>194</v>
      </c>
      <c r="C333" t="s">
        <v>1839</v>
      </c>
      <c r="D333" s="10" t="s">
        <v>8316</v>
      </c>
      <c r="E333" t="s">
        <v>8317</v>
      </c>
      <c r="F333" s="125">
        <f>'3. Use Cases Catalog'!I321*1000000</f>
        <v>4.7</v>
      </c>
      <c r="G333" s="125">
        <f>'3. Use Cases Catalog'!I321*1000000</f>
        <v>4.7</v>
      </c>
      <c r="H333" s="10"/>
      <c r="I333" t="s">
        <v>129</v>
      </c>
      <c r="J333" s="125">
        <f>'3. Use Cases Catalog'!J321*1000000</f>
        <v>0</v>
      </c>
      <c r="K333" s="125">
        <f>'3. Use Cases Catalog'!J321*1000000</f>
        <v>0</v>
      </c>
      <c r="L333" s="123">
        <v>0.15</v>
      </c>
      <c r="M333" s="124">
        <v>8400000</v>
      </c>
      <c r="N333" t="s">
        <v>8318</v>
      </c>
      <c r="O333" s="125">
        <f t="shared" si="8"/>
        <v>803250</v>
      </c>
      <c r="P333" s="125">
        <f>'3. Use Cases Catalog'!K321*1000000</f>
        <v>0.8</v>
      </c>
      <c r="Q333" s="126"/>
      <c r="R333" s="124"/>
      <c r="S333" s="125" t="str">
        <f t="shared" si="9"/>
        <v/>
      </c>
      <c r="T333" s="125">
        <f>'3. Use Cases Catalog'!L321*1000000</f>
        <v>0</v>
      </c>
    </row>
    <row r="334" spans="1:20" x14ac:dyDescent="0.2">
      <c r="A334" t="s">
        <v>58</v>
      </c>
      <c r="B334" t="s">
        <v>133</v>
      </c>
      <c r="C334" t="s">
        <v>1844</v>
      </c>
      <c r="D334" s="10" t="s">
        <v>8319</v>
      </c>
      <c r="E334" t="s">
        <v>8320</v>
      </c>
      <c r="F334" s="125">
        <f>'3. Use Cases Catalog'!I322*1000000</f>
        <v>2.5</v>
      </c>
      <c r="G334" s="125">
        <f>'3. Use Cases Catalog'!I322*1000000</f>
        <v>2.5</v>
      </c>
      <c r="H334" s="10"/>
      <c r="I334" t="s">
        <v>129</v>
      </c>
      <c r="J334" s="125">
        <f>'3. Use Cases Catalog'!J322*1000000</f>
        <v>0</v>
      </c>
      <c r="K334" s="125">
        <f>'3. Use Cases Catalog'!J322*1000000</f>
        <v>0</v>
      </c>
      <c r="L334" s="123">
        <v>2E-3</v>
      </c>
      <c r="M334" s="124">
        <v>5400000</v>
      </c>
      <c r="N334" t="s">
        <v>8321</v>
      </c>
      <c r="O334" s="125">
        <f t="shared" ref="O334:O397" si="10">IF(AND(L334&lt;&gt;"",M334&lt;&gt;""),L334*M334*$B$7*$B$8,"")</f>
        <v>6885</v>
      </c>
      <c r="P334" s="125">
        <f>'3. Use Cases Catalog'!K322*1000000</f>
        <v>5.4</v>
      </c>
      <c r="Q334" s="126"/>
      <c r="R334" s="124"/>
      <c r="S334" s="125" t="str">
        <f t="shared" ref="S334:S397" si="11">IF(AND(Q334&lt;&gt;"",R334&lt;&gt;""),Q334*R334*$B$9*$B$8,"")</f>
        <v/>
      </c>
      <c r="T334" s="125">
        <f>'3. Use Cases Catalog'!L322*1000000</f>
        <v>0</v>
      </c>
    </row>
    <row r="335" spans="1:20" x14ac:dyDescent="0.2">
      <c r="A335" t="s">
        <v>58</v>
      </c>
      <c r="B335" t="s">
        <v>156</v>
      </c>
      <c r="C335" t="s">
        <v>1850</v>
      </c>
      <c r="D335" s="10" t="s">
        <v>8322</v>
      </c>
      <c r="E335" t="s">
        <v>8323</v>
      </c>
      <c r="F335" s="125">
        <f>'3. Use Cases Catalog'!I323*1000000</f>
        <v>7.6</v>
      </c>
      <c r="G335" s="125">
        <f>'3. Use Cases Catalog'!I323*1000000</f>
        <v>7.6</v>
      </c>
      <c r="H335" s="10"/>
      <c r="I335" t="s">
        <v>129</v>
      </c>
      <c r="J335" s="125">
        <f>'3. Use Cases Catalog'!J323*1000000</f>
        <v>0</v>
      </c>
      <c r="K335" s="125">
        <f>'3. Use Cases Catalog'!J323*1000000</f>
        <v>0</v>
      </c>
      <c r="L335" s="123">
        <v>0.3</v>
      </c>
      <c r="M335" s="124">
        <v>8199999.9999999991</v>
      </c>
      <c r="N335" t="s">
        <v>8226</v>
      </c>
      <c r="O335" s="125">
        <f t="shared" si="10"/>
        <v>1568249.9999999995</v>
      </c>
      <c r="P335" s="125">
        <f>'3. Use Cases Catalog'!K323*1000000</f>
        <v>1.4</v>
      </c>
      <c r="Q335" s="126"/>
      <c r="R335" s="124"/>
      <c r="S335" s="125" t="str">
        <f t="shared" si="11"/>
        <v/>
      </c>
      <c r="T335" s="125">
        <f>'3. Use Cases Catalog'!L323*1000000</f>
        <v>0</v>
      </c>
    </row>
    <row r="336" spans="1:20" x14ac:dyDescent="0.2">
      <c r="A336" t="s">
        <v>58</v>
      </c>
      <c r="B336" t="s">
        <v>164</v>
      </c>
      <c r="C336" t="s">
        <v>1855</v>
      </c>
      <c r="D336" s="10" t="s">
        <v>8324</v>
      </c>
      <c r="E336" t="s">
        <v>8325</v>
      </c>
      <c r="F336" s="125">
        <f>'3. Use Cases Catalog'!I324*1000000</f>
        <v>3.5</v>
      </c>
      <c r="G336" s="125">
        <f>'3. Use Cases Catalog'!I324*1000000</f>
        <v>3.5</v>
      </c>
      <c r="H336" s="10"/>
      <c r="I336" t="s">
        <v>129</v>
      </c>
      <c r="J336" s="125">
        <f>'3. Use Cases Catalog'!J324*1000000</f>
        <v>0</v>
      </c>
      <c r="K336" s="125">
        <f>'3. Use Cases Catalog'!J324*1000000</f>
        <v>0</v>
      </c>
      <c r="L336" s="123"/>
      <c r="M336" s="124"/>
      <c r="N336" t="s">
        <v>130</v>
      </c>
      <c r="O336" s="125" t="str">
        <f t="shared" si="10"/>
        <v/>
      </c>
      <c r="P336" s="125">
        <f>'3. Use Cases Catalog'!K324*1000000</f>
        <v>0</v>
      </c>
      <c r="Q336" s="126"/>
      <c r="R336" s="124"/>
      <c r="S336" s="125" t="str">
        <f t="shared" si="11"/>
        <v/>
      </c>
      <c r="T336" s="125">
        <f>'3. Use Cases Catalog'!L324*1000000</f>
        <v>0</v>
      </c>
    </row>
    <row r="337" spans="1:20" x14ac:dyDescent="0.2">
      <c r="A337" t="s">
        <v>58</v>
      </c>
      <c r="B337" t="s">
        <v>179</v>
      </c>
      <c r="C337" t="s">
        <v>1858</v>
      </c>
      <c r="D337" s="10" t="s">
        <v>8326</v>
      </c>
      <c r="E337" t="s">
        <v>8327</v>
      </c>
      <c r="F337" s="125">
        <f>'3. Use Cases Catalog'!I325*1000000</f>
        <v>1.5</v>
      </c>
      <c r="G337" s="125">
        <f>'3. Use Cases Catalog'!I325*1000000</f>
        <v>1.5</v>
      </c>
      <c r="H337" s="10"/>
      <c r="I337" t="s">
        <v>129</v>
      </c>
      <c r="J337" s="125">
        <f>'3. Use Cases Catalog'!J325*1000000</f>
        <v>0</v>
      </c>
      <c r="K337" s="125">
        <f>'3. Use Cases Catalog'!J325*1000000</f>
        <v>0</v>
      </c>
      <c r="L337" s="123"/>
      <c r="M337" s="124"/>
      <c r="N337" t="s">
        <v>130</v>
      </c>
      <c r="O337" s="125" t="str">
        <f t="shared" si="10"/>
        <v/>
      </c>
      <c r="P337" s="125">
        <f>'3. Use Cases Catalog'!K325*1000000</f>
        <v>0</v>
      </c>
      <c r="Q337" s="126"/>
      <c r="R337" s="124"/>
      <c r="S337" s="125" t="str">
        <f t="shared" si="11"/>
        <v/>
      </c>
      <c r="T337" s="125">
        <f>'3. Use Cases Catalog'!L325*1000000</f>
        <v>0</v>
      </c>
    </row>
    <row r="338" spans="1:20" x14ac:dyDescent="0.2">
      <c r="A338" t="s">
        <v>58</v>
      </c>
      <c r="B338" t="s">
        <v>194</v>
      </c>
      <c r="C338" t="s">
        <v>1862</v>
      </c>
      <c r="D338" s="10" t="s">
        <v>8328</v>
      </c>
      <c r="E338" t="s">
        <v>8329</v>
      </c>
      <c r="F338" s="125">
        <f>'3. Use Cases Catalog'!I326*1000000</f>
        <v>1</v>
      </c>
      <c r="G338" s="125">
        <f>'3. Use Cases Catalog'!I326*1000000</f>
        <v>1</v>
      </c>
      <c r="H338" s="10"/>
      <c r="I338" t="s">
        <v>129</v>
      </c>
      <c r="J338" s="125">
        <f>'3. Use Cases Catalog'!J326*1000000</f>
        <v>0</v>
      </c>
      <c r="K338" s="125">
        <f>'3. Use Cases Catalog'!J326*1000000</f>
        <v>0</v>
      </c>
      <c r="L338" s="123"/>
      <c r="M338" s="124"/>
      <c r="N338" t="s">
        <v>130</v>
      </c>
      <c r="O338" s="125" t="str">
        <f t="shared" si="10"/>
        <v/>
      </c>
      <c r="P338" s="125">
        <f>'3. Use Cases Catalog'!K326*1000000</f>
        <v>0</v>
      </c>
      <c r="Q338" s="126"/>
      <c r="R338" s="124"/>
      <c r="S338" s="125" t="str">
        <f t="shared" si="11"/>
        <v/>
      </c>
      <c r="T338" s="125">
        <f>'3. Use Cases Catalog'!L326*1000000</f>
        <v>0</v>
      </c>
    </row>
    <row r="339" spans="1:20" x14ac:dyDescent="0.2">
      <c r="A339" t="s">
        <v>58</v>
      </c>
      <c r="B339" t="s">
        <v>141</v>
      </c>
      <c r="C339" t="s">
        <v>8330</v>
      </c>
      <c r="D339" s="10" t="s">
        <v>8331</v>
      </c>
      <c r="E339" t="s">
        <v>8332</v>
      </c>
      <c r="F339" s="125">
        <f>'3. Use Cases Catalog'!I327*1000000</f>
        <v>16.2</v>
      </c>
      <c r="G339" s="125">
        <f>'3. Use Cases Catalog'!I327*1000000</f>
        <v>16.2</v>
      </c>
      <c r="H339" s="10" t="s">
        <v>8333</v>
      </c>
      <c r="I339" t="s">
        <v>8334</v>
      </c>
      <c r="J339" s="125">
        <f>'3. Use Cases Catalog'!J327*1000000</f>
        <v>24.2</v>
      </c>
      <c r="K339" s="125">
        <f>'3. Use Cases Catalog'!J327*1000000</f>
        <v>24.2</v>
      </c>
      <c r="L339" s="123"/>
      <c r="M339" s="124"/>
      <c r="N339" t="s">
        <v>130</v>
      </c>
      <c r="O339" s="125" t="str">
        <f t="shared" si="10"/>
        <v/>
      </c>
      <c r="P339" s="125">
        <f>'3. Use Cases Catalog'!K327*1000000</f>
        <v>0</v>
      </c>
      <c r="Q339" s="126"/>
      <c r="R339" s="124"/>
      <c r="S339" s="125" t="str">
        <f t="shared" si="11"/>
        <v/>
      </c>
      <c r="T339" s="125">
        <f>'3. Use Cases Catalog'!L327*1000000</f>
        <v>0</v>
      </c>
    </row>
    <row r="340" spans="1:20" x14ac:dyDescent="0.2">
      <c r="A340" t="s">
        <v>58</v>
      </c>
      <c r="B340" t="s">
        <v>123</v>
      </c>
      <c r="C340" t="s">
        <v>1872</v>
      </c>
      <c r="D340" s="10" t="s">
        <v>8335</v>
      </c>
      <c r="E340" t="s">
        <v>8336</v>
      </c>
      <c r="F340" s="125">
        <f>'3. Use Cases Catalog'!I328*1000000</f>
        <v>5</v>
      </c>
      <c r="G340" s="125">
        <f>'3. Use Cases Catalog'!I328*1000000</f>
        <v>5</v>
      </c>
      <c r="H340" s="10"/>
      <c r="I340" t="s">
        <v>129</v>
      </c>
      <c r="J340" s="125">
        <f>'3. Use Cases Catalog'!J328*1000000</f>
        <v>0</v>
      </c>
      <c r="K340" s="125">
        <f>'3. Use Cases Catalog'!J328*1000000</f>
        <v>0</v>
      </c>
      <c r="L340" s="123"/>
      <c r="M340" s="124"/>
      <c r="N340" t="s">
        <v>130</v>
      </c>
      <c r="O340" s="125" t="str">
        <f t="shared" si="10"/>
        <v/>
      </c>
      <c r="P340" s="125">
        <f>'3. Use Cases Catalog'!K328*1000000</f>
        <v>0</v>
      </c>
      <c r="Q340" s="126">
        <v>7</v>
      </c>
      <c r="R340" s="124"/>
      <c r="S340" s="125" t="str">
        <f t="shared" si="11"/>
        <v/>
      </c>
      <c r="T340" s="125">
        <f>'3. Use Cases Catalog'!L328*1000000</f>
        <v>10.9</v>
      </c>
    </row>
    <row r="341" spans="1:20" x14ac:dyDescent="0.2">
      <c r="A341" t="s">
        <v>58</v>
      </c>
      <c r="B341" t="s">
        <v>149</v>
      </c>
      <c r="C341" t="s">
        <v>8337</v>
      </c>
      <c r="D341" s="10" t="s">
        <v>8338</v>
      </c>
      <c r="E341" t="s">
        <v>8339</v>
      </c>
      <c r="F341" s="125">
        <f>'3. Use Cases Catalog'!I329*1000000</f>
        <v>10.4</v>
      </c>
      <c r="G341" s="125">
        <f>'3. Use Cases Catalog'!I329*1000000</f>
        <v>10.4</v>
      </c>
      <c r="H341" s="10"/>
      <c r="I341" t="s">
        <v>129</v>
      </c>
      <c r="J341" s="125">
        <f>'3. Use Cases Catalog'!J329*1000000</f>
        <v>0</v>
      </c>
      <c r="K341" s="125">
        <f>'3. Use Cases Catalog'!J329*1000000</f>
        <v>0</v>
      </c>
      <c r="L341" s="123">
        <v>3.0000000000000001E-3</v>
      </c>
      <c r="M341" s="124">
        <v>6800000</v>
      </c>
      <c r="N341" t="s">
        <v>8340</v>
      </c>
      <c r="O341" s="125">
        <f t="shared" si="10"/>
        <v>13005</v>
      </c>
      <c r="P341" s="125">
        <f>'3. Use Cases Catalog'!K329*1000000</f>
        <v>6.8</v>
      </c>
      <c r="Q341" s="126">
        <v>11</v>
      </c>
      <c r="R341" s="124"/>
      <c r="S341" s="125" t="str">
        <f t="shared" si="11"/>
        <v/>
      </c>
      <c r="T341" s="125">
        <f>'3. Use Cases Catalog'!L329*1000000</f>
        <v>8.5</v>
      </c>
    </row>
    <row r="342" spans="1:20" x14ac:dyDescent="0.2">
      <c r="A342" t="s">
        <v>58</v>
      </c>
      <c r="B342" t="s">
        <v>172</v>
      </c>
      <c r="C342" t="s">
        <v>1884</v>
      </c>
      <c r="D342" s="10" t="s">
        <v>8341</v>
      </c>
      <c r="E342" t="s">
        <v>8342</v>
      </c>
      <c r="F342" s="125">
        <f>'3. Use Cases Catalog'!I330*1000000</f>
        <v>2.2999999999999998</v>
      </c>
      <c r="G342" s="125">
        <f>'3. Use Cases Catalog'!I330*1000000</f>
        <v>2.2999999999999998</v>
      </c>
      <c r="H342" s="10" t="s">
        <v>8333</v>
      </c>
      <c r="I342" t="s">
        <v>8343</v>
      </c>
      <c r="J342" s="125">
        <f>'3. Use Cases Catalog'!J330*1000000</f>
        <v>4.3</v>
      </c>
      <c r="K342" s="125">
        <f>'3. Use Cases Catalog'!J330*1000000</f>
        <v>4.3</v>
      </c>
      <c r="L342" s="123"/>
      <c r="M342" s="124"/>
      <c r="N342" t="s">
        <v>130</v>
      </c>
      <c r="O342" s="125" t="str">
        <f t="shared" si="10"/>
        <v/>
      </c>
      <c r="P342" s="125">
        <f>'3. Use Cases Catalog'!K330*1000000</f>
        <v>0</v>
      </c>
      <c r="Q342" s="126"/>
      <c r="R342" s="124"/>
      <c r="S342" s="125" t="str">
        <f t="shared" si="11"/>
        <v/>
      </c>
      <c r="T342" s="125">
        <f>'3. Use Cases Catalog'!L330*1000000</f>
        <v>0</v>
      </c>
    </row>
    <row r="343" spans="1:20" x14ac:dyDescent="0.2">
      <c r="A343" t="s">
        <v>58</v>
      </c>
      <c r="B343" t="s">
        <v>186</v>
      </c>
      <c r="C343" t="s">
        <v>1890</v>
      </c>
      <c r="D343" s="10" t="s">
        <v>8344</v>
      </c>
      <c r="E343" t="s">
        <v>8345</v>
      </c>
      <c r="F343" s="125">
        <f>'3. Use Cases Catalog'!I331*1000000</f>
        <v>3.8</v>
      </c>
      <c r="G343" s="125">
        <f>'3. Use Cases Catalog'!I331*1000000</f>
        <v>3.8</v>
      </c>
      <c r="H343" s="10"/>
      <c r="I343" t="s">
        <v>129</v>
      </c>
      <c r="J343" s="125">
        <f>'3. Use Cases Catalog'!J331*1000000</f>
        <v>0</v>
      </c>
      <c r="K343" s="125">
        <f>'3. Use Cases Catalog'!J331*1000000</f>
        <v>0</v>
      </c>
      <c r="L343" s="123"/>
      <c r="M343" s="124"/>
      <c r="N343" t="s">
        <v>130</v>
      </c>
      <c r="O343" s="125" t="str">
        <f t="shared" si="10"/>
        <v/>
      </c>
      <c r="P343" s="125">
        <f>'3. Use Cases Catalog'!K331*1000000</f>
        <v>0</v>
      </c>
      <c r="Q343" s="126"/>
      <c r="R343" s="124"/>
      <c r="S343" s="125" t="str">
        <f t="shared" si="11"/>
        <v/>
      </c>
      <c r="T343" s="125">
        <f>'3. Use Cases Catalog'!L331*1000000</f>
        <v>0</v>
      </c>
    </row>
    <row r="344" spans="1:20" x14ac:dyDescent="0.2">
      <c r="A344" t="s">
        <v>62</v>
      </c>
      <c r="B344" t="s">
        <v>141</v>
      </c>
      <c r="C344" t="s">
        <v>1894</v>
      </c>
      <c r="D344" s="10" t="s">
        <v>8346</v>
      </c>
      <c r="E344" t="s">
        <v>8347</v>
      </c>
      <c r="F344" s="125">
        <f>'3. Use Cases Catalog'!I332*1000000</f>
        <v>8.5</v>
      </c>
      <c r="G344" s="125">
        <f>'3. Use Cases Catalog'!I332*1000000</f>
        <v>8.5</v>
      </c>
      <c r="H344" s="10"/>
      <c r="I344" t="s">
        <v>129</v>
      </c>
      <c r="J344" s="125">
        <f>'3. Use Cases Catalog'!J332*1000000</f>
        <v>0</v>
      </c>
      <c r="K344" s="125">
        <f>'3. Use Cases Catalog'!J332*1000000</f>
        <v>0</v>
      </c>
      <c r="L344" s="123">
        <v>0.15</v>
      </c>
      <c r="M344" s="124">
        <v>15000000</v>
      </c>
      <c r="N344" t="s">
        <v>8063</v>
      </c>
      <c r="O344" s="125">
        <f t="shared" si="10"/>
        <v>1434375</v>
      </c>
      <c r="P344" s="125">
        <f>'3. Use Cases Catalog'!K332*1000000</f>
        <v>1.8</v>
      </c>
      <c r="Q344" s="126"/>
      <c r="R344" s="124"/>
      <c r="S344" s="125" t="str">
        <f t="shared" si="11"/>
        <v/>
      </c>
      <c r="T344" s="125">
        <f>'3. Use Cases Catalog'!L332*1000000</f>
        <v>0</v>
      </c>
    </row>
    <row r="345" spans="1:20" x14ac:dyDescent="0.2">
      <c r="A345" t="s">
        <v>62</v>
      </c>
      <c r="B345" t="s">
        <v>123</v>
      </c>
      <c r="C345" t="s">
        <v>1902</v>
      </c>
      <c r="D345" s="10" t="s">
        <v>8348</v>
      </c>
      <c r="E345" t="s">
        <v>8349</v>
      </c>
      <c r="F345" s="125">
        <f>'3. Use Cases Catalog'!I333*1000000</f>
        <v>4.7</v>
      </c>
      <c r="G345" s="125">
        <f>'3. Use Cases Catalog'!I333*1000000</f>
        <v>4.7</v>
      </c>
      <c r="H345" s="10"/>
      <c r="I345" t="s">
        <v>129</v>
      </c>
      <c r="J345" s="125">
        <f>'3. Use Cases Catalog'!J333*1000000</f>
        <v>0</v>
      </c>
      <c r="K345" s="125">
        <f>'3. Use Cases Catalog'!J333*1000000</f>
        <v>0</v>
      </c>
      <c r="L345" s="123">
        <v>0.2</v>
      </c>
      <c r="M345" s="124">
        <v>20000000</v>
      </c>
      <c r="N345" t="s">
        <v>8350</v>
      </c>
      <c r="O345" s="125">
        <f t="shared" si="10"/>
        <v>2550000</v>
      </c>
      <c r="P345" s="125">
        <f>'3. Use Cases Catalog'!K333*1000000</f>
        <v>2.4</v>
      </c>
      <c r="Q345" s="126"/>
      <c r="R345" s="124"/>
      <c r="S345" s="125" t="str">
        <f t="shared" si="11"/>
        <v/>
      </c>
      <c r="T345" s="125">
        <f>'3. Use Cases Catalog'!L333*1000000</f>
        <v>0</v>
      </c>
    </row>
    <row r="346" spans="1:20" x14ac:dyDescent="0.2">
      <c r="A346" t="s">
        <v>62</v>
      </c>
      <c r="B346" t="s">
        <v>149</v>
      </c>
      <c r="C346" t="s">
        <v>1908</v>
      </c>
      <c r="D346" s="10" t="s">
        <v>8351</v>
      </c>
      <c r="E346" t="s">
        <v>8352</v>
      </c>
      <c r="F346" s="125">
        <f>'3. Use Cases Catalog'!I334*1000000</f>
        <v>6.8</v>
      </c>
      <c r="G346" s="125">
        <f>'3. Use Cases Catalog'!I334*1000000</f>
        <v>6.8</v>
      </c>
      <c r="H346" s="10" t="s">
        <v>8353</v>
      </c>
      <c r="I346" t="s">
        <v>8354</v>
      </c>
      <c r="J346" s="125">
        <f>'3. Use Cases Catalog'!J334*1000000</f>
        <v>13.6</v>
      </c>
      <c r="K346" s="125">
        <f>'3. Use Cases Catalog'!J334*1000000</f>
        <v>13.6</v>
      </c>
      <c r="L346" s="123"/>
      <c r="M346" s="124"/>
      <c r="N346" t="s">
        <v>130</v>
      </c>
      <c r="O346" s="125" t="str">
        <f t="shared" si="10"/>
        <v/>
      </c>
      <c r="P346" s="125">
        <f>'3. Use Cases Catalog'!K334*1000000</f>
        <v>0</v>
      </c>
      <c r="Q346" s="126"/>
      <c r="R346" s="124"/>
      <c r="S346" s="125" t="str">
        <f t="shared" si="11"/>
        <v/>
      </c>
      <c r="T346" s="125">
        <f>'3. Use Cases Catalog'!L334*1000000</f>
        <v>0</v>
      </c>
    </row>
    <row r="347" spans="1:20" x14ac:dyDescent="0.2">
      <c r="A347" t="s">
        <v>62</v>
      </c>
      <c r="B347" t="s">
        <v>133</v>
      </c>
      <c r="C347" t="s">
        <v>1914</v>
      </c>
      <c r="D347" s="10" t="s">
        <v>8355</v>
      </c>
      <c r="E347" t="s">
        <v>8356</v>
      </c>
      <c r="F347" s="125">
        <f>'3. Use Cases Catalog'!I335*1000000</f>
        <v>4.7</v>
      </c>
      <c r="G347" s="125">
        <f>'3. Use Cases Catalog'!I335*1000000</f>
        <v>4.7</v>
      </c>
      <c r="H347" s="10" t="s">
        <v>8357</v>
      </c>
      <c r="I347" t="s">
        <v>8358</v>
      </c>
      <c r="J347" s="125">
        <f>'3. Use Cases Catalog'!J335*1000000</f>
        <v>8.1</v>
      </c>
      <c r="K347" s="125">
        <f>'3. Use Cases Catalog'!J335*1000000</f>
        <v>8.1</v>
      </c>
      <c r="L347" s="123"/>
      <c r="M347" s="124"/>
      <c r="N347" t="s">
        <v>130</v>
      </c>
      <c r="O347" s="125" t="str">
        <f t="shared" si="10"/>
        <v/>
      </c>
      <c r="P347" s="125">
        <f>'3. Use Cases Catalog'!K335*1000000</f>
        <v>0</v>
      </c>
      <c r="Q347" s="126"/>
      <c r="R347" s="124"/>
      <c r="S347" s="125" t="str">
        <f t="shared" si="11"/>
        <v/>
      </c>
      <c r="T347" s="125">
        <f>'3. Use Cases Catalog'!L335*1000000</f>
        <v>0</v>
      </c>
    </row>
    <row r="348" spans="1:20" x14ac:dyDescent="0.2">
      <c r="A348" t="s">
        <v>62</v>
      </c>
      <c r="B348" t="s">
        <v>164</v>
      </c>
      <c r="C348" t="s">
        <v>1918</v>
      </c>
      <c r="D348" s="10" t="s">
        <v>8359</v>
      </c>
      <c r="E348" t="s">
        <v>8360</v>
      </c>
      <c r="F348" s="125">
        <f>'3. Use Cases Catalog'!I336*1000000</f>
        <v>3</v>
      </c>
      <c r="G348" s="125">
        <f>'3. Use Cases Catalog'!I336*1000000</f>
        <v>3</v>
      </c>
      <c r="H348" s="10" t="s">
        <v>8361</v>
      </c>
      <c r="I348" t="s">
        <v>8362</v>
      </c>
      <c r="J348" s="125">
        <f>'3. Use Cases Catalog'!J336*1000000</f>
        <v>9</v>
      </c>
      <c r="K348" s="125">
        <f>'3. Use Cases Catalog'!J336*1000000</f>
        <v>9</v>
      </c>
      <c r="L348" s="123"/>
      <c r="M348" s="124"/>
      <c r="N348" t="s">
        <v>130</v>
      </c>
      <c r="O348" s="125" t="str">
        <f t="shared" si="10"/>
        <v/>
      </c>
      <c r="P348" s="125">
        <f>'3. Use Cases Catalog'!K336*1000000</f>
        <v>0</v>
      </c>
      <c r="Q348" s="126"/>
      <c r="R348" s="124"/>
      <c r="S348" s="125" t="str">
        <f t="shared" si="11"/>
        <v/>
      </c>
      <c r="T348" s="125">
        <f>'3. Use Cases Catalog'!L336*1000000</f>
        <v>0</v>
      </c>
    </row>
    <row r="349" spans="1:20" x14ac:dyDescent="0.2">
      <c r="A349" t="s">
        <v>62</v>
      </c>
      <c r="B349" t="s">
        <v>172</v>
      </c>
      <c r="C349" t="s">
        <v>1922</v>
      </c>
      <c r="D349" s="10" t="s">
        <v>8363</v>
      </c>
      <c r="E349" t="s">
        <v>8364</v>
      </c>
      <c r="F349" s="125">
        <f>'3. Use Cases Catalog'!I337*1000000</f>
        <v>4</v>
      </c>
      <c r="G349" s="125">
        <f>'3. Use Cases Catalog'!I337*1000000</f>
        <v>4</v>
      </c>
      <c r="H349" s="10"/>
      <c r="I349" t="s">
        <v>129</v>
      </c>
      <c r="J349" s="125">
        <f>'3. Use Cases Catalog'!J337*1000000</f>
        <v>0</v>
      </c>
      <c r="K349" s="125">
        <f>'3. Use Cases Catalog'!J337*1000000</f>
        <v>0</v>
      </c>
      <c r="L349" s="123"/>
      <c r="M349" s="124"/>
      <c r="N349" t="s">
        <v>130</v>
      </c>
      <c r="O349" s="125" t="str">
        <f t="shared" si="10"/>
        <v/>
      </c>
      <c r="P349" s="125">
        <f>'3. Use Cases Catalog'!K337*1000000</f>
        <v>0</v>
      </c>
      <c r="Q349" s="126">
        <v>5</v>
      </c>
      <c r="R349" s="124"/>
      <c r="S349" s="125" t="str">
        <f t="shared" si="11"/>
        <v/>
      </c>
      <c r="T349" s="125">
        <f>'3. Use Cases Catalog'!L337*1000000</f>
        <v>6.8</v>
      </c>
    </row>
    <row r="350" spans="1:20" x14ac:dyDescent="0.2">
      <c r="A350" t="s">
        <v>62</v>
      </c>
      <c r="B350" t="s">
        <v>179</v>
      </c>
      <c r="C350" t="s">
        <v>1927</v>
      </c>
      <c r="D350" s="10" t="s">
        <v>7412</v>
      </c>
      <c r="E350" t="s">
        <v>8365</v>
      </c>
      <c r="F350" s="125">
        <f>'3. Use Cases Catalog'!I338*1000000</f>
        <v>2.8</v>
      </c>
      <c r="G350" s="125">
        <f>'3. Use Cases Catalog'!I338*1000000</f>
        <v>2.8</v>
      </c>
      <c r="H350" s="10"/>
      <c r="I350" t="s">
        <v>129</v>
      </c>
      <c r="J350" s="125">
        <f>'3. Use Cases Catalog'!J338*1000000</f>
        <v>0</v>
      </c>
      <c r="K350" s="125">
        <f>'3. Use Cases Catalog'!J338*1000000</f>
        <v>0</v>
      </c>
      <c r="L350" s="123"/>
      <c r="M350" s="124"/>
      <c r="N350" t="s">
        <v>130</v>
      </c>
      <c r="O350" s="125" t="str">
        <f t="shared" si="10"/>
        <v/>
      </c>
      <c r="P350" s="125">
        <f>'3. Use Cases Catalog'!K338*1000000</f>
        <v>0</v>
      </c>
      <c r="Q350" s="126">
        <v>10</v>
      </c>
      <c r="R350" s="124"/>
      <c r="S350" s="125" t="str">
        <f t="shared" si="11"/>
        <v/>
      </c>
      <c r="T350" s="125">
        <f>'3. Use Cases Catalog'!L338*1000000</f>
        <v>4.5</v>
      </c>
    </row>
    <row r="351" spans="1:20" x14ac:dyDescent="0.2">
      <c r="A351" t="s">
        <v>62</v>
      </c>
      <c r="B351" t="s">
        <v>186</v>
      </c>
      <c r="C351" t="s">
        <v>1932</v>
      </c>
      <c r="D351" s="10" t="s">
        <v>8366</v>
      </c>
      <c r="E351" t="s">
        <v>8367</v>
      </c>
      <c r="F351" s="125">
        <f>'3. Use Cases Catalog'!I339*1000000</f>
        <v>17.7</v>
      </c>
      <c r="G351" s="125">
        <f>'3. Use Cases Catalog'!I339*1000000</f>
        <v>17.7</v>
      </c>
      <c r="H351" s="10"/>
      <c r="I351" t="s">
        <v>129</v>
      </c>
      <c r="J351" s="125">
        <f>'3. Use Cases Catalog'!J339*1000000</f>
        <v>0</v>
      </c>
      <c r="K351" s="125">
        <f>'3. Use Cases Catalog'!J339*1000000</f>
        <v>0</v>
      </c>
      <c r="L351" s="123"/>
      <c r="M351" s="124"/>
      <c r="N351" t="s">
        <v>130</v>
      </c>
      <c r="O351" s="125" t="str">
        <f t="shared" si="10"/>
        <v/>
      </c>
      <c r="P351" s="125">
        <f>'3. Use Cases Catalog'!K339*1000000</f>
        <v>0</v>
      </c>
      <c r="Q351" s="126"/>
      <c r="R351" s="124"/>
      <c r="S351" s="125" t="str">
        <f t="shared" si="11"/>
        <v/>
      </c>
      <c r="T351" s="125">
        <f>'3. Use Cases Catalog'!L339*1000000</f>
        <v>0</v>
      </c>
    </row>
    <row r="352" spans="1:20" x14ac:dyDescent="0.2">
      <c r="A352" t="s">
        <v>62</v>
      </c>
      <c r="B352" t="s">
        <v>156</v>
      </c>
      <c r="C352" t="s">
        <v>1935</v>
      </c>
      <c r="D352" s="10" t="s">
        <v>8368</v>
      </c>
      <c r="E352" t="s">
        <v>8369</v>
      </c>
      <c r="F352" s="125">
        <f>'3. Use Cases Catalog'!I340*1000000</f>
        <v>13.9</v>
      </c>
      <c r="G352" s="125">
        <f>'3. Use Cases Catalog'!I340*1000000</f>
        <v>13.9</v>
      </c>
      <c r="H352" s="10"/>
      <c r="I352" t="s">
        <v>129</v>
      </c>
      <c r="J352" s="125">
        <f>'3. Use Cases Catalog'!J340*1000000</f>
        <v>0</v>
      </c>
      <c r="K352" s="125">
        <f>'3. Use Cases Catalog'!J340*1000000</f>
        <v>0</v>
      </c>
      <c r="L352" s="123"/>
      <c r="M352" s="124"/>
      <c r="N352" t="s">
        <v>130</v>
      </c>
      <c r="O352" s="125" t="str">
        <f t="shared" si="10"/>
        <v/>
      </c>
      <c r="P352" s="125">
        <f>'3. Use Cases Catalog'!K340*1000000</f>
        <v>0</v>
      </c>
      <c r="Q352" s="126"/>
      <c r="R352" s="124"/>
      <c r="S352" s="125" t="str">
        <f t="shared" si="11"/>
        <v/>
      </c>
      <c r="T352" s="125">
        <f>'3. Use Cases Catalog'!L340*1000000</f>
        <v>0</v>
      </c>
    </row>
    <row r="353" spans="1:20" x14ac:dyDescent="0.2">
      <c r="A353" t="s">
        <v>62</v>
      </c>
      <c r="B353" t="s">
        <v>194</v>
      </c>
      <c r="C353" t="s">
        <v>1938</v>
      </c>
      <c r="D353" s="10" t="s">
        <v>8370</v>
      </c>
      <c r="E353" t="s">
        <v>8371</v>
      </c>
      <c r="F353" s="125">
        <f>'3. Use Cases Catalog'!I341*1000000</f>
        <v>3.2</v>
      </c>
      <c r="G353" s="125">
        <f>'3. Use Cases Catalog'!I341*1000000</f>
        <v>3.2</v>
      </c>
      <c r="H353" s="10"/>
      <c r="I353" t="s">
        <v>129</v>
      </c>
      <c r="J353" s="125">
        <f>'3. Use Cases Catalog'!J341*1000000</f>
        <v>0</v>
      </c>
      <c r="K353" s="125">
        <f>'3. Use Cases Catalog'!J341*1000000</f>
        <v>0</v>
      </c>
      <c r="L353" s="123">
        <v>0.1</v>
      </c>
      <c r="M353" s="124">
        <v>22000000</v>
      </c>
      <c r="N353" t="s">
        <v>8372</v>
      </c>
      <c r="O353" s="125">
        <f t="shared" si="10"/>
        <v>1402500</v>
      </c>
      <c r="P353" s="125">
        <f>'3. Use Cases Catalog'!K341*1000000</f>
        <v>1.3</v>
      </c>
      <c r="Q353" s="126"/>
      <c r="R353" s="124"/>
      <c r="S353" s="125" t="str">
        <f t="shared" si="11"/>
        <v/>
      </c>
      <c r="T353" s="125">
        <f>'3. Use Cases Catalog'!L341*1000000</f>
        <v>0</v>
      </c>
    </row>
    <row r="354" spans="1:20" x14ac:dyDescent="0.2">
      <c r="A354" t="s">
        <v>67</v>
      </c>
      <c r="B354" t="s">
        <v>149</v>
      </c>
      <c r="C354" t="s">
        <v>8373</v>
      </c>
      <c r="D354" s="10"/>
      <c r="E354" t="s">
        <v>1009</v>
      </c>
      <c r="F354" s="125">
        <f>'3. Use Cases Catalog'!I342*1000000</f>
        <v>0</v>
      </c>
      <c r="G354" s="125">
        <f>'3. Use Cases Catalog'!I342*1000000</f>
        <v>0</v>
      </c>
      <c r="H354" s="10" t="s">
        <v>8374</v>
      </c>
      <c r="I354" t="s">
        <v>8375</v>
      </c>
      <c r="J354" s="125">
        <f>'3. Use Cases Catalog'!J342*1000000</f>
        <v>10.199999999999999</v>
      </c>
      <c r="K354" s="125">
        <f>'3. Use Cases Catalog'!J342*1000000</f>
        <v>10.199999999999999</v>
      </c>
      <c r="L354" s="123">
        <v>0.3</v>
      </c>
      <c r="M354" s="124">
        <v>8600000</v>
      </c>
      <c r="N354" t="s">
        <v>7572</v>
      </c>
      <c r="O354" s="125">
        <f t="shared" si="10"/>
        <v>1644750</v>
      </c>
      <c r="P354" s="125">
        <f>'3. Use Cases Catalog'!K342*1000000</f>
        <v>2.5</v>
      </c>
      <c r="Q354" s="126"/>
      <c r="R354" s="124"/>
      <c r="S354" s="125" t="str">
        <f t="shared" si="11"/>
        <v/>
      </c>
      <c r="T354" s="125">
        <f>'3. Use Cases Catalog'!L342*1000000</f>
        <v>0</v>
      </c>
    </row>
    <row r="355" spans="1:20" x14ac:dyDescent="0.2">
      <c r="A355" t="s">
        <v>67</v>
      </c>
      <c r="B355" t="s">
        <v>179</v>
      </c>
      <c r="C355" t="s">
        <v>1948</v>
      </c>
      <c r="D355" s="10" t="s">
        <v>8376</v>
      </c>
      <c r="E355" t="s">
        <v>8377</v>
      </c>
      <c r="F355" s="125">
        <f>'3. Use Cases Catalog'!I343*1000000</f>
        <v>1.4</v>
      </c>
      <c r="G355" s="125">
        <f>'3. Use Cases Catalog'!I343*1000000</f>
        <v>1.4</v>
      </c>
      <c r="H355" s="10" t="s">
        <v>8378</v>
      </c>
      <c r="I355" t="s">
        <v>8379</v>
      </c>
      <c r="J355" s="125">
        <f>'3. Use Cases Catalog'!J343*1000000</f>
        <v>8.5</v>
      </c>
      <c r="K355" s="125">
        <f>'3. Use Cases Catalog'!J343*1000000</f>
        <v>8.5</v>
      </c>
      <c r="L355" s="123"/>
      <c r="M355" s="124"/>
      <c r="N355" t="s">
        <v>130</v>
      </c>
      <c r="O355" s="125" t="str">
        <f t="shared" si="10"/>
        <v/>
      </c>
      <c r="P355" s="125">
        <f>'3. Use Cases Catalog'!K343*1000000</f>
        <v>0</v>
      </c>
      <c r="Q355" s="126"/>
      <c r="R355" s="124"/>
      <c r="S355" s="125" t="str">
        <f t="shared" si="11"/>
        <v/>
      </c>
      <c r="T355" s="125">
        <f>'3. Use Cases Catalog'!L343*1000000</f>
        <v>0</v>
      </c>
    </row>
    <row r="356" spans="1:20" x14ac:dyDescent="0.2">
      <c r="A356" t="s">
        <v>67</v>
      </c>
      <c r="B356" t="s">
        <v>141</v>
      </c>
      <c r="C356" t="s">
        <v>8380</v>
      </c>
      <c r="D356" s="10" t="s">
        <v>8381</v>
      </c>
      <c r="E356" t="s">
        <v>8382</v>
      </c>
      <c r="F356" s="125">
        <f>'3. Use Cases Catalog'!I344*1000000</f>
        <v>12.9</v>
      </c>
      <c r="G356" s="125">
        <f>'3. Use Cases Catalog'!I344*1000000</f>
        <v>12.9</v>
      </c>
      <c r="H356" s="10"/>
      <c r="I356" t="s">
        <v>129</v>
      </c>
      <c r="J356" s="125">
        <f>'3. Use Cases Catalog'!J344*1000000</f>
        <v>0</v>
      </c>
      <c r="K356" s="125">
        <f>'3. Use Cases Catalog'!J344*1000000</f>
        <v>0</v>
      </c>
      <c r="L356" s="123"/>
      <c r="M356" s="124"/>
      <c r="N356" t="s">
        <v>130</v>
      </c>
      <c r="O356" s="125" t="str">
        <f t="shared" si="10"/>
        <v/>
      </c>
      <c r="P356" s="125">
        <f>'3. Use Cases Catalog'!K344*1000000</f>
        <v>0</v>
      </c>
      <c r="Q356" s="126"/>
      <c r="R356" s="124"/>
      <c r="S356" s="125" t="str">
        <f t="shared" si="11"/>
        <v/>
      </c>
      <c r="T356" s="125">
        <f>'3. Use Cases Catalog'!L344*1000000</f>
        <v>0</v>
      </c>
    </row>
    <row r="357" spans="1:20" x14ac:dyDescent="0.2">
      <c r="A357" t="s">
        <v>67</v>
      </c>
      <c r="B357" t="s">
        <v>123</v>
      </c>
      <c r="C357" t="s">
        <v>1957</v>
      </c>
      <c r="D357" s="10"/>
      <c r="E357" t="s">
        <v>1009</v>
      </c>
      <c r="F357" s="125">
        <f>'3. Use Cases Catalog'!I345*1000000</f>
        <v>0</v>
      </c>
      <c r="G357" s="125">
        <f>'3. Use Cases Catalog'!I345*1000000</f>
        <v>0</v>
      </c>
      <c r="H357" s="10" t="s">
        <v>8383</v>
      </c>
      <c r="I357" t="s">
        <v>8384</v>
      </c>
      <c r="J357" s="125">
        <f>'3. Use Cases Catalog'!J345*1000000</f>
        <v>46.6</v>
      </c>
      <c r="K357" s="125">
        <f>'3. Use Cases Catalog'!J345*1000000</f>
        <v>46.6</v>
      </c>
      <c r="L357" s="123"/>
      <c r="M357" s="124"/>
      <c r="N357" t="s">
        <v>130</v>
      </c>
      <c r="O357" s="125" t="str">
        <f t="shared" si="10"/>
        <v/>
      </c>
      <c r="P357" s="125">
        <f>'3. Use Cases Catalog'!K345*1000000</f>
        <v>0</v>
      </c>
      <c r="Q357" s="126"/>
      <c r="R357" s="124"/>
      <c r="S357" s="125" t="str">
        <f t="shared" si="11"/>
        <v/>
      </c>
      <c r="T357" s="125">
        <f>'3. Use Cases Catalog'!L345*1000000</f>
        <v>0</v>
      </c>
    </row>
    <row r="358" spans="1:20" x14ac:dyDescent="0.2">
      <c r="A358" t="s">
        <v>67</v>
      </c>
      <c r="B358" t="s">
        <v>133</v>
      </c>
      <c r="C358" t="s">
        <v>1961</v>
      </c>
      <c r="D358" s="10" t="s">
        <v>8385</v>
      </c>
      <c r="E358" t="s">
        <v>8386</v>
      </c>
      <c r="F358" s="125">
        <f>'3. Use Cases Catalog'!I346*1000000</f>
        <v>2</v>
      </c>
      <c r="G358" s="125">
        <f>'3. Use Cases Catalog'!I346*1000000</f>
        <v>2</v>
      </c>
      <c r="H358" s="10"/>
      <c r="I358" t="s">
        <v>129</v>
      </c>
      <c r="J358" s="125">
        <f>'3. Use Cases Catalog'!J346*1000000</f>
        <v>0</v>
      </c>
      <c r="K358" s="125">
        <f>'3. Use Cases Catalog'!J346*1000000</f>
        <v>0</v>
      </c>
      <c r="L358" s="123"/>
      <c r="M358" s="124"/>
      <c r="N358" t="s">
        <v>130</v>
      </c>
      <c r="O358" s="125" t="str">
        <f t="shared" si="10"/>
        <v/>
      </c>
      <c r="P358" s="125">
        <f>'3. Use Cases Catalog'!K346*1000000</f>
        <v>0</v>
      </c>
      <c r="Q358" s="126"/>
      <c r="R358" s="124"/>
      <c r="S358" s="125" t="str">
        <f t="shared" si="11"/>
        <v/>
      </c>
      <c r="T358" s="125">
        <f>'3. Use Cases Catalog'!L346*1000000</f>
        <v>0</v>
      </c>
    </row>
    <row r="359" spans="1:20" x14ac:dyDescent="0.2">
      <c r="A359" t="s">
        <v>67</v>
      </c>
      <c r="B359" t="s">
        <v>156</v>
      </c>
      <c r="C359" t="s">
        <v>8387</v>
      </c>
      <c r="D359" s="10" t="s">
        <v>8388</v>
      </c>
      <c r="E359" t="s">
        <v>8389</v>
      </c>
      <c r="F359" s="125">
        <f>'3. Use Cases Catalog'!I347*1000000</f>
        <v>6.3</v>
      </c>
      <c r="G359" s="125">
        <f>'3. Use Cases Catalog'!I347*1000000</f>
        <v>6.3</v>
      </c>
      <c r="H359" s="10"/>
      <c r="I359" t="s">
        <v>129</v>
      </c>
      <c r="J359" s="125">
        <f>'3. Use Cases Catalog'!J347*1000000</f>
        <v>0</v>
      </c>
      <c r="K359" s="125">
        <f>'3. Use Cases Catalog'!J347*1000000</f>
        <v>0</v>
      </c>
      <c r="L359" s="123"/>
      <c r="M359" s="124"/>
      <c r="N359" t="s">
        <v>130</v>
      </c>
      <c r="O359" s="125" t="str">
        <f t="shared" si="10"/>
        <v/>
      </c>
      <c r="P359" s="125">
        <f>'3. Use Cases Catalog'!K347*1000000</f>
        <v>0</v>
      </c>
      <c r="Q359" s="126">
        <v>7</v>
      </c>
      <c r="R359" s="124">
        <v>130</v>
      </c>
      <c r="S359" s="125">
        <f t="shared" si="11"/>
        <v>734.82499999999993</v>
      </c>
      <c r="T359" s="125">
        <f>'3. Use Cases Catalog'!L347*1000000</f>
        <v>1.1000000000000001</v>
      </c>
    </row>
    <row r="360" spans="1:20" x14ac:dyDescent="0.2">
      <c r="A360" t="s">
        <v>67</v>
      </c>
      <c r="B360" t="s">
        <v>164</v>
      </c>
      <c r="C360" t="s">
        <v>8390</v>
      </c>
      <c r="D360" s="10" t="s">
        <v>8391</v>
      </c>
      <c r="E360" t="s">
        <v>8392</v>
      </c>
      <c r="F360" s="125">
        <f>'3. Use Cases Catalog'!I348*1000000</f>
        <v>1.8</v>
      </c>
      <c r="G360" s="125">
        <f>'3. Use Cases Catalog'!I348*1000000</f>
        <v>1.8</v>
      </c>
      <c r="H360" s="10"/>
      <c r="I360" t="s">
        <v>129</v>
      </c>
      <c r="J360" s="125">
        <f>'3. Use Cases Catalog'!J348*1000000</f>
        <v>0</v>
      </c>
      <c r="K360" s="125">
        <f>'3. Use Cases Catalog'!J348*1000000</f>
        <v>0</v>
      </c>
      <c r="L360" s="123">
        <v>0.4</v>
      </c>
      <c r="M360" s="124">
        <v>4200000</v>
      </c>
      <c r="N360" t="s">
        <v>7572</v>
      </c>
      <c r="O360" s="125">
        <f t="shared" si="10"/>
        <v>1071000</v>
      </c>
      <c r="P360" s="125">
        <f>'3. Use Cases Catalog'!K348*1000000</f>
        <v>2</v>
      </c>
      <c r="Q360" s="126"/>
      <c r="R360" s="124"/>
      <c r="S360" s="125" t="str">
        <f t="shared" si="11"/>
        <v/>
      </c>
      <c r="T360" s="125">
        <f>'3. Use Cases Catalog'!L348*1000000</f>
        <v>0</v>
      </c>
    </row>
    <row r="361" spans="1:20" x14ac:dyDescent="0.2">
      <c r="A361" t="s">
        <v>67</v>
      </c>
      <c r="B361" t="s">
        <v>172</v>
      </c>
      <c r="C361" t="s">
        <v>8393</v>
      </c>
      <c r="D361" s="10" t="s">
        <v>8394</v>
      </c>
      <c r="E361" t="s">
        <v>8395</v>
      </c>
      <c r="F361" s="125">
        <f>'3. Use Cases Catalog'!I349*1000000</f>
        <v>3.4</v>
      </c>
      <c r="G361" s="125">
        <f>'3. Use Cases Catalog'!I349*1000000</f>
        <v>3.4</v>
      </c>
      <c r="H361" s="10"/>
      <c r="I361" t="s">
        <v>129</v>
      </c>
      <c r="J361" s="125">
        <f>'3. Use Cases Catalog'!J349*1000000</f>
        <v>0</v>
      </c>
      <c r="K361" s="125">
        <f>'3. Use Cases Catalog'!J349*1000000</f>
        <v>0</v>
      </c>
      <c r="L361" s="123"/>
      <c r="M361" s="124"/>
      <c r="N361" t="s">
        <v>130</v>
      </c>
      <c r="O361" s="125" t="str">
        <f t="shared" si="10"/>
        <v/>
      </c>
      <c r="P361" s="125">
        <f>'3. Use Cases Catalog'!K349*1000000</f>
        <v>0</v>
      </c>
      <c r="Q361" s="126"/>
      <c r="R361" s="124"/>
      <c r="S361" s="125" t="str">
        <f t="shared" si="11"/>
        <v/>
      </c>
      <c r="T361" s="125">
        <f>'3. Use Cases Catalog'!L349*1000000</f>
        <v>0</v>
      </c>
    </row>
    <row r="362" spans="1:20" x14ac:dyDescent="0.2">
      <c r="A362" t="s">
        <v>67</v>
      </c>
      <c r="B362" t="s">
        <v>186</v>
      </c>
      <c r="C362" t="s">
        <v>1977</v>
      </c>
      <c r="D362" s="10" t="s">
        <v>8396</v>
      </c>
      <c r="E362" t="s">
        <v>8397</v>
      </c>
      <c r="F362" s="125">
        <f>'3. Use Cases Catalog'!I350*1000000</f>
        <v>500000</v>
      </c>
      <c r="G362" s="125">
        <f>'3. Use Cases Catalog'!I350*1000000</f>
        <v>500000</v>
      </c>
      <c r="H362" s="10" t="s">
        <v>8398</v>
      </c>
      <c r="I362" t="s">
        <v>8399</v>
      </c>
      <c r="J362" s="125">
        <f>'3. Use Cases Catalog'!J350*1000000</f>
        <v>2.8</v>
      </c>
      <c r="K362" s="125">
        <f>'3. Use Cases Catalog'!J350*1000000</f>
        <v>2.8</v>
      </c>
      <c r="L362" s="123"/>
      <c r="M362" s="124"/>
      <c r="N362" t="s">
        <v>130</v>
      </c>
      <c r="O362" s="125" t="str">
        <f t="shared" si="10"/>
        <v/>
      </c>
      <c r="P362" s="125">
        <f>'3. Use Cases Catalog'!K350*1000000</f>
        <v>0</v>
      </c>
      <c r="Q362" s="126"/>
      <c r="R362" s="124"/>
      <c r="S362" s="125" t="str">
        <f t="shared" si="11"/>
        <v/>
      </c>
      <c r="T362" s="125">
        <f>'3. Use Cases Catalog'!L350*1000000</f>
        <v>0</v>
      </c>
    </row>
    <row r="363" spans="1:20" x14ac:dyDescent="0.2">
      <c r="A363" t="s">
        <v>67</v>
      </c>
      <c r="B363" t="s">
        <v>194</v>
      </c>
      <c r="C363" t="s">
        <v>1982</v>
      </c>
      <c r="D363" s="10" t="s">
        <v>8400</v>
      </c>
      <c r="E363" t="s">
        <v>8401</v>
      </c>
      <c r="F363" s="125">
        <f>'3. Use Cases Catalog'!I351*1000000</f>
        <v>900000</v>
      </c>
      <c r="G363" s="125">
        <f>'3. Use Cases Catalog'!I351*1000000</f>
        <v>900000</v>
      </c>
      <c r="H363" s="10"/>
      <c r="I363" t="s">
        <v>129</v>
      </c>
      <c r="J363" s="125">
        <f>'3. Use Cases Catalog'!J351*1000000</f>
        <v>0</v>
      </c>
      <c r="K363" s="125">
        <f>'3. Use Cases Catalog'!J351*1000000</f>
        <v>0</v>
      </c>
      <c r="L363" s="123">
        <v>0.35</v>
      </c>
      <c r="M363" s="124">
        <v>9200000</v>
      </c>
      <c r="N363" t="s">
        <v>8402</v>
      </c>
      <c r="O363" s="125">
        <f t="shared" si="10"/>
        <v>2052750</v>
      </c>
      <c r="P363" s="125">
        <f>'3. Use Cases Catalog'!K351*1000000</f>
        <v>3.8</v>
      </c>
      <c r="Q363" s="126"/>
      <c r="R363" s="124"/>
      <c r="S363" s="125" t="str">
        <f t="shared" si="11"/>
        <v/>
      </c>
      <c r="T363" s="125">
        <f>'3. Use Cases Catalog'!L351*1000000</f>
        <v>0</v>
      </c>
    </row>
    <row r="364" spans="1:20" x14ac:dyDescent="0.2">
      <c r="A364" t="s">
        <v>60</v>
      </c>
      <c r="B364" t="s">
        <v>186</v>
      </c>
      <c r="C364" t="s">
        <v>1987</v>
      </c>
      <c r="D364" s="10" t="s">
        <v>8403</v>
      </c>
      <c r="E364" t="s">
        <v>8404</v>
      </c>
      <c r="F364" s="125">
        <f>'3. Use Cases Catalog'!I352*1000000</f>
        <v>3.6</v>
      </c>
      <c r="G364" s="125">
        <f>'3. Use Cases Catalog'!I352*1000000</f>
        <v>3.6</v>
      </c>
      <c r="H364" s="10"/>
      <c r="I364" t="s">
        <v>129</v>
      </c>
      <c r="J364" s="125">
        <f>'3. Use Cases Catalog'!J352*1000000</f>
        <v>0</v>
      </c>
      <c r="K364" s="125">
        <f>'3. Use Cases Catalog'!J352*1000000</f>
        <v>0</v>
      </c>
      <c r="L364" s="123">
        <v>0.15</v>
      </c>
      <c r="M364" s="124">
        <v>20000000</v>
      </c>
      <c r="N364" t="s">
        <v>8405</v>
      </c>
      <c r="O364" s="125">
        <f t="shared" si="10"/>
        <v>1912500</v>
      </c>
      <c r="P364" s="125">
        <f>'3. Use Cases Catalog'!K352*1000000</f>
        <v>1.8</v>
      </c>
      <c r="Q364" s="126"/>
      <c r="R364" s="124"/>
      <c r="S364" s="125" t="str">
        <f t="shared" si="11"/>
        <v/>
      </c>
      <c r="T364" s="125">
        <f>'3. Use Cases Catalog'!L352*1000000</f>
        <v>0</v>
      </c>
    </row>
    <row r="365" spans="1:20" x14ac:dyDescent="0.2">
      <c r="A365" t="s">
        <v>60</v>
      </c>
      <c r="B365" t="s">
        <v>141</v>
      </c>
      <c r="C365" t="s">
        <v>1992</v>
      </c>
      <c r="D365" s="10" t="s">
        <v>8406</v>
      </c>
      <c r="E365" t="s">
        <v>8407</v>
      </c>
      <c r="F365" s="125">
        <f>'3. Use Cases Catalog'!I353*1000000</f>
        <v>1.8</v>
      </c>
      <c r="G365" s="125">
        <f>'3. Use Cases Catalog'!I353*1000000</f>
        <v>1.8</v>
      </c>
      <c r="H365" s="10"/>
      <c r="I365" t="s">
        <v>129</v>
      </c>
      <c r="J365" s="125">
        <f>'3. Use Cases Catalog'!J353*1000000</f>
        <v>0</v>
      </c>
      <c r="K365" s="125">
        <f>'3. Use Cases Catalog'!J353*1000000</f>
        <v>0</v>
      </c>
      <c r="L365" s="123">
        <v>0.15</v>
      </c>
      <c r="M365" s="124">
        <v>30000000</v>
      </c>
      <c r="N365" t="s">
        <v>7518</v>
      </c>
      <c r="O365" s="125">
        <f t="shared" si="10"/>
        <v>2868750</v>
      </c>
      <c r="P365" s="125">
        <f>'3. Use Cases Catalog'!K353*1000000</f>
        <v>3.6</v>
      </c>
      <c r="Q365" s="126"/>
      <c r="R365" s="124"/>
      <c r="S365" s="125" t="str">
        <f t="shared" si="11"/>
        <v/>
      </c>
      <c r="T365" s="125">
        <f>'3. Use Cases Catalog'!L353*1000000</f>
        <v>0</v>
      </c>
    </row>
    <row r="366" spans="1:20" x14ac:dyDescent="0.2">
      <c r="A366" t="s">
        <v>60</v>
      </c>
      <c r="B366" t="s">
        <v>123</v>
      </c>
      <c r="C366" t="s">
        <v>1996</v>
      </c>
      <c r="D366" s="10" t="s">
        <v>8408</v>
      </c>
      <c r="E366" t="s">
        <v>8409</v>
      </c>
      <c r="F366" s="125">
        <f>'3. Use Cases Catalog'!I354*1000000</f>
        <v>5.0999999999999996</v>
      </c>
      <c r="G366" s="125">
        <f>'3. Use Cases Catalog'!I354*1000000</f>
        <v>5.0999999999999996</v>
      </c>
      <c r="H366" s="10"/>
      <c r="I366" t="s">
        <v>129</v>
      </c>
      <c r="J366" s="125">
        <f>'3. Use Cases Catalog'!J354*1000000</f>
        <v>0</v>
      </c>
      <c r="K366" s="125">
        <f>'3. Use Cases Catalog'!J354*1000000</f>
        <v>0</v>
      </c>
      <c r="L366" s="123"/>
      <c r="M366" s="124"/>
      <c r="N366" t="s">
        <v>130</v>
      </c>
      <c r="O366" s="125" t="str">
        <f t="shared" si="10"/>
        <v/>
      </c>
      <c r="P366" s="125">
        <f>'3. Use Cases Catalog'!K354*1000000</f>
        <v>0</v>
      </c>
      <c r="Q366" s="126">
        <v>12</v>
      </c>
      <c r="R366" s="124"/>
      <c r="S366" s="125" t="str">
        <f t="shared" si="11"/>
        <v/>
      </c>
      <c r="T366" s="125">
        <f>'3. Use Cases Catalog'!L354*1000000</f>
        <v>2.6</v>
      </c>
    </row>
    <row r="367" spans="1:20" x14ac:dyDescent="0.2">
      <c r="A367" t="s">
        <v>60</v>
      </c>
      <c r="B367" t="s">
        <v>149</v>
      </c>
      <c r="C367" t="s">
        <v>2000</v>
      </c>
      <c r="D367" s="10" t="s">
        <v>8410</v>
      </c>
      <c r="E367" t="s">
        <v>8411</v>
      </c>
      <c r="F367" s="125">
        <f>'3. Use Cases Catalog'!I355*1000000</f>
        <v>1.4</v>
      </c>
      <c r="G367" s="125">
        <f>'3. Use Cases Catalog'!I355*1000000</f>
        <v>1.4</v>
      </c>
      <c r="H367" s="10" t="s">
        <v>8412</v>
      </c>
      <c r="I367" t="s">
        <v>8413</v>
      </c>
      <c r="J367" s="125">
        <f>'3. Use Cases Catalog'!J355*1000000</f>
        <v>38</v>
      </c>
      <c r="K367" s="125">
        <f>'3. Use Cases Catalog'!J355*1000000</f>
        <v>38</v>
      </c>
      <c r="L367" s="123"/>
      <c r="M367" s="124"/>
      <c r="N367" t="s">
        <v>130</v>
      </c>
      <c r="O367" s="125" t="str">
        <f t="shared" si="10"/>
        <v/>
      </c>
      <c r="P367" s="125">
        <f>'3. Use Cases Catalog'!K355*1000000</f>
        <v>0</v>
      </c>
      <c r="Q367" s="126"/>
      <c r="R367" s="124"/>
      <c r="S367" s="125" t="str">
        <f t="shared" si="11"/>
        <v/>
      </c>
      <c r="T367" s="125">
        <f>'3. Use Cases Catalog'!L355*1000000</f>
        <v>0</v>
      </c>
    </row>
    <row r="368" spans="1:20" x14ac:dyDescent="0.2">
      <c r="A368" t="s">
        <v>60</v>
      </c>
      <c r="B368" t="s">
        <v>133</v>
      </c>
      <c r="C368" t="s">
        <v>2005</v>
      </c>
      <c r="D368" s="10" t="s">
        <v>8414</v>
      </c>
      <c r="E368" t="s">
        <v>8415</v>
      </c>
      <c r="F368" s="125">
        <f>'3. Use Cases Catalog'!I356*1000000</f>
        <v>3.8</v>
      </c>
      <c r="G368" s="125">
        <f>'3. Use Cases Catalog'!I356*1000000</f>
        <v>3.8</v>
      </c>
      <c r="H368" s="10" t="s">
        <v>8416</v>
      </c>
      <c r="I368" t="s">
        <v>8417</v>
      </c>
      <c r="J368" s="125">
        <f>'3. Use Cases Catalog'!J356*1000000</f>
        <v>6</v>
      </c>
      <c r="K368" s="125">
        <f>'3. Use Cases Catalog'!J356*1000000</f>
        <v>6</v>
      </c>
      <c r="L368" s="123"/>
      <c r="M368" s="124"/>
      <c r="N368" t="s">
        <v>130</v>
      </c>
      <c r="O368" s="125" t="str">
        <f t="shared" si="10"/>
        <v/>
      </c>
      <c r="P368" s="125">
        <f>'3. Use Cases Catalog'!K356*1000000</f>
        <v>0</v>
      </c>
      <c r="Q368" s="126"/>
      <c r="R368" s="124"/>
      <c r="S368" s="125" t="str">
        <f t="shared" si="11"/>
        <v/>
      </c>
      <c r="T368" s="125">
        <f>'3. Use Cases Catalog'!L356*1000000</f>
        <v>0</v>
      </c>
    </row>
    <row r="369" spans="1:20" x14ac:dyDescent="0.2">
      <c r="A369" t="s">
        <v>60</v>
      </c>
      <c r="B369" t="s">
        <v>156</v>
      </c>
      <c r="C369" t="s">
        <v>2009</v>
      </c>
      <c r="D369" s="10" t="s">
        <v>8418</v>
      </c>
      <c r="E369" t="s">
        <v>8419</v>
      </c>
      <c r="F369" s="125">
        <f>'3. Use Cases Catalog'!I357*1000000</f>
        <v>4.2</v>
      </c>
      <c r="G369" s="125">
        <f>'3. Use Cases Catalog'!I357*1000000</f>
        <v>4.2</v>
      </c>
      <c r="H369" s="10" t="s">
        <v>8420</v>
      </c>
      <c r="I369" t="s">
        <v>8421</v>
      </c>
      <c r="J369" s="125">
        <f>'3. Use Cases Catalog'!J357*1000000</f>
        <v>20.2</v>
      </c>
      <c r="K369" s="125">
        <f>'3. Use Cases Catalog'!J357*1000000</f>
        <v>20.2</v>
      </c>
      <c r="L369" s="123"/>
      <c r="M369" s="124"/>
      <c r="N369" t="s">
        <v>130</v>
      </c>
      <c r="O369" s="125" t="str">
        <f t="shared" si="10"/>
        <v/>
      </c>
      <c r="P369" s="125">
        <f>'3. Use Cases Catalog'!K357*1000000</f>
        <v>0</v>
      </c>
      <c r="Q369" s="126"/>
      <c r="R369" s="124"/>
      <c r="S369" s="125" t="str">
        <f t="shared" si="11"/>
        <v/>
      </c>
      <c r="T369" s="125">
        <f>'3. Use Cases Catalog'!L357*1000000</f>
        <v>0</v>
      </c>
    </row>
    <row r="370" spans="1:20" x14ac:dyDescent="0.2">
      <c r="A370" t="s">
        <v>60</v>
      </c>
      <c r="B370" t="s">
        <v>164</v>
      </c>
      <c r="C370" t="s">
        <v>2014</v>
      </c>
      <c r="D370" s="10" t="s">
        <v>8422</v>
      </c>
      <c r="E370" t="s">
        <v>8423</v>
      </c>
      <c r="F370" s="125">
        <f>'3. Use Cases Catalog'!I358*1000000</f>
        <v>2.9</v>
      </c>
      <c r="G370" s="125">
        <f>'3. Use Cases Catalog'!I358*1000000</f>
        <v>2.9</v>
      </c>
      <c r="H370" s="10"/>
      <c r="I370" t="s">
        <v>129</v>
      </c>
      <c r="J370" s="125">
        <f>'3. Use Cases Catalog'!J358*1000000</f>
        <v>0</v>
      </c>
      <c r="K370" s="125">
        <f>'3. Use Cases Catalog'!J358*1000000</f>
        <v>0</v>
      </c>
      <c r="L370" s="123">
        <v>0.2</v>
      </c>
      <c r="M370" s="124">
        <v>20000000</v>
      </c>
      <c r="N370" t="s">
        <v>8424</v>
      </c>
      <c r="O370" s="125">
        <f t="shared" si="10"/>
        <v>2550000</v>
      </c>
      <c r="P370" s="125">
        <f>'3. Use Cases Catalog'!K358*1000000</f>
        <v>2.4</v>
      </c>
      <c r="Q370" s="126">
        <v>17</v>
      </c>
      <c r="R370" s="124"/>
      <c r="S370" s="125" t="str">
        <f t="shared" si="11"/>
        <v/>
      </c>
      <c r="T370" s="125">
        <f>'3. Use Cases Catalog'!L358*1000000</f>
        <v>1.7</v>
      </c>
    </row>
    <row r="371" spans="1:20" x14ac:dyDescent="0.2">
      <c r="A371" t="s">
        <v>60</v>
      </c>
      <c r="B371" t="s">
        <v>172</v>
      </c>
      <c r="C371" t="s">
        <v>2020</v>
      </c>
      <c r="D371" s="10" t="s">
        <v>8425</v>
      </c>
      <c r="E371" t="s">
        <v>8426</v>
      </c>
      <c r="F371" s="125">
        <f>'3. Use Cases Catalog'!I359*1000000</f>
        <v>2.1</v>
      </c>
      <c r="G371" s="125">
        <f>'3. Use Cases Catalog'!I359*1000000</f>
        <v>2.1</v>
      </c>
      <c r="H371" s="10" t="s">
        <v>8427</v>
      </c>
      <c r="I371" t="s">
        <v>8428</v>
      </c>
      <c r="J371" s="125">
        <f>'3. Use Cases Catalog'!J359*1000000</f>
        <v>8.5</v>
      </c>
      <c r="K371" s="125">
        <f>'3. Use Cases Catalog'!J359*1000000</f>
        <v>8.5</v>
      </c>
      <c r="L371" s="123"/>
      <c r="M371" s="124"/>
      <c r="N371" t="s">
        <v>130</v>
      </c>
      <c r="O371" s="125" t="str">
        <f t="shared" si="10"/>
        <v/>
      </c>
      <c r="P371" s="125">
        <f>'3. Use Cases Catalog'!K359*1000000</f>
        <v>0</v>
      </c>
      <c r="Q371" s="126"/>
      <c r="R371" s="124"/>
      <c r="S371" s="125" t="str">
        <f t="shared" si="11"/>
        <v/>
      </c>
      <c r="T371" s="125">
        <f>'3. Use Cases Catalog'!L359*1000000</f>
        <v>0</v>
      </c>
    </row>
    <row r="372" spans="1:20" x14ac:dyDescent="0.2">
      <c r="A372" t="s">
        <v>60</v>
      </c>
      <c r="B372" t="s">
        <v>179</v>
      </c>
      <c r="C372" t="s">
        <v>2024</v>
      </c>
      <c r="D372" s="10" t="s">
        <v>8429</v>
      </c>
      <c r="E372" t="s">
        <v>8430</v>
      </c>
      <c r="F372" s="125">
        <f>'3. Use Cases Catalog'!I360*1000000</f>
        <v>1.9</v>
      </c>
      <c r="G372" s="125">
        <f>'3. Use Cases Catalog'!I360*1000000</f>
        <v>1.9</v>
      </c>
      <c r="H372" s="10"/>
      <c r="I372" t="s">
        <v>129</v>
      </c>
      <c r="J372" s="125">
        <f>'3. Use Cases Catalog'!J360*1000000</f>
        <v>0</v>
      </c>
      <c r="K372" s="125">
        <f>'3. Use Cases Catalog'!J360*1000000</f>
        <v>0</v>
      </c>
      <c r="L372" s="123"/>
      <c r="M372" s="124"/>
      <c r="N372" t="s">
        <v>130</v>
      </c>
      <c r="O372" s="125" t="str">
        <f t="shared" si="10"/>
        <v/>
      </c>
      <c r="P372" s="125">
        <f>'3. Use Cases Catalog'!K360*1000000</f>
        <v>0</v>
      </c>
      <c r="Q372" s="126">
        <v>18</v>
      </c>
      <c r="R372" s="124"/>
      <c r="S372" s="125" t="str">
        <f t="shared" si="11"/>
        <v/>
      </c>
      <c r="T372" s="125">
        <f>'3. Use Cases Catalog'!L360*1000000</f>
        <v>3.8</v>
      </c>
    </row>
    <row r="373" spans="1:20" x14ac:dyDescent="0.2">
      <c r="A373" t="s">
        <v>60</v>
      </c>
      <c r="B373" t="s">
        <v>194</v>
      </c>
      <c r="C373" t="s">
        <v>2028</v>
      </c>
      <c r="D373" s="10" t="s">
        <v>8431</v>
      </c>
      <c r="E373" t="s">
        <v>8432</v>
      </c>
      <c r="F373" s="125">
        <f>'3. Use Cases Catalog'!I361*1000000</f>
        <v>2.6</v>
      </c>
      <c r="G373" s="125">
        <f>'3. Use Cases Catalog'!I361*1000000</f>
        <v>2.6</v>
      </c>
      <c r="H373" s="10"/>
      <c r="I373" t="s">
        <v>129</v>
      </c>
      <c r="J373" s="125">
        <f>'3. Use Cases Catalog'!J361*1000000</f>
        <v>0</v>
      </c>
      <c r="K373" s="125">
        <f>'3. Use Cases Catalog'!J361*1000000</f>
        <v>0</v>
      </c>
      <c r="L373" s="123"/>
      <c r="M373" s="124"/>
      <c r="N373" t="s">
        <v>130</v>
      </c>
      <c r="O373" s="125" t="str">
        <f t="shared" si="10"/>
        <v/>
      </c>
      <c r="P373" s="125">
        <f>'3. Use Cases Catalog'!K361*1000000</f>
        <v>0</v>
      </c>
      <c r="Q373" s="126">
        <v>16</v>
      </c>
      <c r="R373" s="124"/>
      <c r="S373" s="125" t="str">
        <f t="shared" si="11"/>
        <v/>
      </c>
      <c r="T373" s="125">
        <f>'3. Use Cases Catalog'!L361*1000000</f>
        <v>6.8</v>
      </c>
    </row>
    <row r="374" spans="1:20" x14ac:dyDescent="0.2">
      <c r="A374" t="s">
        <v>95</v>
      </c>
      <c r="B374" t="s">
        <v>141</v>
      </c>
      <c r="C374" t="s">
        <v>2032</v>
      </c>
      <c r="D374" s="10" t="s">
        <v>8433</v>
      </c>
      <c r="E374" t="s">
        <v>8434</v>
      </c>
      <c r="F374" s="125">
        <f>'3. Use Cases Catalog'!I362*1000000</f>
        <v>4.9000000000000004</v>
      </c>
      <c r="G374" s="125">
        <f>'3. Use Cases Catalog'!I362*1000000</f>
        <v>4.9000000000000004</v>
      </c>
      <c r="H374" s="10" t="s">
        <v>8435</v>
      </c>
      <c r="I374" t="s">
        <v>8436</v>
      </c>
      <c r="J374" s="125">
        <f>'3. Use Cases Catalog'!J362*1000000</f>
        <v>3.4</v>
      </c>
      <c r="K374" s="125">
        <f>'3. Use Cases Catalog'!J362*1000000</f>
        <v>3.4</v>
      </c>
      <c r="L374" s="123"/>
      <c r="M374" s="124"/>
      <c r="N374" t="s">
        <v>130</v>
      </c>
      <c r="O374" s="125" t="str">
        <f t="shared" si="10"/>
        <v/>
      </c>
      <c r="P374" s="125">
        <f>'3. Use Cases Catalog'!K362*1000000</f>
        <v>0</v>
      </c>
      <c r="Q374" s="126"/>
      <c r="R374" s="124"/>
      <c r="S374" s="125" t="str">
        <f t="shared" si="11"/>
        <v/>
      </c>
      <c r="T374" s="125">
        <f>'3. Use Cases Catalog'!L362*1000000</f>
        <v>0</v>
      </c>
    </row>
    <row r="375" spans="1:20" x14ac:dyDescent="0.2">
      <c r="A375" t="s">
        <v>95</v>
      </c>
      <c r="B375" t="s">
        <v>123</v>
      </c>
      <c r="C375" t="s">
        <v>8437</v>
      </c>
      <c r="D375" s="10" t="s">
        <v>8438</v>
      </c>
      <c r="E375" t="s">
        <v>8439</v>
      </c>
      <c r="F375" s="125">
        <f>'3. Use Cases Catalog'!I363*1000000</f>
        <v>3.8</v>
      </c>
      <c r="G375" s="125">
        <f>'3. Use Cases Catalog'!I363*1000000</f>
        <v>3.8</v>
      </c>
      <c r="H375" s="10"/>
      <c r="I375" t="s">
        <v>129</v>
      </c>
      <c r="J375" s="125">
        <f>'3. Use Cases Catalog'!J363*1000000</f>
        <v>0</v>
      </c>
      <c r="K375" s="125">
        <f>'3. Use Cases Catalog'!J363*1000000</f>
        <v>0</v>
      </c>
      <c r="L375" s="123"/>
      <c r="M375" s="124"/>
      <c r="N375" t="s">
        <v>130</v>
      </c>
      <c r="O375" s="125" t="str">
        <f t="shared" si="10"/>
        <v/>
      </c>
      <c r="P375" s="125">
        <f>'3. Use Cases Catalog'!K363*1000000</f>
        <v>0</v>
      </c>
      <c r="Q375" s="126"/>
      <c r="R375" s="124"/>
      <c r="S375" s="125" t="str">
        <f t="shared" si="11"/>
        <v/>
      </c>
      <c r="T375" s="125">
        <f>'3. Use Cases Catalog'!L363*1000000</f>
        <v>0</v>
      </c>
    </row>
    <row r="376" spans="1:20" x14ac:dyDescent="0.2">
      <c r="A376" t="s">
        <v>95</v>
      </c>
      <c r="B376" t="s">
        <v>149</v>
      </c>
      <c r="C376" t="s">
        <v>2040</v>
      </c>
      <c r="D376" s="10"/>
      <c r="E376" t="s">
        <v>1009</v>
      </c>
      <c r="F376" s="125">
        <f>'3. Use Cases Catalog'!I364*1000000</f>
        <v>0</v>
      </c>
      <c r="G376" s="125">
        <f>'3. Use Cases Catalog'!I364*1000000</f>
        <v>0</v>
      </c>
      <c r="H376" s="10"/>
      <c r="I376" t="s">
        <v>129</v>
      </c>
      <c r="J376" s="125">
        <f>'3. Use Cases Catalog'!J364*1000000</f>
        <v>0</v>
      </c>
      <c r="K376" s="125">
        <f>'3. Use Cases Catalog'!J364*1000000</f>
        <v>0</v>
      </c>
      <c r="L376" s="123">
        <v>0.6</v>
      </c>
      <c r="M376" s="124">
        <v>2100000</v>
      </c>
      <c r="N376" t="s">
        <v>8440</v>
      </c>
      <c r="O376" s="125">
        <f t="shared" si="10"/>
        <v>803250</v>
      </c>
      <c r="P376" s="125">
        <f>'3. Use Cases Catalog'!K364*1000000</f>
        <v>1.2</v>
      </c>
      <c r="Q376" s="126"/>
      <c r="R376" s="124"/>
      <c r="S376" s="125" t="str">
        <f t="shared" si="11"/>
        <v/>
      </c>
      <c r="T376" s="125">
        <f>'3. Use Cases Catalog'!L364*1000000</f>
        <v>0</v>
      </c>
    </row>
    <row r="377" spans="1:20" x14ac:dyDescent="0.2">
      <c r="A377" t="s">
        <v>95</v>
      </c>
      <c r="B377" t="s">
        <v>133</v>
      </c>
      <c r="C377" t="s">
        <v>8441</v>
      </c>
      <c r="D377" s="10" t="s">
        <v>8442</v>
      </c>
      <c r="E377" t="s">
        <v>8443</v>
      </c>
      <c r="F377" s="125">
        <f>'3. Use Cases Catalog'!I365*1000000</f>
        <v>2</v>
      </c>
      <c r="G377" s="125">
        <f>'3. Use Cases Catalog'!I365*1000000</f>
        <v>2</v>
      </c>
      <c r="H377" s="10"/>
      <c r="I377" t="s">
        <v>129</v>
      </c>
      <c r="J377" s="125">
        <f>'3. Use Cases Catalog'!J365*1000000</f>
        <v>0</v>
      </c>
      <c r="K377" s="125">
        <f>'3. Use Cases Catalog'!J365*1000000</f>
        <v>0</v>
      </c>
      <c r="L377" s="123"/>
      <c r="M377" s="124"/>
      <c r="N377" t="s">
        <v>130</v>
      </c>
      <c r="O377" s="125" t="str">
        <f t="shared" si="10"/>
        <v/>
      </c>
      <c r="P377" s="125">
        <f>'3. Use Cases Catalog'!K365*1000000</f>
        <v>0</v>
      </c>
      <c r="Q377" s="126">
        <v>5</v>
      </c>
      <c r="R377" s="124"/>
      <c r="S377" s="125" t="str">
        <f t="shared" si="11"/>
        <v/>
      </c>
      <c r="T377" s="125">
        <f>'3. Use Cases Catalog'!L365*1000000</f>
        <v>1</v>
      </c>
    </row>
    <row r="378" spans="1:20" x14ac:dyDescent="0.2">
      <c r="A378" t="s">
        <v>95</v>
      </c>
      <c r="B378" t="s">
        <v>156</v>
      </c>
      <c r="C378" t="s">
        <v>2050</v>
      </c>
      <c r="D378" s="10"/>
      <c r="E378" t="s">
        <v>1009</v>
      </c>
      <c r="F378" s="125">
        <f>'3. Use Cases Catalog'!I366*1000000</f>
        <v>0</v>
      </c>
      <c r="G378" s="125">
        <f>'3. Use Cases Catalog'!I366*1000000</f>
        <v>0</v>
      </c>
      <c r="H378" s="10" t="s">
        <v>8444</v>
      </c>
      <c r="I378" t="s">
        <v>8445</v>
      </c>
      <c r="J378" s="125">
        <f>'3. Use Cases Catalog'!J366*1000000</f>
        <v>1.2</v>
      </c>
      <c r="K378" s="125">
        <f>'3. Use Cases Catalog'!J366*1000000</f>
        <v>1.2</v>
      </c>
      <c r="L378" s="123"/>
      <c r="M378" s="124"/>
      <c r="N378" t="s">
        <v>130</v>
      </c>
      <c r="O378" s="125" t="str">
        <f t="shared" si="10"/>
        <v/>
      </c>
      <c r="P378" s="125">
        <f>'3. Use Cases Catalog'!K366*1000000</f>
        <v>0</v>
      </c>
      <c r="Q378" s="126"/>
      <c r="R378" s="124"/>
      <c r="S378" s="125" t="str">
        <f t="shared" si="11"/>
        <v/>
      </c>
      <c r="T378" s="125">
        <f>'3. Use Cases Catalog'!L366*1000000</f>
        <v>0</v>
      </c>
    </row>
    <row r="379" spans="1:20" x14ac:dyDescent="0.2">
      <c r="A379" t="s">
        <v>95</v>
      </c>
      <c r="B379" t="s">
        <v>164</v>
      </c>
      <c r="C379" t="s">
        <v>2053</v>
      </c>
      <c r="D379" s="10" t="s">
        <v>8446</v>
      </c>
      <c r="E379" t="s">
        <v>8447</v>
      </c>
      <c r="F379" s="125">
        <f>'3. Use Cases Catalog'!I367*1000000</f>
        <v>2.5</v>
      </c>
      <c r="G379" s="125">
        <f>'3. Use Cases Catalog'!I367*1000000</f>
        <v>2.5</v>
      </c>
      <c r="H379" s="10"/>
      <c r="I379" t="s">
        <v>129</v>
      </c>
      <c r="J379" s="125">
        <f>'3. Use Cases Catalog'!J367*1000000</f>
        <v>0</v>
      </c>
      <c r="K379" s="125">
        <f>'3. Use Cases Catalog'!J367*1000000</f>
        <v>0</v>
      </c>
      <c r="L379" s="123"/>
      <c r="M379" s="124"/>
      <c r="N379" t="s">
        <v>130</v>
      </c>
      <c r="O379" s="125" t="str">
        <f t="shared" si="10"/>
        <v/>
      </c>
      <c r="P379" s="125">
        <f>'3. Use Cases Catalog'!K367*1000000</f>
        <v>0</v>
      </c>
      <c r="Q379" s="126"/>
      <c r="R379" s="124"/>
      <c r="S379" s="125" t="str">
        <f t="shared" si="11"/>
        <v/>
      </c>
      <c r="T379" s="125">
        <f>'3. Use Cases Catalog'!L367*1000000</f>
        <v>0</v>
      </c>
    </row>
    <row r="380" spans="1:20" x14ac:dyDescent="0.2">
      <c r="A380" t="s">
        <v>95</v>
      </c>
      <c r="B380" t="s">
        <v>172</v>
      </c>
      <c r="C380" t="s">
        <v>2057</v>
      </c>
      <c r="D380" s="10"/>
      <c r="E380" t="s">
        <v>1009</v>
      </c>
      <c r="F380" s="125">
        <f>'3. Use Cases Catalog'!I368*1000000</f>
        <v>0</v>
      </c>
      <c r="G380" s="125">
        <f>'3. Use Cases Catalog'!I368*1000000</f>
        <v>0</v>
      </c>
      <c r="H380" s="10" t="s">
        <v>8448</v>
      </c>
      <c r="I380" t="s">
        <v>8449</v>
      </c>
      <c r="J380" s="125">
        <f>'3. Use Cases Catalog'!J368*1000000</f>
        <v>1.5</v>
      </c>
      <c r="K380" s="125">
        <f>'3. Use Cases Catalog'!J368*1000000</f>
        <v>1.5</v>
      </c>
      <c r="L380" s="123">
        <v>0.4</v>
      </c>
      <c r="M380" s="124">
        <v>2800000</v>
      </c>
      <c r="N380" t="s">
        <v>7981</v>
      </c>
      <c r="O380" s="125">
        <f t="shared" si="10"/>
        <v>714000</v>
      </c>
      <c r="P380" s="125">
        <f>'3. Use Cases Catalog'!K368*1000000</f>
        <v>800000</v>
      </c>
      <c r="Q380" s="126"/>
      <c r="R380" s="124"/>
      <c r="S380" s="125" t="str">
        <f t="shared" si="11"/>
        <v/>
      </c>
      <c r="T380" s="125">
        <f>'3. Use Cases Catalog'!L368*1000000</f>
        <v>0</v>
      </c>
    </row>
    <row r="381" spans="1:20" x14ac:dyDescent="0.2">
      <c r="A381" t="s">
        <v>95</v>
      </c>
      <c r="B381" t="s">
        <v>179</v>
      </c>
      <c r="C381" t="s">
        <v>2061</v>
      </c>
      <c r="D381" s="10"/>
      <c r="E381" t="s">
        <v>1009</v>
      </c>
      <c r="F381" s="125">
        <f>'3. Use Cases Catalog'!I369*1000000</f>
        <v>0</v>
      </c>
      <c r="G381" s="125">
        <f>'3. Use Cases Catalog'!I369*1000000</f>
        <v>0</v>
      </c>
      <c r="H381" s="10" t="s">
        <v>8450</v>
      </c>
      <c r="I381" t="s">
        <v>8451</v>
      </c>
      <c r="J381" s="125">
        <f>'3. Use Cases Catalog'!J369*1000000</f>
        <v>800000</v>
      </c>
      <c r="K381" s="125">
        <f>'3. Use Cases Catalog'!J369*1000000</f>
        <v>800000</v>
      </c>
      <c r="L381" s="123"/>
      <c r="M381" s="124"/>
      <c r="N381" t="s">
        <v>130</v>
      </c>
      <c r="O381" s="125" t="str">
        <f t="shared" si="10"/>
        <v/>
      </c>
      <c r="P381" s="125">
        <f>'3. Use Cases Catalog'!K369*1000000</f>
        <v>0</v>
      </c>
      <c r="Q381" s="126"/>
      <c r="R381" s="124"/>
      <c r="S381" s="125" t="str">
        <f t="shared" si="11"/>
        <v/>
      </c>
      <c r="T381" s="125">
        <f>'3. Use Cases Catalog'!L369*1000000</f>
        <v>0</v>
      </c>
    </row>
    <row r="382" spans="1:20" x14ac:dyDescent="0.2">
      <c r="A382" t="s">
        <v>95</v>
      </c>
      <c r="B382" t="s">
        <v>186</v>
      </c>
      <c r="C382" t="s">
        <v>2066</v>
      </c>
      <c r="D382" s="10"/>
      <c r="E382" t="s">
        <v>1009</v>
      </c>
      <c r="F382" s="125">
        <f>'3. Use Cases Catalog'!I370*1000000</f>
        <v>0</v>
      </c>
      <c r="G382" s="125">
        <f>'3. Use Cases Catalog'!I370*1000000</f>
        <v>0</v>
      </c>
      <c r="H382" s="10" t="s">
        <v>8452</v>
      </c>
      <c r="I382" t="s">
        <v>8453</v>
      </c>
      <c r="J382" s="125">
        <f>'3. Use Cases Catalog'!J370*1000000</f>
        <v>3.3</v>
      </c>
      <c r="K382" s="125">
        <f>'3. Use Cases Catalog'!J370*1000000</f>
        <v>3.3</v>
      </c>
      <c r="L382" s="123"/>
      <c r="M382" s="124"/>
      <c r="N382" t="s">
        <v>130</v>
      </c>
      <c r="O382" s="125" t="str">
        <f t="shared" si="10"/>
        <v/>
      </c>
      <c r="P382" s="125">
        <f>'3. Use Cases Catalog'!K370*1000000</f>
        <v>0</v>
      </c>
      <c r="Q382" s="126"/>
      <c r="R382" s="124"/>
      <c r="S382" s="125" t="str">
        <f t="shared" si="11"/>
        <v/>
      </c>
      <c r="T382" s="125">
        <f>'3. Use Cases Catalog'!L370*1000000</f>
        <v>0</v>
      </c>
    </row>
    <row r="383" spans="1:20" x14ac:dyDescent="0.2">
      <c r="A383" t="s">
        <v>95</v>
      </c>
      <c r="B383" t="s">
        <v>194</v>
      </c>
      <c r="C383" t="s">
        <v>2070</v>
      </c>
      <c r="D383" s="10"/>
      <c r="E383" t="s">
        <v>1009</v>
      </c>
      <c r="F383" s="125">
        <f>'3. Use Cases Catalog'!I371*1000000</f>
        <v>0</v>
      </c>
      <c r="G383" s="125">
        <f>'3. Use Cases Catalog'!I371*1000000</f>
        <v>0</v>
      </c>
      <c r="H383" s="10"/>
      <c r="I383" t="s">
        <v>129</v>
      </c>
      <c r="J383" s="125">
        <f>'3. Use Cases Catalog'!J371*1000000</f>
        <v>0</v>
      </c>
      <c r="K383" s="125">
        <f>'3. Use Cases Catalog'!J371*1000000</f>
        <v>0</v>
      </c>
      <c r="L383" s="123">
        <v>0.5</v>
      </c>
      <c r="M383" s="124">
        <v>2100000</v>
      </c>
      <c r="N383" t="s">
        <v>8440</v>
      </c>
      <c r="O383" s="125">
        <f t="shared" si="10"/>
        <v>669375</v>
      </c>
      <c r="P383" s="125">
        <f>'3. Use Cases Catalog'!K371*1000000</f>
        <v>900000</v>
      </c>
      <c r="Q383" s="126"/>
      <c r="R383" s="124"/>
      <c r="S383" s="125" t="str">
        <f t="shared" si="11"/>
        <v/>
      </c>
      <c r="T383" s="125">
        <f>'3. Use Cases Catalog'!L371*1000000</f>
        <v>0</v>
      </c>
    </row>
    <row r="384" spans="1:20" x14ac:dyDescent="0.2">
      <c r="A384" t="s">
        <v>65</v>
      </c>
      <c r="B384" t="s">
        <v>172</v>
      </c>
      <c r="C384" t="s">
        <v>2073</v>
      </c>
      <c r="D384" s="10" t="s">
        <v>8454</v>
      </c>
      <c r="E384" t="s">
        <v>8455</v>
      </c>
      <c r="F384" s="125">
        <f>'3. Use Cases Catalog'!I372*1000000</f>
        <v>4.8</v>
      </c>
      <c r="G384" s="125">
        <f>'3. Use Cases Catalog'!I372*1000000</f>
        <v>4.8</v>
      </c>
      <c r="H384" s="10" t="s">
        <v>8456</v>
      </c>
      <c r="I384" t="s">
        <v>8457</v>
      </c>
      <c r="J384" s="125">
        <f>'3. Use Cases Catalog'!J372*1000000</f>
        <v>7.9</v>
      </c>
      <c r="K384" s="125">
        <f>'3. Use Cases Catalog'!J372*1000000</f>
        <v>7.9</v>
      </c>
      <c r="L384" s="123"/>
      <c r="M384" s="124"/>
      <c r="N384" t="s">
        <v>2076</v>
      </c>
      <c r="O384" s="125" t="str">
        <f t="shared" si="10"/>
        <v/>
      </c>
      <c r="P384" s="125">
        <f>'3. Use Cases Catalog'!K372*1000000</f>
        <v>0</v>
      </c>
      <c r="Q384" s="126"/>
      <c r="R384" s="124"/>
      <c r="S384" s="125" t="str">
        <f t="shared" si="11"/>
        <v/>
      </c>
      <c r="T384" s="125">
        <f>'3. Use Cases Catalog'!L372*1000000</f>
        <v>0</v>
      </c>
    </row>
    <row r="385" spans="1:20" x14ac:dyDescent="0.2">
      <c r="A385" t="s">
        <v>65</v>
      </c>
      <c r="B385" t="s">
        <v>186</v>
      </c>
      <c r="C385" t="s">
        <v>2079</v>
      </c>
      <c r="D385" s="10" t="s">
        <v>8458</v>
      </c>
      <c r="E385" t="s">
        <v>8459</v>
      </c>
      <c r="F385" s="125">
        <f>'3. Use Cases Catalog'!I373*1000000</f>
        <v>3.8</v>
      </c>
      <c r="G385" s="125">
        <f>'3. Use Cases Catalog'!I373*1000000</f>
        <v>3.8</v>
      </c>
      <c r="H385" s="10" t="s">
        <v>2083</v>
      </c>
      <c r="I385" t="s">
        <v>2083</v>
      </c>
      <c r="J385" s="125">
        <f>'3. Use Cases Catalog'!J373*1000000</f>
        <v>0</v>
      </c>
      <c r="K385" s="125">
        <f>'3. Use Cases Catalog'!J373*1000000</f>
        <v>0</v>
      </c>
      <c r="L385" s="123"/>
      <c r="M385" s="124"/>
      <c r="N385" t="s">
        <v>2076</v>
      </c>
      <c r="O385" s="125" t="str">
        <f t="shared" si="10"/>
        <v/>
      </c>
      <c r="P385" s="125">
        <f>'3. Use Cases Catalog'!K373*1000000</f>
        <v>0</v>
      </c>
      <c r="Q385" s="126">
        <v>15</v>
      </c>
      <c r="R385" s="124"/>
      <c r="S385" s="125" t="str">
        <f t="shared" si="11"/>
        <v/>
      </c>
      <c r="T385" s="125">
        <f>'3. Use Cases Catalog'!L373*1000000</f>
        <v>6.1</v>
      </c>
    </row>
    <row r="386" spans="1:20" x14ac:dyDescent="0.2">
      <c r="A386" t="s">
        <v>65</v>
      </c>
      <c r="B386" t="s">
        <v>141</v>
      </c>
      <c r="C386" t="s">
        <v>2086</v>
      </c>
      <c r="D386" s="10" t="s">
        <v>8460</v>
      </c>
      <c r="E386" t="s">
        <v>8461</v>
      </c>
      <c r="F386" s="125">
        <f>'3. Use Cases Catalog'!I374*1000000</f>
        <v>9.6</v>
      </c>
      <c r="G386" s="125">
        <f>'3. Use Cases Catalog'!I374*1000000</f>
        <v>9.6</v>
      </c>
      <c r="H386" s="10" t="s">
        <v>2083</v>
      </c>
      <c r="I386" t="s">
        <v>2083</v>
      </c>
      <c r="J386" s="125">
        <f>'3. Use Cases Catalog'!J374*1000000</f>
        <v>0</v>
      </c>
      <c r="K386" s="125">
        <f>'3. Use Cases Catalog'!J374*1000000</f>
        <v>0</v>
      </c>
      <c r="L386" s="123">
        <v>0.64</v>
      </c>
      <c r="M386" s="124">
        <v>8300000.0000000009</v>
      </c>
      <c r="N386" t="s">
        <v>8462</v>
      </c>
      <c r="O386" s="125">
        <f t="shared" si="10"/>
        <v>3386400.0000000009</v>
      </c>
      <c r="P386" s="125">
        <f>'3. Use Cases Catalog'!K374*1000000</f>
        <v>3.9</v>
      </c>
      <c r="Q386" s="126"/>
      <c r="R386" s="124"/>
      <c r="S386" s="125" t="str">
        <f t="shared" si="11"/>
        <v/>
      </c>
      <c r="T386" s="125">
        <f>'3. Use Cases Catalog'!L374*1000000</f>
        <v>0</v>
      </c>
    </row>
    <row r="387" spans="1:20" x14ac:dyDescent="0.2">
      <c r="A387" t="s">
        <v>65</v>
      </c>
      <c r="B387" t="s">
        <v>123</v>
      </c>
      <c r="C387" t="s">
        <v>2092</v>
      </c>
      <c r="D387" s="10" t="s">
        <v>8463</v>
      </c>
      <c r="E387" t="s">
        <v>8464</v>
      </c>
      <c r="F387" s="125">
        <f>'3. Use Cases Catalog'!I375*1000000</f>
        <v>4.4000000000000004</v>
      </c>
      <c r="G387" s="125">
        <f>'3. Use Cases Catalog'!I375*1000000</f>
        <v>4.4000000000000004</v>
      </c>
      <c r="H387" s="10" t="s">
        <v>2083</v>
      </c>
      <c r="I387" t="s">
        <v>2083</v>
      </c>
      <c r="J387" s="125">
        <f>'3. Use Cases Catalog'!J375*1000000</f>
        <v>0</v>
      </c>
      <c r="K387" s="125">
        <f>'3. Use Cases Catalog'!J375*1000000</f>
        <v>0</v>
      </c>
      <c r="L387" s="123">
        <v>0.42</v>
      </c>
      <c r="M387" s="124">
        <v>8300000.0000000009</v>
      </c>
      <c r="N387" t="s">
        <v>7572</v>
      </c>
      <c r="O387" s="125">
        <f t="shared" si="10"/>
        <v>2222325.0000000005</v>
      </c>
      <c r="P387" s="125">
        <f>'3. Use Cases Catalog'!K375*1000000</f>
        <v>2.1</v>
      </c>
      <c r="Q387" s="126"/>
      <c r="R387" s="124"/>
      <c r="S387" s="125" t="str">
        <f t="shared" si="11"/>
        <v/>
      </c>
      <c r="T387" s="125">
        <f>'3. Use Cases Catalog'!L375*1000000</f>
        <v>0</v>
      </c>
    </row>
    <row r="388" spans="1:20" x14ac:dyDescent="0.2">
      <c r="A388" t="s">
        <v>65</v>
      </c>
      <c r="B388" t="s">
        <v>149</v>
      </c>
      <c r="C388" t="s">
        <v>2096</v>
      </c>
      <c r="D388" s="10" t="s">
        <v>8465</v>
      </c>
      <c r="E388" t="s">
        <v>8466</v>
      </c>
      <c r="F388" s="125">
        <f>'3. Use Cases Catalog'!I376*1000000</f>
        <v>17.8</v>
      </c>
      <c r="G388" s="125">
        <f>'3. Use Cases Catalog'!I376*1000000</f>
        <v>17.8</v>
      </c>
      <c r="H388" s="10" t="s">
        <v>2083</v>
      </c>
      <c r="I388" t="s">
        <v>2083</v>
      </c>
      <c r="J388" s="125">
        <f>'3. Use Cases Catalog'!J376*1000000</f>
        <v>0</v>
      </c>
      <c r="K388" s="125">
        <f>'3. Use Cases Catalog'!J376*1000000</f>
        <v>0</v>
      </c>
      <c r="L388" s="123"/>
      <c r="M388" s="124"/>
      <c r="N388" t="s">
        <v>2076</v>
      </c>
      <c r="O388" s="125" t="str">
        <f t="shared" si="10"/>
        <v/>
      </c>
      <c r="P388" s="125">
        <f>'3. Use Cases Catalog'!K376*1000000</f>
        <v>0</v>
      </c>
      <c r="Q388" s="126">
        <v>1.4</v>
      </c>
      <c r="R388" s="124"/>
      <c r="S388" s="125" t="str">
        <f t="shared" si="11"/>
        <v/>
      </c>
      <c r="T388" s="125">
        <f>'3. Use Cases Catalog'!L376*1000000</f>
        <v>2.8</v>
      </c>
    </row>
    <row r="389" spans="1:20" x14ac:dyDescent="0.2">
      <c r="A389" t="s">
        <v>65</v>
      </c>
      <c r="B389" t="s">
        <v>133</v>
      </c>
      <c r="C389" t="s">
        <v>2101</v>
      </c>
      <c r="D389" s="10" t="s">
        <v>8467</v>
      </c>
      <c r="E389" t="s">
        <v>8468</v>
      </c>
      <c r="F389" s="125">
        <f>'3. Use Cases Catalog'!I377*1000000</f>
        <v>6.1</v>
      </c>
      <c r="G389" s="125">
        <f>'3. Use Cases Catalog'!I377*1000000</f>
        <v>6.1</v>
      </c>
      <c r="H389" s="10" t="s">
        <v>2083</v>
      </c>
      <c r="I389" t="s">
        <v>2083</v>
      </c>
      <c r="J389" s="125">
        <f>'3. Use Cases Catalog'!J377*1000000</f>
        <v>0</v>
      </c>
      <c r="K389" s="125">
        <f>'3. Use Cases Catalog'!J377*1000000</f>
        <v>0</v>
      </c>
      <c r="L389" s="123">
        <v>0.23</v>
      </c>
      <c r="M389" s="124">
        <v>8199999.9999999991</v>
      </c>
      <c r="N389" t="s">
        <v>7572</v>
      </c>
      <c r="O389" s="125">
        <f t="shared" si="10"/>
        <v>1202324.9999999998</v>
      </c>
      <c r="P389" s="125">
        <f>'3. Use Cases Catalog'!K377*1000000</f>
        <v>1.4</v>
      </c>
      <c r="Q389" s="126"/>
      <c r="R389" s="124"/>
      <c r="S389" s="125" t="str">
        <f t="shared" si="11"/>
        <v/>
      </c>
      <c r="T389" s="125">
        <f>'3. Use Cases Catalog'!L377*1000000</f>
        <v>0</v>
      </c>
    </row>
    <row r="390" spans="1:20" x14ac:dyDescent="0.2">
      <c r="A390" t="s">
        <v>65</v>
      </c>
      <c r="B390" t="s">
        <v>156</v>
      </c>
      <c r="C390" t="s">
        <v>2106</v>
      </c>
      <c r="D390" s="10" t="s">
        <v>8469</v>
      </c>
      <c r="E390" t="s">
        <v>8470</v>
      </c>
      <c r="F390" s="125">
        <f>'3. Use Cases Catalog'!I378*1000000</f>
        <v>8.1999999999999993</v>
      </c>
      <c r="G390" s="125">
        <f>'3. Use Cases Catalog'!I378*1000000</f>
        <v>8.1999999999999993</v>
      </c>
      <c r="H390" s="10" t="s">
        <v>2083</v>
      </c>
      <c r="I390" t="s">
        <v>2083</v>
      </c>
      <c r="J390" s="125">
        <f>'3. Use Cases Catalog'!J378*1000000</f>
        <v>0</v>
      </c>
      <c r="K390" s="125">
        <f>'3. Use Cases Catalog'!J378*1000000</f>
        <v>0</v>
      </c>
      <c r="L390" s="123"/>
      <c r="M390" s="124"/>
      <c r="N390" t="s">
        <v>2076</v>
      </c>
      <c r="O390" s="125" t="str">
        <f t="shared" si="10"/>
        <v/>
      </c>
      <c r="P390" s="125">
        <f>'3. Use Cases Catalog'!K378*1000000</f>
        <v>0</v>
      </c>
      <c r="Q390" s="126"/>
      <c r="R390" s="124"/>
      <c r="S390" s="125" t="str">
        <f t="shared" si="11"/>
        <v/>
      </c>
      <c r="T390" s="125">
        <f>'3. Use Cases Catalog'!L378*1000000</f>
        <v>0</v>
      </c>
    </row>
    <row r="391" spans="1:20" x14ac:dyDescent="0.2">
      <c r="A391" t="s">
        <v>65</v>
      </c>
      <c r="B391" t="s">
        <v>164</v>
      </c>
      <c r="C391" t="s">
        <v>2109</v>
      </c>
      <c r="D391" s="10" t="s">
        <v>8471</v>
      </c>
      <c r="E391" t="s">
        <v>8472</v>
      </c>
      <c r="F391" s="125">
        <f>'3. Use Cases Catalog'!I379*1000000</f>
        <v>3.4</v>
      </c>
      <c r="G391" s="125">
        <f>'3. Use Cases Catalog'!I379*1000000</f>
        <v>3.4</v>
      </c>
      <c r="H391" s="10" t="s">
        <v>2083</v>
      </c>
      <c r="I391" t="s">
        <v>2083</v>
      </c>
      <c r="J391" s="125">
        <f>'3. Use Cases Catalog'!J379*1000000</f>
        <v>0</v>
      </c>
      <c r="K391" s="125">
        <f>'3. Use Cases Catalog'!J379*1000000</f>
        <v>0</v>
      </c>
      <c r="L391" s="123">
        <v>0.18</v>
      </c>
      <c r="M391" s="124">
        <v>6700000</v>
      </c>
      <c r="N391" t="s">
        <v>7572</v>
      </c>
      <c r="O391" s="125">
        <f t="shared" si="10"/>
        <v>768825</v>
      </c>
      <c r="P391" s="125">
        <f>'3. Use Cases Catalog'!K379*1000000</f>
        <v>0.9</v>
      </c>
      <c r="Q391" s="126"/>
      <c r="R391" s="124"/>
      <c r="S391" s="125" t="str">
        <f t="shared" si="11"/>
        <v/>
      </c>
      <c r="T391" s="125">
        <f>'3. Use Cases Catalog'!L379*1000000</f>
        <v>0</v>
      </c>
    </row>
    <row r="392" spans="1:20" x14ac:dyDescent="0.2">
      <c r="A392" t="s">
        <v>65</v>
      </c>
      <c r="B392" t="s">
        <v>179</v>
      </c>
      <c r="C392" t="s">
        <v>1535</v>
      </c>
      <c r="D392" s="10" t="s">
        <v>2114</v>
      </c>
      <c r="E392" t="s">
        <v>2114</v>
      </c>
      <c r="F392" s="125">
        <f>'3. Use Cases Catalog'!I380*1000000</f>
        <v>0</v>
      </c>
      <c r="G392" s="125">
        <f>'3. Use Cases Catalog'!I380*1000000</f>
        <v>0</v>
      </c>
      <c r="H392" s="10" t="s">
        <v>8473</v>
      </c>
      <c r="I392" t="s">
        <v>8474</v>
      </c>
      <c r="J392" s="125">
        <f>'3. Use Cases Catalog'!J380*1000000</f>
        <v>12.1</v>
      </c>
      <c r="K392" s="125">
        <f>'3. Use Cases Catalog'!J380*1000000</f>
        <v>12.1</v>
      </c>
      <c r="L392" s="123"/>
      <c r="M392" s="124"/>
      <c r="N392" t="s">
        <v>2076</v>
      </c>
      <c r="O392" s="125" t="str">
        <f t="shared" si="10"/>
        <v/>
      </c>
      <c r="P392" s="125">
        <f>'3. Use Cases Catalog'!K380*1000000</f>
        <v>0</v>
      </c>
      <c r="Q392" s="126"/>
      <c r="R392" s="124"/>
      <c r="S392" s="125" t="str">
        <f t="shared" si="11"/>
        <v/>
      </c>
      <c r="T392" s="125">
        <f>'3. Use Cases Catalog'!L380*1000000</f>
        <v>0</v>
      </c>
    </row>
    <row r="393" spans="1:20" x14ac:dyDescent="0.2">
      <c r="A393" t="s">
        <v>65</v>
      </c>
      <c r="B393" t="s">
        <v>194</v>
      </c>
      <c r="C393" t="s">
        <v>2117</v>
      </c>
      <c r="D393" s="10" t="s">
        <v>8475</v>
      </c>
      <c r="E393" t="s">
        <v>8476</v>
      </c>
      <c r="F393" s="125">
        <f>'3. Use Cases Catalog'!I381*1000000</f>
        <v>9.8000000000000007</v>
      </c>
      <c r="G393" s="125">
        <f>'3. Use Cases Catalog'!I381*1000000</f>
        <v>9.8000000000000007</v>
      </c>
      <c r="H393" s="10" t="s">
        <v>2083</v>
      </c>
      <c r="I393" t="s">
        <v>2083</v>
      </c>
      <c r="J393" s="125">
        <f>'3. Use Cases Catalog'!J381*1000000</f>
        <v>0</v>
      </c>
      <c r="K393" s="125">
        <f>'3. Use Cases Catalog'!J381*1000000</f>
        <v>0</v>
      </c>
      <c r="L393" s="123">
        <v>0.38</v>
      </c>
      <c r="M393" s="124">
        <v>12300000</v>
      </c>
      <c r="N393" t="s">
        <v>7572</v>
      </c>
      <c r="O393" s="125">
        <f t="shared" si="10"/>
        <v>2979675</v>
      </c>
      <c r="P393" s="125">
        <f>'3. Use Cases Catalog'!K381*1000000</f>
        <v>2.8</v>
      </c>
      <c r="Q393" s="126"/>
      <c r="R393" s="124"/>
      <c r="S393" s="125" t="str">
        <f t="shared" si="11"/>
        <v/>
      </c>
      <c r="T393" s="125">
        <f>'3. Use Cases Catalog'!L381*1000000</f>
        <v>0</v>
      </c>
    </row>
    <row r="394" spans="1:20" x14ac:dyDescent="0.2">
      <c r="A394" t="s">
        <v>77</v>
      </c>
      <c r="B394" t="s">
        <v>141</v>
      </c>
      <c r="C394" t="s">
        <v>8477</v>
      </c>
      <c r="D394" s="10" t="s">
        <v>8478</v>
      </c>
      <c r="E394" t="s">
        <v>8479</v>
      </c>
      <c r="F394" s="125">
        <f>'3. Use Cases Catalog'!I382*1000000</f>
        <v>5</v>
      </c>
      <c r="G394" s="125">
        <f>'3. Use Cases Catalog'!I382*1000000</f>
        <v>5</v>
      </c>
      <c r="H394" s="10"/>
      <c r="I394" t="s">
        <v>129</v>
      </c>
      <c r="J394" s="125">
        <f>'3. Use Cases Catalog'!J382*1000000</f>
        <v>0</v>
      </c>
      <c r="K394" s="125">
        <f>'3. Use Cases Catalog'!J382*1000000</f>
        <v>0</v>
      </c>
      <c r="L394" s="123">
        <v>0.2</v>
      </c>
      <c r="M394" s="124">
        <v>9200000</v>
      </c>
      <c r="N394" t="s">
        <v>7496</v>
      </c>
      <c r="O394" s="125">
        <f t="shared" si="10"/>
        <v>1173000</v>
      </c>
      <c r="P394" s="125">
        <f>'3. Use Cases Catalog'!K382*1000000</f>
        <v>1.4</v>
      </c>
      <c r="Q394" s="126"/>
      <c r="R394" s="124"/>
      <c r="S394" s="125" t="str">
        <f t="shared" si="11"/>
        <v/>
      </c>
      <c r="T394" s="125">
        <f>'3. Use Cases Catalog'!L382*1000000</f>
        <v>0</v>
      </c>
    </row>
    <row r="395" spans="1:20" x14ac:dyDescent="0.2">
      <c r="A395" t="s">
        <v>77</v>
      </c>
      <c r="B395" t="s">
        <v>123</v>
      </c>
      <c r="C395" t="s">
        <v>8480</v>
      </c>
      <c r="D395" s="10" t="s">
        <v>8481</v>
      </c>
      <c r="E395" t="s">
        <v>8482</v>
      </c>
      <c r="F395" s="125">
        <f>'3. Use Cases Catalog'!I383*1000000</f>
        <v>4.3</v>
      </c>
      <c r="G395" s="125">
        <f>'3. Use Cases Catalog'!I383*1000000</f>
        <v>4.3</v>
      </c>
      <c r="H395" s="10"/>
      <c r="I395" t="s">
        <v>129</v>
      </c>
      <c r="J395" s="125">
        <f>'3. Use Cases Catalog'!J383*1000000</f>
        <v>0</v>
      </c>
      <c r="K395" s="125">
        <f>'3. Use Cases Catalog'!J383*1000000</f>
        <v>0</v>
      </c>
      <c r="L395" s="123">
        <v>0.25</v>
      </c>
      <c r="M395" s="124">
        <v>18000000</v>
      </c>
      <c r="N395" t="s">
        <v>8483</v>
      </c>
      <c r="O395" s="125">
        <f t="shared" si="10"/>
        <v>2868750</v>
      </c>
      <c r="P395" s="125">
        <f>'3. Use Cases Catalog'!K383*1000000</f>
        <v>2.7</v>
      </c>
      <c r="Q395" s="126"/>
      <c r="R395" s="124"/>
      <c r="S395" s="125" t="str">
        <f t="shared" si="11"/>
        <v/>
      </c>
      <c r="T395" s="125">
        <f>'3. Use Cases Catalog'!L383*1000000</f>
        <v>0</v>
      </c>
    </row>
    <row r="396" spans="1:20" x14ac:dyDescent="0.2">
      <c r="A396" t="s">
        <v>77</v>
      </c>
      <c r="B396" t="s">
        <v>164</v>
      </c>
      <c r="C396" t="s">
        <v>2132</v>
      </c>
      <c r="D396" s="10" t="s">
        <v>8484</v>
      </c>
      <c r="E396" t="s">
        <v>8485</v>
      </c>
      <c r="F396" s="125">
        <f>'3. Use Cases Catalog'!I384*1000000</f>
        <v>1.6</v>
      </c>
      <c r="G396" s="125">
        <f>'3. Use Cases Catalog'!I384*1000000</f>
        <v>1.6</v>
      </c>
      <c r="H396" s="10"/>
      <c r="I396" t="s">
        <v>129</v>
      </c>
      <c r="J396" s="125">
        <f>'3. Use Cases Catalog'!J384*1000000</f>
        <v>0</v>
      </c>
      <c r="K396" s="125">
        <f>'3. Use Cases Catalog'!J384*1000000</f>
        <v>0</v>
      </c>
      <c r="L396" s="123"/>
      <c r="M396" s="124"/>
      <c r="N396" t="s">
        <v>130</v>
      </c>
      <c r="O396" s="125" t="str">
        <f t="shared" si="10"/>
        <v/>
      </c>
      <c r="P396" s="125">
        <f>'3. Use Cases Catalog'!K384*1000000</f>
        <v>0</v>
      </c>
      <c r="Q396" s="126"/>
      <c r="R396" s="124"/>
      <c r="S396" s="125" t="str">
        <f t="shared" si="11"/>
        <v/>
      </c>
      <c r="T396" s="125">
        <f>'3. Use Cases Catalog'!L384*1000000</f>
        <v>0</v>
      </c>
    </row>
    <row r="397" spans="1:20" x14ac:dyDescent="0.2">
      <c r="A397" t="s">
        <v>77</v>
      </c>
      <c r="B397" t="s">
        <v>172</v>
      </c>
      <c r="C397" t="s">
        <v>2136</v>
      </c>
      <c r="D397" s="10" t="s">
        <v>8486</v>
      </c>
      <c r="E397" t="s">
        <v>8487</v>
      </c>
      <c r="F397" s="125">
        <f>'3. Use Cases Catalog'!I385*1000000</f>
        <v>1.3</v>
      </c>
      <c r="G397" s="125">
        <f>'3. Use Cases Catalog'!I385*1000000</f>
        <v>1.3</v>
      </c>
      <c r="H397" s="10"/>
      <c r="I397" t="s">
        <v>129</v>
      </c>
      <c r="J397" s="125">
        <f>'3. Use Cases Catalog'!J385*1000000</f>
        <v>0</v>
      </c>
      <c r="K397" s="125">
        <f>'3. Use Cases Catalog'!J385*1000000</f>
        <v>0</v>
      </c>
      <c r="L397" s="123"/>
      <c r="M397" s="124"/>
      <c r="N397" t="s">
        <v>130</v>
      </c>
      <c r="O397" s="125" t="str">
        <f t="shared" si="10"/>
        <v/>
      </c>
      <c r="P397" s="125">
        <f>'3. Use Cases Catalog'!K385*1000000</f>
        <v>0</v>
      </c>
      <c r="Q397" s="126"/>
      <c r="R397" s="124"/>
      <c r="S397" s="125" t="str">
        <f t="shared" si="11"/>
        <v/>
      </c>
      <c r="T397" s="125">
        <f>'3. Use Cases Catalog'!L385*1000000</f>
        <v>0</v>
      </c>
    </row>
    <row r="398" spans="1:20" x14ac:dyDescent="0.2">
      <c r="A398" t="s">
        <v>77</v>
      </c>
      <c r="B398" t="s">
        <v>179</v>
      </c>
      <c r="C398" t="s">
        <v>2139</v>
      </c>
      <c r="D398" s="10" t="s">
        <v>8488</v>
      </c>
      <c r="E398" t="s">
        <v>8489</v>
      </c>
      <c r="F398" s="125">
        <f>'3. Use Cases Catalog'!I386*1000000</f>
        <v>0</v>
      </c>
      <c r="G398" s="125">
        <f>'3. Use Cases Catalog'!I386*1000000</f>
        <v>0</v>
      </c>
      <c r="H398" s="10"/>
      <c r="I398" t="s">
        <v>129</v>
      </c>
      <c r="J398" s="125">
        <f>'3. Use Cases Catalog'!J386*1000000</f>
        <v>0</v>
      </c>
      <c r="K398" s="125">
        <f>'3. Use Cases Catalog'!J386*1000000</f>
        <v>0</v>
      </c>
      <c r="L398" s="123">
        <v>0.05</v>
      </c>
      <c r="M398" s="124"/>
      <c r="N398" t="s">
        <v>8490</v>
      </c>
      <c r="O398" s="125" t="str">
        <f t="shared" ref="O398:O461" si="12">IF(AND(L398&lt;&gt;"",M398&lt;&gt;""),L398*M398*$B$7*$B$8,"")</f>
        <v/>
      </c>
      <c r="P398" s="125">
        <f>'3. Use Cases Catalog'!K386*1000000</f>
        <v>3.4</v>
      </c>
      <c r="Q398" s="126"/>
      <c r="R398" s="124"/>
      <c r="S398" s="125" t="str">
        <f t="shared" ref="S398:S461" si="13">IF(AND(Q398&lt;&gt;"",R398&lt;&gt;""),Q398*R398*$B$9*$B$8,"")</f>
        <v/>
      </c>
      <c r="T398" s="125">
        <f>'3. Use Cases Catalog'!L386*1000000</f>
        <v>0</v>
      </c>
    </row>
    <row r="399" spans="1:20" x14ac:dyDescent="0.2">
      <c r="A399" t="s">
        <v>77</v>
      </c>
      <c r="B399" t="s">
        <v>186</v>
      </c>
      <c r="C399" t="s">
        <v>2143</v>
      </c>
      <c r="D399" s="10" t="s">
        <v>8491</v>
      </c>
      <c r="E399" t="s">
        <v>8492</v>
      </c>
      <c r="F399" s="125">
        <f>'3. Use Cases Catalog'!I387*1000000</f>
        <v>0.5</v>
      </c>
      <c r="G399" s="125">
        <f>'3. Use Cases Catalog'!I387*1000000</f>
        <v>0.5</v>
      </c>
      <c r="H399" s="10"/>
      <c r="I399" t="s">
        <v>129</v>
      </c>
      <c r="J399" s="125">
        <f>'3. Use Cases Catalog'!J387*1000000</f>
        <v>0</v>
      </c>
      <c r="K399" s="125">
        <f>'3. Use Cases Catalog'!J387*1000000</f>
        <v>0</v>
      </c>
      <c r="L399" s="123">
        <v>0.25</v>
      </c>
      <c r="M399" s="124">
        <v>4200000</v>
      </c>
      <c r="N399" t="s">
        <v>8493</v>
      </c>
      <c r="O399" s="125">
        <f t="shared" si="12"/>
        <v>669375</v>
      </c>
      <c r="P399" s="125">
        <f>'3. Use Cases Catalog'!K387*1000000</f>
        <v>0.6</v>
      </c>
      <c r="Q399" s="126">
        <v>15</v>
      </c>
      <c r="R399" s="124"/>
      <c r="S399" s="125" t="str">
        <f t="shared" si="13"/>
        <v/>
      </c>
      <c r="T399" s="125">
        <f>'3. Use Cases Catalog'!L387*1000000</f>
        <v>1.5</v>
      </c>
    </row>
    <row r="400" spans="1:20" x14ac:dyDescent="0.2">
      <c r="A400" t="s">
        <v>77</v>
      </c>
      <c r="B400" t="s">
        <v>149</v>
      </c>
      <c r="C400" t="s">
        <v>2149</v>
      </c>
      <c r="D400" s="10" t="s">
        <v>8494</v>
      </c>
      <c r="E400" t="s">
        <v>8495</v>
      </c>
      <c r="F400" s="125">
        <f>'3. Use Cases Catalog'!I388*1000000</f>
        <v>3.5</v>
      </c>
      <c r="G400" s="125">
        <f>'3. Use Cases Catalog'!I388*1000000</f>
        <v>3.5</v>
      </c>
      <c r="H400" s="10" t="s">
        <v>8496</v>
      </c>
      <c r="I400" t="s">
        <v>8497</v>
      </c>
      <c r="J400" s="125">
        <f>'3. Use Cases Catalog'!J388*1000000</f>
        <v>21.7</v>
      </c>
      <c r="K400" s="125">
        <f>'3. Use Cases Catalog'!J388*1000000</f>
        <v>21.7</v>
      </c>
      <c r="L400" s="123"/>
      <c r="M400" s="124"/>
      <c r="N400" t="s">
        <v>130</v>
      </c>
      <c r="O400" s="125" t="str">
        <f t="shared" si="12"/>
        <v/>
      </c>
      <c r="P400" s="125">
        <f>'3. Use Cases Catalog'!K388*1000000</f>
        <v>0</v>
      </c>
      <c r="Q400" s="126"/>
      <c r="R400" s="124"/>
      <c r="S400" s="125" t="str">
        <f t="shared" si="13"/>
        <v/>
      </c>
      <c r="T400" s="125">
        <f>'3. Use Cases Catalog'!L388*1000000</f>
        <v>0</v>
      </c>
    </row>
    <row r="401" spans="1:20" x14ac:dyDescent="0.2">
      <c r="A401" t="s">
        <v>77</v>
      </c>
      <c r="B401" t="s">
        <v>133</v>
      </c>
      <c r="C401" t="s">
        <v>2153</v>
      </c>
      <c r="D401" s="10" t="s">
        <v>8498</v>
      </c>
      <c r="E401" t="s">
        <v>8499</v>
      </c>
      <c r="F401" s="125">
        <f>'3. Use Cases Catalog'!I389*1000000</f>
        <v>1.9</v>
      </c>
      <c r="G401" s="125">
        <f>'3. Use Cases Catalog'!I389*1000000</f>
        <v>1.9</v>
      </c>
      <c r="H401" s="10"/>
      <c r="I401" t="s">
        <v>129</v>
      </c>
      <c r="J401" s="125">
        <f>'3. Use Cases Catalog'!J389*1000000</f>
        <v>0</v>
      </c>
      <c r="K401" s="125">
        <f>'3. Use Cases Catalog'!J389*1000000</f>
        <v>0</v>
      </c>
      <c r="L401" s="123">
        <v>0.3</v>
      </c>
      <c r="M401" s="124">
        <v>18900000</v>
      </c>
      <c r="N401" t="s">
        <v>8350</v>
      </c>
      <c r="O401" s="125">
        <f t="shared" si="12"/>
        <v>3614625</v>
      </c>
      <c r="P401" s="125">
        <f>'3. Use Cases Catalog'!K389*1000000</f>
        <v>3.6</v>
      </c>
      <c r="Q401" s="126">
        <v>55</v>
      </c>
      <c r="R401" s="124"/>
      <c r="S401" s="125" t="str">
        <f t="shared" si="13"/>
        <v/>
      </c>
      <c r="T401" s="125">
        <f>'3. Use Cases Catalog'!L389*1000000</f>
        <v>3.8</v>
      </c>
    </row>
    <row r="402" spans="1:20" x14ac:dyDescent="0.2">
      <c r="A402" t="s">
        <v>77</v>
      </c>
      <c r="B402" t="s">
        <v>156</v>
      </c>
      <c r="C402" t="s">
        <v>2158</v>
      </c>
      <c r="D402" s="10" t="s">
        <v>8500</v>
      </c>
      <c r="E402" t="s">
        <v>8501</v>
      </c>
      <c r="F402" s="125">
        <f>'3. Use Cases Catalog'!I390*1000000</f>
        <v>0</v>
      </c>
      <c r="G402" s="125">
        <f>'3. Use Cases Catalog'!I390*1000000</f>
        <v>0</v>
      </c>
      <c r="H402" s="10"/>
      <c r="I402" t="s">
        <v>129</v>
      </c>
      <c r="J402" s="125">
        <f>'3. Use Cases Catalog'!J390*1000000</f>
        <v>0</v>
      </c>
      <c r="K402" s="125">
        <f>'3. Use Cases Catalog'!J390*1000000</f>
        <v>0</v>
      </c>
      <c r="L402" s="123">
        <v>0.2</v>
      </c>
      <c r="M402" s="124">
        <v>7400000</v>
      </c>
      <c r="N402" t="s">
        <v>8502</v>
      </c>
      <c r="O402" s="125">
        <f t="shared" si="12"/>
        <v>943500</v>
      </c>
      <c r="P402" s="125">
        <f>'3. Use Cases Catalog'!K390*1000000</f>
        <v>0.9</v>
      </c>
      <c r="Q402" s="126">
        <v>7</v>
      </c>
      <c r="R402" s="124"/>
      <c r="S402" s="125" t="str">
        <f t="shared" si="13"/>
        <v/>
      </c>
      <c r="T402" s="125">
        <f>'3. Use Cases Catalog'!L390*1000000</f>
        <v>1.3</v>
      </c>
    </row>
    <row r="403" spans="1:20" x14ac:dyDescent="0.2">
      <c r="A403" t="s">
        <v>77</v>
      </c>
      <c r="B403" t="s">
        <v>194</v>
      </c>
      <c r="C403" t="s">
        <v>2163</v>
      </c>
      <c r="D403" s="10" t="s">
        <v>8503</v>
      </c>
      <c r="E403" t="s">
        <v>8504</v>
      </c>
      <c r="F403" s="125">
        <f>'3. Use Cases Catalog'!I391*1000000</f>
        <v>3.6</v>
      </c>
      <c r="G403" s="125">
        <f>'3. Use Cases Catalog'!I391*1000000</f>
        <v>3.6</v>
      </c>
      <c r="H403" s="10"/>
      <c r="I403" t="s">
        <v>129</v>
      </c>
      <c r="J403" s="125">
        <f>'3. Use Cases Catalog'!J391*1000000</f>
        <v>0</v>
      </c>
      <c r="K403" s="125">
        <f>'3. Use Cases Catalog'!J391*1000000</f>
        <v>0</v>
      </c>
      <c r="L403" s="123">
        <v>0.15</v>
      </c>
      <c r="M403" s="124">
        <v>8400000</v>
      </c>
      <c r="N403" t="s">
        <v>8505</v>
      </c>
      <c r="O403" s="125">
        <f t="shared" si="12"/>
        <v>803250</v>
      </c>
      <c r="P403" s="125">
        <f>'3. Use Cases Catalog'!K391*1000000</f>
        <v>0.8</v>
      </c>
      <c r="Q403" s="126"/>
      <c r="R403" s="124"/>
      <c r="S403" s="125" t="str">
        <f t="shared" si="13"/>
        <v/>
      </c>
      <c r="T403" s="125">
        <f>'3. Use Cases Catalog'!L391*1000000</f>
        <v>0</v>
      </c>
    </row>
    <row r="404" spans="1:20" x14ac:dyDescent="0.2">
      <c r="A404" t="s">
        <v>87</v>
      </c>
      <c r="B404" t="s">
        <v>141</v>
      </c>
      <c r="C404" t="s">
        <v>8506</v>
      </c>
      <c r="D404" s="10" t="s">
        <v>8507</v>
      </c>
      <c r="E404" t="s">
        <v>8508</v>
      </c>
      <c r="F404" s="125">
        <f>'3. Use Cases Catalog'!I392*1000000</f>
        <v>1.9</v>
      </c>
      <c r="G404" s="125">
        <f>'3. Use Cases Catalog'!I392*1000000</f>
        <v>1.9</v>
      </c>
      <c r="H404" s="10" t="s">
        <v>8509</v>
      </c>
      <c r="I404" t="s">
        <v>8510</v>
      </c>
      <c r="J404" s="125">
        <f>'3. Use Cases Catalog'!J392*1000000</f>
        <v>11.5</v>
      </c>
      <c r="K404" s="125">
        <f>'3. Use Cases Catalog'!J392*1000000</f>
        <v>11.5</v>
      </c>
      <c r="L404" s="123"/>
      <c r="M404" s="124"/>
      <c r="N404" t="s">
        <v>130</v>
      </c>
      <c r="O404" s="125" t="str">
        <f t="shared" si="12"/>
        <v/>
      </c>
      <c r="P404" s="125">
        <f>'3. Use Cases Catalog'!K392*1000000</f>
        <v>0</v>
      </c>
      <c r="Q404" s="126"/>
      <c r="R404" s="124"/>
      <c r="S404" s="125" t="str">
        <f t="shared" si="13"/>
        <v/>
      </c>
      <c r="T404" s="125">
        <f>'3. Use Cases Catalog'!L392*1000000</f>
        <v>0</v>
      </c>
    </row>
    <row r="405" spans="1:20" x14ac:dyDescent="0.2">
      <c r="A405" t="s">
        <v>87</v>
      </c>
      <c r="B405" t="s">
        <v>149</v>
      </c>
      <c r="C405" t="s">
        <v>2174</v>
      </c>
      <c r="D405" s="10" t="s">
        <v>8511</v>
      </c>
      <c r="E405" t="s">
        <v>8512</v>
      </c>
      <c r="F405" s="125">
        <f>'3. Use Cases Catalog'!I393*1000000</f>
        <v>1.9</v>
      </c>
      <c r="G405" s="125">
        <f>'3. Use Cases Catalog'!I393*1000000</f>
        <v>1.9</v>
      </c>
      <c r="H405" s="10"/>
      <c r="I405" t="s">
        <v>129</v>
      </c>
      <c r="J405" s="125">
        <f>'3. Use Cases Catalog'!J393*1000000</f>
        <v>0</v>
      </c>
      <c r="K405" s="125">
        <f>'3. Use Cases Catalog'!J393*1000000</f>
        <v>0</v>
      </c>
      <c r="L405" s="123"/>
      <c r="M405" s="124"/>
      <c r="N405" t="s">
        <v>130</v>
      </c>
      <c r="O405" s="125" t="str">
        <f t="shared" si="12"/>
        <v/>
      </c>
      <c r="P405" s="125">
        <f>'3. Use Cases Catalog'!K393*1000000</f>
        <v>0</v>
      </c>
      <c r="Q405" s="126">
        <v>32</v>
      </c>
      <c r="R405" s="124"/>
      <c r="S405" s="125" t="str">
        <f t="shared" si="13"/>
        <v/>
      </c>
      <c r="T405" s="125">
        <f>'3. Use Cases Catalog'!L393*1000000</f>
        <v>6.8</v>
      </c>
    </row>
    <row r="406" spans="1:20" x14ac:dyDescent="0.2">
      <c r="A406" t="s">
        <v>87</v>
      </c>
      <c r="B406" t="s">
        <v>133</v>
      </c>
      <c r="C406" t="s">
        <v>2178</v>
      </c>
      <c r="D406" s="10" t="s">
        <v>8513</v>
      </c>
      <c r="E406" t="s">
        <v>8514</v>
      </c>
      <c r="F406" s="125">
        <f>'3. Use Cases Catalog'!I394*1000000</f>
        <v>1.5</v>
      </c>
      <c r="G406" s="125">
        <f>'3. Use Cases Catalog'!I394*1000000</f>
        <v>1.5</v>
      </c>
      <c r="H406" s="10"/>
      <c r="I406" t="s">
        <v>129</v>
      </c>
      <c r="J406" s="125">
        <f>'3. Use Cases Catalog'!J394*1000000</f>
        <v>0</v>
      </c>
      <c r="K406" s="125">
        <f>'3. Use Cases Catalog'!J394*1000000</f>
        <v>0</v>
      </c>
      <c r="L406" s="123">
        <v>0.35</v>
      </c>
      <c r="M406" s="124">
        <v>4800000</v>
      </c>
      <c r="N406" t="s">
        <v>8515</v>
      </c>
      <c r="O406" s="125">
        <f t="shared" si="12"/>
        <v>1071000</v>
      </c>
      <c r="P406" s="125">
        <f>'3. Use Cases Catalog'!K394*1000000</f>
        <v>1.1000000000000001</v>
      </c>
      <c r="Q406" s="126"/>
      <c r="R406" s="124"/>
      <c r="S406" s="125" t="str">
        <f t="shared" si="13"/>
        <v/>
      </c>
      <c r="T406" s="125">
        <f>'3. Use Cases Catalog'!L394*1000000</f>
        <v>0</v>
      </c>
    </row>
    <row r="407" spans="1:20" x14ac:dyDescent="0.2">
      <c r="A407" t="s">
        <v>87</v>
      </c>
      <c r="B407" t="s">
        <v>164</v>
      </c>
      <c r="C407" t="s">
        <v>2182</v>
      </c>
      <c r="D407" s="10" t="s">
        <v>8516</v>
      </c>
      <c r="E407" t="s">
        <v>8517</v>
      </c>
      <c r="F407" s="125">
        <f>'3. Use Cases Catalog'!I395*1000000</f>
        <v>1.2</v>
      </c>
      <c r="G407" s="125">
        <f>'3. Use Cases Catalog'!I395*1000000</f>
        <v>1.2</v>
      </c>
      <c r="H407" s="10"/>
      <c r="I407" t="s">
        <v>129</v>
      </c>
      <c r="J407" s="125">
        <f>'3. Use Cases Catalog'!J395*1000000</f>
        <v>0</v>
      </c>
      <c r="K407" s="125">
        <f>'3. Use Cases Catalog'!J395*1000000</f>
        <v>0</v>
      </c>
      <c r="L407" s="123"/>
      <c r="M407" s="124"/>
      <c r="N407" t="s">
        <v>130</v>
      </c>
      <c r="O407" s="125" t="str">
        <f t="shared" si="12"/>
        <v/>
      </c>
      <c r="P407" s="125">
        <f>'3. Use Cases Catalog'!K395*1000000</f>
        <v>0</v>
      </c>
      <c r="Q407" s="126"/>
      <c r="R407" s="124"/>
      <c r="S407" s="125" t="str">
        <f t="shared" si="13"/>
        <v/>
      </c>
      <c r="T407" s="125">
        <f>'3. Use Cases Catalog'!L395*1000000</f>
        <v>0</v>
      </c>
    </row>
    <row r="408" spans="1:20" x14ac:dyDescent="0.2">
      <c r="A408" t="s">
        <v>87</v>
      </c>
      <c r="B408" t="s">
        <v>172</v>
      </c>
      <c r="C408" t="s">
        <v>2185</v>
      </c>
      <c r="D408" s="10" t="s">
        <v>8518</v>
      </c>
      <c r="E408" t="s">
        <v>8519</v>
      </c>
      <c r="F408" s="125">
        <f>'3. Use Cases Catalog'!I396*1000000</f>
        <v>1.4</v>
      </c>
      <c r="G408" s="125">
        <f>'3. Use Cases Catalog'!I396*1000000</f>
        <v>1.4</v>
      </c>
      <c r="H408" s="10"/>
      <c r="I408" t="s">
        <v>129</v>
      </c>
      <c r="J408" s="125">
        <f>'3. Use Cases Catalog'!J396*1000000</f>
        <v>0</v>
      </c>
      <c r="K408" s="125">
        <f>'3. Use Cases Catalog'!J396*1000000</f>
        <v>0</v>
      </c>
      <c r="L408" s="123">
        <v>0.18</v>
      </c>
      <c r="M408" s="124">
        <v>2100000</v>
      </c>
      <c r="N408" t="s">
        <v>8520</v>
      </c>
      <c r="O408" s="125">
        <f t="shared" si="12"/>
        <v>240975</v>
      </c>
      <c r="P408" s="125">
        <f>'3. Use Cases Catalog'!K396*1000000</f>
        <v>0.3</v>
      </c>
      <c r="Q408" s="126"/>
      <c r="R408" s="124"/>
      <c r="S408" s="125" t="str">
        <f t="shared" si="13"/>
        <v/>
      </c>
      <c r="T408" s="125">
        <f>'3. Use Cases Catalog'!L396*1000000</f>
        <v>0</v>
      </c>
    </row>
    <row r="409" spans="1:20" x14ac:dyDescent="0.2">
      <c r="A409" t="s">
        <v>87</v>
      </c>
      <c r="B409" t="s">
        <v>179</v>
      </c>
      <c r="C409" t="s">
        <v>2189</v>
      </c>
      <c r="D409" s="10" t="s">
        <v>8521</v>
      </c>
      <c r="E409" t="s">
        <v>8522</v>
      </c>
      <c r="F409" s="125">
        <f>'3. Use Cases Catalog'!I397*1000000</f>
        <v>0.5</v>
      </c>
      <c r="G409" s="125">
        <f>'3. Use Cases Catalog'!I397*1000000</f>
        <v>0.5</v>
      </c>
      <c r="H409" s="10"/>
      <c r="I409" t="s">
        <v>129</v>
      </c>
      <c r="J409" s="125">
        <f>'3. Use Cases Catalog'!J397*1000000</f>
        <v>0</v>
      </c>
      <c r="K409" s="125">
        <f>'3. Use Cases Catalog'!J397*1000000</f>
        <v>0</v>
      </c>
      <c r="L409" s="123"/>
      <c r="M409" s="124"/>
      <c r="N409" t="s">
        <v>130</v>
      </c>
      <c r="O409" s="125" t="str">
        <f t="shared" si="12"/>
        <v/>
      </c>
      <c r="P409" s="125">
        <f>'3. Use Cases Catalog'!K397*1000000</f>
        <v>0</v>
      </c>
      <c r="Q409" s="126">
        <v>10</v>
      </c>
      <c r="R409" s="124"/>
      <c r="S409" s="125" t="str">
        <f t="shared" si="13"/>
        <v/>
      </c>
      <c r="T409" s="125">
        <f>'3. Use Cases Catalog'!L397*1000000</f>
        <v>2.2000000000000002</v>
      </c>
    </row>
    <row r="410" spans="1:20" x14ac:dyDescent="0.2">
      <c r="A410" t="s">
        <v>87</v>
      </c>
      <c r="B410" t="s">
        <v>123</v>
      </c>
      <c r="C410" t="s">
        <v>613</v>
      </c>
      <c r="D410" s="10" t="s">
        <v>8523</v>
      </c>
      <c r="E410" t="s">
        <v>8524</v>
      </c>
      <c r="F410" s="125">
        <f>'3. Use Cases Catalog'!I398*1000000</f>
        <v>4</v>
      </c>
      <c r="G410" s="125">
        <f>'3. Use Cases Catalog'!I398*1000000</f>
        <v>4</v>
      </c>
      <c r="H410" s="10"/>
      <c r="I410" t="s">
        <v>129</v>
      </c>
      <c r="J410" s="125">
        <f>'3. Use Cases Catalog'!J398*1000000</f>
        <v>0</v>
      </c>
      <c r="K410" s="125">
        <f>'3. Use Cases Catalog'!J398*1000000</f>
        <v>0</v>
      </c>
      <c r="L410" s="123">
        <v>0.22</v>
      </c>
      <c r="M410" s="124">
        <v>10200000</v>
      </c>
      <c r="N410" t="s">
        <v>8402</v>
      </c>
      <c r="O410" s="125">
        <f t="shared" si="12"/>
        <v>1430550</v>
      </c>
      <c r="P410" s="125">
        <f>'3. Use Cases Catalog'!K398*1000000</f>
        <v>1.8</v>
      </c>
      <c r="Q410" s="126"/>
      <c r="R410" s="124"/>
      <c r="S410" s="125" t="str">
        <f t="shared" si="13"/>
        <v/>
      </c>
      <c r="T410" s="125">
        <f>'3. Use Cases Catalog'!L398*1000000</f>
        <v>0</v>
      </c>
    </row>
    <row r="411" spans="1:20" x14ac:dyDescent="0.2">
      <c r="A411" t="s">
        <v>87</v>
      </c>
      <c r="B411" t="s">
        <v>156</v>
      </c>
      <c r="C411" t="s">
        <v>2198</v>
      </c>
      <c r="D411" s="10" t="s">
        <v>8525</v>
      </c>
      <c r="E411" t="s">
        <v>8526</v>
      </c>
      <c r="F411" s="125">
        <f>'3. Use Cases Catalog'!I399*1000000</f>
        <v>2.2999999999999998</v>
      </c>
      <c r="G411" s="125">
        <f>'3. Use Cases Catalog'!I399*1000000</f>
        <v>2.2999999999999998</v>
      </c>
      <c r="H411" s="10"/>
      <c r="I411" t="s">
        <v>129</v>
      </c>
      <c r="J411" s="125">
        <f>'3. Use Cases Catalog'!J399*1000000</f>
        <v>0</v>
      </c>
      <c r="K411" s="125">
        <f>'3. Use Cases Catalog'!J399*1000000</f>
        <v>0</v>
      </c>
      <c r="L411" s="123"/>
      <c r="M411" s="124"/>
      <c r="N411" t="s">
        <v>130</v>
      </c>
      <c r="O411" s="125" t="str">
        <f t="shared" si="12"/>
        <v/>
      </c>
      <c r="P411" s="125">
        <f>'3. Use Cases Catalog'!K399*1000000</f>
        <v>0</v>
      </c>
      <c r="Q411" s="126"/>
      <c r="R411" s="124"/>
      <c r="S411" s="125" t="str">
        <f t="shared" si="13"/>
        <v/>
      </c>
      <c r="T411" s="125">
        <f>'3. Use Cases Catalog'!L399*1000000</f>
        <v>0</v>
      </c>
    </row>
    <row r="412" spans="1:20" x14ac:dyDescent="0.2">
      <c r="A412" t="s">
        <v>87</v>
      </c>
      <c r="B412" t="s">
        <v>186</v>
      </c>
      <c r="C412" t="s">
        <v>2203</v>
      </c>
      <c r="D412" s="10" t="s">
        <v>8527</v>
      </c>
      <c r="E412" t="s">
        <v>8528</v>
      </c>
      <c r="F412" s="125">
        <f>'3. Use Cases Catalog'!I400*1000000</f>
        <v>0.8</v>
      </c>
      <c r="G412" s="125">
        <f>'3. Use Cases Catalog'!I400*1000000</f>
        <v>0.8</v>
      </c>
      <c r="H412" s="10"/>
      <c r="I412" t="s">
        <v>129</v>
      </c>
      <c r="J412" s="125">
        <f>'3. Use Cases Catalog'!J400*1000000</f>
        <v>0</v>
      </c>
      <c r="K412" s="125">
        <f>'3. Use Cases Catalog'!J400*1000000</f>
        <v>0</v>
      </c>
      <c r="L412" s="123">
        <v>0.45</v>
      </c>
      <c r="M412" s="124">
        <v>2200000</v>
      </c>
      <c r="N412" t="s">
        <v>8529</v>
      </c>
      <c r="O412" s="125">
        <f t="shared" si="12"/>
        <v>631125</v>
      </c>
      <c r="P412" s="125">
        <f>'3. Use Cases Catalog'!K400*1000000</f>
        <v>0.6</v>
      </c>
      <c r="Q412" s="126"/>
      <c r="R412" s="124"/>
      <c r="S412" s="125" t="str">
        <f t="shared" si="13"/>
        <v/>
      </c>
      <c r="T412" s="125">
        <f>'3. Use Cases Catalog'!L400*1000000</f>
        <v>0</v>
      </c>
    </row>
    <row r="413" spans="1:20" x14ac:dyDescent="0.2">
      <c r="A413" t="s">
        <v>87</v>
      </c>
      <c r="B413" t="s">
        <v>194</v>
      </c>
      <c r="C413" t="s">
        <v>586</v>
      </c>
      <c r="D413" s="10" t="s">
        <v>8530</v>
      </c>
      <c r="E413" t="s">
        <v>8531</v>
      </c>
      <c r="F413" s="125">
        <f>'3. Use Cases Catalog'!I401*1000000</f>
        <v>1.1000000000000001</v>
      </c>
      <c r="G413" s="125">
        <f>'3. Use Cases Catalog'!I401*1000000</f>
        <v>1.1000000000000001</v>
      </c>
      <c r="H413" s="10" t="s">
        <v>8532</v>
      </c>
      <c r="I413" t="s">
        <v>8533</v>
      </c>
      <c r="J413" s="125">
        <f>'3. Use Cases Catalog'!J401*1000000</f>
        <v>1.9</v>
      </c>
      <c r="K413" s="125">
        <f>'3. Use Cases Catalog'!J401*1000000</f>
        <v>1.9</v>
      </c>
      <c r="L413" s="123"/>
      <c r="M413" s="124"/>
      <c r="N413" t="s">
        <v>130</v>
      </c>
      <c r="O413" s="125" t="str">
        <f t="shared" si="12"/>
        <v/>
      </c>
      <c r="P413" s="125">
        <f>'3. Use Cases Catalog'!K401*1000000</f>
        <v>0</v>
      </c>
      <c r="Q413" s="126"/>
      <c r="R413" s="124"/>
      <c r="S413" s="125" t="str">
        <f t="shared" si="13"/>
        <v/>
      </c>
      <c r="T413" s="125">
        <f>'3. Use Cases Catalog'!L401*1000000</f>
        <v>0</v>
      </c>
    </row>
    <row r="414" spans="1:20" x14ac:dyDescent="0.2">
      <c r="A414" t="s">
        <v>70</v>
      </c>
      <c r="B414" t="s">
        <v>149</v>
      </c>
      <c r="C414" t="s">
        <v>2210</v>
      </c>
      <c r="D414" s="10" t="s">
        <v>8534</v>
      </c>
      <c r="E414" t="s">
        <v>8535</v>
      </c>
      <c r="F414" s="125">
        <f>'3. Use Cases Catalog'!I402*1000000</f>
        <v>1.9</v>
      </c>
      <c r="G414" s="125">
        <f>'3. Use Cases Catalog'!I402*1000000</f>
        <v>1.9</v>
      </c>
      <c r="H414" s="10"/>
      <c r="I414" t="s">
        <v>129</v>
      </c>
      <c r="J414" s="125">
        <f>'3. Use Cases Catalog'!J402*1000000</f>
        <v>0</v>
      </c>
      <c r="K414" s="125">
        <f>'3. Use Cases Catalog'!J402*1000000</f>
        <v>0</v>
      </c>
      <c r="L414" s="123">
        <v>0.18</v>
      </c>
      <c r="M414" s="124">
        <v>34000000</v>
      </c>
      <c r="N414" t="s">
        <v>8536</v>
      </c>
      <c r="O414" s="125">
        <f t="shared" si="12"/>
        <v>3901500</v>
      </c>
      <c r="P414" s="125">
        <f>'3. Use Cases Catalog'!K402*1000000</f>
        <v>4.8</v>
      </c>
      <c r="Q414" s="126"/>
      <c r="R414" s="124"/>
      <c r="S414" s="125" t="str">
        <f t="shared" si="13"/>
        <v/>
      </c>
      <c r="T414" s="125">
        <f>'3. Use Cases Catalog'!L402*1000000</f>
        <v>0</v>
      </c>
    </row>
    <row r="415" spans="1:20" x14ac:dyDescent="0.2">
      <c r="A415" t="s">
        <v>70</v>
      </c>
      <c r="B415" t="s">
        <v>156</v>
      </c>
      <c r="C415" t="s">
        <v>2217</v>
      </c>
      <c r="D415" s="10" t="s">
        <v>8537</v>
      </c>
      <c r="E415" t="s">
        <v>8538</v>
      </c>
      <c r="F415" s="125">
        <f>'3. Use Cases Catalog'!I403*1000000</f>
        <v>1.1000000000000001</v>
      </c>
      <c r="G415" s="125">
        <f>'3. Use Cases Catalog'!I403*1000000</f>
        <v>1.1000000000000001</v>
      </c>
      <c r="H415" s="10" t="s">
        <v>8539</v>
      </c>
      <c r="I415" t="s">
        <v>8540</v>
      </c>
      <c r="J415" s="125">
        <f>'3. Use Cases Catalog'!J403*1000000</f>
        <v>5.7</v>
      </c>
      <c r="K415" s="125">
        <f>'3. Use Cases Catalog'!J403*1000000</f>
        <v>5.7</v>
      </c>
      <c r="L415" s="123">
        <v>0.28000000000000003</v>
      </c>
      <c r="M415" s="124">
        <v>2200000</v>
      </c>
      <c r="N415" t="s">
        <v>8541</v>
      </c>
      <c r="O415" s="125">
        <f t="shared" si="12"/>
        <v>392700.00000000012</v>
      </c>
      <c r="P415" s="125">
        <f>'3. Use Cases Catalog'!K403*1000000</f>
        <v>420000</v>
      </c>
      <c r="Q415" s="126">
        <v>19</v>
      </c>
      <c r="R415" s="124"/>
      <c r="S415" s="125" t="str">
        <f t="shared" si="13"/>
        <v/>
      </c>
      <c r="T415" s="125">
        <f>'3. Use Cases Catalog'!L403*1000000</f>
        <v>2.4</v>
      </c>
    </row>
    <row r="416" spans="1:20" x14ac:dyDescent="0.2">
      <c r="A416" t="s">
        <v>70</v>
      </c>
      <c r="B416" t="s">
        <v>164</v>
      </c>
      <c r="C416" t="s">
        <v>2223</v>
      </c>
      <c r="D416" s="10" t="s">
        <v>7738</v>
      </c>
      <c r="E416" t="s">
        <v>8542</v>
      </c>
      <c r="F416" s="125">
        <f>'3. Use Cases Catalog'!I404*1000000</f>
        <v>1.4</v>
      </c>
      <c r="G416" s="125">
        <f>'3. Use Cases Catalog'!I404*1000000</f>
        <v>1.4</v>
      </c>
      <c r="H416" s="10" t="s">
        <v>8543</v>
      </c>
      <c r="I416" t="s">
        <v>8544</v>
      </c>
      <c r="J416" s="125">
        <f>'3. Use Cases Catalog'!J404*1000000</f>
        <v>1.8</v>
      </c>
      <c r="K416" s="125">
        <f>'3. Use Cases Catalog'!J404*1000000</f>
        <v>1.8</v>
      </c>
      <c r="L416" s="123">
        <v>0.35</v>
      </c>
      <c r="M416" s="124">
        <v>2400000</v>
      </c>
      <c r="N416" t="s">
        <v>8545</v>
      </c>
      <c r="O416" s="125">
        <f t="shared" si="12"/>
        <v>535500</v>
      </c>
      <c r="P416" s="125">
        <f>'3. Use Cases Catalog'!K404*1000000</f>
        <v>580000</v>
      </c>
      <c r="Q416" s="126"/>
      <c r="R416" s="124"/>
      <c r="S416" s="125" t="str">
        <f t="shared" si="13"/>
        <v/>
      </c>
      <c r="T416" s="125">
        <f>'3. Use Cases Catalog'!L404*1000000</f>
        <v>0</v>
      </c>
    </row>
    <row r="417" spans="1:20" x14ac:dyDescent="0.2">
      <c r="A417" t="s">
        <v>70</v>
      </c>
      <c r="B417" t="s">
        <v>179</v>
      </c>
      <c r="C417" t="s">
        <v>2228</v>
      </c>
      <c r="D417" s="10" t="s">
        <v>7704</v>
      </c>
      <c r="E417" t="s">
        <v>8546</v>
      </c>
      <c r="F417" s="125">
        <f>'3. Use Cases Catalog'!I405*1000000</f>
        <v>340000</v>
      </c>
      <c r="G417" s="125">
        <f>'3. Use Cases Catalog'!I405*1000000</f>
        <v>340000</v>
      </c>
      <c r="H417" s="10" t="s">
        <v>8547</v>
      </c>
      <c r="I417" t="s">
        <v>8548</v>
      </c>
      <c r="J417" s="125">
        <f>'3. Use Cases Catalog'!J405*1000000</f>
        <v>2.8</v>
      </c>
      <c r="K417" s="125">
        <f>'3. Use Cases Catalog'!J405*1000000</f>
        <v>2.8</v>
      </c>
      <c r="L417" s="123">
        <v>0.42</v>
      </c>
      <c r="M417" s="124">
        <v>6800000</v>
      </c>
      <c r="N417" t="s">
        <v>8541</v>
      </c>
      <c r="O417" s="125">
        <f t="shared" si="12"/>
        <v>1820700</v>
      </c>
      <c r="P417" s="125">
        <f>'3. Use Cases Catalog'!K405*1000000</f>
        <v>1.9</v>
      </c>
      <c r="Q417" s="126">
        <v>3.3</v>
      </c>
      <c r="R417" s="124"/>
      <c r="S417" s="125" t="str">
        <f t="shared" si="13"/>
        <v/>
      </c>
      <c r="T417" s="125">
        <f>'3. Use Cases Catalog'!L405*1000000</f>
        <v>1.6</v>
      </c>
    </row>
    <row r="418" spans="1:20" x14ac:dyDescent="0.2">
      <c r="A418" t="s">
        <v>70</v>
      </c>
      <c r="B418" t="s">
        <v>141</v>
      </c>
      <c r="C418" t="s">
        <v>2234</v>
      </c>
      <c r="D418" s="10" t="s">
        <v>8549</v>
      </c>
      <c r="E418" t="s">
        <v>8550</v>
      </c>
      <c r="F418" s="125">
        <f>'3. Use Cases Catalog'!I406*1000000</f>
        <v>3.2</v>
      </c>
      <c r="G418" s="125">
        <f>'3. Use Cases Catalog'!I406*1000000</f>
        <v>3.2</v>
      </c>
      <c r="H418" s="10" t="s">
        <v>8551</v>
      </c>
      <c r="I418" t="s">
        <v>8552</v>
      </c>
      <c r="J418" s="125">
        <f>'3. Use Cases Catalog'!J406*1000000</f>
        <v>14.3</v>
      </c>
      <c r="K418" s="125">
        <f>'3. Use Cases Catalog'!J406*1000000</f>
        <v>14.3</v>
      </c>
      <c r="L418" s="123">
        <v>0.22</v>
      </c>
      <c r="M418" s="124">
        <v>19000000</v>
      </c>
      <c r="N418" t="s">
        <v>8541</v>
      </c>
      <c r="O418" s="125">
        <f t="shared" si="12"/>
        <v>2664750</v>
      </c>
      <c r="P418" s="125">
        <f>'3. Use Cases Catalog'!K406*1000000</f>
        <v>2.8</v>
      </c>
      <c r="Q418" s="126">
        <v>12</v>
      </c>
      <c r="R418" s="124"/>
      <c r="S418" s="125" t="str">
        <f t="shared" si="13"/>
        <v/>
      </c>
      <c r="T418" s="125">
        <f>'3. Use Cases Catalog'!L406*1000000</f>
        <v>1.9</v>
      </c>
    </row>
    <row r="419" spans="1:20" x14ac:dyDescent="0.2">
      <c r="A419" t="s">
        <v>70</v>
      </c>
      <c r="B419" t="s">
        <v>123</v>
      </c>
      <c r="C419" t="s">
        <v>2242</v>
      </c>
      <c r="D419" s="10" t="s">
        <v>8553</v>
      </c>
      <c r="E419" t="s">
        <v>8554</v>
      </c>
      <c r="F419" s="125">
        <f>'3. Use Cases Catalog'!I407*1000000</f>
        <v>2.1</v>
      </c>
      <c r="G419" s="125">
        <f>'3. Use Cases Catalog'!I407*1000000</f>
        <v>2.1</v>
      </c>
      <c r="H419" s="10" t="s">
        <v>8555</v>
      </c>
      <c r="I419" t="s">
        <v>8556</v>
      </c>
      <c r="J419" s="125">
        <f>'3. Use Cases Catalog'!J407*1000000</f>
        <v>8.4</v>
      </c>
      <c r="K419" s="125">
        <f>'3. Use Cases Catalog'!J407*1000000</f>
        <v>8.4</v>
      </c>
      <c r="L419" s="123">
        <v>0.35</v>
      </c>
      <c r="M419" s="124">
        <v>215000000</v>
      </c>
      <c r="N419" t="s">
        <v>8536</v>
      </c>
      <c r="O419" s="125">
        <f t="shared" si="12"/>
        <v>47971875</v>
      </c>
      <c r="P419" s="125">
        <f>'3. Use Cases Catalog'!K407*1000000</f>
        <v>14.5</v>
      </c>
      <c r="Q419" s="126">
        <v>8</v>
      </c>
      <c r="R419" s="124"/>
      <c r="S419" s="125" t="str">
        <f t="shared" si="13"/>
        <v/>
      </c>
      <c r="T419" s="125">
        <f>'3. Use Cases Catalog'!L407*1000000</f>
        <v>680000</v>
      </c>
    </row>
    <row r="420" spans="1:20" x14ac:dyDescent="0.2">
      <c r="A420" t="s">
        <v>70</v>
      </c>
      <c r="B420" t="s">
        <v>133</v>
      </c>
      <c r="C420" t="s">
        <v>2250</v>
      </c>
      <c r="D420" s="10" t="s">
        <v>8557</v>
      </c>
      <c r="E420" t="s">
        <v>8558</v>
      </c>
      <c r="F420" s="125">
        <f>'3. Use Cases Catalog'!I408*1000000</f>
        <v>860000</v>
      </c>
      <c r="G420" s="125">
        <f>'3. Use Cases Catalog'!I408*1000000</f>
        <v>860000</v>
      </c>
      <c r="H420" s="10"/>
      <c r="I420" t="s">
        <v>129</v>
      </c>
      <c r="J420" s="125">
        <f>'3. Use Cases Catalog'!J408*1000000</f>
        <v>0</v>
      </c>
      <c r="K420" s="125">
        <f>'3. Use Cases Catalog'!J408*1000000</f>
        <v>0</v>
      </c>
      <c r="L420" s="123">
        <v>0.32</v>
      </c>
      <c r="M420" s="124">
        <v>8400000</v>
      </c>
      <c r="N420" t="s">
        <v>8559</v>
      </c>
      <c r="O420" s="125">
        <f t="shared" si="12"/>
        <v>1713600</v>
      </c>
      <c r="P420" s="125">
        <f>'3. Use Cases Catalog'!K408*1000000</f>
        <v>1.8</v>
      </c>
      <c r="Q420" s="126"/>
      <c r="R420" s="124"/>
      <c r="S420" s="125" t="str">
        <f t="shared" si="13"/>
        <v/>
      </c>
      <c r="T420" s="125">
        <f>'3. Use Cases Catalog'!L408*1000000</f>
        <v>0</v>
      </c>
    </row>
    <row r="421" spans="1:20" x14ac:dyDescent="0.2">
      <c r="A421" t="s">
        <v>70</v>
      </c>
      <c r="B421" t="s">
        <v>172</v>
      </c>
      <c r="C421" t="s">
        <v>2254</v>
      </c>
      <c r="D421" s="10" t="s">
        <v>8560</v>
      </c>
      <c r="E421" t="s">
        <v>8561</v>
      </c>
      <c r="F421" s="125">
        <f>'3. Use Cases Catalog'!I409*1000000</f>
        <v>410000</v>
      </c>
      <c r="G421" s="125">
        <f>'3. Use Cases Catalog'!I409*1000000</f>
        <v>410000</v>
      </c>
      <c r="H421" s="10" t="s">
        <v>8562</v>
      </c>
      <c r="I421" t="s">
        <v>8563</v>
      </c>
      <c r="J421" s="125">
        <f>'3. Use Cases Catalog'!J409*1000000</f>
        <v>6.2</v>
      </c>
      <c r="K421" s="125">
        <f>'3. Use Cases Catalog'!J409*1000000</f>
        <v>6.2</v>
      </c>
      <c r="L421" s="123"/>
      <c r="M421" s="124"/>
      <c r="N421" t="s">
        <v>130</v>
      </c>
      <c r="O421" s="125" t="str">
        <f t="shared" si="12"/>
        <v/>
      </c>
      <c r="P421" s="125">
        <f>'3. Use Cases Catalog'!K409*1000000</f>
        <v>0</v>
      </c>
      <c r="Q421" s="126">
        <v>8</v>
      </c>
      <c r="R421" s="124"/>
      <c r="S421" s="125" t="str">
        <f t="shared" si="13"/>
        <v/>
      </c>
      <c r="T421" s="125">
        <f>'3. Use Cases Catalog'!L409*1000000</f>
        <v>1.1000000000000001</v>
      </c>
    </row>
    <row r="422" spans="1:20" x14ac:dyDescent="0.2">
      <c r="A422" t="s">
        <v>70</v>
      </c>
      <c r="B422" t="s">
        <v>186</v>
      </c>
      <c r="C422" t="s">
        <v>2260</v>
      </c>
      <c r="D422" s="10" t="s">
        <v>8564</v>
      </c>
      <c r="E422" t="s">
        <v>8565</v>
      </c>
      <c r="F422" s="125">
        <f>'3. Use Cases Catalog'!I410*1000000</f>
        <v>1.5</v>
      </c>
      <c r="G422" s="125">
        <f>'3. Use Cases Catalog'!I410*1000000</f>
        <v>1.5</v>
      </c>
      <c r="H422" s="10"/>
      <c r="I422" t="s">
        <v>129</v>
      </c>
      <c r="J422" s="125">
        <f>'3. Use Cases Catalog'!J410*1000000</f>
        <v>0</v>
      </c>
      <c r="K422" s="125">
        <f>'3. Use Cases Catalog'!J410*1000000</f>
        <v>0</v>
      </c>
      <c r="L422" s="123">
        <v>0.35</v>
      </c>
      <c r="M422" s="124">
        <v>2800000</v>
      </c>
      <c r="N422" t="s">
        <v>8566</v>
      </c>
      <c r="O422" s="125">
        <f t="shared" si="12"/>
        <v>624749.99999999988</v>
      </c>
      <c r="P422" s="125">
        <f>'3. Use Cases Catalog'!K410*1000000</f>
        <v>680000</v>
      </c>
      <c r="Q422" s="126">
        <v>3.7</v>
      </c>
      <c r="R422" s="124"/>
      <c r="S422" s="125" t="str">
        <f t="shared" si="13"/>
        <v/>
      </c>
      <c r="T422" s="125">
        <f>'3. Use Cases Catalog'!L410*1000000</f>
        <v>840000</v>
      </c>
    </row>
    <row r="423" spans="1:20" x14ac:dyDescent="0.2">
      <c r="A423" t="s">
        <v>70</v>
      </c>
      <c r="B423" t="s">
        <v>194</v>
      </c>
      <c r="C423" t="s">
        <v>2265</v>
      </c>
      <c r="D423" s="10" t="s">
        <v>8567</v>
      </c>
      <c r="E423" t="s">
        <v>8568</v>
      </c>
      <c r="F423" s="125">
        <f>'3. Use Cases Catalog'!I411*1000000</f>
        <v>930000</v>
      </c>
      <c r="G423" s="125">
        <f>'3. Use Cases Catalog'!I411*1000000</f>
        <v>930000</v>
      </c>
      <c r="H423" s="10"/>
      <c r="I423" t="s">
        <v>129</v>
      </c>
      <c r="J423" s="125">
        <f>'3. Use Cases Catalog'!J411*1000000</f>
        <v>0</v>
      </c>
      <c r="K423" s="125">
        <f>'3. Use Cases Catalog'!J411*1000000</f>
        <v>0</v>
      </c>
      <c r="L423" s="123">
        <v>0.18</v>
      </c>
      <c r="M423" s="124">
        <v>3400000</v>
      </c>
      <c r="N423" t="s">
        <v>8569</v>
      </c>
      <c r="O423" s="125">
        <f t="shared" si="12"/>
        <v>390150</v>
      </c>
      <c r="P423" s="125">
        <f>'3. Use Cases Catalog'!K411*1000000</f>
        <v>420000</v>
      </c>
      <c r="Q423" s="126"/>
      <c r="R423" s="124"/>
      <c r="S423" s="125" t="str">
        <f t="shared" si="13"/>
        <v/>
      </c>
      <c r="T423" s="125">
        <f>'3. Use Cases Catalog'!L411*1000000</f>
        <v>0</v>
      </c>
    </row>
    <row r="424" spans="1:20" x14ac:dyDescent="0.2">
      <c r="A424" t="s">
        <v>83</v>
      </c>
      <c r="B424" t="s">
        <v>141</v>
      </c>
      <c r="C424" t="s">
        <v>8570</v>
      </c>
      <c r="D424" s="10" t="s">
        <v>8571</v>
      </c>
      <c r="E424" t="s">
        <v>8572</v>
      </c>
      <c r="F424" s="125">
        <f>'3. Use Cases Catalog'!I412*1000000</f>
        <v>3.1</v>
      </c>
      <c r="G424" s="125">
        <f>'3. Use Cases Catalog'!I412*1000000</f>
        <v>3.1</v>
      </c>
      <c r="H424" s="10"/>
      <c r="I424" t="s">
        <v>129</v>
      </c>
      <c r="J424" s="125">
        <f>'3. Use Cases Catalog'!J412*1000000</f>
        <v>0</v>
      </c>
      <c r="K424" s="125">
        <f>'3. Use Cases Catalog'!J412*1000000</f>
        <v>0</v>
      </c>
      <c r="L424" s="123"/>
      <c r="M424" s="124"/>
      <c r="N424" t="s">
        <v>130</v>
      </c>
      <c r="O424" s="125" t="str">
        <f t="shared" si="12"/>
        <v/>
      </c>
      <c r="P424" s="125">
        <f>'3. Use Cases Catalog'!K412*1000000</f>
        <v>0</v>
      </c>
      <c r="Q424" s="126"/>
      <c r="R424" s="124"/>
      <c r="S424" s="125" t="str">
        <f t="shared" si="13"/>
        <v/>
      </c>
      <c r="T424" s="125">
        <f>'3. Use Cases Catalog'!L412*1000000</f>
        <v>0</v>
      </c>
    </row>
    <row r="425" spans="1:20" x14ac:dyDescent="0.2">
      <c r="A425" t="s">
        <v>83</v>
      </c>
      <c r="B425" t="s">
        <v>123</v>
      </c>
      <c r="C425" t="s">
        <v>2272</v>
      </c>
      <c r="D425" s="10" t="s">
        <v>8573</v>
      </c>
      <c r="E425" t="s">
        <v>8574</v>
      </c>
      <c r="F425" s="125">
        <f>'3. Use Cases Catalog'!I413*1000000</f>
        <v>1.4</v>
      </c>
      <c r="G425" s="125">
        <f>'3. Use Cases Catalog'!I413*1000000</f>
        <v>1.4</v>
      </c>
      <c r="H425" s="10"/>
      <c r="I425" t="s">
        <v>129</v>
      </c>
      <c r="J425" s="125">
        <f>'3. Use Cases Catalog'!J413*1000000</f>
        <v>0</v>
      </c>
      <c r="K425" s="125">
        <f>'3. Use Cases Catalog'!J413*1000000</f>
        <v>0</v>
      </c>
      <c r="L425" s="123">
        <v>1.6E-2</v>
      </c>
      <c r="M425" s="124">
        <v>180000000</v>
      </c>
      <c r="N425" t="s">
        <v>7553</v>
      </c>
      <c r="O425" s="125">
        <f t="shared" si="12"/>
        <v>1836000</v>
      </c>
      <c r="P425" s="125">
        <f>'3. Use Cases Catalog'!K413*1000000</f>
        <v>4.0999999999999996</v>
      </c>
      <c r="Q425" s="126"/>
      <c r="R425" s="124"/>
      <c r="S425" s="125" t="str">
        <f t="shared" si="13"/>
        <v/>
      </c>
      <c r="T425" s="125">
        <f>'3. Use Cases Catalog'!L413*1000000</f>
        <v>0</v>
      </c>
    </row>
    <row r="426" spans="1:20" x14ac:dyDescent="0.2">
      <c r="A426" t="s">
        <v>83</v>
      </c>
      <c r="B426" t="s">
        <v>133</v>
      </c>
      <c r="C426" t="s">
        <v>8575</v>
      </c>
      <c r="D426" s="10" t="s">
        <v>8576</v>
      </c>
      <c r="E426" t="s">
        <v>8577</v>
      </c>
      <c r="F426" s="125">
        <f>'3. Use Cases Catalog'!I414*1000000</f>
        <v>2</v>
      </c>
      <c r="G426" s="125">
        <f>'3. Use Cases Catalog'!I414*1000000</f>
        <v>2</v>
      </c>
      <c r="H426" s="10"/>
      <c r="I426" t="s">
        <v>129</v>
      </c>
      <c r="J426" s="125">
        <f>'3. Use Cases Catalog'!J414*1000000</f>
        <v>0</v>
      </c>
      <c r="K426" s="125">
        <f>'3. Use Cases Catalog'!J414*1000000</f>
        <v>0</v>
      </c>
      <c r="L426" s="123"/>
      <c r="M426" s="124"/>
      <c r="N426" t="s">
        <v>130</v>
      </c>
      <c r="O426" s="125" t="str">
        <f t="shared" si="12"/>
        <v/>
      </c>
      <c r="P426" s="125">
        <f>'3. Use Cases Catalog'!K414*1000000</f>
        <v>0</v>
      </c>
      <c r="Q426" s="126">
        <v>75</v>
      </c>
      <c r="R426" s="124">
        <v>85</v>
      </c>
      <c r="S426" s="125">
        <f t="shared" si="13"/>
        <v>5147.8125</v>
      </c>
      <c r="T426" s="125">
        <f>'3. Use Cases Catalog'!L414*1000000</f>
        <v>1.5</v>
      </c>
    </row>
    <row r="427" spans="1:20" x14ac:dyDescent="0.2">
      <c r="A427" t="s">
        <v>83</v>
      </c>
      <c r="B427" t="s">
        <v>156</v>
      </c>
      <c r="C427" t="s">
        <v>2281</v>
      </c>
      <c r="D427" s="10" t="s">
        <v>8578</v>
      </c>
      <c r="E427" t="s">
        <v>8579</v>
      </c>
      <c r="F427" s="125">
        <f>'3. Use Cases Catalog'!I415*1000000</f>
        <v>1.1000000000000001</v>
      </c>
      <c r="G427" s="125">
        <f>'3. Use Cases Catalog'!I415*1000000</f>
        <v>1.1000000000000001</v>
      </c>
      <c r="H427" s="10" t="s">
        <v>8580</v>
      </c>
      <c r="I427" t="s">
        <v>8581</v>
      </c>
      <c r="J427" s="125">
        <f>'3. Use Cases Catalog'!J415*1000000</f>
        <v>4.5</v>
      </c>
      <c r="K427" s="125">
        <f>'3. Use Cases Catalog'!J415*1000000</f>
        <v>4.5</v>
      </c>
      <c r="L427" s="123"/>
      <c r="M427" s="124"/>
      <c r="N427" t="s">
        <v>130</v>
      </c>
      <c r="O427" s="125" t="str">
        <f t="shared" si="12"/>
        <v/>
      </c>
      <c r="P427" s="125">
        <f>'3. Use Cases Catalog'!K415*1000000</f>
        <v>0</v>
      </c>
      <c r="Q427" s="126"/>
      <c r="R427" s="124"/>
      <c r="S427" s="125" t="str">
        <f t="shared" si="13"/>
        <v/>
      </c>
      <c r="T427" s="125">
        <f>'3. Use Cases Catalog'!L415*1000000</f>
        <v>0</v>
      </c>
    </row>
    <row r="428" spans="1:20" x14ac:dyDescent="0.2">
      <c r="A428" t="s">
        <v>83</v>
      </c>
      <c r="B428" t="s">
        <v>164</v>
      </c>
      <c r="C428" t="s">
        <v>8582</v>
      </c>
      <c r="D428" s="10" t="s">
        <v>8583</v>
      </c>
      <c r="E428" t="s">
        <v>8584</v>
      </c>
      <c r="F428" s="125">
        <f>'3. Use Cases Catalog'!I416*1000000</f>
        <v>2.2000000000000002</v>
      </c>
      <c r="G428" s="125">
        <f>'3. Use Cases Catalog'!I416*1000000</f>
        <v>2.2000000000000002</v>
      </c>
      <c r="H428" s="10"/>
      <c r="I428" t="s">
        <v>129</v>
      </c>
      <c r="J428" s="125">
        <f>'3. Use Cases Catalog'!J416*1000000</f>
        <v>0</v>
      </c>
      <c r="K428" s="125">
        <f>'3. Use Cases Catalog'!J416*1000000</f>
        <v>0</v>
      </c>
      <c r="L428" s="123">
        <v>0.35</v>
      </c>
      <c r="M428" s="124">
        <v>18000000</v>
      </c>
      <c r="N428" t="s">
        <v>8585</v>
      </c>
      <c r="O428" s="125">
        <f t="shared" si="12"/>
        <v>4016250</v>
      </c>
      <c r="P428" s="125">
        <f>'3. Use Cases Catalog'!K416*1000000</f>
        <v>2.7</v>
      </c>
      <c r="Q428" s="126"/>
      <c r="R428" s="124"/>
      <c r="S428" s="125" t="str">
        <f t="shared" si="13"/>
        <v/>
      </c>
      <c r="T428" s="125">
        <f>'3. Use Cases Catalog'!L416*1000000</f>
        <v>0</v>
      </c>
    </row>
    <row r="429" spans="1:20" x14ac:dyDescent="0.2">
      <c r="A429" t="s">
        <v>83</v>
      </c>
      <c r="B429" t="s">
        <v>172</v>
      </c>
      <c r="C429" t="s">
        <v>2291</v>
      </c>
      <c r="D429" s="10" t="s">
        <v>8586</v>
      </c>
      <c r="E429" t="s">
        <v>8587</v>
      </c>
      <c r="F429" s="125">
        <f>'3. Use Cases Catalog'!I417*1000000</f>
        <v>0.9</v>
      </c>
      <c r="G429" s="125">
        <f>'3. Use Cases Catalog'!I417*1000000</f>
        <v>0.9</v>
      </c>
      <c r="H429" s="10"/>
      <c r="I429" t="s">
        <v>129</v>
      </c>
      <c r="J429" s="125">
        <f>'3. Use Cases Catalog'!J417*1000000</f>
        <v>0</v>
      </c>
      <c r="K429" s="125">
        <f>'3. Use Cases Catalog'!J417*1000000</f>
        <v>0</v>
      </c>
      <c r="L429" s="123">
        <v>0.25</v>
      </c>
      <c r="M429" s="124">
        <v>22000000</v>
      </c>
      <c r="N429" t="s">
        <v>8588</v>
      </c>
      <c r="O429" s="125">
        <f t="shared" si="12"/>
        <v>3506250</v>
      </c>
      <c r="P429" s="125">
        <f>'3. Use Cases Catalog'!K417*1000000</f>
        <v>3.6</v>
      </c>
      <c r="Q429" s="126"/>
      <c r="R429" s="124"/>
      <c r="S429" s="125" t="str">
        <f t="shared" si="13"/>
        <v/>
      </c>
      <c r="T429" s="125">
        <f>'3. Use Cases Catalog'!L417*1000000</f>
        <v>0</v>
      </c>
    </row>
    <row r="430" spans="1:20" x14ac:dyDescent="0.2">
      <c r="A430" t="s">
        <v>83</v>
      </c>
      <c r="B430" t="s">
        <v>179</v>
      </c>
      <c r="C430" t="s">
        <v>2296</v>
      </c>
      <c r="D430" s="10" t="s">
        <v>8589</v>
      </c>
      <c r="E430" t="s">
        <v>8590</v>
      </c>
      <c r="F430" s="125">
        <f>'3. Use Cases Catalog'!I418*1000000</f>
        <v>0.7</v>
      </c>
      <c r="G430" s="125">
        <f>'3. Use Cases Catalog'!I418*1000000</f>
        <v>0.7</v>
      </c>
      <c r="H430" s="10"/>
      <c r="I430" t="s">
        <v>129</v>
      </c>
      <c r="J430" s="125">
        <f>'3. Use Cases Catalog'!J418*1000000</f>
        <v>0</v>
      </c>
      <c r="K430" s="125">
        <f>'3. Use Cases Catalog'!J418*1000000</f>
        <v>0</v>
      </c>
      <c r="L430" s="123"/>
      <c r="M430" s="124"/>
      <c r="N430" t="s">
        <v>130</v>
      </c>
      <c r="O430" s="125" t="str">
        <f t="shared" si="12"/>
        <v/>
      </c>
      <c r="P430" s="125">
        <f>'3. Use Cases Catalog'!K418*1000000</f>
        <v>0</v>
      </c>
      <c r="Q430" s="126">
        <v>25</v>
      </c>
      <c r="R430" s="124"/>
      <c r="S430" s="125" t="str">
        <f t="shared" si="13"/>
        <v/>
      </c>
      <c r="T430" s="125">
        <f>'3. Use Cases Catalog'!L418*1000000</f>
        <v>1.2</v>
      </c>
    </row>
    <row r="431" spans="1:20" x14ac:dyDescent="0.2">
      <c r="A431" t="s">
        <v>83</v>
      </c>
      <c r="B431" t="s">
        <v>186</v>
      </c>
      <c r="C431" t="s">
        <v>2301</v>
      </c>
      <c r="D431" s="10" t="s">
        <v>8591</v>
      </c>
      <c r="E431" t="s">
        <v>8592</v>
      </c>
      <c r="F431" s="125">
        <f>'3. Use Cases Catalog'!I419*1000000</f>
        <v>1.8</v>
      </c>
      <c r="G431" s="125">
        <f>'3. Use Cases Catalog'!I419*1000000</f>
        <v>1.8</v>
      </c>
      <c r="H431" s="10"/>
      <c r="I431" t="s">
        <v>129</v>
      </c>
      <c r="J431" s="125">
        <f>'3. Use Cases Catalog'!J419*1000000</f>
        <v>0</v>
      </c>
      <c r="K431" s="125">
        <f>'3. Use Cases Catalog'!J419*1000000</f>
        <v>0</v>
      </c>
      <c r="L431" s="123">
        <v>0.3</v>
      </c>
      <c r="M431" s="124">
        <v>15000000</v>
      </c>
      <c r="N431" t="s">
        <v>8593</v>
      </c>
      <c r="O431" s="125">
        <f t="shared" si="12"/>
        <v>2868750</v>
      </c>
      <c r="P431" s="125">
        <f>'3. Use Cases Catalog'!K419*1000000</f>
        <v>4.8</v>
      </c>
      <c r="Q431" s="126"/>
      <c r="R431" s="124"/>
      <c r="S431" s="125" t="str">
        <f t="shared" si="13"/>
        <v/>
      </c>
      <c r="T431" s="125">
        <f>'3. Use Cases Catalog'!L419*1000000</f>
        <v>0</v>
      </c>
    </row>
    <row r="432" spans="1:20" x14ac:dyDescent="0.2">
      <c r="A432" t="s">
        <v>83</v>
      </c>
      <c r="B432" t="s">
        <v>149</v>
      </c>
      <c r="C432" t="s">
        <v>1179</v>
      </c>
      <c r="D432" s="10" t="s">
        <v>8594</v>
      </c>
      <c r="E432" t="s">
        <v>8595</v>
      </c>
      <c r="F432" s="125">
        <f>'3. Use Cases Catalog'!I420*1000000</f>
        <v>1.6</v>
      </c>
      <c r="G432" s="125">
        <f>'3. Use Cases Catalog'!I420*1000000</f>
        <v>1.6</v>
      </c>
      <c r="H432" s="10" t="s">
        <v>8156</v>
      </c>
      <c r="I432" t="s">
        <v>8596</v>
      </c>
      <c r="J432" s="125">
        <f>'3. Use Cases Catalog'!J420*1000000</f>
        <v>10.8</v>
      </c>
      <c r="K432" s="125">
        <f>'3. Use Cases Catalog'!J420*1000000</f>
        <v>10.8</v>
      </c>
      <c r="L432" s="123"/>
      <c r="M432" s="124"/>
      <c r="N432" t="s">
        <v>130</v>
      </c>
      <c r="O432" s="125" t="str">
        <f t="shared" si="12"/>
        <v/>
      </c>
      <c r="P432" s="125">
        <f>'3. Use Cases Catalog'!K420*1000000</f>
        <v>0</v>
      </c>
      <c r="Q432" s="126"/>
      <c r="R432" s="124"/>
      <c r="S432" s="125" t="str">
        <f t="shared" si="13"/>
        <v/>
      </c>
      <c r="T432" s="125">
        <f>'3. Use Cases Catalog'!L420*1000000</f>
        <v>0</v>
      </c>
    </row>
    <row r="433" spans="1:20" x14ac:dyDescent="0.2">
      <c r="A433" t="s">
        <v>83</v>
      </c>
      <c r="B433" t="s">
        <v>194</v>
      </c>
      <c r="C433" t="s">
        <v>2308</v>
      </c>
      <c r="D433" s="10" t="s">
        <v>8578</v>
      </c>
      <c r="E433" t="s">
        <v>8597</v>
      </c>
      <c r="F433" s="125">
        <f>'3. Use Cases Catalog'!I421*1000000</f>
        <v>1.8</v>
      </c>
      <c r="G433" s="125">
        <f>'3. Use Cases Catalog'!I421*1000000</f>
        <v>1.8</v>
      </c>
      <c r="H433" s="10"/>
      <c r="I433" t="s">
        <v>129</v>
      </c>
      <c r="J433" s="125">
        <f>'3. Use Cases Catalog'!J421*1000000</f>
        <v>0</v>
      </c>
      <c r="K433" s="125">
        <f>'3. Use Cases Catalog'!J421*1000000</f>
        <v>0</v>
      </c>
      <c r="L433" s="123"/>
      <c r="M433" s="124"/>
      <c r="N433" t="s">
        <v>130</v>
      </c>
      <c r="O433" s="125" t="str">
        <f t="shared" si="12"/>
        <v/>
      </c>
      <c r="P433" s="125">
        <f>'3. Use Cases Catalog'!K421*1000000</f>
        <v>0</v>
      </c>
      <c r="Q433" s="126"/>
      <c r="R433" s="124"/>
      <c r="S433" s="125" t="str">
        <f t="shared" si="13"/>
        <v/>
      </c>
      <c r="T433" s="125">
        <f>'3. Use Cases Catalog'!L421*1000000</f>
        <v>0</v>
      </c>
    </row>
    <row r="434" spans="1:20" x14ac:dyDescent="0.2">
      <c r="A434" t="s">
        <v>26</v>
      </c>
      <c r="B434" t="s">
        <v>141</v>
      </c>
      <c r="C434" t="s">
        <v>27</v>
      </c>
      <c r="D434" s="10"/>
      <c r="E434" t="s">
        <v>1009</v>
      </c>
      <c r="F434" s="125">
        <f>'3. Use Cases Catalog'!I422*1000000</f>
        <v>0</v>
      </c>
      <c r="G434" s="125">
        <f>'3. Use Cases Catalog'!I422*1000000</f>
        <v>0</v>
      </c>
      <c r="H434" s="10" t="s">
        <v>8598</v>
      </c>
      <c r="I434" t="s">
        <v>8599</v>
      </c>
      <c r="J434" s="125">
        <f>'3. Use Cases Catalog'!J422*1000000</f>
        <v>14800000</v>
      </c>
      <c r="K434" s="125">
        <f>'3. Use Cases Catalog'!J422*1000000</f>
        <v>14800000</v>
      </c>
      <c r="L434" s="123">
        <v>0.12</v>
      </c>
      <c r="M434" s="124">
        <v>8700000</v>
      </c>
      <c r="N434" t="s">
        <v>8600</v>
      </c>
      <c r="O434" s="125">
        <f t="shared" si="12"/>
        <v>665550</v>
      </c>
      <c r="P434" s="125">
        <f>'3. Use Cases Catalog'!K422*1000000</f>
        <v>900000</v>
      </c>
      <c r="Q434" s="126"/>
      <c r="R434" s="124"/>
      <c r="S434" s="125" t="str">
        <f t="shared" si="13"/>
        <v/>
      </c>
      <c r="T434" s="125">
        <f>'3. Use Cases Catalog'!L422*1000000</f>
        <v>1700000</v>
      </c>
    </row>
    <row r="435" spans="1:20" x14ac:dyDescent="0.2">
      <c r="A435" t="s">
        <v>26</v>
      </c>
      <c r="B435" t="s">
        <v>123</v>
      </c>
      <c r="C435" t="s">
        <v>2316</v>
      </c>
      <c r="D435" s="10" t="s">
        <v>8601</v>
      </c>
      <c r="E435" t="s">
        <v>8602</v>
      </c>
      <c r="F435" s="125">
        <f>'3. Use Cases Catalog'!I423*1000000</f>
        <v>5100000</v>
      </c>
      <c r="G435" s="125">
        <f>'3. Use Cases Catalog'!I423*1000000</f>
        <v>5100000</v>
      </c>
      <c r="H435" s="10"/>
      <c r="I435" t="s">
        <v>129</v>
      </c>
      <c r="J435" s="125">
        <f>'3. Use Cases Catalog'!J423*1000000</f>
        <v>0</v>
      </c>
      <c r="K435" s="125">
        <f>'3. Use Cases Catalog'!J423*1000000</f>
        <v>0</v>
      </c>
      <c r="L435" s="123">
        <v>0.35</v>
      </c>
      <c r="M435" s="124">
        <v>8400000</v>
      </c>
      <c r="N435" t="s">
        <v>8603</v>
      </c>
      <c r="O435" s="125">
        <f t="shared" si="12"/>
        <v>1874250</v>
      </c>
      <c r="P435" s="125">
        <f>'3. Use Cases Catalog'!K423*1000000</f>
        <v>2300000</v>
      </c>
      <c r="Q435" s="126"/>
      <c r="R435" s="124"/>
      <c r="S435" s="125" t="str">
        <f t="shared" si="13"/>
        <v/>
      </c>
      <c r="T435" s="125">
        <f>'3. Use Cases Catalog'!L423*1000000</f>
        <v>0</v>
      </c>
    </row>
    <row r="436" spans="1:20" x14ac:dyDescent="0.2">
      <c r="A436" t="s">
        <v>26</v>
      </c>
      <c r="B436" t="s">
        <v>133</v>
      </c>
      <c r="C436" t="s">
        <v>2322</v>
      </c>
      <c r="D436" s="10" t="s">
        <v>8604</v>
      </c>
      <c r="E436" t="s">
        <v>8605</v>
      </c>
      <c r="F436" s="125">
        <f>'3. Use Cases Catalog'!I424*1000000</f>
        <v>3400000</v>
      </c>
      <c r="G436" s="125">
        <f>'3. Use Cases Catalog'!I424*1000000</f>
        <v>3400000</v>
      </c>
      <c r="H436" s="10" t="s">
        <v>8606</v>
      </c>
      <c r="I436" t="s">
        <v>8607</v>
      </c>
      <c r="J436" s="125">
        <f>'3. Use Cases Catalog'!J424*1000000</f>
        <v>1900000</v>
      </c>
      <c r="K436" s="125">
        <f>'3. Use Cases Catalog'!J424*1000000</f>
        <v>1900000</v>
      </c>
      <c r="L436" s="123">
        <v>0.25</v>
      </c>
      <c r="M436" s="124">
        <v>5300000</v>
      </c>
      <c r="N436" t="s">
        <v>8608</v>
      </c>
      <c r="O436" s="125">
        <f t="shared" si="12"/>
        <v>844687.5</v>
      </c>
      <c r="P436" s="125">
        <f>'3. Use Cases Catalog'!K424*1000000</f>
        <v>1100000</v>
      </c>
      <c r="Q436" s="126"/>
      <c r="R436" s="124"/>
      <c r="S436" s="125" t="str">
        <f t="shared" si="13"/>
        <v/>
      </c>
      <c r="T436" s="125">
        <f>'3. Use Cases Catalog'!L424*1000000</f>
        <v>0</v>
      </c>
    </row>
    <row r="437" spans="1:20" x14ac:dyDescent="0.2">
      <c r="A437" t="s">
        <v>26</v>
      </c>
      <c r="B437" t="s">
        <v>156</v>
      </c>
      <c r="C437" t="s">
        <v>8609</v>
      </c>
      <c r="D437" s="10" t="s">
        <v>8610</v>
      </c>
      <c r="E437" t="s">
        <v>8611</v>
      </c>
      <c r="F437" s="125">
        <f>'3. Use Cases Catalog'!I425*1000000</f>
        <v>2100000</v>
      </c>
      <c r="G437" s="125">
        <f>'3. Use Cases Catalog'!I425*1000000</f>
        <v>2100000</v>
      </c>
      <c r="H437" s="10"/>
      <c r="I437" t="s">
        <v>129</v>
      </c>
      <c r="J437" s="125">
        <f>'3. Use Cases Catalog'!J425*1000000</f>
        <v>0</v>
      </c>
      <c r="K437" s="125">
        <f>'3. Use Cases Catalog'!J425*1000000</f>
        <v>0</v>
      </c>
      <c r="L437" s="123">
        <v>0.28000000000000003</v>
      </c>
      <c r="M437" s="124">
        <v>3800000</v>
      </c>
      <c r="N437" t="s">
        <v>8612</v>
      </c>
      <c r="O437" s="125">
        <f t="shared" si="12"/>
        <v>678300</v>
      </c>
      <c r="P437" s="125">
        <f>'3. Use Cases Catalog'!K425*1000000</f>
        <v>800000</v>
      </c>
      <c r="Q437" s="126"/>
      <c r="R437" s="124"/>
      <c r="S437" s="125" t="str">
        <f t="shared" si="13"/>
        <v/>
      </c>
      <c r="T437" s="125">
        <f>'3. Use Cases Catalog'!L425*1000000</f>
        <v>0</v>
      </c>
    </row>
    <row r="438" spans="1:20" x14ac:dyDescent="0.2">
      <c r="A438" t="s">
        <v>26</v>
      </c>
      <c r="B438" t="s">
        <v>164</v>
      </c>
      <c r="C438" t="s">
        <v>8613</v>
      </c>
      <c r="D438" s="10"/>
      <c r="E438" t="s">
        <v>1009</v>
      </c>
      <c r="F438" s="125">
        <f>'3. Use Cases Catalog'!I426*1000000</f>
        <v>0</v>
      </c>
      <c r="G438" s="125">
        <f>'3. Use Cases Catalog'!I426*1000000</f>
        <v>0</v>
      </c>
      <c r="H438" s="10" t="s">
        <v>8614</v>
      </c>
      <c r="I438" t="s">
        <v>8615</v>
      </c>
      <c r="J438" s="125">
        <f>'3. Use Cases Catalog'!J426*1000000</f>
        <v>10200000</v>
      </c>
      <c r="K438" s="125">
        <f>'3. Use Cases Catalog'!J426*1000000</f>
        <v>10200000</v>
      </c>
      <c r="L438" s="123"/>
      <c r="M438" s="124"/>
      <c r="N438" t="s">
        <v>130</v>
      </c>
      <c r="O438" s="125" t="str">
        <f t="shared" si="12"/>
        <v/>
      </c>
      <c r="P438" s="125">
        <f>'3. Use Cases Catalog'!K426*1000000</f>
        <v>0</v>
      </c>
      <c r="Q438" s="126"/>
      <c r="R438" s="124"/>
      <c r="S438" s="125" t="str">
        <f t="shared" si="13"/>
        <v/>
      </c>
      <c r="T438" s="125">
        <f>'3. Use Cases Catalog'!L426*1000000</f>
        <v>2400000</v>
      </c>
    </row>
    <row r="439" spans="1:20" x14ac:dyDescent="0.2">
      <c r="A439" t="s">
        <v>26</v>
      </c>
      <c r="B439" t="s">
        <v>172</v>
      </c>
      <c r="C439" t="s">
        <v>2337</v>
      </c>
      <c r="D439" s="10" t="s">
        <v>8616</v>
      </c>
      <c r="E439" t="s">
        <v>8617</v>
      </c>
      <c r="F439" s="125">
        <f>'3. Use Cases Catalog'!I427*1000000</f>
        <v>1400000</v>
      </c>
      <c r="G439" s="125">
        <f>'3. Use Cases Catalog'!I427*1000000</f>
        <v>1400000</v>
      </c>
      <c r="H439" s="10"/>
      <c r="I439" t="s">
        <v>129</v>
      </c>
      <c r="J439" s="125">
        <f>'3. Use Cases Catalog'!J427*1000000</f>
        <v>0</v>
      </c>
      <c r="K439" s="125">
        <f>'3. Use Cases Catalog'!J427*1000000</f>
        <v>0</v>
      </c>
      <c r="L439" s="123">
        <v>0.28000000000000003</v>
      </c>
      <c r="M439" s="124">
        <v>2900000</v>
      </c>
      <c r="N439" t="s">
        <v>8618</v>
      </c>
      <c r="O439" s="125">
        <f t="shared" si="12"/>
        <v>517650.00000000006</v>
      </c>
      <c r="P439" s="125">
        <f>'3. Use Cases Catalog'!K427*1000000</f>
        <v>600000</v>
      </c>
      <c r="Q439" s="126"/>
      <c r="R439" s="124"/>
      <c r="S439" s="125" t="str">
        <f t="shared" si="13"/>
        <v/>
      </c>
      <c r="T439" s="125">
        <f>'3. Use Cases Catalog'!L427*1000000</f>
        <v>5800000</v>
      </c>
    </row>
    <row r="440" spans="1:20" x14ac:dyDescent="0.2">
      <c r="A440" t="s">
        <v>26</v>
      </c>
      <c r="B440" t="s">
        <v>186</v>
      </c>
      <c r="C440" t="s">
        <v>2343</v>
      </c>
      <c r="D440" s="10" t="s">
        <v>8619</v>
      </c>
      <c r="E440" t="s">
        <v>8620</v>
      </c>
      <c r="F440" s="125">
        <f>'3. Use Cases Catalog'!I428*1000000</f>
        <v>2600000</v>
      </c>
      <c r="G440" s="125">
        <f>'3. Use Cases Catalog'!I428*1000000</f>
        <v>2600000</v>
      </c>
      <c r="H440" s="10" t="s">
        <v>8621</v>
      </c>
      <c r="I440" t="s">
        <v>8622</v>
      </c>
      <c r="J440" s="125">
        <f>'3. Use Cases Catalog'!J428*1000000</f>
        <v>4800000</v>
      </c>
      <c r="K440" s="125">
        <f>'3. Use Cases Catalog'!J428*1000000</f>
        <v>4800000</v>
      </c>
      <c r="L440" s="123">
        <v>0.28000000000000003</v>
      </c>
      <c r="M440" s="124">
        <v>1800000</v>
      </c>
      <c r="N440" t="s">
        <v>8623</v>
      </c>
      <c r="O440" s="125">
        <f t="shared" si="12"/>
        <v>321300.00000000006</v>
      </c>
      <c r="P440" s="125">
        <f>'3. Use Cases Catalog'!K428*1000000</f>
        <v>400000</v>
      </c>
      <c r="Q440" s="126"/>
      <c r="R440" s="124"/>
      <c r="S440" s="125" t="str">
        <f t="shared" si="13"/>
        <v/>
      </c>
      <c r="T440" s="125">
        <f>'3. Use Cases Catalog'!L428*1000000</f>
        <v>0</v>
      </c>
    </row>
    <row r="441" spans="1:20" x14ac:dyDescent="0.2">
      <c r="A441" t="s">
        <v>26</v>
      </c>
      <c r="B441" t="s">
        <v>149</v>
      </c>
      <c r="C441" t="s">
        <v>37</v>
      </c>
      <c r="D441" s="10" t="s">
        <v>8624</v>
      </c>
      <c r="E441" t="s">
        <v>8625</v>
      </c>
      <c r="F441" s="125">
        <f>'3. Use Cases Catalog'!I429*1000000</f>
        <v>2800000</v>
      </c>
      <c r="G441" s="125">
        <f>'3. Use Cases Catalog'!I429*1000000</f>
        <v>2800000</v>
      </c>
      <c r="H441" s="10" t="s">
        <v>8626</v>
      </c>
      <c r="I441" t="s">
        <v>8627</v>
      </c>
      <c r="J441" s="125">
        <f>'3. Use Cases Catalog'!J429*1000000</f>
        <v>3200000</v>
      </c>
      <c r="K441" s="125">
        <f>'3. Use Cases Catalog'!J429*1000000</f>
        <v>3200000</v>
      </c>
      <c r="L441" s="123">
        <v>0.3</v>
      </c>
      <c r="M441" s="124">
        <v>6200000</v>
      </c>
      <c r="N441" t="s">
        <v>8628</v>
      </c>
      <c r="O441" s="125">
        <f t="shared" si="12"/>
        <v>1185750</v>
      </c>
      <c r="P441" s="125">
        <f>'3. Use Cases Catalog'!K429*1000000</f>
        <v>1400000</v>
      </c>
      <c r="Q441" s="126"/>
      <c r="R441" s="124"/>
      <c r="S441" s="125" t="str">
        <f t="shared" si="13"/>
        <v/>
      </c>
      <c r="T441" s="125">
        <f>'3. Use Cases Catalog'!L429*1000000</f>
        <v>4200000</v>
      </c>
    </row>
    <row r="442" spans="1:20" x14ac:dyDescent="0.2">
      <c r="A442" t="s">
        <v>26</v>
      </c>
      <c r="B442" t="s">
        <v>179</v>
      </c>
      <c r="C442" t="s">
        <v>41</v>
      </c>
      <c r="D442" s="10"/>
      <c r="E442" t="s">
        <v>1009</v>
      </c>
      <c r="F442" s="125">
        <f>'3. Use Cases Catalog'!I430*1000000</f>
        <v>0</v>
      </c>
      <c r="G442" s="125">
        <f>'3. Use Cases Catalog'!I430*1000000</f>
        <v>0</v>
      </c>
      <c r="H442" s="10"/>
      <c r="I442" t="s">
        <v>129</v>
      </c>
      <c r="J442" s="125">
        <f>'3. Use Cases Catalog'!J430*1000000</f>
        <v>0</v>
      </c>
      <c r="K442" s="125">
        <f>'3. Use Cases Catalog'!J430*1000000</f>
        <v>0</v>
      </c>
      <c r="L442" s="123">
        <v>0.42</v>
      </c>
      <c r="M442" s="124">
        <v>2400000</v>
      </c>
      <c r="N442" t="s">
        <v>8629</v>
      </c>
      <c r="O442" s="125">
        <f t="shared" si="12"/>
        <v>642600</v>
      </c>
      <c r="P442" s="125">
        <f>'3. Use Cases Catalog'!K430*1000000</f>
        <v>1900000</v>
      </c>
      <c r="Q442" s="126"/>
      <c r="R442" s="124"/>
      <c r="S442" s="125" t="str">
        <f t="shared" si="13"/>
        <v/>
      </c>
      <c r="T442" s="125">
        <f>'3. Use Cases Catalog'!L430*1000000</f>
        <v>8100000</v>
      </c>
    </row>
    <row r="443" spans="1:20" x14ac:dyDescent="0.2">
      <c r="A443" t="s">
        <v>26</v>
      </c>
      <c r="B443" t="s">
        <v>194</v>
      </c>
      <c r="C443" t="s">
        <v>2362</v>
      </c>
      <c r="D443" s="10" t="s">
        <v>8630</v>
      </c>
      <c r="E443" t="s">
        <v>8631</v>
      </c>
      <c r="F443" s="125">
        <f>'3. Use Cases Catalog'!I431*1000000</f>
        <v>800000</v>
      </c>
      <c r="G443" s="125">
        <f>'3. Use Cases Catalog'!I431*1000000</f>
        <v>800000</v>
      </c>
      <c r="H443" s="10" t="s">
        <v>8632</v>
      </c>
      <c r="I443" t="s">
        <v>8633</v>
      </c>
      <c r="J443" s="125">
        <f>'3. Use Cases Catalog'!J431*1000000</f>
        <v>5400000</v>
      </c>
      <c r="K443" s="125">
        <f>'3. Use Cases Catalog'!J431*1000000</f>
        <v>5400000</v>
      </c>
      <c r="L443" s="123">
        <v>0.42</v>
      </c>
      <c r="M443" s="124">
        <v>1500000</v>
      </c>
      <c r="N443" t="s">
        <v>8634</v>
      </c>
      <c r="O443" s="125">
        <f t="shared" si="12"/>
        <v>401625</v>
      </c>
      <c r="P443" s="125">
        <f>'3. Use Cases Catalog'!K431*1000000</f>
        <v>500000</v>
      </c>
      <c r="Q443" s="126"/>
      <c r="R443" s="124"/>
      <c r="S443" s="125" t="str">
        <f t="shared" si="13"/>
        <v/>
      </c>
      <c r="T443" s="125">
        <f>'3. Use Cases Catalog'!L431*1000000</f>
        <v>0</v>
      </c>
    </row>
    <row r="444" spans="1:20" x14ac:dyDescent="0.2">
      <c r="A444" t="s">
        <v>22</v>
      </c>
      <c r="B444" t="s">
        <v>141</v>
      </c>
      <c r="C444" t="s">
        <v>2368</v>
      </c>
      <c r="D444" s="10" t="s">
        <v>8635</v>
      </c>
      <c r="E444" t="s">
        <v>8636</v>
      </c>
      <c r="F444" s="125">
        <f>'3. Use Cases Catalog'!I432*1000000</f>
        <v>900000</v>
      </c>
      <c r="G444" s="125">
        <f>'3. Use Cases Catalog'!I432*1000000</f>
        <v>900000</v>
      </c>
      <c r="H444" s="10"/>
      <c r="I444" t="s">
        <v>129</v>
      </c>
      <c r="J444" s="125">
        <f>'3. Use Cases Catalog'!J432*1000000</f>
        <v>0</v>
      </c>
      <c r="K444" s="125">
        <f>'3. Use Cases Catalog'!J432*1000000</f>
        <v>0</v>
      </c>
      <c r="L444" s="123"/>
      <c r="M444" s="124"/>
      <c r="N444" t="s">
        <v>130</v>
      </c>
      <c r="O444" s="125" t="str">
        <f t="shared" si="12"/>
        <v/>
      </c>
      <c r="P444" s="125">
        <f>'3. Use Cases Catalog'!K432*1000000</f>
        <v>0</v>
      </c>
      <c r="Q444" s="126">
        <v>25</v>
      </c>
      <c r="R444" s="124">
        <v>350</v>
      </c>
      <c r="S444" s="125">
        <f t="shared" si="13"/>
        <v>7065.625</v>
      </c>
      <c r="T444" s="125">
        <f>'3. Use Cases Catalog'!L432*1000000</f>
        <v>2800000</v>
      </c>
    </row>
    <row r="445" spans="1:20" x14ac:dyDescent="0.2">
      <c r="A445" t="s">
        <v>22</v>
      </c>
      <c r="B445" t="s">
        <v>133</v>
      </c>
      <c r="C445" t="s">
        <v>23</v>
      </c>
      <c r="D445" s="10"/>
      <c r="E445" t="s">
        <v>1009</v>
      </c>
      <c r="F445" s="125">
        <f>'3. Use Cases Catalog'!I433*1000000</f>
        <v>0</v>
      </c>
      <c r="G445" s="125">
        <f>'3. Use Cases Catalog'!I433*1000000</f>
        <v>0</v>
      </c>
      <c r="H445" s="10" t="s">
        <v>8637</v>
      </c>
      <c r="I445" t="s">
        <v>8638</v>
      </c>
      <c r="J445" s="125">
        <f>'3. Use Cases Catalog'!J433*1000000</f>
        <v>16200000</v>
      </c>
      <c r="K445" s="125">
        <f>'3. Use Cases Catalog'!J433*1000000</f>
        <v>16200000</v>
      </c>
      <c r="L445" s="123"/>
      <c r="M445" s="124">
        <v>76000000</v>
      </c>
      <c r="N445" t="s">
        <v>8639</v>
      </c>
      <c r="O445" s="125" t="str">
        <f t="shared" si="12"/>
        <v/>
      </c>
      <c r="P445" s="125">
        <f>'3. Use Cases Catalog'!K433*1000000</f>
        <v>16300000</v>
      </c>
      <c r="Q445" s="126"/>
      <c r="R445" s="124"/>
      <c r="S445" s="125" t="str">
        <f t="shared" si="13"/>
        <v/>
      </c>
      <c r="T445" s="125">
        <f>'3. Use Cases Catalog'!L433*1000000</f>
        <v>0</v>
      </c>
    </row>
    <row r="446" spans="1:20" x14ac:dyDescent="0.2">
      <c r="A446" t="s">
        <v>22</v>
      </c>
      <c r="B446" t="s">
        <v>156</v>
      </c>
      <c r="C446" t="s">
        <v>2381</v>
      </c>
      <c r="D446" s="10" t="s">
        <v>8640</v>
      </c>
      <c r="E446" t="s">
        <v>8641</v>
      </c>
      <c r="F446" s="125">
        <f>'3. Use Cases Catalog'!I434*1000000</f>
        <v>1600000</v>
      </c>
      <c r="G446" s="125">
        <f>'3. Use Cases Catalog'!I434*1000000</f>
        <v>1600000</v>
      </c>
      <c r="H446" s="10"/>
      <c r="I446" t="s">
        <v>129</v>
      </c>
      <c r="J446" s="125">
        <f>'3. Use Cases Catalog'!J434*1000000</f>
        <v>0</v>
      </c>
      <c r="K446" s="125">
        <f>'3. Use Cases Catalog'!J434*1000000</f>
        <v>0</v>
      </c>
      <c r="L446" s="123"/>
      <c r="M446" s="124">
        <v>76000000</v>
      </c>
      <c r="N446" t="s">
        <v>8639</v>
      </c>
      <c r="O446" s="125" t="str">
        <f t="shared" si="12"/>
        <v/>
      </c>
      <c r="P446" s="125">
        <f>'3. Use Cases Catalog'!K434*1000000</f>
        <v>400000</v>
      </c>
      <c r="Q446" s="126"/>
      <c r="R446" s="124"/>
      <c r="S446" s="125" t="str">
        <f t="shared" si="13"/>
        <v/>
      </c>
      <c r="T446" s="125">
        <f>'3. Use Cases Catalog'!L434*1000000</f>
        <v>0</v>
      </c>
    </row>
    <row r="447" spans="1:20" x14ac:dyDescent="0.2">
      <c r="A447" t="s">
        <v>22</v>
      </c>
      <c r="B447" t="s">
        <v>172</v>
      </c>
      <c r="C447" t="s">
        <v>2386</v>
      </c>
      <c r="D447" s="10" t="s">
        <v>8642</v>
      </c>
      <c r="E447" t="s">
        <v>8643</v>
      </c>
      <c r="F447" s="125">
        <f>'3. Use Cases Catalog'!I435*1000000</f>
        <v>700000</v>
      </c>
      <c r="G447" s="125">
        <f>'3. Use Cases Catalog'!I435*1000000</f>
        <v>700000</v>
      </c>
      <c r="H447" s="10"/>
      <c r="I447" t="s">
        <v>129</v>
      </c>
      <c r="J447" s="125">
        <f>'3. Use Cases Catalog'!J435*1000000</f>
        <v>0</v>
      </c>
      <c r="K447" s="125">
        <f>'3. Use Cases Catalog'!J435*1000000</f>
        <v>0</v>
      </c>
      <c r="L447" s="123"/>
      <c r="M447" s="124">
        <v>76000000</v>
      </c>
      <c r="N447" t="s">
        <v>8639</v>
      </c>
      <c r="O447" s="125" t="str">
        <f t="shared" si="12"/>
        <v/>
      </c>
      <c r="P447" s="125">
        <f>'3. Use Cases Catalog'!K435*1000000</f>
        <v>1800000</v>
      </c>
      <c r="Q447" s="126"/>
      <c r="R447" s="124"/>
      <c r="S447" s="125" t="str">
        <f t="shared" si="13"/>
        <v/>
      </c>
      <c r="T447" s="125">
        <f>'3. Use Cases Catalog'!L435*1000000</f>
        <v>0</v>
      </c>
    </row>
    <row r="448" spans="1:20" x14ac:dyDescent="0.2">
      <c r="A448" t="s">
        <v>22</v>
      </c>
      <c r="B448" t="s">
        <v>186</v>
      </c>
      <c r="C448" t="s">
        <v>2228</v>
      </c>
      <c r="D448" s="10" t="s">
        <v>8644</v>
      </c>
      <c r="E448" t="s">
        <v>8645</v>
      </c>
      <c r="F448" s="125">
        <f>'3. Use Cases Catalog'!I436*1000000</f>
        <v>200000</v>
      </c>
      <c r="G448" s="125">
        <f>'3. Use Cases Catalog'!I436*1000000</f>
        <v>200000</v>
      </c>
      <c r="H448" s="10"/>
      <c r="I448" t="s">
        <v>129</v>
      </c>
      <c r="J448" s="125">
        <f>'3. Use Cases Catalog'!J436*1000000</f>
        <v>0</v>
      </c>
      <c r="K448" s="125">
        <f>'3. Use Cases Catalog'!J436*1000000</f>
        <v>0</v>
      </c>
      <c r="L448" s="123"/>
      <c r="M448" s="124"/>
      <c r="N448" t="s">
        <v>130</v>
      </c>
      <c r="O448" s="125" t="str">
        <f t="shared" si="12"/>
        <v/>
      </c>
      <c r="P448" s="125">
        <f>'3. Use Cases Catalog'!K436*1000000</f>
        <v>0</v>
      </c>
      <c r="Q448" s="126">
        <v>8</v>
      </c>
      <c r="R448" s="124">
        <v>350</v>
      </c>
      <c r="S448" s="125">
        <f t="shared" si="13"/>
        <v>2261</v>
      </c>
      <c r="T448" s="125">
        <f>'3. Use Cases Catalog'!L436*1000000</f>
        <v>1200000</v>
      </c>
    </row>
    <row r="449" spans="1:20" x14ac:dyDescent="0.2">
      <c r="A449" t="s">
        <v>22</v>
      </c>
      <c r="B449" t="s">
        <v>194</v>
      </c>
      <c r="C449" t="s">
        <v>2393</v>
      </c>
      <c r="D449" s="10" t="s">
        <v>8646</v>
      </c>
      <c r="E449" t="s">
        <v>8647</v>
      </c>
      <c r="F449" s="125">
        <f>'3. Use Cases Catalog'!I437*1000000</f>
        <v>600000</v>
      </c>
      <c r="G449" s="125">
        <f>'3. Use Cases Catalog'!I437*1000000</f>
        <v>600000</v>
      </c>
      <c r="H449" s="10"/>
      <c r="I449" t="s">
        <v>129</v>
      </c>
      <c r="J449" s="125">
        <f>'3. Use Cases Catalog'!J437*1000000</f>
        <v>0</v>
      </c>
      <c r="K449" s="125">
        <f>'3. Use Cases Catalog'!J437*1000000</f>
        <v>0</v>
      </c>
      <c r="L449" s="123"/>
      <c r="M449" s="124"/>
      <c r="N449" t="s">
        <v>130</v>
      </c>
      <c r="O449" s="125" t="str">
        <f t="shared" si="12"/>
        <v/>
      </c>
      <c r="P449" s="125">
        <f>'3. Use Cases Catalog'!K437*1000000</f>
        <v>0</v>
      </c>
      <c r="Q449" s="126">
        <v>5</v>
      </c>
      <c r="R449" s="124">
        <v>350</v>
      </c>
      <c r="S449" s="125">
        <f t="shared" si="13"/>
        <v>1413.125</v>
      </c>
      <c r="T449" s="125">
        <f>'3. Use Cases Catalog'!L437*1000000</f>
        <v>900000</v>
      </c>
    </row>
    <row r="450" spans="1:20" x14ac:dyDescent="0.2">
      <c r="A450" t="s">
        <v>22</v>
      </c>
      <c r="B450" t="s">
        <v>123</v>
      </c>
      <c r="C450" t="s">
        <v>2399</v>
      </c>
      <c r="D450" s="10" t="s">
        <v>8648</v>
      </c>
      <c r="E450" t="s">
        <v>8649</v>
      </c>
      <c r="F450" s="125">
        <f>'3. Use Cases Catalog'!I438*1000000</f>
        <v>6600000</v>
      </c>
      <c r="G450" s="125">
        <f>'3. Use Cases Catalog'!I438*1000000</f>
        <v>6600000</v>
      </c>
      <c r="H450" s="10"/>
      <c r="I450" t="s">
        <v>129</v>
      </c>
      <c r="J450" s="125">
        <f>'3. Use Cases Catalog'!J438*1000000</f>
        <v>0</v>
      </c>
      <c r="K450" s="125">
        <f>'3. Use Cases Catalog'!J438*1000000</f>
        <v>0</v>
      </c>
      <c r="L450" s="123"/>
      <c r="M450" s="124">
        <v>76000000</v>
      </c>
      <c r="N450" t="s">
        <v>8639</v>
      </c>
      <c r="O450" s="125" t="str">
        <f t="shared" si="12"/>
        <v/>
      </c>
      <c r="P450" s="125">
        <f>'3. Use Cases Catalog'!K438*1000000</f>
        <v>2400000</v>
      </c>
      <c r="Q450" s="126"/>
      <c r="R450" s="124"/>
      <c r="S450" s="125" t="str">
        <f t="shared" si="13"/>
        <v/>
      </c>
      <c r="T450" s="125">
        <f>'3. Use Cases Catalog'!L438*1000000</f>
        <v>0</v>
      </c>
    </row>
    <row r="451" spans="1:20" x14ac:dyDescent="0.2">
      <c r="A451" t="s">
        <v>22</v>
      </c>
      <c r="B451" t="s">
        <v>149</v>
      </c>
      <c r="C451" t="s">
        <v>2404</v>
      </c>
      <c r="D451" s="10" t="s">
        <v>8650</v>
      </c>
      <c r="E451" t="s">
        <v>8651</v>
      </c>
      <c r="F451" s="125">
        <f>'3. Use Cases Catalog'!I439*1000000</f>
        <v>2900000</v>
      </c>
      <c r="G451" s="125">
        <f>'3. Use Cases Catalog'!I439*1000000</f>
        <v>2900000</v>
      </c>
      <c r="H451" s="10"/>
      <c r="I451" t="s">
        <v>129</v>
      </c>
      <c r="J451" s="125">
        <f>'3. Use Cases Catalog'!J439*1000000</f>
        <v>0</v>
      </c>
      <c r="K451" s="125">
        <f>'3. Use Cases Catalog'!J439*1000000</f>
        <v>0</v>
      </c>
      <c r="L451" s="123"/>
      <c r="M451" s="124">
        <v>15000000</v>
      </c>
      <c r="N451" t="s">
        <v>8652</v>
      </c>
      <c r="O451" s="125" t="str">
        <f t="shared" si="12"/>
        <v/>
      </c>
      <c r="P451" s="125">
        <f>'3. Use Cases Catalog'!K439*1000000</f>
        <v>800000</v>
      </c>
      <c r="Q451" s="126"/>
      <c r="R451" s="124"/>
      <c r="S451" s="125" t="str">
        <f t="shared" si="13"/>
        <v/>
      </c>
      <c r="T451" s="125">
        <f>'3. Use Cases Catalog'!L439*1000000</f>
        <v>0</v>
      </c>
    </row>
    <row r="452" spans="1:20" x14ac:dyDescent="0.2">
      <c r="A452" t="s">
        <v>22</v>
      </c>
      <c r="B452" t="s">
        <v>164</v>
      </c>
      <c r="C452" t="s">
        <v>2410</v>
      </c>
      <c r="D452" s="10" t="s">
        <v>8653</v>
      </c>
      <c r="E452" t="s">
        <v>8654</v>
      </c>
      <c r="F452" s="125">
        <f>'3. Use Cases Catalog'!I440*1000000</f>
        <v>300000</v>
      </c>
      <c r="G452" s="125">
        <f>'3. Use Cases Catalog'!I440*1000000</f>
        <v>300000</v>
      </c>
      <c r="H452" s="10" t="s">
        <v>8655</v>
      </c>
      <c r="I452" t="s">
        <v>8656</v>
      </c>
      <c r="J452" s="125">
        <f>'3. Use Cases Catalog'!J440*1000000</f>
        <v>8500000</v>
      </c>
      <c r="K452" s="125">
        <f>'3. Use Cases Catalog'!J440*1000000</f>
        <v>8500000</v>
      </c>
      <c r="L452" s="123"/>
      <c r="M452" s="124"/>
      <c r="N452" t="s">
        <v>130</v>
      </c>
      <c r="O452" s="125" t="str">
        <f t="shared" si="12"/>
        <v/>
      </c>
      <c r="P452" s="125">
        <f>'3. Use Cases Catalog'!K440*1000000</f>
        <v>0</v>
      </c>
      <c r="Q452" s="126"/>
      <c r="R452" s="124"/>
      <c r="S452" s="125" t="str">
        <f t="shared" si="13"/>
        <v/>
      </c>
      <c r="T452" s="125">
        <f>'3. Use Cases Catalog'!L440*1000000</f>
        <v>0</v>
      </c>
    </row>
    <row r="453" spans="1:20" x14ac:dyDescent="0.2">
      <c r="A453" t="s">
        <v>22</v>
      </c>
      <c r="B453" t="s">
        <v>179</v>
      </c>
      <c r="C453" t="s">
        <v>2415</v>
      </c>
      <c r="D453" s="10" t="s">
        <v>8657</v>
      </c>
      <c r="E453" t="s">
        <v>8658</v>
      </c>
      <c r="F453" s="125">
        <f>'3. Use Cases Catalog'!I441*1000000</f>
        <v>500000</v>
      </c>
      <c r="G453" s="125">
        <f>'3. Use Cases Catalog'!I441*1000000</f>
        <v>500000</v>
      </c>
      <c r="H453" s="10" t="s">
        <v>8659</v>
      </c>
      <c r="I453" t="s">
        <v>8660</v>
      </c>
      <c r="J453" s="125">
        <f>'3. Use Cases Catalog'!J441*1000000</f>
        <v>4300000</v>
      </c>
      <c r="K453" s="125">
        <f>'3. Use Cases Catalog'!J441*1000000</f>
        <v>4300000</v>
      </c>
      <c r="L453" s="123"/>
      <c r="M453" s="124"/>
      <c r="N453" t="s">
        <v>130</v>
      </c>
      <c r="O453" s="125" t="str">
        <f t="shared" si="12"/>
        <v/>
      </c>
      <c r="P453" s="125">
        <f>'3. Use Cases Catalog'!K441*1000000</f>
        <v>0</v>
      </c>
      <c r="Q453" s="126"/>
      <c r="R453" s="124"/>
      <c r="S453" s="125" t="str">
        <f t="shared" si="13"/>
        <v/>
      </c>
      <c r="T453" s="125">
        <f>'3. Use Cases Catalog'!L441*1000000</f>
        <v>0</v>
      </c>
    </row>
    <row r="454" spans="1:20" x14ac:dyDescent="0.2">
      <c r="A454" t="s">
        <v>80</v>
      </c>
      <c r="B454" t="s">
        <v>141</v>
      </c>
      <c r="C454" t="s">
        <v>2420</v>
      </c>
      <c r="D454" s="10" t="s">
        <v>8661</v>
      </c>
      <c r="E454" t="s">
        <v>8662</v>
      </c>
      <c r="F454" s="125">
        <f>'3. Use Cases Catalog'!I442*1000000</f>
        <v>3</v>
      </c>
      <c r="G454" s="125">
        <f>'3. Use Cases Catalog'!I442*1000000</f>
        <v>3</v>
      </c>
      <c r="H454" s="10" t="s">
        <v>8663</v>
      </c>
      <c r="I454" t="s">
        <v>8664</v>
      </c>
      <c r="J454" s="125">
        <f>'3. Use Cases Catalog'!J442*1000000</f>
        <v>9.5</v>
      </c>
      <c r="K454" s="125">
        <f>'3. Use Cases Catalog'!J442*1000000</f>
        <v>9.5</v>
      </c>
      <c r="L454" s="123"/>
      <c r="M454" s="124"/>
      <c r="N454" t="s">
        <v>130</v>
      </c>
      <c r="O454" s="125" t="str">
        <f t="shared" si="12"/>
        <v/>
      </c>
      <c r="P454" s="125">
        <f>'3. Use Cases Catalog'!K442*1000000</f>
        <v>0</v>
      </c>
      <c r="Q454" s="126"/>
      <c r="R454" s="124"/>
      <c r="S454" s="125" t="str">
        <f t="shared" si="13"/>
        <v/>
      </c>
      <c r="T454" s="125">
        <f>'3. Use Cases Catalog'!L442*1000000</f>
        <v>0</v>
      </c>
    </row>
    <row r="455" spans="1:20" x14ac:dyDescent="0.2">
      <c r="A455" t="s">
        <v>80</v>
      </c>
      <c r="B455" t="s">
        <v>156</v>
      </c>
      <c r="C455" t="s">
        <v>2426</v>
      </c>
      <c r="D455" s="10" t="s">
        <v>8665</v>
      </c>
      <c r="E455" t="s">
        <v>8666</v>
      </c>
      <c r="F455" s="125">
        <f>'3. Use Cases Catalog'!I443*1000000</f>
        <v>5.8</v>
      </c>
      <c r="G455" s="125">
        <f>'3. Use Cases Catalog'!I443*1000000</f>
        <v>5.8</v>
      </c>
      <c r="H455" s="10"/>
      <c r="I455" t="s">
        <v>129</v>
      </c>
      <c r="J455" s="125">
        <f>'3. Use Cases Catalog'!J443*1000000</f>
        <v>0</v>
      </c>
      <c r="K455" s="125">
        <f>'3. Use Cases Catalog'!J443*1000000</f>
        <v>0</v>
      </c>
      <c r="L455" s="123">
        <v>7.0000000000000007E-2</v>
      </c>
      <c r="M455" s="124">
        <v>1500000</v>
      </c>
      <c r="N455" t="s">
        <v>8667</v>
      </c>
      <c r="O455" s="125">
        <f t="shared" si="12"/>
        <v>66937.500000000015</v>
      </c>
      <c r="P455" s="125">
        <f>'3. Use Cases Catalog'!K443*1000000</f>
        <v>2.1</v>
      </c>
      <c r="Q455" s="126"/>
      <c r="R455" s="124"/>
      <c r="S455" s="125" t="str">
        <f t="shared" si="13"/>
        <v/>
      </c>
      <c r="T455" s="125">
        <f>'3. Use Cases Catalog'!L443*1000000</f>
        <v>0</v>
      </c>
    </row>
    <row r="456" spans="1:20" x14ac:dyDescent="0.2">
      <c r="A456" t="s">
        <v>80</v>
      </c>
      <c r="B456" t="s">
        <v>179</v>
      </c>
      <c r="C456" t="s">
        <v>539</v>
      </c>
      <c r="D456" s="10" t="s">
        <v>8668</v>
      </c>
      <c r="E456" t="s">
        <v>8669</v>
      </c>
      <c r="F456" s="125">
        <f>'3. Use Cases Catalog'!I444*1000000</f>
        <v>1.3</v>
      </c>
      <c r="G456" s="125">
        <f>'3. Use Cases Catalog'!I444*1000000</f>
        <v>1.3</v>
      </c>
      <c r="H456" s="10"/>
      <c r="I456" t="s">
        <v>129</v>
      </c>
      <c r="J456" s="125">
        <f>'3. Use Cases Catalog'!J444*1000000</f>
        <v>0</v>
      </c>
      <c r="K456" s="125">
        <f>'3. Use Cases Catalog'!J444*1000000</f>
        <v>0</v>
      </c>
      <c r="L456" s="123">
        <v>0.25</v>
      </c>
      <c r="M456" s="124">
        <v>12000000</v>
      </c>
      <c r="N456" t="s">
        <v>7990</v>
      </c>
      <c r="O456" s="125">
        <f t="shared" si="12"/>
        <v>1912500</v>
      </c>
      <c r="P456" s="125">
        <f>'3. Use Cases Catalog'!K444*1000000</f>
        <v>1.8</v>
      </c>
      <c r="Q456" s="126">
        <v>8</v>
      </c>
      <c r="R456" s="124">
        <v>495</v>
      </c>
      <c r="S456" s="125">
        <f t="shared" si="13"/>
        <v>3197.7</v>
      </c>
      <c r="T456" s="125">
        <f>'3. Use Cases Catalog'!L444*1000000</f>
        <v>2.1</v>
      </c>
    </row>
    <row r="457" spans="1:20" x14ac:dyDescent="0.2">
      <c r="A457" t="s">
        <v>80</v>
      </c>
      <c r="B457" t="s">
        <v>194</v>
      </c>
      <c r="C457" t="s">
        <v>2434</v>
      </c>
      <c r="D457" s="10"/>
      <c r="E457" t="s">
        <v>1009</v>
      </c>
      <c r="F457" s="125">
        <f>'3. Use Cases Catalog'!I445*1000000</f>
        <v>0</v>
      </c>
      <c r="G457" s="125">
        <f>'3. Use Cases Catalog'!I445*1000000</f>
        <v>0</v>
      </c>
      <c r="H457" s="10" t="s">
        <v>8670</v>
      </c>
      <c r="I457" t="s">
        <v>8671</v>
      </c>
      <c r="J457" s="125">
        <f>'3. Use Cases Catalog'!J445*1000000</f>
        <v>8.5</v>
      </c>
      <c r="K457" s="125">
        <f>'3. Use Cases Catalog'!J445*1000000</f>
        <v>8.5</v>
      </c>
      <c r="L457" s="123">
        <v>0.4</v>
      </c>
      <c r="M457" s="124">
        <v>18000000</v>
      </c>
      <c r="N457" t="s">
        <v>8672</v>
      </c>
      <c r="O457" s="125">
        <f t="shared" si="12"/>
        <v>4590000</v>
      </c>
      <c r="P457" s="125">
        <f>'3. Use Cases Catalog'!K445*1000000</f>
        <v>4.3</v>
      </c>
      <c r="Q457" s="126"/>
      <c r="R457" s="124"/>
      <c r="S457" s="125" t="str">
        <f t="shared" si="13"/>
        <v/>
      </c>
      <c r="T457" s="125">
        <f>'3. Use Cases Catalog'!L445*1000000</f>
        <v>0</v>
      </c>
    </row>
    <row r="458" spans="1:20" x14ac:dyDescent="0.2">
      <c r="A458" t="s">
        <v>80</v>
      </c>
      <c r="B458" t="s">
        <v>123</v>
      </c>
      <c r="C458" t="s">
        <v>2438</v>
      </c>
      <c r="D458" s="10" t="s">
        <v>8673</v>
      </c>
      <c r="E458" t="s">
        <v>8674</v>
      </c>
      <c r="F458" s="125">
        <f>'3. Use Cases Catalog'!I446*1000000</f>
        <v>6.9</v>
      </c>
      <c r="G458" s="125">
        <f>'3. Use Cases Catalog'!I446*1000000</f>
        <v>6.9</v>
      </c>
      <c r="H458" s="10"/>
      <c r="I458" t="s">
        <v>129</v>
      </c>
      <c r="J458" s="125">
        <f>'3. Use Cases Catalog'!J446*1000000</f>
        <v>0</v>
      </c>
      <c r="K458" s="125">
        <f>'3. Use Cases Catalog'!J446*1000000</f>
        <v>0</v>
      </c>
      <c r="L458" s="123"/>
      <c r="M458" s="124"/>
      <c r="N458" t="s">
        <v>130</v>
      </c>
      <c r="O458" s="125" t="str">
        <f t="shared" si="12"/>
        <v/>
      </c>
      <c r="P458" s="125">
        <f>'3. Use Cases Catalog'!K446*1000000</f>
        <v>0</v>
      </c>
      <c r="Q458" s="126"/>
      <c r="R458" s="124"/>
      <c r="S458" s="125" t="str">
        <f t="shared" si="13"/>
        <v/>
      </c>
      <c r="T458" s="125">
        <f>'3. Use Cases Catalog'!L446*1000000</f>
        <v>0</v>
      </c>
    </row>
    <row r="459" spans="1:20" x14ac:dyDescent="0.2">
      <c r="A459" t="s">
        <v>80</v>
      </c>
      <c r="B459" t="s">
        <v>149</v>
      </c>
      <c r="C459" t="s">
        <v>2442</v>
      </c>
      <c r="D459" s="10" t="s">
        <v>8675</v>
      </c>
      <c r="E459" t="s">
        <v>8676</v>
      </c>
      <c r="F459" s="125">
        <f>'3. Use Cases Catalog'!I447*1000000</f>
        <v>3.4</v>
      </c>
      <c r="G459" s="125">
        <f>'3. Use Cases Catalog'!I447*1000000</f>
        <v>3.4</v>
      </c>
      <c r="H459" s="10" t="s">
        <v>8677</v>
      </c>
      <c r="I459" t="s">
        <v>8678</v>
      </c>
      <c r="J459" s="125">
        <f>'3. Use Cases Catalog'!J447*1000000</f>
        <v>4.8</v>
      </c>
      <c r="K459" s="125">
        <f>'3. Use Cases Catalog'!J447*1000000</f>
        <v>4.8</v>
      </c>
      <c r="L459" s="123">
        <v>0.3</v>
      </c>
      <c r="M459" s="124">
        <v>18000000</v>
      </c>
      <c r="N459" t="s">
        <v>8679</v>
      </c>
      <c r="O459" s="125">
        <f t="shared" si="12"/>
        <v>3442500</v>
      </c>
      <c r="P459" s="125">
        <f>'3. Use Cases Catalog'!K447*1000000</f>
        <v>3.2</v>
      </c>
      <c r="Q459" s="126"/>
      <c r="R459" s="124"/>
      <c r="S459" s="125" t="str">
        <f t="shared" si="13"/>
        <v/>
      </c>
      <c r="T459" s="125">
        <f>'3. Use Cases Catalog'!L447*1000000</f>
        <v>0</v>
      </c>
    </row>
    <row r="460" spans="1:20" x14ac:dyDescent="0.2">
      <c r="A460" t="s">
        <v>80</v>
      </c>
      <c r="B460" t="s">
        <v>133</v>
      </c>
      <c r="C460" t="s">
        <v>2447</v>
      </c>
      <c r="D460" s="10" t="s">
        <v>8680</v>
      </c>
      <c r="E460" t="s">
        <v>8681</v>
      </c>
      <c r="F460" s="125">
        <f>'3. Use Cases Catalog'!I448*1000000</f>
        <v>5</v>
      </c>
      <c r="G460" s="125">
        <f>'3. Use Cases Catalog'!I448*1000000</f>
        <v>5</v>
      </c>
      <c r="H460" s="10"/>
      <c r="I460" t="s">
        <v>129</v>
      </c>
      <c r="J460" s="125">
        <f>'3. Use Cases Catalog'!J448*1000000</f>
        <v>0</v>
      </c>
      <c r="K460" s="125">
        <f>'3. Use Cases Catalog'!J448*1000000</f>
        <v>0</v>
      </c>
      <c r="L460" s="123"/>
      <c r="M460" s="124"/>
      <c r="N460" t="s">
        <v>130</v>
      </c>
      <c r="O460" s="125" t="str">
        <f t="shared" si="12"/>
        <v/>
      </c>
      <c r="P460" s="125">
        <f>'3. Use Cases Catalog'!K448*1000000</f>
        <v>0</v>
      </c>
      <c r="Q460" s="126">
        <v>13</v>
      </c>
      <c r="R460" s="124">
        <v>190</v>
      </c>
      <c r="S460" s="125">
        <f t="shared" si="13"/>
        <v>1994.5249999999999</v>
      </c>
      <c r="T460" s="125">
        <f>'3. Use Cases Catalog'!L448*1000000</f>
        <v>1.8</v>
      </c>
    </row>
    <row r="461" spans="1:20" x14ac:dyDescent="0.2">
      <c r="A461" t="s">
        <v>80</v>
      </c>
      <c r="B461" t="s">
        <v>164</v>
      </c>
      <c r="C461" t="s">
        <v>2452</v>
      </c>
      <c r="D461" s="10" t="s">
        <v>8682</v>
      </c>
      <c r="E461" t="s">
        <v>8683</v>
      </c>
      <c r="F461" s="125">
        <f>'3. Use Cases Catalog'!I449*1000000</f>
        <v>2.4</v>
      </c>
      <c r="G461" s="125">
        <f>'3. Use Cases Catalog'!I449*1000000</f>
        <v>2.4</v>
      </c>
      <c r="H461" s="10" t="s">
        <v>8684</v>
      </c>
      <c r="I461" t="s">
        <v>8685</v>
      </c>
      <c r="J461" s="125">
        <f>'3. Use Cases Catalog'!J449*1000000</f>
        <v>2.5</v>
      </c>
      <c r="K461" s="125">
        <f>'3. Use Cases Catalog'!J449*1000000</f>
        <v>2.5</v>
      </c>
      <c r="L461" s="123"/>
      <c r="M461" s="124"/>
      <c r="N461" t="s">
        <v>130</v>
      </c>
      <c r="O461" s="125" t="str">
        <f t="shared" si="12"/>
        <v/>
      </c>
      <c r="P461" s="125">
        <f>'3. Use Cases Catalog'!K449*1000000</f>
        <v>0</v>
      </c>
      <c r="Q461" s="126"/>
      <c r="R461" s="124"/>
      <c r="S461" s="125" t="str">
        <f t="shared" si="13"/>
        <v/>
      </c>
      <c r="T461" s="125">
        <f>'3. Use Cases Catalog'!L449*1000000</f>
        <v>0</v>
      </c>
    </row>
    <row r="462" spans="1:20" x14ac:dyDescent="0.2">
      <c r="A462" t="s">
        <v>80</v>
      </c>
      <c r="B462" t="s">
        <v>172</v>
      </c>
      <c r="C462" t="s">
        <v>2456</v>
      </c>
      <c r="D462" s="10" t="s">
        <v>8686</v>
      </c>
      <c r="E462" t="s">
        <v>8687</v>
      </c>
      <c r="F462" s="125">
        <f>'3. Use Cases Catalog'!I450*1000000</f>
        <v>1.7</v>
      </c>
      <c r="G462" s="125">
        <f>'3. Use Cases Catalog'!I450*1000000</f>
        <v>1.7</v>
      </c>
      <c r="H462" s="10"/>
      <c r="I462" t="s">
        <v>129</v>
      </c>
      <c r="J462" s="125">
        <f>'3. Use Cases Catalog'!J450*1000000</f>
        <v>0</v>
      </c>
      <c r="K462" s="125">
        <f>'3. Use Cases Catalog'!J450*1000000</f>
        <v>0</v>
      </c>
      <c r="L462" s="123"/>
      <c r="M462" s="124"/>
      <c r="N462" t="s">
        <v>130</v>
      </c>
      <c r="O462" s="125" t="str">
        <f t="shared" ref="O462:O513" si="14">IF(AND(L462&lt;&gt;"",M462&lt;&gt;""),L462*M462*$B$7*$B$8,"")</f>
        <v/>
      </c>
      <c r="P462" s="125">
        <f>'3. Use Cases Catalog'!K450*1000000</f>
        <v>0</v>
      </c>
      <c r="Q462" s="126">
        <v>5</v>
      </c>
      <c r="R462" s="124">
        <v>495</v>
      </c>
      <c r="S462" s="125">
        <f t="shared" ref="S462:S525" si="15">IF(AND(Q462&lt;&gt;"",R462&lt;&gt;""),Q462*R462*$B$9*$B$8,"")</f>
        <v>1998.5625</v>
      </c>
      <c r="T462" s="125">
        <f>'3. Use Cases Catalog'!L450*1000000</f>
        <v>2.9</v>
      </c>
    </row>
    <row r="463" spans="1:20" x14ac:dyDescent="0.2">
      <c r="A463" t="s">
        <v>80</v>
      </c>
      <c r="B463" t="s">
        <v>186</v>
      </c>
      <c r="C463" t="s">
        <v>2460</v>
      </c>
      <c r="D463" s="10"/>
      <c r="E463" t="s">
        <v>1009</v>
      </c>
      <c r="F463" s="125">
        <f>'3. Use Cases Catalog'!I451*1000000</f>
        <v>0</v>
      </c>
      <c r="G463" s="125">
        <f>'3. Use Cases Catalog'!I451*1000000</f>
        <v>0</v>
      </c>
      <c r="H463" s="10" t="s">
        <v>8688</v>
      </c>
      <c r="I463" t="s">
        <v>8689</v>
      </c>
      <c r="J463" s="125">
        <f>'3. Use Cases Catalog'!J451*1000000</f>
        <v>6.1</v>
      </c>
      <c r="K463" s="125">
        <f>'3. Use Cases Catalog'!J451*1000000</f>
        <v>6.1</v>
      </c>
      <c r="L463" s="123"/>
      <c r="M463" s="124"/>
      <c r="N463" t="s">
        <v>130</v>
      </c>
      <c r="O463" s="125" t="str">
        <f t="shared" si="14"/>
        <v/>
      </c>
      <c r="P463" s="125">
        <f>'3. Use Cases Catalog'!K451*1000000</f>
        <v>0</v>
      </c>
      <c r="Q463" s="126"/>
      <c r="R463" s="124"/>
      <c r="S463" s="125" t="str">
        <f t="shared" si="15"/>
        <v/>
      </c>
      <c r="T463" s="125">
        <f>'3. Use Cases Catalog'!L451*1000000</f>
        <v>0</v>
      </c>
    </row>
    <row r="464" spans="1:20" x14ac:dyDescent="0.2">
      <c r="A464" t="s">
        <v>99</v>
      </c>
      <c r="B464" t="s">
        <v>123</v>
      </c>
      <c r="C464" t="s">
        <v>2308</v>
      </c>
      <c r="D464" s="10" t="s">
        <v>8690</v>
      </c>
      <c r="E464" t="s">
        <v>8691</v>
      </c>
      <c r="F464" s="125">
        <f>'3. Use Cases Catalog'!I452*1000000</f>
        <v>1600000</v>
      </c>
      <c r="G464" s="125">
        <f>'3. Use Cases Catalog'!I452*1000000</f>
        <v>1600000</v>
      </c>
      <c r="H464" s="10" t="s">
        <v>8692</v>
      </c>
      <c r="I464" t="s">
        <v>8693</v>
      </c>
      <c r="J464" s="125">
        <f>'3. Use Cases Catalog'!J452*1000000</f>
        <v>600000</v>
      </c>
      <c r="K464" s="125">
        <f>'3. Use Cases Catalog'!J452*1000000</f>
        <v>600000</v>
      </c>
      <c r="L464" s="123"/>
      <c r="M464" s="124"/>
      <c r="N464" t="s">
        <v>130</v>
      </c>
      <c r="O464" s="125" t="str">
        <f t="shared" si="14"/>
        <v/>
      </c>
      <c r="P464" s="125">
        <f>'3. Use Cases Catalog'!K452*1000000</f>
        <v>0</v>
      </c>
      <c r="Q464" s="126"/>
      <c r="R464" s="124"/>
      <c r="S464" s="125" t="str">
        <f t="shared" si="15"/>
        <v/>
      </c>
      <c r="T464" s="125">
        <f>'3. Use Cases Catalog'!L452*1000000</f>
        <v>0</v>
      </c>
    </row>
    <row r="465" spans="1:20" x14ac:dyDescent="0.2">
      <c r="A465" t="s">
        <v>99</v>
      </c>
      <c r="B465" t="s">
        <v>156</v>
      </c>
      <c r="C465" t="s">
        <v>2468</v>
      </c>
      <c r="D465" s="10"/>
      <c r="E465" t="s">
        <v>1009</v>
      </c>
      <c r="F465" s="125">
        <f>'3. Use Cases Catalog'!I453*1000000</f>
        <v>400000</v>
      </c>
      <c r="G465" s="125">
        <f>'3. Use Cases Catalog'!I453*1000000</f>
        <v>400000</v>
      </c>
      <c r="H465" s="10" t="s">
        <v>8694</v>
      </c>
      <c r="I465" t="s">
        <v>8695</v>
      </c>
      <c r="J465" s="125">
        <f>'3. Use Cases Catalog'!J453*1000000</f>
        <v>1000000</v>
      </c>
      <c r="K465" s="125">
        <f>'3. Use Cases Catalog'!J453*1000000</f>
        <v>1000000</v>
      </c>
      <c r="L465" s="123"/>
      <c r="M465" s="124"/>
      <c r="N465" t="s">
        <v>130</v>
      </c>
      <c r="O465" s="125" t="str">
        <f t="shared" si="14"/>
        <v/>
      </c>
      <c r="P465" s="125">
        <f>'3. Use Cases Catalog'!K453*1000000</f>
        <v>0</v>
      </c>
      <c r="Q465" s="126"/>
      <c r="R465" s="124"/>
      <c r="S465" s="125" t="str">
        <f t="shared" si="15"/>
        <v/>
      </c>
      <c r="T465" s="125">
        <f>'3. Use Cases Catalog'!L453*1000000</f>
        <v>0</v>
      </c>
    </row>
    <row r="466" spans="1:20" x14ac:dyDescent="0.2">
      <c r="A466" t="s">
        <v>99</v>
      </c>
      <c r="B466" t="s">
        <v>141</v>
      </c>
      <c r="C466" t="s">
        <v>2471</v>
      </c>
      <c r="D466" s="10" t="s">
        <v>8583</v>
      </c>
      <c r="E466" t="s">
        <v>8696</v>
      </c>
      <c r="F466" s="125">
        <f>'3. Use Cases Catalog'!I454*1000000</f>
        <v>3000000</v>
      </c>
      <c r="G466" s="125">
        <f>'3. Use Cases Catalog'!I454*1000000</f>
        <v>3000000</v>
      </c>
      <c r="H466" s="10" t="s">
        <v>8697</v>
      </c>
      <c r="I466" t="s">
        <v>8698</v>
      </c>
      <c r="J466" s="125">
        <f>'3. Use Cases Catalog'!J454*1000000</f>
        <v>800000</v>
      </c>
      <c r="K466" s="125">
        <f>'3. Use Cases Catalog'!J454*1000000</f>
        <v>800000</v>
      </c>
      <c r="L466" s="123"/>
      <c r="M466" s="124"/>
      <c r="N466" t="s">
        <v>130</v>
      </c>
      <c r="O466" s="125" t="str">
        <f t="shared" si="14"/>
        <v/>
      </c>
      <c r="P466" s="125">
        <f>'3. Use Cases Catalog'!K454*1000000</f>
        <v>0</v>
      </c>
      <c r="Q466" s="126"/>
      <c r="R466" s="124"/>
      <c r="S466" s="125" t="str">
        <f t="shared" si="15"/>
        <v/>
      </c>
      <c r="T466" s="125">
        <f>'3. Use Cases Catalog'!L454*1000000</f>
        <v>0</v>
      </c>
    </row>
    <row r="467" spans="1:20" x14ac:dyDescent="0.2">
      <c r="A467" t="s">
        <v>99</v>
      </c>
      <c r="B467" t="s">
        <v>149</v>
      </c>
      <c r="C467" t="s">
        <v>8699</v>
      </c>
      <c r="D467" s="10"/>
      <c r="E467" t="s">
        <v>1009</v>
      </c>
      <c r="F467" s="125">
        <f>'3. Use Cases Catalog'!I455*1000000</f>
        <v>400000</v>
      </c>
      <c r="G467" s="125">
        <f>'3. Use Cases Catalog'!I455*1000000</f>
        <v>400000</v>
      </c>
      <c r="H467" s="10" t="s">
        <v>8700</v>
      </c>
      <c r="I467" t="s">
        <v>8701</v>
      </c>
      <c r="J467" s="125">
        <f>'3. Use Cases Catalog'!J455*1000000</f>
        <v>1200000</v>
      </c>
      <c r="K467" s="125">
        <f>'3. Use Cases Catalog'!J455*1000000</f>
        <v>1200000</v>
      </c>
      <c r="L467" s="123">
        <v>0.4</v>
      </c>
      <c r="M467" s="124"/>
      <c r="N467" t="s">
        <v>8702</v>
      </c>
      <c r="O467" s="125" t="str">
        <f t="shared" si="14"/>
        <v/>
      </c>
      <c r="P467" s="125">
        <f>'3. Use Cases Catalog'!K455*1000000</f>
        <v>200000</v>
      </c>
      <c r="Q467" s="126"/>
      <c r="R467" s="124"/>
      <c r="S467" s="125" t="str">
        <f t="shared" si="15"/>
        <v/>
      </c>
      <c r="T467" s="125">
        <f>'3. Use Cases Catalog'!L455*1000000</f>
        <v>1100000</v>
      </c>
    </row>
    <row r="468" spans="1:20" x14ac:dyDescent="0.2">
      <c r="A468" t="s">
        <v>99</v>
      </c>
      <c r="B468" t="s">
        <v>133</v>
      </c>
      <c r="C468" t="s">
        <v>2482</v>
      </c>
      <c r="D468" s="10"/>
      <c r="E468" t="s">
        <v>1009</v>
      </c>
      <c r="F468" s="125">
        <f>'3. Use Cases Catalog'!I456*1000000</f>
        <v>500000</v>
      </c>
      <c r="G468" s="125">
        <f>'3. Use Cases Catalog'!I456*1000000</f>
        <v>500000</v>
      </c>
      <c r="H468" s="10" t="s">
        <v>8703</v>
      </c>
      <c r="I468" t="s">
        <v>8704</v>
      </c>
      <c r="J468" s="125">
        <f>'3. Use Cases Catalog'!J456*1000000</f>
        <v>1400000</v>
      </c>
      <c r="K468" s="125">
        <f>'3. Use Cases Catalog'!J456*1000000</f>
        <v>1400000</v>
      </c>
      <c r="L468" s="123"/>
      <c r="M468" s="124"/>
      <c r="N468" t="s">
        <v>130</v>
      </c>
      <c r="O468" s="125" t="str">
        <f t="shared" si="14"/>
        <v/>
      </c>
      <c r="P468" s="125">
        <f>'3. Use Cases Catalog'!K456*1000000</f>
        <v>0</v>
      </c>
      <c r="Q468" s="126"/>
      <c r="R468" s="124"/>
      <c r="S468" s="125" t="str">
        <f t="shared" si="15"/>
        <v/>
      </c>
      <c r="T468" s="125">
        <f>'3. Use Cases Catalog'!L456*1000000</f>
        <v>0</v>
      </c>
    </row>
    <row r="469" spans="1:20" x14ac:dyDescent="0.2">
      <c r="A469" t="s">
        <v>99</v>
      </c>
      <c r="B469" t="s">
        <v>164</v>
      </c>
      <c r="C469" t="s">
        <v>8705</v>
      </c>
      <c r="D469" s="10"/>
      <c r="E469" t="s">
        <v>1009</v>
      </c>
      <c r="F469" s="125">
        <f>'3. Use Cases Catalog'!I457*1000000</f>
        <v>300000</v>
      </c>
      <c r="G469" s="125">
        <f>'3. Use Cases Catalog'!I457*1000000</f>
        <v>300000</v>
      </c>
      <c r="H469" s="10" t="s">
        <v>8706</v>
      </c>
      <c r="I469" t="s">
        <v>8707</v>
      </c>
      <c r="J469" s="125">
        <f>'3. Use Cases Catalog'!J457*1000000</f>
        <v>1500000</v>
      </c>
      <c r="K469" s="125">
        <f>'3. Use Cases Catalog'!J457*1000000</f>
        <v>1500000</v>
      </c>
      <c r="L469" s="123"/>
      <c r="M469" s="124"/>
      <c r="N469" t="s">
        <v>130</v>
      </c>
      <c r="O469" s="125" t="str">
        <f t="shared" si="14"/>
        <v/>
      </c>
      <c r="P469" s="125">
        <f>'3. Use Cases Catalog'!K457*1000000</f>
        <v>0</v>
      </c>
      <c r="Q469" s="126"/>
      <c r="R469" s="124"/>
      <c r="S469" s="125" t="str">
        <f t="shared" si="15"/>
        <v/>
      </c>
      <c r="T469" s="125">
        <f>'3. Use Cases Catalog'!L457*1000000</f>
        <v>0</v>
      </c>
    </row>
    <row r="470" spans="1:20" x14ac:dyDescent="0.2">
      <c r="A470" t="s">
        <v>99</v>
      </c>
      <c r="B470" t="s">
        <v>172</v>
      </c>
      <c r="C470" t="s">
        <v>8708</v>
      </c>
      <c r="D470" s="10"/>
      <c r="E470" t="s">
        <v>1009</v>
      </c>
      <c r="F470" s="125">
        <f>'3. Use Cases Catalog'!I458*1000000</f>
        <v>600000</v>
      </c>
      <c r="G470" s="125">
        <f>'3. Use Cases Catalog'!I458*1000000</f>
        <v>600000</v>
      </c>
      <c r="H470" s="10"/>
      <c r="I470" t="s">
        <v>129</v>
      </c>
      <c r="J470" s="125">
        <f>'3. Use Cases Catalog'!J458*1000000</f>
        <v>0</v>
      </c>
      <c r="K470" s="125">
        <f>'3. Use Cases Catalog'!J458*1000000</f>
        <v>0</v>
      </c>
      <c r="L470" s="123">
        <v>0.35</v>
      </c>
      <c r="M470" s="124"/>
      <c r="N470" t="s">
        <v>8709</v>
      </c>
      <c r="O470" s="125" t="str">
        <f t="shared" si="14"/>
        <v/>
      </c>
      <c r="P470" s="125">
        <f>'3. Use Cases Catalog'!K458*1000000</f>
        <v>600000</v>
      </c>
      <c r="Q470" s="126"/>
      <c r="R470" s="124"/>
      <c r="S470" s="125" t="str">
        <f t="shared" si="15"/>
        <v/>
      </c>
      <c r="T470" s="125">
        <f>'3. Use Cases Catalog'!L458*1000000</f>
        <v>400000</v>
      </c>
    </row>
    <row r="471" spans="1:20" x14ac:dyDescent="0.2">
      <c r="A471" t="s">
        <v>99</v>
      </c>
      <c r="B471" t="s">
        <v>179</v>
      </c>
      <c r="C471" t="s">
        <v>2495</v>
      </c>
      <c r="D471" s="10"/>
      <c r="E471" t="s">
        <v>1009</v>
      </c>
      <c r="F471" s="125">
        <f>'3. Use Cases Catalog'!I459*1000000</f>
        <v>200000</v>
      </c>
      <c r="G471" s="125">
        <f>'3. Use Cases Catalog'!I459*1000000</f>
        <v>200000</v>
      </c>
      <c r="H471" s="10"/>
      <c r="I471" t="s">
        <v>129</v>
      </c>
      <c r="J471" s="125">
        <f>'3. Use Cases Catalog'!J459*1000000</f>
        <v>0</v>
      </c>
      <c r="K471" s="125">
        <f>'3. Use Cases Catalog'!J459*1000000</f>
        <v>0</v>
      </c>
      <c r="L471" s="123">
        <v>0.3</v>
      </c>
      <c r="M471" s="124"/>
      <c r="N471" t="s">
        <v>8710</v>
      </c>
      <c r="O471" s="125" t="str">
        <f t="shared" si="14"/>
        <v/>
      </c>
      <c r="P471" s="125">
        <f>'3. Use Cases Catalog'!K459*1000000</f>
        <v>300000</v>
      </c>
      <c r="Q471" s="126"/>
      <c r="R471" s="124"/>
      <c r="S471" s="125" t="str">
        <f t="shared" si="15"/>
        <v/>
      </c>
      <c r="T471" s="125">
        <f>'3. Use Cases Catalog'!L459*1000000</f>
        <v>800000</v>
      </c>
    </row>
    <row r="472" spans="1:20" x14ac:dyDescent="0.2">
      <c r="A472" t="s">
        <v>99</v>
      </c>
      <c r="B472" t="s">
        <v>186</v>
      </c>
      <c r="C472" t="s">
        <v>2500</v>
      </c>
      <c r="D472" s="10"/>
      <c r="E472" t="s">
        <v>1009</v>
      </c>
      <c r="F472" s="125">
        <f>'3. Use Cases Catalog'!I460*1000000</f>
        <v>300000</v>
      </c>
      <c r="G472" s="125">
        <f>'3. Use Cases Catalog'!I460*1000000</f>
        <v>300000</v>
      </c>
      <c r="H472" s="10" t="s">
        <v>8711</v>
      </c>
      <c r="I472" t="s">
        <v>8712</v>
      </c>
      <c r="J472" s="125">
        <f>'3. Use Cases Catalog'!J460*1000000</f>
        <v>1800000</v>
      </c>
      <c r="K472" s="125">
        <f>'3. Use Cases Catalog'!J460*1000000</f>
        <v>1800000</v>
      </c>
      <c r="L472" s="123"/>
      <c r="M472" s="124"/>
      <c r="N472" t="s">
        <v>130</v>
      </c>
      <c r="O472" s="125" t="str">
        <f t="shared" si="14"/>
        <v/>
      </c>
      <c r="P472" s="125">
        <f>'3. Use Cases Catalog'!K460*1000000</f>
        <v>0</v>
      </c>
      <c r="Q472" s="126"/>
      <c r="R472" s="124"/>
      <c r="S472" s="125" t="str">
        <f t="shared" si="15"/>
        <v/>
      </c>
      <c r="T472" s="125">
        <f>'3. Use Cases Catalog'!L460*1000000</f>
        <v>0</v>
      </c>
    </row>
    <row r="473" spans="1:20" x14ac:dyDescent="0.2">
      <c r="A473" t="s">
        <v>99</v>
      </c>
      <c r="B473" t="s">
        <v>194</v>
      </c>
      <c r="C473" t="s">
        <v>2503</v>
      </c>
      <c r="D473" s="10"/>
      <c r="E473" t="s">
        <v>1009</v>
      </c>
      <c r="F473" s="125">
        <f>'3. Use Cases Catalog'!I461*1000000</f>
        <v>300000</v>
      </c>
      <c r="G473" s="125">
        <f>'3. Use Cases Catalog'!I461*1000000</f>
        <v>300000</v>
      </c>
      <c r="H473" s="10" t="s">
        <v>8713</v>
      </c>
      <c r="I473" t="s">
        <v>8714</v>
      </c>
      <c r="J473" s="125">
        <f>'3. Use Cases Catalog'!J461*1000000</f>
        <v>1100000</v>
      </c>
      <c r="K473" s="125">
        <f>'3. Use Cases Catalog'!J461*1000000</f>
        <v>1100000</v>
      </c>
      <c r="L473" s="123"/>
      <c r="M473" s="124"/>
      <c r="N473" t="s">
        <v>130</v>
      </c>
      <c r="O473" s="125" t="str">
        <f t="shared" si="14"/>
        <v/>
      </c>
      <c r="P473" s="125">
        <f>'3. Use Cases Catalog'!K461*1000000</f>
        <v>0</v>
      </c>
      <c r="Q473" s="126"/>
      <c r="R473" s="124"/>
      <c r="S473" s="125" t="str">
        <f t="shared" si="15"/>
        <v/>
      </c>
      <c r="T473" s="125">
        <f>'3. Use Cases Catalog'!L461*1000000</f>
        <v>0</v>
      </c>
    </row>
    <row r="474" spans="1:20" x14ac:dyDescent="0.2">
      <c r="A474" t="s">
        <v>34</v>
      </c>
      <c r="B474" t="s">
        <v>123</v>
      </c>
      <c r="C474" t="s">
        <v>8715</v>
      </c>
      <c r="D474" s="10" t="s">
        <v>8716</v>
      </c>
      <c r="E474" t="s">
        <v>8717</v>
      </c>
      <c r="F474" s="125">
        <f>'3. Use Cases Catalog'!I462*1000000</f>
        <v>1400000</v>
      </c>
      <c r="G474" s="125">
        <f>'3. Use Cases Catalog'!I462*1000000</f>
        <v>1400000</v>
      </c>
      <c r="H474" s="10"/>
      <c r="I474" t="s">
        <v>129</v>
      </c>
      <c r="J474" s="125">
        <f>'3. Use Cases Catalog'!J462*1000000</f>
        <v>0</v>
      </c>
      <c r="K474" s="125">
        <f>'3. Use Cases Catalog'!J462*1000000</f>
        <v>0</v>
      </c>
      <c r="L474" s="123">
        <v>1.8E-3</v>
      </c>
      <c r="M474" s="124">
        <v>1500000</v>
      </c>
      <c r="N474" t="s">
        <v>8402</v>
      </c>
      <c r="O474" s="125">
        <f t="shared" si="14"/>
        <v>1721.25</v>
      </c>
      <c r="P474" s="125">
        <f>'3. Use Cases Catalog'!K462*1000000</f>
        <v>200000</v>
      </c>
      <c r="Q474" s="126"/>
      <c r="R474" s="124"/>
      <c r="S474" s="125" t="str">
        <f t="shared" si="15"/>
        <v/>
      </c>
      <c r="T474" s="125">
        <f>'3. Use Cases Catalog'!L462*1000000</f>
        <v>0</v>
      </c>
    </row>
    <row r="475" spans="1:20" x14ac:dyDescent="0.2">
      <c r="A475" t="s">
        <v>34</v>
      </c>
      <c r="B475" t="s">
        <v>149</v>
      </c>
      <c r="C475" t="s">
        <v>40</v>
      </c>
      <c r="D475" s="10" t="s">
        <v>8718</v>
      </c>
      <c r="E475" t="s">
        <v>8719</v>
      </c>
      <c r="F475" s="125">
        <f>'3. Use Cases Catalog'!I463*1000000</f>
        <v>2200000</v>
      </c>
      <c r="G475" s="125">
        <f>'3. Use Cases Catalog'!I463*1000000</f>
        <v>2200000</v>
      </c>
      <c r="H475" s="10" t="s">
        <v>8720</v>
      </c>
      <c r="I475" t="s">
        <v>8721</v>
      </c>
      <c r="J475" s="125">
        <f>'3. Use Cases Catalog'!J463*1000000</f>
        <v>8500000</v>
      </c>
      <c r="K475" s="125">
        <f>'3. Use Cases Catalog'!J463*1000000</f>
        <v>8500000</v>
      </c>
      <c r="L475" s="123"/>
      <c r="M475" s="124"/>
      <c r="N475" t="s">
        <v>130</v>
      </c>
      <c r="O475" s="125" t="str">
        <f t="shared" si="14"/>
        <v/>
      </c>
      <c r="P475" s="125">
        <f>'3. Use Cases Catalog'!K463*1000000</f>
        <v>0</v>
      </c>
      <c r="Q475" s="126"/>
      <c r="R475" s="124"/>
      <c r="S475" s="125" t="str">
        <f t="shared" si="15"/>
        <v/>
      </c>
      <c r="T475" s="125">
        <f>'3. Use Cases Catalog'!L463*1000000</f>
        <v>0</v>
      </c>
    </row>
    <row r="476" spans="1:20" x14ac:dyDescent="0.2">
      <c r="A476" t="s">
        <v>34</v>
      </c>
      <c r="B476" t="s">
        <v>156</v>
      </c>
      <c r="C476" t="s">
        <v>35</v>
      </c>
      <c r="D476" s="10" t="s">
        <v>8722</v>
      </c>
      <c r="E476" t="s">
        <v>8723</v>
      </c>
      <c r="F476" s="125">
        <f>'3. Use Cases Catalog'!I464*1000000</f>
        <v>3800000</v>
      </c>
      <c r="G476" s="125">
        <f>'3. Use Cases Catalog'!I464*1000000</f>
        <v>3800000</v>
      </c>
      <c r="H476" s="10"/>
      <c r="I476" t="s">
        <v>129</v>
      </c>
      <c r="J476" s="125">
        <f>'3. Use Cases Catalog'!J464*1000000</f>
        <v>0</v>
      </c>
      <c r="K476" s="125">
        <f>'3. Use Cases Catalog'!J464*1000000</f>
        <v>0</v>
      </c>
      <c r="L476" s="123"/>
      <c r="M476" s="124"/>
      <c r="N476" t="s">
        <v>130</v>
      </c>
      <c r="O476" s="125" t="str">
        <f t="shared" si="14"/>
        <v/>
      </c>
      <c r="P476" s="125">
        <f>'3. Use Cases Catalog'!K464*1000000</f>
        <v>0</v>
      </c>
      <c r="Q476" s="126">
        <v>19</v>
      </c>
      <c r="R476" s="124"/>
      <c r="S476" s="125" t="str">
        <f t="shared" si="15"/>
        <v/>
      </c>
      <c r="T476" s="125">
        <f>'3. Use Cases Catalog'!L464*1000000</f>
        <v>8900000</v>
      </c>
    </row>
    <row r="477" spans="1:20" x14ac:dyDescent="0.2">
      <c r="A477" t="s">
        <v>34</v>
      </c>
      <c r="B477" t="s">
        <v>164</v>
      </c>
      <c r="C477" t="s">
        <v>8724</v>
      </c>
      <c r="D477" s="10" t="s">
        <v>8725</v>
      </c>
      <c r="E477" t="s">
        <v>8726</v>
      </c>
      <c r="F477" s="125">
        <f>'3. Use Cases Catalog'!I465*1000000</f>
        <v>600000</v>
      </c>
      <c r="G477" s="125">
        <f>'3. Use Cases Catalog'!I465*1000000</f>
        <v>600000</v>
      </c>
      <c r="H477" s="10"/>
      <c r="I477" t="s">
        <v>129</v>
      </c>
      <c r="J477" s="125">
        <f>'3. Use Cases Catalog'!J465*1000000</f>
        <v>0</v>
      </c>
      <c r="K477" s="125">
        <f>'3. Use Cases Catalog'!J465*1000000</f>
        <v>0</v>
      </c>
      <c r="L477" s="123"/>
      <c r="M477" s="124"/>
      <c r="N477" t="s">
        <v>130</v>
      </c>
      <c r="O477" s="125" t="str">
        <f t="shared" si="14"/>
        <v/>
      </c>
      <c r="P477" s="125">
        <f>'3. Use Cases Catalog'!K465*1000000</f>
        <v>0</v>
      </c>
      <c r="Q477" s="126"/>
      <c r="R477" s="124"/>
      <c r="S477" s="125" t="str">
        <f t="shared" si="15"/>
        <v/>
      </c>
      <c r="T477" s="125">
        <f>'3. Use Cases Catalog'!L465*1000000</f>
        <v>1400000</v>
      </c>
    </row>
    <row r="478" spans="1:20" x14ac:dyDescent="0.2">
      <c r="A478" t="s">
        <v>34</v>
      </c>
      <c r="B478" t="s">
        <v>179</v>
      </c>
      <c r="C478" t="s">
        <v>8727</v>
      </c>
      <c r="D478" s="10" t="s">
        <v>8728</v>
      </c>
      <c r="E478" t="s">
        <v>8729</v>
      </c>
      <c r="F478" s="125">
        <f>'3. Use Cases Catalog'!I466*1000000</f>
        <v>400000</v>
      </c>
      <c r="G478" s="125">
        <f>'3. Use Cases Catalog'!I466*1000000</f>
        <v>400000</v>
      </c>
      <c r="H478" s="10" t="s">
        <v>8730</v>
      </c>
      <c r="I478" t="s">
        <v>8731</v>
      </c>
      <c r="J478" s="125">
        <f>'3. Use Cases Catalog'!J466*1000000</f>
        <v>3600000</v>
      </c>
      <c r="K478" s="125">
        <f>'3. Use Cases Catalog'!J466*1000000</f>
        <v>3600000</v>
      </c>
      <c r="L478" s="123"/>
      <c r="M478" s="124"/>
      <c r="N478" t="s">
        <v>130</v>
      </c>
      <c r="O478" s="125" t="str">
        <f t="shared" si="14"/>
        <v/>
      </c>
      <c r="P478" s="125">
        <f>'3. Use Cases Catalog'!K466*1000000</f>
        <v>0</v>
      </c>
      <c r="Q478" s="126"/>
      <c r="R478" s="124"/>
      <c r="S478" s="125" t="str">
        <f t="shared" si="15"/>
        <v/>
      </c>
      <c r="T478" s="125">
        <f>'3. Use Cases Catalog'!L466*1000000</f>
        <v>0</v>
      </c>
    </row>
    <row r="479" spans="1:20" x14ac:dyDescent="0.2">
      <c r="A479" t="s">
        <v>34</v>
      </c>
      <c r="B479" t="s">
        <v>194</v>
      </c>
      <c r="C479" t="s">
        <v>8732</v>
      </c>
      <c r="D479" s="10" t="s">
        <v>8733</v>
      </c>
      <c r="E479" t="s">
        <v>8734</v>
      </c>
      <c r="F479" s="125">
        <f>'3. Use Cases Catalog'!I467*1000000</f>
        <v>1000000</v>
      </c>
      <c r="G479" s="125">
        <f>'3. Use Cases Catalog'!I467*1000000</f>
        <v>1000000</v>
      </c>
      <c r="H479" s="10"/>
      <c r="I479" t="s">
        <v>129</v>
      </c>
      <c r="J479" s="125">
        <f>'3. Use Cases Catalog'!J467*1000000</f>
        <v>0</v>
      </c>
      <c r="K479" s="125">
        <f>'3. Use Cases Catalog'!J467*1000000</f>
        <v>0</v>
      </c>
      <c r="L479" s="123">
        <v>3.0000000000000001E-3</v>
      </c>
      <c r="M479" s="124">
        <v>5000000</v>
      </c>
      <c r="N479" t="s">
        <v>8735</v>
      </c>
      <c r="O479" s="125">
        <f t="shared" si="14"/>
        <v>9562.5</v>
      </c>
      <c r="P479" s="125">
        <f>'3. Use Cases Catalog'!K467*1000000</f>
        <v>1100000</v>
      </c>
      <c r="Q479" s="126">
        <v>5</v>
      </c>
      <c r="R479" s="124"/>
      <c r="S479" s="125" t="str">
        <f t="shared" si="15"/>
        <v/>
      </c>
      <c r="T479" s="125">
        <f>'3. Use Cases Catalog'!L467*1000000</f>
        <v>400000</v>
      </c>
    </row>
    <row r="480" spans="1:20" x14ac:dyDescent="0.2">
      <c r="A480" t="s">
        <v>34</v>
      </c>
      <c r="B480" t="s">
        <v>141</v>
      </c>
      <c r="C480" t="s">
        <v>2531</v>
      </c>
      <c r="D480" s="10" t="s">
        <v>8736</v>
      </c>
      <c r="E480" t="s">
        <v>8737</v>
      </c>
      <c r="F480" s="125">
        <f>'3. Use Cases Catalog'!I468*1000000</f>
        <v>1600000</v>
      </c>
      <c r="G480" s="125">
        <f>'3. Use Cases Catalog'!I468*1000000</f>
        <v>1600000</v>
      </c>
      <c r="H480" s="10"/>
      <c r="I480" t="s">
        <v>129</v>
      </c>
      <c r="J480" s="125">
        <f>'3. Use Cases Catalog'!J468*1000000</f>
        <v>0</v>
      </c>
      <c r="K480" s="125">
        <f>'3. Use Cases Catalog'!J468*1000000</f>
        <v>0</v>
      </c>
      <c r="L480" s="123">
        <v>1.5E-3</v>
      </c>
      <c r="M480" s="124">
        <v>2000000</v>
      </c>
      <c r="N480" t="s">
        <v>8738</v>
      </c>
      <c r="O480" s="125">
        <f t="shared" si="14"/>
        <v>1912.5</v>
      </c>
      <c r="P480" s="125">
        <f>'3. Use Cases Catalog'!K468*1000000</f>
        <v>280000</v>
      </c>
      <c r="Q480" s="126">
        <v>6</v>
      </c>
      <c r="R480" s="124"/>
      <c r="S480" s="125" t="str">
        <f t="shared" si="15"/>
        <v/>
      </c>
      <c r="T480" s="125">
        <f>'3. Use Cases Catalog'!L468*1000000</f>
        <v>850000</v>
      </c>
    </row>
    <row r="481" spans="1:20" x14ac:dyDescent="0.2">
      <c r="A481" t="s">
        <v>34</v>
      </c>
      <c r="B481" t="s">
        <v>133</v>
      </c>
      <c r="C481" t="s">
        <v>8739</v>
      </c>
      <c r="D481" s="10" t="s">
        <v>8740</v>
      </c>
      <c r="E481" t="s">
        <v>8741</v>
      </c>
      <c r="F481" s="125">
        <f>'3. Use Cases Catalog'!I469*1000000</f>
        <v>1400000</v>
      </c>
      <c r="G481" s="125">
        <f>'3. Use Cases Catalog'!I469*1000000</f>
        <v>1400000</v>
      </c>
      <c r="H481" s="10" t="s">
        <v>8742</v>
      </c>
      <c r="I481" t="s">
        <v>8743</v>
      </c>
      <c r="J481" s="125">
        <f>'3. Use Cases Catalog'!J469*1000000</f>
        <v>3200000</v>
      </c>
      <c r="K481" s="125">
        <f>'3. Use Cases Catalog'!J469*1000000</f>
        <v>3200000</v>
      </c>
      <c r="L481" s="123"/>
      <c r="M481" s="124"/>
      <c r="N481" t="s">
        <v>130</v>
      </c>
      <c r="O481" s="125" t="str">
        <f t="shared" si="14"/>
        <v/>
      </c>
      <c r="P481" s="125">
        <f>'3. Use Cases Catalog'!K469*1000000</f>
        <v>0</v>
      </c>
      <c r="Q481" s="126"/>
      <c r="R481" s="124"/>
      <c r="S481" s="125" t="str">
        <f t="shared" si="15"/>
        <v/>
      </c>
      <c r="T481" s="125">
        <f>'3. Use Cases Catalog'!L469*1000000</f>
        <v>0</v>
      </c>
    </row>
    <row r="482" spans="1:20" x14ac:dyDescent="0.2">
      <c r="A482" t="s">
        <v>34</v>
      </c>
      <c r="B482" t="s">
        <v>172</v>
      </c>
      <c r="C482" t="s">
        <v>2541</v>
      </c>
      <c r="D482" s="10" t="s">
        <v>8744</v>
      </c>
      <c r="E482" t="s">
        <v>8745</v>
      </c>
      <c r="F482" s="125">
        <f>'3. Use Cases Catalog'!I470*1000000</f>
        <v>300000</v>
      </c>
      <c r="G482" s="125">
        <f>'3. Use Cases Catalog'!I470*1000000</f>
        <v>300000</v>
      </c>
      <c r="H482" s="10" t="s">
        <v>8746</v>
      </c>
      <c r="I482" t="s">
        <v>8747</v>
      </c>
      <c r="J482" s="125">
        <f>'3. Use Cases Catalog'!J470*1000000</f>
        <v>2800000</v>
      </c>
      <c r="K482" s="125">
        <f>'3. Use Cases Catalog'!J470*1000000</f>
        <v>2800000</v>
      </c>
      <c r="L482" s="123"/>
      <c r="M482" s="124"/>
      <c r="N482" t="s">
        <v>130</v>
      </c>
      <c r="O482" s="125" t="str">
        <f t="shared" si="14"/>
        <v/>
      </c>
      <c r="P482" s="125">
        <f>'3. Use Cases Catalog'!K470*1000000</f>
        <v>0</v>
      </c>
      <c r="Q482" s="126"/>
      <c r="R482" s="124"/>
      <c r="S482" s="125" t="str">
        <f t="shared" si="15"/>
        <v/>
      </c>
      <c r="T482" s="125">
        <f>'3. Use Cases Catalog'!L470*1000000</f>
        <v>0</v>
      </c>
    </row>
    <row r="483" spans="1:20" x14ac:dyDescent="0.2">
      <c r="A483" t="s">
        <v>34</v>
      </c>
      <c r="B483" t="s">
        <v>186</v>
      </c>
      <c r="C483" t="s">
        <v>8748</v>
      </c>
      <c r="D483" s="10" t="s">
        <v>8749</v>
      </c>
      <c r="E483" t="s">
        <v>8750</v>
      </c>
      <c r="F483" s="125">
        <f>'3. Use Cases Catalog'!I471*1000000</f>
        <v>800000</v>
      </c>
      <c r="G483" s="125">
        <f>'3. Use Cases Catalog'!I471*1000000</f>
        <v>800000</v>
      </c>
      <c r="H483" s="10" t="s">
        <v>8751</v>
      </c>
      <c r="I483" t="s">
        <v>8752</v>
      </c>
      <c r="J483" s="125">
        <f>'3. Use Cases Catalog'!J471*1000000</f>
        <v>1800000</v>
      </c>
      <c r="K483" s="125">
        <f>'3. Use Cases Catalog'!J471*1000000</f>
        <v>1800000</v>
      </c>
      <c r="L483" s="123"/>
      <c r="M483" s="124"/>
      <c r="N483" t="s">
        <v>130</v>
      </c>
      <c r="O483" s="125" t="str">
        <f t="shared" si="14"/>
        <v/>
      </c>
      <c r="P483" s="125">
        <f>'3. Use Cases Catalog'!K471*1000000</f>
        <v>0</v>
      </c>
      <c r="Q483" s="126"/>
      <c r="R483" s="124"/>
      <c r="S483" s="125" t="str">
        <f t="shared" si="15"/>
        <v/>
      </c>
      <c r="T483" s="125">
        <f>'3. Use Cases Catalog'!L471*1000000</f>
        <v>0</v>
      </c>
    </row>
    <row r="484" spans="1:20" x14ac:dyDescent="0.2">
      <c r="A484" t="s">
        <v>71</v>
      </c>
      <c r="B484" t="s">
        <v>141</v>
      </c>
      <c r="C484" t="s">
        <v>8753</v>
      </c>
      <c r="D484" s="10" t="s">
        <v>8754</v>
      </c>
      <c r="E484" t="s">
        <v>8755</v>
      </c>
      <c r="F484" s="125">
        <f>'3. Use Cases Catalog'!I472*1000000</f>
        <v>4.3</v>
      </c>
      <c r="G484" s="125">
        <f>'3. Use Cases Catalog'!I472*1000000</f>
        <v>4.3</v>
      </c>
      <c r="H484" s="10" t="s">
        <v>8756</v>
      </c>
      <c r="I484" t="s">
        <v>8757</v>
      </c>
      <c r="J484" s="125">
        <f>'3. Use Cases Catalog'!J472*1000000</f>
        <v>4.8</v>
      </c>
      <c r="K484" s="125">
        <f>'3. Use Cases Catalog'!J472*1000000</f>
        <v>4.8</v>
      </c>
      <c r="L484" s="123"/>
      <c r="M484" s="124"/>
      <c r="N484" t="s">
        <v>130</v>
      </c>
      <c r="O484" s="125" t="str">
        <f t="shared" si="14"/>
        <v/>
      </c>
      <c r="P484" s="125">
        <f>'3. Use Cases Catalog'!K472*1000000</f>
        <v>0</v>
      </c>
      <c r="Q484" s="126"/>
      <c r="R484" s="124"/>
      <c r="S484" s="125" t="str">
        <f t="shared" si="15"/>
        <v/>
      </c>
      <c r="T484" s="125">
        <f>'3. Use Cases Catalog'!L472*1000000</f>
        <v>0</v>
      </c>
    </row>
    <row r="485" spans="1:20" x14ac:dyDescent="0.2">
      <c r="A485" t="s">
        <v>71</v>
      </c>
      <c r="B485" t="s">
        <v>149</v>
      </c>
      <c r="C485" t="s">
        <v>8758</v>
      </c>
      <c r="D485" s="10" t="s">
        <v>8759</v>
      </c>
      <c r="E485" t="s">
        <v>8760</v>
      </c>
      <c r="F485" s="125">
        <f>'3. Use Cases Catalog'!I473*1000000</f>
        <v>7.4</v>
      </c>
      <c r="G485" s="125">
        <f>'3. Use Cases Catalog'!I473*1000000</f>
        <v>7.4</v>
      </c>
      <c r="H485" s="10"/>
      <c r="I485" t="s">
        <v>129</v>
      </c>
      <c r="J485" s="125">
        <f>'3. Use Cases Catalog'!J473*1000000</f>
        <v>0</v>
      </c>
      <c r="K485" s="125">
        <f>'3. Use Cases Catalog'!J473*1000000</f>
        <v>0</v>
      </c>
      <c r="L485" s="123"/>
      <c r="M485" s="124"/>
      <c r="N485" t="s">
        <v>130</v>
      </c>
      <c r="O485" s="125" t="str">
        <f t="shared" si="14"/>
        <v/>
      </c>
      <c r="P485" s="125">
        <f>'3. Use Cases Catalog'!K473*1000000</f>
        <v>0</v>
      </c>
      <c r="Q485" s="126"/>
      <c r="R485" s="124"/>
      <c r="S485" s="125" t="str">
        <f t="shared" si="15"/>
        <v/>
      </c>
      <c r="T485" s="125">
        <f>'3. Use Cases Catalog'!L473*1000000</f>
        <v>6.2</v>
      </c>
    </row>
    <row r="486" spans="1:20" x14ac:dyDescent="0.2">
      <c r="A486" t="s">
        <v>71</v>
      </c>
      <c r="B486" t="s">
        <v>194</v>
      </c>
      <c r="C486" t="s">
        <v>8761</v>
      </c>
      <c r="D486" s="10" t="s">
        <v>8762</v>
      </c>
      <c r="E486" t="s">
        <v>8763</v>
      </c>
      <c r="F486" s="125">
        <f>'3. Use Cases Catalog'!I474*1000000</f>
        <v>1.4</v>
      </c>
      <c r="G486" s="125">
        <f>'3. Use Cases Catalog'!I474*1000000</f>
        <v>1.4</v>
      </c>
      <c r="H486" s="10"/>
      <c r="I486" t="s">
        <v>129</v>
      </c>
      <c r="J486" s="125">
        <f>'3. Use Cases Catalog'!J474*1000000</f>
        <v>0</v>
      </c>
      <c r="K486" s="125">
        <f>'3. Use Cases Catalog'!J474*1000000</f>
        <v>0</v>
      </c>
      <c r="L486" s="123"/>
      <c r="M486" s="124"/>
      <c r="N486" t="s">
        <v>130</v>
      </c>
      <c r="O486" s="125" t="str">
        <f t="shared" si="14"/>
        <v/>
      </c>
      <c r="P486" s="125">
        <f>'3. Use Cases Catalog'!K474*1000000</f>
        <v>0</v>
      </c>
      <c r="Q486" s="126"/>
      <c r="R486" s="124"/>
      <c r="S486" s="125" t="str">
        <f t="shared" si="15"/>
        <v/>
      </c>
      <c r="T486" s="125">
        <f>'3. Use Cases Catalog'!L474*1000000</f>
        <v>0</v>
      </c>
    </row>
    <row r="487" spans="1:20" x14ac:dyDescent="0.2">
      <c r="A487" t="s">
        <v>71</v>
      </c>
      <c r="B487" t="s">
        <v>123</v>
      </c>
      <c r="C487" t="s">
        <v>2564</v>
      </c>
      <c r="D487" s="10" t="s">
        <v>8764</v>
      </c>
      <c r="E487" t="s">
        <v>8765</v>
      </c>
      <c r="F487" s="125">
        <f>'3. Use Cases Catalog'!I475*1000000</f>
        <v>2.5</v>
      </c>
      <c r="G487" s="125">
        <f>'3. Use Cases Catalog'!I475*1000000</f>
        <v>2.5</v>
      </c>
      <c r="H487" s="10" t="s">
        <v>8766</v>
      </c>
      <c r="I487" t="s">
        <v>8767</v>
      </c>
      <c r="J487" s="125">
        <f>'3. Use Cases Catalog'!J475*1000000</f>
        <v>14.2</v>
      </c>
      <c r="K487" s="125">
        <f>'3. Use Cases Catalog'!J475*1000000</f>
        <v>14.2</v>
      </c>
      <c r="L487" s="123"/>
      <c r="M487" s="124"/>
      <c r="N487" t="s">
        <v>130</v>
      </c>
      <c r="O487" s="125" t="str">
        <f t="shared" si="14"/>
        <v/>
      </c>
      <c r="P487" s="125">
        <f>'3. Use Cases Catalog'!K475*1000000</f>
        <v>0</v>
      </c>
      <c r="Q487" s="126"/>
      <c r="R487" s="124"/>
      <c r="S487" s="125" t="str">
        <f t="shared" si="15"/>
        <v/>
      </c>
      <c r="T487" s="125">
        <f>'3. Use Cases Catalog'!L475*1000000</f>
        <v>0</v>
      </c>
    </row>
    <row r="488" spans="1:20" x14ac:dyDescent="0.2">
      <c r="A488" t="s">
        <v>71</v>
      </c>
      <c r="B488" t="s">
        <v>133</v>
      </c>
      <c r="C488" t="s">
        <v>8768</v>
      </c>
      <c r="D488" s="10" t="s">
        <v>8769</v>
      </c>
      <c r="E488" t="s">
        <v>8770</v>
      </c>
      <c r="F488" s="125">
        <f>'3. Use Cases Catalog'!I476*1000000</f>
        <v>1.8</v>
      </c>
      <c r="G488" s="125">
        <f>'3. Use Cases Catalog'!I476*1000000</f>
        <v>1.8</v>
      </c>
      <c r="H488" s="10"/>
      <c r="I488" t="s">
        <v>129</v>
      </c>
      <c r="J488" s="125">
        <f>'3. Use Cases Catalog'!J476*1000000</f>
        <v>0</v>
      </c>
      <c r="K488" s="125">
        <f>'3. Use Cases Catalog'!J476*1000000</f>
        <v>0</v>
      </c>
      <c r="L488" s="123">
        <v>0.5</v>
      </c>
      <c r="M488" s="124">
        <v>3200000</v>
      </c>
      <c r="N488" t="s">
        <v>8771</v>
      </c>
      <c r="O488" s="125">
        <f t="shared" si="14"/>
        <v>1020000</v>
      </c>
      <c r="P488" s="125">
        <f>'3. Use Cases Catalog'!K476*1000000</f>
        <v>960000</v>
      </c>
      <c r="Q488" s="126"/>
      <c r="R488" s="124"/>
      <c r="S488" s="125" t="str">
        <f t="shared" si="15"/>
        <v/>
      </c>
      <c r="T488" s="125">
        <f>'3. Use Cases Catalog'!L476*1000000</f>
        <v>0</v>
      </c>
    </row>
    <row r="489" spans="1:20" x14ac:dyDescent="0.2">
      <c r="A489" t="s">
        <v>71</v>
      </c>
      <c r="B489" t="s">
        <v>156</v>
      </c>
      <c r="C489" t="s">
        <v>2574</v>
      </c>
      <c r="D489" s="10" t="s">
        <v>8772</v>
      </c>
      <c r="E489" t="s">
        <v>8773</v>
      </c>
      <c r="F489" s="125">
        <f>'3. Use Cases Catalog'!I477*1000000</f>
        <v>5.5</v>
      </c>
      <c r="G489" s="125">
        <f>'3. Use Cases Catalog'!I477*1000000</f>
        <v>5.5</v>
      </c>
      <c r="H489" s="10"/>
      <c r="I489" t="s">
        <v>129</v>
      </c>
      <c r="J489" s="125">
        <f>'3. Use Cases Catalog'!J477*1000000</f>
        <v>0</v>
      </c>
      <c r="K489" s="125">
        <f>'3. Use Cases Catalog'!J477*1000000</f>
        <v>0</v>
      </c>
      <c r="L489" s="123"/>
      <c r="M489" s="124"/>
      <c r="N489" t="s">
        <v>130</v>
      </c>
      <c r="O489" s="125" t="str">
        <f t="shared" si="14"/>
        <v/>
      </c>
      <c r="P489" s="125">
        <f>'3. Use Cases Catalog'!K477*1000000</f>
        <v>0</v>
      </c>
      <c r="Q489" s="126"/>
      <c r="R489" s="124"/>
      <c r="S489" s="125" t="str">
        <f t="shared" si="15"/>
        <v/>
      </c>
      <c r="T489" s="125">
        <f>'3. Use Cases Catalog'!L477*1000000</f>
        <v>0</v>
      </c>
    </row>
    <row r="490" spans="1:20" x14ac:dyDescent="0.2">
      <c r="A490" t="s">
        <v>71</v>
      </c>
      <c r="B490" t="s">
        <v>164</v>
      </c>
      <c r="C490" t="s">
        <v>8774</v>
      </c>
      <c r="D490" s="10"/>
      <c r="E490" t="s">
        <v>1009</v>
      </c>
      <c r="F490" s="125">
        <f>'3. Use Cases Catalog'!I478*1000000</f>
        <v>0</v>
      </c>
      <c r="G490" s="125">
        <f>'3. Use Cases Catalog'!I478*1000000</f>
        <v>0</v>
      </c>
      <c r="H490" s="10" t="s">
        <v>8775</v>
      </c>
      <c r="I490" t="s">
        <v>8776</v>
      </c>
      <c r="J490" s="125">
        <f>'3. Use Cases Catalog'!J478*1000000</f>
        <v>16.8</v>
      </c>
      <c r="K490" s="125">
        <f>'3. Use Cases Catalog'!J478*1000000</f>
        <v>16.8</v>
      </c>
      <c r="L490" s="123"/>
      <c r="M490" s="124"/>
      <c r="N490" t="s">
        <v>130</v>
      </c>
      <c r="O490" s="125" t="str">
        <f t="shared" si="14"/>
        <v/>
      </c>
      <c r="P490" s="125">
        <f>'3. Use Cases Catalog'!K478*1000000</f>
        <v>0</v>
      </c>
      <c r="Q490" s="126"/>
      <c r="R490" s="124"/>
      <c r="S490" s="125" t="str">
        <f t="shared" si="15"/>
        <v/>
      </c>
      <c r="T490" s="125">
        <f>'3. Use Cases Catalog'!L478*1000000</f>
        <v>0</v>
      </c>
    </row>
    <row r="491" spans="1:20" x14ac:dyDescent="0.2">
      <c r="A491" t="s">
        <v>71</v>
      </c>
      <c r="B491" t="s">
        <v>172</v>
      </c>
      <c r="C491" t="s">
        <v>8777</v>
      </c>
      <c r="D491" s="10" t="s">
        <v>8778</v>
      </c>
      <c r="E491" t="s">
        <v>8779</v>
      </c>
      <c r="F491" s="125">
        <f>'3. Use Cases Catalog'!I479*1000000</f>
        <v>2.7</v>
      </c>
      <c r="G491" s="125">
        <f>'3. Use Cases Catalog'!I479*1000000</f>
        <v>2.7</v>
      </c>
      <c r="H491" s="10"/>
      <c r="I491" t="s">
        <v>129</v>
      </c>
      <c r="J491" s="125">
        <f>'3. Use Cases Catalog'!J479*1000000</f>
        <v>0</v>
      </c>
      <c r="K491" s="125">
        <f>'3. Use Cases Catalog'!J479*1000000</f>
        <v>0</v>
      </c>
      <c r="L491" s="123"/>
      <c r="M491" s="124"/>
      <c r="N491" t="s">
        <v>130</v>
      </c>
      <c r="O491" s="125" t="str">
        <f t="shared" si="14"/>
        <v/>
      </c>
      <c r="P491" s="125">
        <f>'3. Use Cases Catalog'!K479*1000000</f>
        <v>0</v>
      </c>
      <c r="Q491" s="126">
        <v>4.4000000000000004</v>
      </c>
      <c r="R491" s="124"/>
      <c r="S491" s="125" t="str">
        <f t="shared" si="15"/>
        <v/>
      </c>
      <c r="T491" s="125">
        <f>'3. Use Cases Catalog'!L479*1000000</f>
        <v>3.1</v>
      </c>
    </row>
    <row r="492" spans="1:20" x14ac:dyDescent="0.2">
      <c r="A492" t="s">
        <v>71</v>
      </c>
      <c r="B492" t="s">
        <v>179</v>
      </c>
      <c r="C492" t="s">
        <v>8780</v>
      </c>
      <c r="D492" s="10" t="s">
        <v>8781</v>
      </c>
      <c r="E492" t="s">
        <v>8782</v>
      </c>
      <c r="F492" s="125">
        <f>'3. Use Cases Catalog'!I480*1000000</f>
        <v>1.2</v>
      </c>
      <c r="G492" s="125">
        <f>'3. Use Cases Catalog'!I480*1000000</f>
        <v>1.2</v>
      </c>
      <c r="H492" s="10"/>
      <c r="I492" t="s">
        <v>129</v>
      </c>
      <c r="J492" s="125">
        <f>'3. Use Cases Catalog'!J480*1000000</f>
        <v>0</v>
      </c>
      <c r="K492" s="125">
        <f>'3. Use Cases Catalog'!J480*1000000</f>
        <v>0</v>
      </c>
      <c r="L492" s="123">
        <v>0.5</v>
      </c>
      <c r="M492" s="124">
        <v>2400000</v>
      </c>
      <c r="N492" t="s">
        <v>8783</v>
      </c>
      <c r="O492" s="125">
        <f t="shared" si="14"/>
        <v>765000</v>
      </c>
      <c r="P492" s="125">
        <f>'3. Use Cases Catalog'!K480*1000000</f>
        <v>720000</v>
      </c>
      <c r="Q492" s="126"/>
      <c r="R492" s="124"/>
      <c r="S492" s="125" t="str">
        <f t="shared" si="15"/>
        <v/>
      </c>
      <c r="T492" s="125">
        <f>'3. Use Cases Catalog'!L480*1000000</f>
        <v>0</v>
      </c>
    </row>
    <row r="493" spans="1:20" x14ac:dyDescent="0.2">
      <c r="A493" t="s">
        <v>71</v>
      </c>
      <c r="B493" t="s">
        <v>186</v>
      </c>
      <c r="C493" t="s">
        <v>8784</v>
      </c>
      <c r="D493" s="10" t="s">
        <v>8785</v>
      </c>
      <c r="E493" t="s">
        <v>8786</v>
      </c>
      <c r="F493" s="125">
        <f>'3. Use Cases Catalog'!I481*1000000</f>
        <v>1</v>
      </c>
      <c r="G493" s="125">
        <f>'3. Use Cases Catalog'!I481*1000000</f>
        <v>1</v>
      </c>
      <c r="H493" s="10"/>
      <c r="I493" t="s">
        <v>129</v>
      </c>
      <c r="J493" s="125">
        <f>'3. Use Cases Catalog'!J481*1000000</f>
        <v>0</v>
      </c>
      <c r="K493" s="125">
        <f>'3. Use Cases Catalog'!J481*1000000</f>
        <v>0</v>
      </c>
      <c r="L493" s="123"/>
      <c r="M493" s="124"/>
      <c r="N493" t="s">
        <v>130</v>
      </c>
      <c r="O493" s="125" t="str">
        <f t="shared" si="14"/>
        <v/>
      </c>
      <c r="P493" s="125">
        <f>'3. Use Cases Catalog'!K481*1000000</f>
        <v>0</v>
      </c>
      <c r="Q493" s="126">
        <v>5</v>
      </c>
      <c r="R493" s="124"/>
      <c r="S493" s="125" t="str">
        <f t="shared" si="15"/>
        <v/>
      </c>
      <c r="T493" s="125">
        <f>'3. Use Cases Catalog'!L481*1000000</f>
        <v>2.8</v>
      </c>
    </row>
    <row r="494" spans="1:20" x14ac:dyDescent="0.2">
      <c r="A494" t="s">
        <v>68</v>
      </c>
      <c r="B494" t="s">
        <v>149</v>
      </c>
      <c r="C494" t="s">
        <v>8787</v>
      </c>
      <c r="D494" s="10" t="s">
        <v>8640</v>
      </c>
      <c r="E494" t="s">
        <v>8788</v>
      </c>
      <c r="F494" s="125">
        <f>'3. Use Cases Catalog'!I482*1000000</f>
        <v>3.8</v>
      </c>
      <c r="G494" s="125">
        <f>'3. Use Cases Catalog'!I482*1000000</f>
        <v>3.8</v>
      </c>
      <c r="H494" s="10"/>
      <c r="I494" t="s">
        <v>129</v>
      </c>
      <c r="J494" s="125">
        <f>'3. Use Cases Catalog'!J482*1000000</f>
        <v>0</v>
      </c>
      <c r="K494" s="125">
        <f>'3. Use Cases Catalog'!J482*1000000</f>
        <v>0</v>
      </c>
      <c r="L494" s="123">
        <v>0.4</v>
      </c>
      <c r="M494" s="124">
        <v>4600000</v>
      </c>
      <c r="N494" t="s">
        <v>7382</v>
      </c>
      <c r="O494" s="125">
        <f t="shared" si="14"/>
        <v>1173000</v>
      </c>
      <c r="P494" s="125">
        <f>'3. Use Cases Catalog'!K482*1000000</f>
        <v>1.1000000000000001</v>
      </c>
      <c r="Q494" s="126">
        <v>10</v>
      </c>
      <c r="R494" s="124"/>
      <c r="S494" s="125" t="str">
        <f t="shared" si="15"/>
        <v/>
      </c>
      <c r="T494" s="125">
        <f>'3. Use Cases Catalog'!L482*1000000</f>
        <v>4.2</v>
      </c>
    </row>
    <row r="495" spans="1:20" x14ac:dyDescent="0.2">
      <c r="A495" t="s">
        <v>68</v>
      </c>
      <c r="B495" t="s">
        <v>172</v>
      </c>
      <c r="C495" t="s">
        <v>2601</v>
      </c>
      <c r="D495" s="10" t="s">
        <v>8789</v>
      </c>
      <c r="E495" t="s">
        <v>8790</v>
      </c>
      <c r="F495" s="125">
        <f>'3. Use Cases Catalog'!I483*1000000</f>
        <v>2.1</v>
      </c>
      <c r="G495" s="125">
        <f>'3. Use Cases Catalog'!I483*1000000</f>
        <v>2.1</v>
      </c>
      <c r="H495" s="10"/>
      <c r="I495" t="s">
        <v>129</v>
      </c>
      <c r="J495" s="125">
        <f>'3. Use Cases Catalog'!J483*1000000</f>
        <v>0</v>
      </c>
      <c r="K495" s="125">
        <f>'3. Use Cases Catalog'!J483*1000000</f>
        <v>0</v>
      </c>
      <c r="L495" s="123">
        <v>0.3</v>
      </c>
      <c r="M495" s="124">
        <v>15000000</v>
      </c>
      <c r="N495" t="s">
        <v>8791</v>
      </c>
      <c r="O495" s="125">
        <f t="shared" si="14"/>
        <v>2868750</v>
      </c>
      <c r="P495" s="125">
        <f>'3. Use Cases Catalog'!K483*1000000</f>
        <v>2.7</v>
      </c>
      <c r="Q495" s="126"/>
      <c r="R495" s="124"/>
      <c r="S495" s="125" t="str">
        <f t="shared" si="15"/>
        <v/>
      </c>
      <c r="T495" s="125">
        <f>'3. Use Cases Catalog'!L483*1000000</f>
        <v>0</v>
      </c>
    </row>
    <row r="496" spans="1:20" x14ac:dyDescent="0.2">
      <c r="A496" t="s">
        <v>68</v>
      </c>
      <c r="B496" t="s">
        <v>179</v>
      </c>
      <c r="C496" t="s">
        <v>2607</v>
      </c>
      <c r="D496" s="10" t="s">
        <v>8792</v>
      </c>
      <c r="E496" t="s">
        <v>8793</v>
      </c>
      <c r="F496" s="125">
        <f>'3. Use Cases Catalog'!I484*1000000</f>
        <v>1.3</v>
      </c>
      <c r="G496" s="125">
        <f>'3. Use Cases Catalog'!I484*1000000</f>
        <v>1.3</v>
      </c>
      <c r="H496" s="10"/>
      <c r="I496" t="s">
        <v>129</v>
      </c>
      <c r="J496" s="125">
        <f>'3. Use Cases Catalog'!J484*1000000</f>
        <v>0</v>
      </c>
      <c r="K496" s="125">
        <f>'3. Use Cases Catalog'!J484*1000000</f>
        <v>0</v>
      </c>
      <c r="L496" s="123"/>
      <c r="M496" s="124"/>
      <c r="N496" t="s">
        <v>130</v>
      </c>
      <c r="O496" s="125" t="str">
        <f t="shared" si="14"/>
        <v/>
      </c>
      <c r="P496" s="125">
        <f>'3. Use Cases Catalog'!K484*1000000</f>
        <v>0</v>
      </c>
      <c r="Q496" s="126"/>
      <c r="R496" s="124"/>
      <c r="S496" s="125" t="str">
        <f t="shared" si="15"/>
        <v/>
      </c>
      <c r="T496" s="125">
        <f>'3. Use Cases Catalog'!L484*1000000</f>
        <v>0</v>
      </c>
    </row>
    <row r="497" spans="1:20" x14ac:dyDescent="0.2">
      <c r="A497" t="s">
        <v>68</v>
      </c>
      <c r="B497" t="s">
        <v>186</v>
      </c>
      <c r="C497" t="s">
        <v>8794</v>
      </c>
      <c r="D497" s="10" t="s">
        <v>8640</v>
      </c>
      <c r="E497" t="s">
        <v>8795</v>
      </c>
      <c r="F497" s="125">
        <f>'3. Use Cases Catalog'!I485*1000000</f>
        <v>1.1000000000000001</v>
      </c>
      <c r="G497" s="125">
        <f>'3. Use Cases Catalog'!I485*1000000</f>
        <v>1.1000000000000001</v>
      </c>
      <c r="H497" s="10"/>
      <c r="I497" t="s">
        <v>129</v>
      </c>
      <c r="J497" s="125">
        <f>'3. Use Cases Catalog'!J485*1000000</f>
        <v>0</v>
      </c>
      <c r="K497" s="125">
        <f>'3. Use Cases Catalog'!J485*1000000</f>
        <v>0</v>
      </c>
      <c r="L497" s="123">
        <v>0.45</v>
      </c>
      <c r="M497" s="124">
        <v>11800000</v>
      </c>
      <c r="N497" t="s">
        <v>8735</v>
      </c>
      <c r="O497" s="125">
        <f t="shared" si="14"/>
        <v>3385125</v>
      </c>
      <c r="P497" s="125">
        <f>'3. Use Cases Catalog'!K485*1000000</f>
        <v>3.2</v>
      </c>
      <c r="Q497" s="126"/>
      <c r="R497" s="124"/>
      <c r="S497" s="125" t="str">
        <f t="shared" si="15"/>
        <v/>
      </c>
      <c r="T497" s="125">
        <f>'3. Use Cases Catalog'!L485*1000000</f>
        <v>0</v>
      </c>
    </row>
    <row r="498" spans="1:20" x14ac:dyDescent="0.2">
      <c r="A498" t="s">
        <v>68</v>
      </c>
      <c r="B498" t="s">
        <v>141</v>
      </c>
      <c r="C498" t="s">
        <v>8796</v>
      </c>
      <c r="D498" s="10" t="s">
        <v>8797</v>
      </c>
      <c r="E498" t="s">
        <v>8798</v>
      </c>
      <c r="F498" s="125">
        <f>'3. Use Cases Catalog'!I486*1000000</f>
        <v>7.3</v>
      </c>
      <c r="G498" s="125">
        <f>'3. Use Cases Catalog'!I486*1000000</f>
        <v>7.3</v>
      </c>
      <c r="H498" s="10" t="s">
        <v>8799</v>
      </c>
      <c r="I498" t="s">
        <v>8800</v>
      </c>
      <c r="J498" s="125">
        <f>'3. Use Cases Catalog'!J486*1000000</f>
        <v>3.2</v>
      </c>
      <c r="K498" s="125">
        <f>'3. Use Cases Catalog'!J486*1000000</f>
        <v>3.2</v>
      </c>
      <c r="L498" s="123">
        <v>0.25</v>
      </c>
      <c r="M498" s="124">
        <v>9200000</v>
      </c>
      <c r="N498" t="s">
        <v>8801</v>
      </c>
      <c r="O498" s="125">
        <f t="shared" si="14"/>
        <v>1466250</v>
      </c>
      <c r="P498" s="125">
        <f>'3. Use Cases Catalog'!K486*1000000</f>
        <v>1.4</v>
      </c>
      <c r="Q498" s="126"/>
      <c r="R498" s="124"/>
      <c r="S498" s="125" t="str">
        <f t="shared" si="15"/>
        <v/>
      </c>
      <c r="T498" s="125">
        <f>'3. Use Cases Catalog'!L486*1000000</f>
        <v>0</v>
      </c>
    </row>
    <row r="499" spans="1:20" x14ac:dyDescent="0.2">
      <c r="A499" t="s">
        <v>68</v>
      </c>
      <c r="B499" t="s">
        <v>123</v>
      </c>
      <c r="C499" t="s">
        <v>2622</v>
      </c>
      <c r="D499" s="10" t="s">
        <v>8802</v>
      </c>
      <c r="E499" t="s">
        <v>8803</v>
      </c>
      <c r="F499" s="125">
        <f>'3. Use Cases Catalog'!I487*1000000</f>
        <v>4.8</v>
      </c>
      <c r="G499" s="125">
        <f>'3. Use Cases Catalog'!I487*1000000</f>
        <v>4.8</v>
      </c>
      <c r="H499" s="10"/>
      <c r="I499" t="s">
        <v>129</v>
      </c>
      <c r="J499" s="125">
        <f>'3. Use Cases Catalog'!J487*1000000</f>
        <v>0</v>
      </c>
      <c r="K499" s="125">
        <f>'3. Use Cases Catalog'!J487*1000000</f>
        <v>0</v>
      </c>
      <c r="L499" s="123"/>
      <c r="M499" s="124"/>
      <c r="N499" t="s">
        <v>130</v>
      </c>
      <c r="O499" s="125" t="str">
        <f t="shared" si="14"/>
        <v/>
      </c>
      <c r="P499" s="125">
        <f>'3. Use Cases Catalog'!K487*1000000</f>
        <v>0</v>
      </c>
      <c r="Q499" s="126"/>
      <c r="R499" s="124"/>
      <c r="S499" s="125" t="str">
        <f t="shared" si="15"/>
        <v/>
      </c>
      <c r="T499" s="125">
        <f>'3. Use Cases Catalog'!L487*1000000</f>
        <v>10.3</v>
      </c>
    </row>
    <row r="500" spans="1:20" x14ac:dyDescent="0.2">
      <c r="A500" t="s">
        <v>68</v>
      </c>
      <c r="B500" t="s">
        <v>133</v>
      </c>
      <c r="C500" t="s">
        <v>8804</v>
      </c>
      <c r="D500" s="10" t="s">
        <v>8805</v>
      </c>
      <c r="E500" t="s">
        <v>8806</v>
      </c>
      <c r="F500" s="125">
        <f>'3. Use Cases Catalog'!I488*1000000</f>
        <v>6.7</v>
      </c>
      <c r="G500" s="125">
        <f>'3. Use Cases Catalog'!I488*1000000</f>
        <v>6.7</v>
      </c>
      <c r="H500" s="10" t="s">
        <v>8807</v>
      </c>
      <c r="I500" t="s">
        <v>8808</v>
      </c>
      <c r="J500" s="125">
        <f>'3. Use Cases Catalog'!J488*1000000</f>
        <v>19.3</v>
      </c>
      <c r="K500" s="125">
        <f>'3. Use Cases Catalog'!J488*1000000</f>
        <v>19.3</v>
      </c>
      <c r="L500" s="123"/>
      <c r="M500" s="124"/>
      <c r="N500" t="s">
        <v>130</v>
      </c>
      <c r="O500" s="125" t="str">
        <f t="shared" si="14"/>
        <v/>
      </c>
      <c r="P500" s="125">
        <f>'3. Use Cases Catalog'!K488*1000000</f>
        <v>0</v>
      </c>
      <c r="Q500" s="126"/>
      <c r="R500" s="124"/>
      <c r="S500" s="125" t="str">
        <f t="shared" si="15"/>
        <v/>
      </c>
      <c r="T500" s="125">
        <f>'3. Use Cases Catalog'!L488*1000000</f>
        <v>0</v>
      </c>
    </row>
    <row r="501" spans="1:20" x14ac:dyDescent="0.2">
      <c r="A501" t="s">
        <v>68</v>
      </c>
      <c r="B501" t="s">
        <v>156</v>
      </c>
      <c r="C501" t="s">
        <v>8809</v>
      </c>
      <c r="D501" s="10" t="s">
        <v>8810</v>
      </c>
      <c r="E501" t="s">
        <v>8811</v>
      </c>
      <c r="F501" s="125">
        <f>'3. Use Cases Catalog'!I489*1000000</f>
        <v>1.7</v>
      </c>
      <c r="G501" s="125">
        <f>'3. Use Cases Catalog'!I489*1000000</f>
        <v>1.7</v>
      </c>
      <c r="H501" s="10"/>
      <c r="I501" t="s">
        <v>129</v>
      </c>
      <c r="J501" s="125">
        <f>'3. Use Cases Catalog'!J489*1000000</f>
        <v>0</v>
      </c>
      <c r="K501" s="125">
        <f>'3. Use Cases Catalog'!J489*1000000</f>
        <v>0</v>
      </c>
      <c r="L501" s="123">
        <v>0.6</v>
      </c>
      <c r="M501" s="124">
        <v>13300000</v>
      </c>
      <c r="N501" t="s">
        <v>8372</v>
      </c>
      <c r="O501" s="125">
        <f t="shared" si="14"/>
        <v>5087250</v>
      </c>
      <c r="P501" s="125">
        <f>'3. Use Cases Catalog'!K489*1000000</f>
        <v>4.8</v>
      </c>
      <c r="Q501" s="126"/>
      <c r="R501" s="124"/>
      <c r="S501" s="125" t="str">
        <f t="shared" si="15"/>
        <v/>
      </c>
      <c r="T501" s="125">
        <f>'3. Use Cases Catalog'!L489*1000000</f>
        <v>0</v>
      </c>
    </row>
    <row r="502" spans="1:20" x14ac:dyDescent="0.2">
      <c r="A502" t="s">
        <v>68</v>
      </c>
      <c r="B502" t="s">
        <v>164</v>
      </c>
      <c r="C502" t="s">
        <v>2635</v>
      </c>
      <c r="D502" s="10" t="s">
        <v>8812</v>
      </c>
      <c r="E502" t="s">
        <v>8813</v>
      </c>
      <c r="F502" s="125">
        <f>'3. Use Cases Catalog'!I490*1000000</f>
        <v>2.4</v>
      </c>
      <c r="G502" s="125">
        <f>'3. Use Cases Catalog'!I490*1000000</f>
        <v>2.4</v>
      </c>
      <c r="H502" s="10" t="s">
        <v>8814</v>
      </c>
      <c r="I502" t="s">
        <v>8815</v>
      </c>
      <c r="J502" s="125">
        <f>'3. Use Cases Catalog'!J490*1000000</f>
        <v>8.1</v>
      </c>
      <c r="K502" s="125">
        <f>'3. Use Cases Catalog'!J490*1000000</f>
        <v>8.1</v>
      </c>
      <c r="L502" s="123">
        <v>0.35</v>
      </c>
      <c r="M502" s="124">
        <v>8100000</v>
      </c>
      <c r="N502" t="s">
        <v>8816</v>
      </c>
      <c r="O502" s="125">
        <f t="shared" si="14"/>
        <v>1807312.5</v>
      </c>
      <c r="P502" s="125">
        <f>'3. Use Cases Catalog'!K490*1000000</f>
        <v>1.8</v>
      </c>
      <c r="Q502" s="126"/>
      <c r="R502" s="124"/>
      <c r="S502" s="125" t="str">
        <f t="shared" si="15"/>
        <v/>
      </c>
      <c r="T502" s="125">
        <f>'3. Use Cases Catalog'!L490*1000000</f>
        <v>0</v>
      </c>
    </row>
    <row r="503" spans="1:20" x14ac:dyDescent="0.2">
      <c r="A503" t="s">
        <v>68</v>
      </c>
      <c r="B503" t="s">
        <v>194</v>
      </c>
      <c r="C503" t="s">
        <v>8817</v>
      </c>
      <c r="D503" s="10" t="s">
        <v>8640</v>
      </c>
      <c r="E503" t="s">
        <v>8818</v>
      </c>
      <c r="F503" s="125">
        <f>'3. Use Cases Catalog'!I491*1000000</f>
        <v>3.4</v>
      </c>
      <c r="G503" s="125">
        <f>'3. Use Cases Catalog'!I491*1000000</f>
        <v>3.4</v>
      </c>
      <c r="H503" s="10"/>
      <c r="I503" t="s">
        <v>129</v>
      </c>
      <c r="J503" s="125">
        <f>'3. Use Cases Catalog'!J491*1000000</f>
        <v>0</v>
      </c>
      <c r="K503" s="125">
        <f>'3. Use Cases Catalog'!J491*1000000</f>
        <v>0</v>
      </c>
      <c r="L503" s="123">
        <v>0.5</v>
      </c>
      <c r="M503" s="124">
        <v>3000000</v>
      </c>
      <c r="N503" t="s">
        <v>8819</v>
      </c>
      <c r="O503" s="125">
        <f t="shared" si="14"/>
        <v>956250</v>
      </c>
      <c r="P503" s="125">
        <f>'3. Use Cases Catalog'!K491*1000000</f>
        <v>0.9</v>
      </c>
      <c r="Q503" s="126"/>
      <c r="R503" s="124"/>
      <c r="S503" s="125" t="str">
        <f t="shared" si="15"/>
        <v/>
      </c>
      <c r="T503" s="125">
        <f>'3. Use Cases Catalog'!L491*1000000</f>
        <v>0</v>
      </c>
    </row>
    <row r="504" spans="1:20" x14ac:dyDescent="0.2">
      <c r="A504" t="s">
        <v>90</v>
      </c>
      <c r="B504" t="s">
        <v>123</v>
      </c>
      <c r="C504" t="s">
        <v>2645</v>
      </c>
      <c r="D504" s="10" t="s">
        <v>8820</v>
      </c>
      <c r="E504" t="s">
        <v>8821</v>
      </c>
      <c r="F504" s="125">
        <f>'3. Use Cases Catalog'!I492*1000000</f>
        <v>1.5</v>
      </c>
      <c r="G504" s="125">
        <f>'3. Use Cases Catalog'!I492*1000000</f>
        <v>1.5</v>
      </c>
      <c r="H504" s="10" t="s">
        <v>8822</v>
      </c>
      <c r="I504" t="s">
        <v>8823</v>
      </c>
      <c r="J504" s="125">
        <f>'3. Use Cases Catalog'!J492*1000000</f>
        <v>3.5</v>
      </c>
      <c r="K504" s="125">
        <f>'3. Use Cases Catalog'!J492*1000000</f>
        <v>3.5</v>
      </c>
      <c r="L504" s="123"/>
      <c r="M504" s="124"/>
      <c r="N504" t="s">
        <v>130</v>
      </c>
      <c r="O504" s="125" t="str">
        <f t="shared" si="14"/>
        <v/>
      </c>
      <c r="P504" s="125">
        <f>'3. Use Cases Catalog'!K492*1000000</f>
        <v>0</v>
      </c>
      <c r="Q504" s="126"/>
      <c r="R504" s="124"/>
      <c r="S504" s="125" t="str">
        <f t="shared" si="15"/>
        <v/>
      </c>
      <c r="T504" s="125">
        <f>'3. Use Cases Catalog'!L492*1000000</f>
        <v>0</v>
      </c>
    </row>
    <row r="505" spans="1:20" x14ac:dyDescent="0.2">
      <c r="A505" t="s">
        <v>90</v>
      </c>
      <c r="B505" t="s">
        <v>156</v>
      </c>
      <c r="C505" t="s">
        <v>2651</v>
      </c>
      <c r="D505" s="10"/>
      <c r="E505" t="s">
        <v>1009</v>
      </c>
      <c r="F505" s="125">
        <f>'3. Use Cases Catalog'!I493*1000000</f>
        <v>0</v>
      </c>
      <c r="G505" s="125">
        <f>'3. Use Cases Catalog'!I493*1000000</f>
        <v>0</v>
      </c>
      <c r="H505" s="10"/>
      <c r="I505" t="s">
        <v>129</v>
      </c>
      <c r="J505" s="125">
        <f>'3. Use Cases Catalog'!J493*1000000</f>
        <v>0</v>
      </c>
      <c r="K505" s="125">
        <f>'3. Use Cases Catalog'!J493*1000000</f>
        <v>0</v>
      </c>
      <c r="L505" s="123"/>
      <c r="M505" s="124"/>
      <c r="N505" t="s">
        <v>130</v>
      </c>
      <c r="O505" s="125" t="str">
        <f t="shared" si="14"/>
        <v/>
      </c>
      <c r="P505" s="125">
        <f>'3. Use Cases Catalog'!K493*1000000</f>
        <v>0</v>
      </c>
      <c r="Q505" s="126">
        <v>14</v>
      </c>
      <c r="R505" s="124"/>
      <c r="S505" s="125" t="str">
        <f t="shared" si="15"/>
        <v/>
      </c>
      <c r="T505" s="125">
        <f>'3. Use Cases Catalog'!L493*1000000</f>
        <v>6.1</v>
      </c>
    </row>
    <row r="506" spans="1:20" x14ac:dyDescent="0.2">
      <c r="A506" t="s">
        <v>90</v>
      </c>
      <c r="B506" t="s">
        <v>164</v>
      </c>
      <c r="C506" t="s">
        <v>2654</v>
      </c>
      <c r="D506" s="10" t="s">
        <v>8824</v>
      </c>
      <c r="E506" t="s">
        <v>8825</v>
      </c>
      <c r="F506" s="125">
        <f>'3. Use Cases Catalog'!I494*1000000</f>
        <v>900000</v>
      </c>
      <c r="G506" s="125">
        <f>'3. Use Cases Catalog'!I494*1000000</f>
        <v>900000</v>
      </c>
      <c r="H506" s="10"/>
      <c r="I506" t="s">
        <v>129</v>
      </c>
      <c r="J506" s="125">
        <f>'3. Use Cases Catalog'!J494*1000000</f>
        <v>0</v>
      </c>
      <c r="K506" s="125">
        <f>'3. Use Cases Catalog'!J494*1000000</f>
        <v>0</v>
      </c>
      <c r="L506" s="123"/>
      <c r="M506" s="124"/>
      <c r="N506" t="s">
        <v>130</v>
      </c>
      <c r="O506" s="125" t="str">
        <f t="shared" si="14"/>
        <v/>
      </c>
      <c r="P506" s="125">
        <f>'3. Use Cases Catalog'!K494*1000000</f>
        <v>0</v>
      </c>
      <c r="Q506" s="126"/>
      <c r="R506" s="124"/>
      <c r="S506" s="125" t="str">
        <f t="shared" si="15"/>
        <v/>
      </c>
      <c r="T506" s="125">
        <f>'3. Use Cases Catalog'!L494*1000000</f>
        <v>0</v>
      </c>
    </row>
    <row r="507" spans="1:20" x14ac:dyDescent="0.2">
      <c r="A507" t="s">
        <v>90</v>
      </c>
      <c r="B507" t="s">
        <v>141</v>
      </c>
      <c r="C507" t="s">
        <v>2657</v>
      </c>
      <c r="D507" s="10" t="s">
        <v>8826</v>
      </c>
      <c r="E507" t="s">
        <v>8827</v>
      </c>
      <c r="F507" s="125">
        <f>'3. Use Cases Catalog'!I495*1000000</f>
        <v>1.8</v>
      </c>
      <c r="G507" s="125">
        <f>'3. Use Cases Catalog'!I495*1000000</f>
        <v>1.8</v>
      </c>
      <c r="H507" s="10" t="s">
        <v>8828</v>
      </c>
      <c r="I507" t="s">
        <v>8829</v>
      </c>
      <c r="J507" s="125">
        <f>'3. Use Cases Catalog'!J495*1000000</f>
        <v>5.4</v>
      </c>
      <c r="K507" s="125">
        <f>'3. Use Cases Catalog'!J495*1000000</f>
        <v>5.4</v>
      </c>
      <c r="L507" s="123"/>
      <c r="M507" s="124"/>
      <c r="N507" t="s">
        <v>130</v>
      </c>
      <c r="O507" s="125" t="str">
        <f t="shared" si="14"/>
        <v/>
      </c>
      <c r="P507" s="125">
        <f>'3. Use Cases Catalog'!K495*1000000</f>
        <v>0</v>
      </c>
      <c r="Q507" s="126"/>
      <c r="R507" s="124"/>
      <c r="S507" s="125" t="str">
        <f t="shared" si="15"/>
        <v/>
      </c>
      <c r="T507" s="125">
        <f>'3. Use Cases Catalog'!L495*1000000</f>
        <v>0</v>
      </c>
    </row>
    <row r="508" spans="1:20" x14ac:dyDescent="0.2">
      <c r="A508" t="s">
        <v>90</v>
      </c>
      <c r="B508" t="s">
        <v>149</v>
      </c>
      <c r="C508" t="s">
        <v>2662</v>
      </c>
      <c r="D508" s="10" t="s">
        <v>8830</v>
      </c>
      <c r="E508" t="s">
        <v>8831</v>
      </c>
      <c r="F508" s="125">
        <f>'3. Use Cases Catalog'!I496*1000000</f>
        <v>3.5</v>
      </c>
      <c r="G508" s="125">
        <f>'3. Use Cases Catalog'!I496*1000000</f>
        <v>3.5</v>
      </c>
      <c r="H508" s="10"/>
      <c r="I508" t="s">
        <v>129</v>
      </c>
      <c r="J508" s="125">
        <f>'3. Use Cases Catalog'!J496*1000000</f>
        <v>0</v>
      </c>
      <c r="K508" s="125">
        <f>'3. Use Cases Catalog'!J496*1000000</f>
        <v>0</v>
      </c>
      <c r="L508" s="123">
        <v>2.5000000000000001E-3</v>
      </c>
      <c r="M508" s="124">
        <v>18000000</v>
      </c>
      <c r="N508" t="s">
        <v>8832</v>
      </c>
      <c r="O508" s="125">
        <f t="shared" si="14"/>
        <v>28687.5</v>
      </c>
      <c r="P508" s="125">
        <f>'3. Use Cases Catalog'!K496*1000000</f>
        <v>2.1</v>
      </c>
      <c r="Q508" s="126">
        <v>4</v>
      </c>
      <c r="R508" s="124"/>
      <c r="S508" s="125" t="str">
        <f t="shared" si="15"/>
        <v/>
      </c>
      <c r="T508" s="125">
        <f>'3. Use Cases Catalog'!L496*1000000</f>
        <v>2.1</v>
      </c>
    </row>
    <row r="509" spans="1:20" x14ac:dyDescent="0.2">
      <c r="A509" t="s">
        <v>90</v>
      </c>
      <c r="B509" t="s">
        <v>133</v>
      </c>
      <c r="C509" t="s">
        <v>2667</v>
      </c>
      <c r="D509" s="10" t="s">
        <v>8826</v>
      </c>
      <c r="E509" t="s">
        <v>8827</v>
      </c>
      <c r="F509" s="125">
        <f>'3. Use Cases Catalog'!I497*1000000</f>
        <v>6.3</v>
      </c>
      <c r="G509" s="125">
        <f>'3. Use Cases Catalog'!I497*1000000</f>
        <v>6.3</v>
      </c>
      <c r="H509" s="10"/>
      <c r="I509" t="s">
        <v>129</v>
      </c>
      <c r="J509" s="125">
        <f>'3. Use Cases Catalog'!J497*1000000</f>
        <v>0</v>
      </c>
      <c r="K509" s="125">
        <f>'3. Use Cases Catalog'!J497*1000000</f>
        <v>0</v>
      </c>
      <c r="L509" s="123"/>
      <c r="M509" s="124">
        <v>7500000</v>
      </c>
      <c r="N509" t="s">
        <v>8063</v>
      </c>
      <c r="O509" s="125" t="str">
        <f t="shared" si="14"/>
        <v/>
      </c>
      <c r="P509" s="125">
        <f>'3. Use Cases Catalog'!K497*1000000</f>
        <v>1.3</v>
      </c>
      <c r="Q509" s="126"/>
      <c r="R509" s="124"/>
      <c r="S509" s="125" t="str">
        <f t="shared" si="15"/>
        <v/>
      </c>
      <c r="T509" s="125">
        <f>'3. Use Cases Catalog'!L497*1000000</f>
        <v>0</v>
      </c>
    </row>
    <row r="510" spans="1:20" x14ac:dyDescent="0.2">
      <c r="A510" t="s">
        <v>90</v>
      </c>
      <c r="B510" t="s">
        <v>172</v>
      </c>
      <c r="C510" t="s">
        <v>8833</v>
      </c>
      <c r="D510" s="10" t="s">
        <v>8834</v>
      </c>
      <c r="E510" t="s">
        <v>8835</v>
      </c>
      <c r="F510" s="125">
        <f>'3. Use Cases Catalog'!I498*1000000</f>
        <v>1.3</v>
      </c>
      <c r="G510" s="125">
        <f>'3. Use Cases Catalog'!I498*1000000</f>
        <v>1.3</v>
      </c>
      <c r="H510" s="10"/>
      <c r="I510" t="s">
        <v>129</v>
      </c>
      <c r="J510" s="125">
        <f>'3. Use Cases Catalog'!J498*1000000</f>
        <v>0</v>
      </c>
      <c r="K510" s="125">
        <f>'3. Use Cases Catalog'!J498*1000000</f>
        <v>0</v>
      </c>
      <c r="L510" s="123"/>
      <c r="M510" s="124"/>
      <c r="N510" t="s">
        <v>130</v>
      </c>
      <c r="O510" s="125" t="str">
        <f t="shared" si="14"/>
        <v/>
      </c>
      <c r="P510" s="125">
        <f>'3. Use Cases Catalog'!K498*1000000</f>
        <v>0</v>
      </c>
      <c r="Q510" s="126"/>
      <c r="R510" s="124"/>
      <c r="S510" s="125" t="str">
        <f t="shared" si="15"/>
        <v/>
      </c>
      <c r="T510" s="125">
        <f>'3. Use Cases Catalog'!L498*1000000</f>
        <v>0</v>
      </c>
    </row>
    <row r="511" spans="1:20" x14ac:dyDescent="0.2">
      <c r="A511" t="s">
        <v>90</v>
      </c>
      <c r="B511" t="s">
        <v>179</v>
      </c>
      <c r="C511" t="s">
        <v>2676</v>
      </c>
      <c r="D511" s="10" t="s">
        <v>8836</v>
      </c>
      <c r="E511" t="s">
        <v>8837</v>
      </c>
      <c r="F511" s="125">
        <f>'3. Use Cases Catalog'!I499*1000000</f>
        <v>500000</v>
      </c>
      <c r="G511" s="125">
        <f>'3. Use Cases Catalog'!I499*1000000</f>
        <v>500000</v>
      </c>
      <c r="H511" s="10"/>
      <c r="I511" t="s">
        <v>129</v>
      </c>
      <c r="J511" s="125">
        <f>'3. Use Cases Catalog'!J499*1000000</f>
        <v>0</v>
      </c>
      <c r="K511" s="125">
        <f>'3. Use Cases Catalog'!J499*1000000</f>
        <v>0</v>
      </c>
      <c r="L511" s="123"/>
      <c r="M511" s="124">
        <v>18000000</v>
      </c>
      <c r="N511" t="s">
        <v>7572</v>
      </c>
      <c r="O511" s="125" t="str">
        <f t="shared" si="14"/>
        <v/>
      </c>
      <c r="P511" s="125">
        <f>'3. Use Cases Catalog'!K499*1000000</f>
        <v>2</v>
      </c>
      <c r="Q511" s="126"/>
      <c r="R511" s="124"/>
      <c r="S511" s="125" t="str">
        <f t="shared" si="15"/>
        <v/>
      </c>
      <c r="T511" s="125">
        <f>'3. Use Cases Catalog'!L499*1000000</f>
        <v>0</v>
      </c>
    </row>
    <row r="512" spans="1:20" x14ac:dyDescent="0.2">
      <c r="A512" t="s">
        <v>90</v>
      </c>
      <c r="B512" t="s">
        <v>186</v>
      </c>
      <c r="C512" t="s">
        <v>2681</v>
      </c>
      <c r="D512" s="10"/>
      <c r="E512" t="s">
        <v>1009</v>
      </c>
      <c r="F512" s="125">
        <f>'3. Use Cases Catalog'!I500*1000000</f>
        <v>0</v>
      </c>
      <c r="G512" s="125">
        <f>'3. Use Cases Catalog'!I500*1000000</f>
        <v>0</v>
      </c>
      <c r="H512" s="10"/>
      <c r="I512" t="s">
        <v>129</v>
      </c>
      <c r="J512" s="125">
        <f>'3. Use Cases Catalog'!J500*1000000</f>
        <v>0</v>
      </c>
      <c r="K512" s="125">
        <f>'3. Use Cases Catalog'!J500*1000000</f>
        <v>0</v>
      </c>
      <c r="L512" s="123"/>
      <c r="M512" s="124">
        <v>2800000</v>
      </c>
      <c r="N512" t="s">
        <v>8838</v>
      </c>
      <c r="O512" s="125" t="str">
        <f t="shared" si="14"/>
        <v/>
      </c>
      <c r="P512" s="125">
        <f>'3. Use Cases Catalog'!K500*1000000</f>
        <v>400000</v>
      </c>
      <c r="Q512" s="126"/>
      <c r="R512" s="124"/>
      <c r="S512" s="125" t="str">
        <f t="shared" si="15"/>
        <v/>
      </c>
      <c r="T512" s="125">
        <f>'3. Use Cases Catalog'!L500*1000000</f>
        <v>0</v>
      </c>
    </row>
    <row r="513" spans="1:20" x14ac:dyDescent="0.2">
      <c r="A513" t="s">
        <v>90</v>
      </c>
      <c r="B513" t="s">
        <v>194</v>
      </c>
      <c r="C513" t="s">
        <v>8839</v>
      </c>
      <c r="D513" s="10" t="s">
        <v>8840</v>
      </c>
      <c r="E513" t="s">
        <v>8841</v>
      </c>
      <c r="F513" s="125">
        <f>'3. Use Cases Catalog'!I501*1000000</f>
        <v>200000</v>
      </c>
      <c r="G513" s="125">
        <f>'3. Use Cases Catalog'!I501*1000000</f>
        <v>200000</v>
      </c>
      <c r="H513" s="10"/>
      <c r="I513" t="s">
        <v>129</v>
      </c>
      <c r="J513" s="125">
        <f>'3. Use Cases Catalog'!J501*1000000</f>
        <v>0</v>
      </c>
      <c r="K513" s="125">
        <f>'3. Use Cases Catalog'!J501*1000000</f>
        <v>0</v>
      </c>
      <c r="L513" s="123"/>
      <c r="M513" s="124"/>
      <c r="N513" t="s">
        <v>130</v>
      </c>
      <c r="O513" s="125" t="str">
        <f t="shared" si="14"/>
        <v/>
      </c>
      <c r="P513" s="125">
        <f>'3. Use Cases Catalog'!K501*1000000</f>
        <v>0</v>
      </c>
      <c r="Q513" s="126"/>
      <c r="R513" s="124"/>
      <c r="S513" s="125" t="str">
        <f t="shared" si="15"/>
        <v/>
      </c>
      <c r="T513" s="125">
        <f>'3. Use Cases Catalog'!L501*1000000</f>
        <v>0</v>
      </c>
    </row>
    <row r="516" spans="1:20" x14ac:dyDescent="0.2">
      <c r="A516" s="127" t="s">
        <v>8842</v>
      </c>
      <c r="B516" s="30"/>
      <c r="C516" s="30"/>
      <c r="D516" s="30"/>
      <c r="E516" s="30"/>
      <c r="F516" s="30"/>
      <c r="G516" s="30"/>
      <c r="H516" s="30"/>
      <c r="I516" s="30"/>
      <c r="J516" s="30"/>
    </row>
    <row r="517" spans="1:20" x14ac:dyDescent="0.2">
      <c r="A517" s="57" t="s">
        <v>17</v>
      </c>
      <c r="B517" s="57" t="s">
        <v>2883</v>
      </c>
      <c r="C517" s="57" t="s">
        <v>47</v>
      </c>
      <c r="D517" s="57" t="s">
        <v>48</v>
      </c>
      <c r="E517" s="57" t="s">
        <v>49</v>
      </c>
      <c r="F517" s="57" t="s">
        <v>50</v>
      </c>
      <c r="G517" s="57" t="s">
        <v>46</v>
      </c>
      <c r="H517" s="57" t="s">
        <v>7315</v>
      </c>
      <c r="I517" s="57" t="s">
        <v>7338</v>
      </c>
      <c r="J517" s="57" t="s">
        <v>7339</v>
      </c>
    </row>
    <row r="518" spans="1:20" x14ac:dyDescent="0.2">
      <c r="A518" t="s">
        <v>26</v>
      </c>
      <c r="B518" s="15">
        <v>10</v>
      </c>
      <c r="C518" s="2">
        <v>18.2</v>
      </c>
      <c r="D518" s="2">
        <v>40.299999999999997</v>
      </c>
      <c r="E518" s="2">
        <v>9.9</v>
      </c>
      <c r="F518" s="2">
        <v>22.2</v>
      </c>
      <c r="G518" s="128">
        <v>90.6</v>
      </c>
      <c r="H518" s="2">
        <v>43.3</v>
      </c>
      <c r="I518" s="69" t="s">
        <v>7337</v>
      </c>
      <c r="J518" t="s">
        <v>7340</v>
      </c>
    </row>
    <row r="519" spans="1:20" x14ac:dyDescent="0.2">
      <c r="A519" t="s">
        <v>29</v>
      </c>
      <c r="B519" s="15">
        <v>10</v>
      </c>
      <c r="C519" s="2">
        <v>55.3</v>
      </c>
      <c r="D519" s="2">
        <v>15.6</v>
      </c>
      <c r="E519" s="2">
        <v>8.6</v>
      </c>
      <c r="F519" s="2">
        <v>2.1</v>
      </c>
      <c r="G519" s="128">
        <v>81.599999999999994</v>
      </c>
      <c r="H519" s="2">
        <v>40.799999999999997</v>
      </c>
      <c r="I519" s="74" t="s">
        <v>7335</v>
      </c>
      <c r="J519" t="s">
        <v>7341</v>
      </c>
    </row>
    <row r="520" spans="1:20" x14ac:dyDescent="0.2">
      <c r="A520" t="s">
        <v>22</v>
      </c>
      <c r="B520" s="15">
        <v>10</v>
      </c>
      <c r="C520" s="2">
        <v>14.3</v>
      </c>
      <c r="D520" s="2">
        <v>29</v>
      </c>
      <c r="E520" s="2">
        <v>21.7</v>
      </c>
      <c r="F520" s="2">
        <v>4.9000000000000004</v>
      </c>
      <c r="G520" s="128">
        <v>69.900000000000006</v>
      </c>
      <c r="H520" s="2">
        <v>31.8</v>
      </c>
      <c r="I520" s="69" t="s">
        <v>7337</v>
      </c>
      <c r="J520" t="s">
        <v>7342</v>
      </c>
    </row>
    <row r="521" spans="1:20" x14ac:dyDescent="0.2">
      <c r="A521" t="s">
        <v>78</v>
      </c>
      <c r="B521" s="15">
        <v>10</v>
      </c>
      <c r="C521" s="2">
        <v>15.4</v>
      </c>
      <c r="D521" s="2">
        <v>27.1</v>
      </c>
      <c r="E521" s="2">
        <v>3.2</v>
      </c>
      <c r="F521" s="2">
        <v>5.4</v>
      </c>
      <c r="G521" s="128">
        <v>51.1</v>
      </c>
      <c r="H521" s="2">
        <v>26.5</v>
      </c>
      <c r="I521" s="69" t="s">
        <v>7337</v>
      </c>
      <c r="J521" t="s">
        <v>7343</v>
      </c>
    </row>
    <row r="522" spans="1:20" x14ac:dyDescent="0.2">
      <c r="A522" t="s">
        <v>34</v>
      </c>
      <c r="B522" s="15">
        <v>10</v>
      </c>
      <c r="C522" s="2">
        <v>13.5</v>
      </c>
      <c r="D522" s="2">
        <v>19.899999999999999</v>
      </c>
      <c r="E522" s="2">
        <v>1.6</v>
      </c>
      <c r="F522" s="2">
        <v>11.6</v>
      </c>
      <c r="G522" s="128">
        <v>46.5</v>
      </c>
      <c r="H522" s="2">
        <v>23.1</v>
      </c>
      <c r="I522" s="69" t="s">
        <v>7337</v>
      </c>
      <c r="J522" t="s">
        <v>7344</v>
      </c>
    </row>
    <row r="523" spans="1:20" x14ac:dyDescent="0.2">
      <c r="A523" t="s">
        <v>99</v>
      </c>
      <c r="B523" s="15">
        <v>10</v>
      </c>
      <c r="C523" s="2">
        <v>7.6</v>
      </c>
      <c r="D523" s="2">
        <v>9.4</v>
      </c>
      <c r="E523" s="2">
        <v>1.1000000000000001</v>
      </c>
      <c r="F523" s="2">
        <v>2.2999999999999998</v>
      </c>
      <c r="G523" s="128">
        <v>20.399999999999999</v>
      </c>
      <c r="H523" s="2">
        <v>10.4</v>
      </c>
      <c r="I523" s="69" t="s">
        <v>7337</v>
      </c>
      <c r="J523" t="s">
        <v>7345</v>
      </c>
    </row>
    <row r="524" spans="1:20" x14ac:dyDescent="0.2">
      <c r="A524" t="s">
        <v>100</v>
      </c>
      <c r="B524" s="15">
        <v>10</v>
      </c>
      <c r="C524" s="2">
        <v>5.9</v>
      </c>
      <c r="D524" s="2">
        <v>4.0999999999999996</v>
      </c>
      <c r="E524" s="2">
        <v>1.3</v>
      </c>
      <c r="F524" s="2">
        <v>3.4</v>
      </c>
      <c r="G524" s="128">
        <v>14.7</v>
      </c>
      <c r="H524" s="2">
        <v>7.8</v>
      </c>
      <c r="I524" s="74" t="s">
        <v>7335</v>
      </c>
      <c r="J524" t="s">
        <v>7346</v>
      </c>
    </row>
    <row r="525" spans="1:20" x14ac:dyDescent="0.2">
      <c r="A525" t="s">
        <v>97</v>
      </c>
      <c r="B525" s="15">
        <v>10</v>
      </c>
      <c r="C525" s="2">
        <v>4.2</v>
      </c>
      <c r="D525" s="2">
        <v>0.8</v>
      </c>
      <c r="E525" s="2">
        <v>1.8</v>
      </c>
      <c r="F525" s="2">
        <v>1.2</v>
      </c>
      <c r="G525" s="128">
        <v>8</v>
      </c>
      <c r="H525" s="2">
        <v>3.9</v>
      </c>
      <c r="I525" s="74" t="s">
        <v>7335</v>
      </c>
      <c r="J525" t="s">
        <v>7347</v>
      </c>
    </row>
    <row r="526" spans="1:20" x14ac:dyDescent="0.2">
      <c r="A526" t="s">
        <v>101</v>
      </c>
      <c r="B526" s="15">
        <v>10</v>
      </c>
      <c r="C526" s="2">
        <v>4.3</v>
      </c>
      <c r="D526" s="2">
        <v>0.3</v>
      </c>
      <c r="E526" s="2">
        <v>2.4</v>
      </c>
      <c r="F526" s="2">
        <v>0.3</v>
      </c>
      <c r="G526" s="128">
        <v>7.3</v>
      </c>
      <c r="H526" s="2">
        <v>3.7</v>
      </c>
      <c r="I526" s="74" t="s">
        <v>7335</v>
      </c>
      <c r="J526" t="s">
        <v>7348</v>
      </c>
    </row>
    <row r="527" spans="1:20" x14ac:dyDescent="0.2">
      <c r="A527" t="s">
        <v>98</v>
      </c>
      <c r="B527" s="15">
        <v>10</v>
      </c>
      <c r="C527" s="2">
        <v>2.8</v>
      </c>
      <c r="D527" s="2">
        <v>0</v>
      </c>
      <c r="E527" s="2">
        <v>0.2</v>
      </c>
      <c r="F527" s="2">
        <v>0.4</v>
      </c>
      <c r="G527" s="128">
        <v>3.4</v>
      </c>
      <c r="H527" s="2">
        <v>1.9</v>
      </c>
      <c r="I527" s="74" t="s">
        <v>7335</v>
      </c>
      <c r="J527" t="s">
        <v>7349</v>
      </c>
    </row>
    <row r="528" spans="1:20" x14ac:dyDescent="0.2">
      <c r="A528" t="s">
        <v>95</v>
      </c>
      <c r="B528" s="15">
        <v>10</v>
      </c>
      <c r="C528" s="2">
        <v>0</v>
      </c>
      <c r="D528" s="2">
        <v>0.8</v>
      </c>
      <c r="E528" s="2">
        <v>1.7</v>
      </c>
      <c r="F528" s="2">
        <v>0</v>
      </c>
      <c r="G528" s="128">
        <v>2.5</v>
      </c>
      <c r="H528" s="2">
        <v>1</v>
      </c>
      <c r="I528" s="84" t="s">
        <v>7334</v>
      </c>
      <c r="J528" t="s">
        <v>7350</v>
      </c>
    </row>
    <row r="529" spans="1:10" x14ac:dyDescent="0.2">
      <c r="A529" t="s">
        <v>90</v>
      </c>
      <c r="B529" s="15">
        <v>10</v>
      </c>
      <c r="C529" s="2">
        <v>1.6</v>
      </c>
      <c r="D529" s="2">
        <v>0</v>
      </c>
      <c r="E529" s="2">
        <v>0.4</v>
      </c>
      <c r="F529" s="2">
        <v>0</v>
      </c>
      <c r="G529" s="128">
        <v>2</v>
      </c>
      <c r="H529" s="2">
        <v>1</v>
      </c>
      <c r="I529" s="74" t="s">
        <v>7335</v>
      </c>
      <c r="J529" t="s">
        <v>7351</v>
      </c>
    </row>
    <row r="530" spans="1:10" x14ac:dyDescent="0.2">
      <c r="A530" t="s">
        <v>91</v>
      </c>
      <c r="B530" s="15">
        <v>10</v>
      </c>
      <c r="C530" s="2">
        <v>1.9</v>
      </c>
      <c r="D530" s="2">
        <v>0</v>
      </c>
      <c r="E530" s="2">
        <v>0.2</v>
      </c>
      <c r="F530" s="2">
        <v>0</v>
      </c>
      <c r="G530" s="128">
        <v>2.1</v>
      </c>
      <c r="H530" s="2">
        <v>1.1000000000000001</v>
      </c>
      <c r="I530" s="74" t="s">
        <v>7335</v>
      </c>
      <c r="J530" t="s">
        <v>7352</v>
      </c>
    </row>
    <row r="531" spans="1:10" x14ac:dyDescent="0.2">
      <c r="A531" t="s">
        <v>76</v>
      </c>
      <c r="B531" s="15">
        <v>10</v>
      </c>
      <c r="C531" s="2">
        <v>2.2999999999999998</v>
      </c>
      <c r="D531" s="2">
        <v>0</v>
      </c>
      <c r="E531" s="2">
        <v>0</v>
      </c>
      <c r="F531" s="2">
        <v>0</v>
      </c>
      <c r="G531" s="128">
        <v>2.2999999999999998</v>
      </c>
      <c r="H531" s="2">
        <v>1.1000000000000001</v>
      </c>
      <c r="I531" s="74" t="s">
        <v>7335</v>
      </c>
      <c r="J531" t="s">
        <v>7353</v>
      </c>
    </row>
    <row r="532" spans="1:10" x14ac:dyDescent="0.2">
      <c r="A532" t="s">
        <v>84</v>
      </c>
      <c r="B532" s="15">
        <v>10</v>
      </c>
      <c r="C532" s="2">
        <v>1.4</v>
      </c>
      <c r="D532" s="2">
        <v>0</v>
      </c>
      <c r="E532" s="2">
        <v>0.9</v>
      </c>
      <c r="F532" s="2">
        <v>0</v>
      </c>
      <c r="G532" s="128">
        <v>2.2999999999999998</v>
      </c>
      <c r="H532" s="2">
        <v>1.1000000000000001</v>
      </c>
      <c r="I532" s="74" t="s">
        <v>7335</v>
      </c>
      <c r="J532" t="s">
        <v>7354</v>
      </c>
    </row>
    <row r="535" spans="1:10" x14ac:dyDescent="0.2">
      <c r="A535" s="129" t="s">
        <v>8843</v>
      </c>
      <c r="B535" s="130"/>
      <c r="C535" s="130"/>
      <c r="D535" s="130"/>
      <c r="E535" s="130"/>
      <c r="F535" s="130"/>
      <c r="G535" s="130"/>
    </row>
    <row r="536" spans="1:10" x14ac:dyDescent="0.2">
      <c r="A536" s="57" t="s">
        <v>8844</v>
      </c>
      <c r="B536" s="57" t="s">
        <v>8845</v>
      </c>
      <c r="C536" s="57" t="s">
        <v>8846</v>
      </c>
      <c r="D536" s="57" t="s">
        <v>8847</v>
      </c>
      <c r="E536" s="57" t="s">
        <v>19</v>
      </c>
      <c r="F536" s="57" t="s">
        <v>8848</v>
      </c>
      <c r="G536" s="57" t="s">
        <v>7041</v>
      </c>
    </row>
    <row r="537" spans="1:10" x14ac:dyDescent="0.2">
      <c r="A537" s="7" t="s">
        <v>8849</v>
      </c>
      <c r="B537" t="s">
        <v>8850</v>
      </c>
      <c r="C537" t="s">
        <v>8851</v>
      </c>
      <c r="D537">
        <v>45</v>
      </c>
      <c r="E537" s="2">
        <v>28.5</v>
      </c>
      <c r="F537" s="1">
        <f t="shared" ref="F537:F548" si="16">E537/D537</f>
        <v>0.6333333333333333</v>
      </c>
      <c r="G537" t="s">
        <v>8852</v>
      </c>
    </row>
    <row r="538" spans="1:10" x14ac:dyDescent="0.2">
      <c r="A538" s="7" t="s">
        <v>8853</v>
      </c>
      <c r="B538" t="s">
        <v>8854</v>
      </c>
      <c r="C538" t="s">
        <v>8855</v>
      </c>
      <c r="D538">
        <v>52</v>
      </c>
      <c r="E538" s="2">
        <v>35.200000000000003</v>
      </c>
      <c r="F538" s="1">
        <f t="shared" si="16"/>
        <v>0.67692307692307696</v>
      </c>
      <c r="G538" t="s">
        <v>8856</v>
      </c>
    </row>
    <row r="539" spans="1:10" x14ac:dyDescent="0.2">
      <c r="A539" s="7" t="s">
        <v>8857</v>
      </c>
      <c r="B539" t="s">
        <v>8858</v>
      </c>
      <c r="C539" t="s">
        <v>8859</v>
      </c>
      <c r="D539">
        <v>48</v>
      </c>
      <c r="E539" s="2">
        <v>42.1</v>
      </c>
      <c r="F539" s="1">
        <f t="shared" si="16"/>
        <v>0.87708333333333333</v>
      </c>
      <c r="G539" t="s">
        <v>8860</v>
      </c>
    </row>
    <row r="540" spans="1:10" x14ac:dyDescent="0.2">
      <c r="A540" s="7" t="s">
        <v>8861</v>
      </c>
      <c r="B540" t="s">
        <v>8862</v>
      </c>
      <c r="C540" t="s">
        <v>8863</v>
      </c>
      <c r="D540">
        <v>38</v>
      </c>
      <c r="E540" s="2">
        <v>18.600000000000001</v>
      </c>
      <c r="F540" s="1">
        <f t="shared" si="16"/>
        <v>0.48947368421052634</v>
      </c>
      <c r="G540" t="s">
        <v>8864</v>
      </c>
    </row>
    <row r="541" spans="1:10" x14ac:dyDescent="0.2">
      <c r="A541" s="7" t="s">
        <v>8865</v>
      </c>
      <c r="B541" t="s">
        <v>8866</v>
      </c>
      <c r="C541" t="s">
        <v>8867</v>
      </c>
      <c r="D541">
        <v>42</v>
      </c>
      <c r="E541" s="2">
        <v>31.4</v>
      </c>
      <c r="F541" s="1">
        <f t="shared" si="16"/>
        <v>0.74761904761904763</v>
      </c>
      <c r="G541" t="s">
        <v>8868</v>
      </c>
    </row>
    <row r="542" spans="1:10" x14ac:dyDescent="0.2">
      <c r="A542" s="7" t="s">
        <v>8869</v>
      </c>
      <c r="B542" t="s">
        <v>8870</v>
      </c>
      <c r="C542" t="s">
        <v>8871</v>
      </c>
      <c r="D542">
        <v>35</v>
      </c>
      <c r="E542" s="2">
        <v>15.8</v>
      </c>
      <c r="F542" s="1">
        <f t="shared" si="16"/>
        <v>0.45142857142857146</v>
      </c>
      <c r="G542" t="s">
        <v>8872</v>
      </c>
    </row>
    <row r="543" spans="1:10" x14ac:dyDescent="0.2">
      <c r="A543" s="7" t="s">
        <v>6354</v>
      </c>
      <c r="B543" t="s">
        <v>8873</v>
      </c>
      <c r="C543" t="s">
        <v>8874</v>
      </c>
      <c r="D543">
        <v>32</v>
      </c>
      <c r="E543" s="2">
        <v>22.3</v>
      </c>
      <c r="F543" s="1">
        <f t="shared" si="16"/>
        <v>0.69687500000000002</v>
      </c>
      <c r="G543" t="s">
        <v>8875</v>
      </c>
    </row>
    <row r="544" spans="1:10" x14ac:dyDescent="0.2">
      <c r="A544" s="7" t="s">
        <v>8876</v>
      </c>
      <c r="B544" t="s">
        <v>8877</v>
      </c>
      <c r="C544" t="s">
        <v>8878</v>
      </c>
      <c r="D544">
        <v>28</v>
      </c>
      <c r="E544" s="2">
        <v>12.4</v>
      </c>
      <c r="F544" s="1">
        <f t="shared" si="16"/>
        <v>0.44285714285714289</v>
      </c>
      <c r="G544" t="s">
        <v>8879</v>
      </c>
    </row>
    <row r="545" spans="1:7" x14ac:dyDescent="0.2">
      <c r="A545" s="7" t="s">
        <v>8880</v>
      </c>
      <c r="B545" t="s">
        <v>8881</v>
      </c>
      <c r="C545" t="s">
        <v>8882</v>
      </c>
      <c r="D545">
        <v>25</v>
      </c>
      <c r="E545" s="2">
        <v>19.7</v>
      </c>
      <c r="F545" s="1">
        <f t="shared" si="16"/>
        <v>0.78799999999999992</v>
      </c>
      <c r="G545" t="s">
        <v>8883</v>
      </c>
    </row>
    <row r="546" spans="1:7" x14ac:dyDescent="0.2">
      <c r="A546" s="7" t="s">
        <v>8884</v>
      </c>
      <c r="B546" t="s">
        <v>8885</v>
      </c>
      <c r="C546" t="s">
        <v>8886</v>
      </c>
      <c r="D546">
        <v>22</v>
      </c>
      <c r="E546" s="2">
        <v>14.2</v>
      </c>
      <c r="F546" s="1">
        <f t="shared" si="16"/>
        <v>0.64545454545454539</v>
      </c>
      <c r="G546" t="s">
        <v>8887</v>
      </c>
    </row>
    <row r="547" spans="1:7" x14ac:dyDescent="0.2">
      <c r="A547" s="7" t="s">
        <v>8888</v>
      </c>
      <c r="B547" t="s">
        <v>8889</v>
      </c>
      <c r="C547" t="s">
        <v>8890</v>
      </c>
      <c r="D547">
        <v>18</v>
      </c>
      <c r="E547" s="2">
        <v>16.899999999999999</v>
      </c>
      <c r="F547" s="1">
        <f t="shared" si="16"/>
        <v>0.93888888888888877</v>
      </c>
      <c r="G547" t="s">
        <v>8891</v>
      </c>
    </row>
    <row r="548" spans="1:7" x14ac:dyDescent="0.2">
      <c r="A548" s="7" t="s">
        <v>8892</v>
      </c>
      <c r="B548" t="s">
        <v>8893</v>
      </c>
      <c r="C548" t="s">
        <v>8894</v>
      </c>
      <c r="D548">
        <v>15</v>
      </c>
      <c r="E548" s="2">
        <v>8.6</v>
      </c>
      <c r="F548" s="1">
        <f t="shared" si="16"/>
        <v>0.57333333333333336</v>
      </c>
      <c r="G548" t="s">
        <v>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1. Executive Dashboard</vt:lpstr>
      <vt:lpstr>2. Company Master</vt:lpstr>
      <vt:lpstr>3. Use Cases Catalog</vt:lpstr>
      <vt:lpstr>4. Benefits by Driver</vt:lpstr>
      <vt:lpstr>5. KPI Baselines</vt:lpstr>
      <vt:lpstr>6. Friction Points</vt:lpstr>
      <vt:lpstr>7. Strategic Themes</vt:lpstr>
      <vt:lpstr>8. Priority Roadmap</vt:lpstr>
      <vt:lpstr>9. Framework 1</vt:lpstr>
      <vt:lpstr>10. Framework 2</vt:lpstr>
      <vt:lpstr>11. Framework 3</vt:lpstr>
      <vt:lpstr>12. Assumptions</vt:lpstr>
      <vt:lpstr>13. Data Dictionary</vt:lpstr>
      <vt:lpstr>KPI Impact Analysis</vt:lpstr>
      <vt:lpstr>Dynamic Analysis Dashboard</vt:lpstr>
      <vt:lpstr>Executive Analysis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Godwin</cp:lastModifiedBy>
  <dcterms:created xsi:type="dcterms:W3CDTF">2026-01-30T16:52:38Z</dcterms:created>
  <dcterms:modified xsi:type="dcterms:W3CDTF">2026-02-02T15:47:35Z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2026-01-30T16:52:32Z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2e557e1d-152f-417e-b545-4dd53d1ff54e</vt:lpwstr>
  </property>
  <property fmtid="{D5CDD505-2E9C-101B-9397-08002B2CF9AE}" pid="8" name="MSIP_Label_693365b0-f3f5-456f-93ce-8e2e75f29462_ContentBits">
    <vt:lpwstr>0</vt:lpwstr>
  </property>
  <property fmtid="{D5CDD505-2E9C-101B-9397-08002B2CF9AE}" pid="9" name="MSIP_Label_693365b0-f3f5-456f-93ce-8e2e75f29462_Tag">
    <vt:lpwstr>50, 3, 0, 1</vt:lpwstr>
  </property>
</Properties>
</file>